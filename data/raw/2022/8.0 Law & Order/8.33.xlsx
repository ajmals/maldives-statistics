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xl/drawings/drawing6.xml" ContentType="application/vnd.openxmlformats-officedocument.drawing+xml"/>
  <Override PartName="/xl/charts/chart15.xml" ContentType="application/vnd.openxmlformats-officedocument.drawingml.chart+xml"/>
  <Override PartName="/xl/drawings/drawing7.xml" ContentType="application/vnd.openxmlformats-officedocument.drawingml.chartshapes+xml"/>
  <Override PartName="/xl/charts/chart16.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omments1.xml" ContentType="application/vnd.openxmlformats-officedocument.spreadsheetml.comments+xml"/>
  <Override PartName="/xl/drawings/drawing10.xml" ContentType="application/vnd.openxmlformats-officedocument.drawing+xml"/>
  <Override PartName="/xl/charts/chart19.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20.xml" ContentType="application/vnd.openxmlformats-officedocument.drawingml.chart+xml"/>
  <Override PartName="/xl/drawings/drawing13.xml" ContentType="application/vnd.openxmlformats-officedocument.drawingml.chartshapes+xml"/>
  <Override PartName="/xl/charts/chart21.xml" ContentType="application/vnd.openxmlformats-officedocument.drawingml.chart+xml"/>
  <Override PartName="/xl/drawings/drawing14.xml" ContentType="application/vnd.openxmlformats-officedocument.drawing+xml"/>
  <Override PartName="/xl/charts/chart22.xml" ContentType="application/vnd.openxmlformats-officedocument.drawingml.chart+xml"/>
  <Override PartName="/xl/drawings/drawing15.xml" ContentType="application/vnd.openxmlformats-officedocument.drawingml.chartshapes+xml"/>
  <Override PartName="/xl/charts/chart23.xml" ContentType="application/vnd.openxmlformats-officedocument.drawingml.chart+xml"/>
  <Override PartName="/xl/drawings/drawing1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drawings/drawing17.xml" ContentType="application/vnd.openxmlformats-officedocument.drawing+xml"/>
  <Override PartName="/xl/charts/chart27.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8.xml" ContentType="application/vnd.openxmlformats-officedocument.drawingml.chartshapes+xml"/>
  <Override PartName="/xl/charts/chart28.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ml.chartshapes+xml"/>
  <Override PartName="/xl/comments4.xml" ContentType="application/vnd.openxmlformats-officedocument.spreadsheetml.comments+xml"/>
  <Override PartName="/xl/drawings/drawing20.xml" ContentType="application/vnd.openxmlformats-officedocument.drawing+xml"/>
  <Override PartName="/xl/charts/chart29.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mc:AlternateContent xmlns:mc="http://schemas.openxmlformats.org/markup-compatibility/2006">
    <mc:Choice Requires="x15">
      <x15ac:absPath xmlns:x15ac="http://schemas.microsoft.com/office/spreadsheetml/2010/11/ac" url="\\192.168.1.8\st4\Dissemination\Publications\Statistical Year Book\YEARBOOK 2022\Final\web\Law and Order\"/>
    </mc:Choice>
  </mc:AlternateContent>
  <xr:revisionPtr revIDLastSave="0" documentId="13_ncr:1_{9AE56806-8A77-4275-9946-C37FE38B0D2D}" xr6:coauthVersionLast="47" xr6:coauthVersionMax="47" xr10:uidLastSave="{00000000-0000-0000-0000-000000000000}"/>
  <bookViews>
    <workbookView xWindow="-120" yWindow="-120" windowWidth="29040" windowHeight="15840" tabRatio="877" xr2:uid="{00000000-000D-0000-FFFF-FFFF00000000}"/>
  </bookViews>
  <sheets>
    <sheet name="8.24" sheetId="64" r:id="rId1"/>
    <sheet name="8.25" sheetId="122" r:id="rId2"/>
    <sheet name="8.26" sheetId="124" r:id="rId3"/>
    <sheet name="8.27" sheetId="123" r:id="rId4"/>
    <sheet name="8.28" sheetId="125" r:id="rId5"/>
    <sheet name=" 8.29" sheetId="62" r:id="rId6"/>
    <sheet name="8.30" sheetId="67" r:id="rId7"/>
    <sheet name="8.31" sheetId="68" r:id="rId8"/>
    <sheet name="8.32" sheetId="69" r:id="rId9"/>
    <sheet name="8.33" sheetId="70" r:id="rId10"/>
    <sheet name="8.34" sheetId="71" r:id="rId11"/>
    <sheet name="8.35" sheetId="72" r:id="rId12"/>
    <sheet name="8.36" sheetId="73" r:id="rId13"/>
    <sheet name="8.37" sheetId="74" r:id="rId14"/>
    <sheet name="8.38" sheetId="75" r:id="rId15"/>
    <sheet name="8.39" sheetId="76" r:id="rId16"/>
    <sheet name="8.40" sheetId="126" r:id="rId17"/>
    <sheet name="8.41" sheetId="78" r:id="rId18"/>
    <sheet name="8.42" sheetId="77" r:id="rId19"/>
    <sheet name="8.43" sheetId="79" r:id="rId20"/>
    <sheet name="8.44" sheetId="80" r:id="rId21"/>
    <sheet name="8.45" sheetId="115" r:id="rId22"/>
    <sheet name="8.46" sheetId="114" r:id="rId23"/>
    <sheet name="8.47" sheetId="113" r:id="rId24"/>
    <sheet name="8.48" sheetId="81" r:id="rId25"/>
    <sheet name="8.49" sheetId="82" r:id="rId26"/>
    <sheet name="8.50" sheetId="83" r:id="rId27"/>
    <sheet name="8.51" sheetId="84" r:id="rId28"/>
    <sheet name="8.52" sheetId="85" r:id="rId29"/>
    <sheet name="8.53" sheetId="86" r:id="rId30"/>
    <sheet name="8.54" sheetId="87" r:id="rId31"/>
    <sheet name="8.55" sheetId="88" r:id="rId32"/>
    <sheet name="8.56" sheetId="89" r:id="rId33"/>
    <sheet name="8.57" sheetId="90" r:id="rId34"/>
    <sheet name="8.58" sheetId="91" r:id="rId35"/>
    <sheet name="8.59" sheetId="92" r:id="rId36"/>
    <sheet name="8.60" sheetId="93" r:id="rId37"/>
    <sheet name="8.61" sheetId="94" r:id="rId38"/>
    <sheet name="8.62" sheetId="118" r:id="rId39"/>
    <sheet name="8.63" sheetId="95" r:id="rId40"/>
    <sheet name="8.64" sheetId="121" r:id="rId41"/>
    <sheet name="8.65" sheetId="120" r:id="rId42"/>
    <sheet name="8.66" sheetId="96" r:id="rId43"/>
    <sheet name="8.67" sheetId="97" r:id="rId44"/>
    <sheet name="8.68" sheetId="98" r:id="rId45"/>
    <sheet name="8.69" sheetId="99" r:id="rId46"/>
  </sheets>
  <externalReferences>
    <externalReference r:id="rId47"/>
    <externalReference r:id="rId48"/>
    <externalReference r:id="rId49"/>
    <externalReference r:id="rId50"/>
    <externalReference r:id="rId51"/>
    <externalReference r:id="rId52"/>
    <externalReference r:id="rId53"/>
  </externalReferences>
  <definedNames>
    <definedName name="_xlnm.Print_Area" localSheetId="5">' 8.29'!$A$1:$D$11</definedName>
    <definedName name="_xlnm.Print_Area" localSheetId="0">'8.24'!$A$1:$H$17</definedName>
    <definedName name="_xlnm.Print_Area" localSheetId="6">'8.30'!$A$1:$P$61</definedName>
    <definedName name="_xlnm.Print_Area" localSheetId="7">'8.31'!$A$1:$CG$19</definedName>
    <definedName name="_xlnm.Print_Area" localSheetId="8">'8.32'!$A$1:$Z$256</definedName>
    <definedName name="_xlnm.Print_Area" localSheetId="9">'8.33'!$A$1:$BG$62</definedName>
    <definedName name="_xlnm.Print_Area" localSheetId="12">'8.36'!$A$1:$I$32</definedName>
    <definedName name="_xlnm.Print_Area" localSheetId="13">'8.37'!$A$1:$J$34</definedName>
    <definedName name="_xlnm.Print_Area" localSheetId="14">'8.38'!$A$1:$H$246</definedName>
    <definedName name="_xlnm.Print_Area" localSheetId="15">'8.39'!$A$1:$P$33</definedName>
    <definedName name="_xlnm.Print_Area" localSheetId="17">'8.41'!$A$1:$E$17</definedName>
    <definedName name="_xlnm.Print_Area" localSheetId="18">'8.42'!$A$1:$AJ$39</definedName>
    <definedName name="_xlnm.Print_Area" localSheetId="20">'8.44'!$A$1:$F$8</definedName>
    <definedName name="_xlnm.Print_Area" localSheetId="21">'8.45'!$A$1:$K$278</definedName>
    <definedName name="_xlnm.Print_Area" localSheetId="22">'8.46'!$A$1:$P$50</definedName>
    <definedName name="_xlnm.Print_Area" localSheetId="24">'8.48'!$A$1:$R$48</definedName>
    <definedName name="_xlnm.Print_Area" localSheetId="25">'8.49'!$A$1:$W$69</definedName>
    <definedName name="_xlnm.Print_Area" localSheetId="29">'8.53'!$A$1:$M$31</definedName>
    <definedName name="_xlnm.Print_Area" localSheetId="31">'8.55'!$A$1:$I$19</definedName>
    <definedName name="_xlnm.Print_Area" localSheetId="32">'8.56'!$A$1:$N$27</definedName>
    <definedName name="_xlnm.Print_Area" localSheetId="33">'8.57'!$A$1:$J$54</definedName>
    <definedName name="_xlnm.Print_Area" localSheetId="34">'8.58'!$A$1:$M$12</definedName>
    <definedName name="_xlnm.Print_Area" localSheetId="35">'8.59'!$A$1:$C$17</definedName>
    <definedName name="_xlnm.Print_Area" localSheetId="37">'8.61'!$A$1:$O$25</definedName>
    <definedName name="_xlnm.Print_Area" localSheetId="40">'8.64'!$A$1:$N$18</definedName>
    <definedName name="_xlnm.Print_Area" localSheetId="41">'8.65'!$A$1:$W$16</definedName>
    <definedName name="_xlnm.Print_Area" localSheetId="42">'8.66'!$A$1:$S$27</definedName>
    <definedName name="_xlnm.Print_Area" localSheetId="44">'8.68'!$A$1:$L$20</definedName>
    <definedName name="_xlnm.Print_Titles" localSheetId="8">'8.32'!$3:$4</definedName>
    <definedName name="_xlnm.Print_Titles" localSheetId="14">'8.38'!$3:$5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31" i="114" l="1"/>
  <c r="C7" i="126"/>
  <c r="B7" i="126"/>
  <c r="B14" i="125"/>
  <c r="B13" i="125"/>
  <c r="B12" i="125"/>
  <c r="B11" i="125"/>
  <c r="B10" i="125"/>
  <c r="B9" i="125"/>
  <c r="B8" i="125"/>
  <c r="B7" i="125"/>
  <c r="B5" i="125" s="1"/>
  <c r="B6" i="125"/>
  <c r="I5" i="125"/>
  <c r="H5" i="125"/>
  <c r="G5" i="125"/>
  <c r="F5" i="125"/>
  <c r="E5" i="125"/>
  <c r="D5" i="125"/>
  <c r="C5" i="125"/>
  <c r="B14" i="123"/>
  <c r="B13" i="123"/>
  <c r="B12" i="123"/>
  <c r="B11" i="123"/>
  <c r="B10" i="123"/>
  <c r="B9" i="123"/>
  <c r="B8" i="123"/>
  <c r="B7" i="123"/>
  <c r="B6" i="123"/>
  <c r="B5" i="123" s="1"/>
  <c r="D5" i="123"/>
  <c r="C5" i="123"/>
  <c r="B14" i="124"/>
  <c r="B13" i="124"/>
  <c r="B12" i="124"/>
  <c r="B11" i="124"/>
  <c r="B10" i="124"/>
  <c r="B9" i="124"/>
  <c r="B8" i="124"/>
  <c r="B7" i="124"/>
  <c r="B6" i="124"/>
  <c r="B5" i="124" s="1"/>
  <c r="D5" i="124"/>
  <c r="C5" i="124"/>
  <c r="C18" i="122"/>
  <c r="C17" i="122"/>
  <c r="C16" i="122"/>
  <c r="C15" i="122"/>
  <c r="C14" i="122"/>
  <c r="C13" i="122"/>
  <c r="C12" i="122"/>
  <c r="C11" i="122"/>
  <c r="C10" i="122"/>
  <c r="C9" i="122"/>
  <c r="C8" i="122"/>
  <c r="C7" i="122"/>
  <c r="E6" i="122"/>
  <c r="D6" i="122"/>
  <c r="C6" i="122" s="1"/>
  <c r="N9" i="114"/>
  <c r="N17" i="114"/>
  <c r="N8" i="114"/>
  <c r="N7" i="114"/>
  <c r="N10" i="114"/>
  <c r="N11" i="114"/>
  <c r="N12" i="114"/>
  <c r="N13" i="114"/>
  <c r="N14" i="114"/>
  <c r="N15" i="114"/>
  <c r="N16" i="114"/>
  <c r="N6" i="114"/>
  <c r="V7" i="79"/>
  <c r="U7" i="79"/>
  <c r="T7" i="79" s="1"/>
  <c r="AO17" i="76"/>
  <c r="AP16" i="76"/>
  <c r="AP15" i="76"/>
  <c r="AO15" i="76"/>
  <c r="AO13" i="76"/>
  <c r="AO16" i="76"/>
  <c r="F215" i="75"/>
  <c r="E215" i="75"/>
  <c r="S111" i="75" s="1"/>
  <c r="D215" i="75"/>
  <c r="C215" i="75"/>
  <c r="B215" i="75"/>
  <c r="F213" i="75"/>
  <c r="E213" i="75"/>
  <c r="S110" i="75" s="1"/>
  <c r="D213" i="75"/>
  <c r="C213" i="75"/>
  <c r="B213" i="75"/>
  <c r="F203" i="75"/>
  <c r="E203" i="75"/>
  <c r="D203" i="75"/>
  <c r="C203" i="75"/>
  <c r="B203" i="75"/>
  <c r="F193" i="75"/>
  <c r="E193" i="75"/>
  <c r="S108" i="75" s="1"/>
  <c r="D193" i="75"/>
  <c r="C193" i="75"/>
  <c r="B193" i="75"/>
  <c r="F181" i="75"/>
  <c r="E181" i="75"/>
  <c r="S107" i="75" s="1"/>
  <c r="D181" i="75"/>
  <c r="C181" i="75"/>
  <c r="B181" i="75"/>
  <c r="F167" i="75"/>
  <c r="E167" i="75"/>
  <c r="D167" i="75"/>
  <c r="C167" i="75"/>
  <c r="B167" i="75"/>
  <c r="F160" i="75"/>
  <c r="E160" i="75"/>
  <c r="D160" i="75"/>
  <c r="C160" i="75"/>
  <c r="B160" i="75"/>
  <c r="F154" i="75"/>
  <c r="E154" i="75"/>
  <c r="S104" i="75" s="1"/>
  <c r="D154" i="75"/>
  <c r="C154" i="75"/>
  <c r="B154" i="75"/>
  <c r="F145" i="75"/>
  <c r="E145" i="75"/>
  <c r="S103" i="75" s="1"/>
  <c r="D145" i="75"/>
  <c r="C145" i="75"/>
  <c r="B145" i="75"/>
  <c r="F139" i="75"/>
  <c r="E139" i="75"/>
  <c r="S102" i="75" s="1"/>
  <c r="D139" i="75"/>
  <c r="C139" i="75"/>
  <c r="B139" i="75"/>
  <c r="F128" i="75"/>
  <c r="E128" i="75"/>
  <c r="D128" i="75"/>
  <c r="C128" i="75"/>
  <c r="B128" i="75"/>
  <c r="F119" i="75"/>
  <c r="E119" i="75"/>
  <c r="S100" i="75" s="1"/>
  <c r="D119" i="75"/>
  <c r="C119" i="75"/>
  <c r="B119" i="75"/>
  <c r="T112" i="75"/>
  <c r="S109" i="75"/>
  <c r="F109" i="75"/>
  <c r="E109" i="75"/>
  <c r="S99" i="75" s="1"/>
  <c r="D109" i="75"/>
  <c r="C109" i="75"/>
  <c r="B109" i="75"/>
  <c r="S106" i="75"/>
  <c r="S105" i="75"/>
  <c r="F104" i="75"/>
  <c r="E104" i="75"/>
  <c r="S98" i="75" s="1"/>
  <c r="D104" i="75"/>
  <c r="C104" i="75"/>
  <c r="B104" i="75"/>
  <c r="S101" i="75"/>
  <c r="S92" i="75"/>
  <c r="T90" i="75"/>
  <c r="F90" i="75"/>
  <c r="E90" i="75"/>
  <c r="S97" i="75" s="1"/>
  <c r="D90" i="75"/>
  <c r="C90" i="75"/>
  <c r="B90" i="75"/>
  <c r="F74" i="75"/>
  <c r="E74" i="75"/>
  <c r="S96" i="75" s="1"/>
  <c r="D74" i="75"/>
  <c r="D16" i="75" s="1"/>
  <c r="D6" i="75" s="1"/>
  <c r="C74" i="75"/>
  <c r="B74" i="75"/>
  <c r="F60" i="75"/>
  <c r="E60" i="75"/>
  <c r="S95" i="75" s="1"/>
  <c r="D60" i="75"/>
  <c r="C60" i="75"/>
  <c r="B60" i="75"/>
  <c r="F46" i="75"/>
  <c r="E46" i="75"/>
  <c r="S94" i="75" s="1"/>
  <c r="D46" i="75"/>
  <c r="C46" i="75"/>
  <c r="B46" i="75"/>
  <c r="F32" i="75"/>
  <c r="E32" i="75"/>
  <c r="S93" i="75" s="1"/>
  <c r="D32" i="75"/>
  <c r="C32" i="75"/>
  <c r="B32" i="75"/>
  <c r="F17" i="75"/>
  <c r="E17" i="75"/>
  <c r="D17" i="75"/>
  <c r="C17" i="75"/>
  <c r="B17" i="75"/>
  <c r="F7" i="75"/>
  <c r="E7" i="75"/>
  <c r="R130" i="75" s="1"/>
  <c r="D7" i="75"/>
  <c r="C7" i="75"/>
  <c r="B7" i="75"/>
  <c r="B16" i="75" l="1"/>
  <c r="B6" i="75" s="1"/>
  <c r="C16" i="75"/>
  <c r="C6" i="75" s="1"/>
  <c r="F16" i="75"/>
  <c r="F6" i="75" s="1"/>
  <c r="S90" i="75"/>
  <c r="E16" i="75"/>
  <c r="S112" i="75"/>
  <c r="R129" i="75" l="1"/>
  <c r="E6" i="75"/>
  <c r="R128" i="75" l="1"/>
  <c r="S130" i="75" s="1"/>
  <c r="S129" i="75"/>
  <c r="S10" i="74" l="1"/>
  <c r="E6" i="74"/>
  <c r="G6" i="74"/>
  <c r="AB17" i="73"/>
  <c r="AA17" i="73"/>
  <c r="AB16" i="73"/>
  <c r="AA16" i="73"/>
  <c r="BD13" i="70"/>
  <c r="AG269" i="69"/>
  <c r="AF293" i="69"/>
  <c r="AF269" i="69"/>
  <c r="AE259" i="69"/>
  <c r="AE228" i="69" l="1"/>
  <c r="AE14" i="68"/>
  <c r="F14" i="68"/>
  <c r="AE13" i="68"/>
  <c r="AE12" i="68"/>
  <c r="AE10" i="68"/>
  <c r="F10" i="68"/>
  <c r="AE9" i="68"/>
  <c r="F9" i="68"/>
  <c r="AE8" i="68"/>
  <c r="F8" i="68"/>
  <c r="AG7" i="68"/>
  <c r="AF7" i="68"/>
  <c r="Y7" i="68"/>
  <c r="X7" i="68"/>
  <c r="V7" i="68"/>
  <c r="U7" i="68"/>
  <c r="T7" i="68"/>
  <c r="S7" i="68"/>
  <c r="R7" i="68"/>
  <c r="P7" i="68"/>
  <c r="O7" i="68"/>
  <c r="N7" i="68"/>
  <c r="M7" i="68"/>
  <c r="L7" i="68"/>
  <c r="J7" i="68"/>
  <c r="I7" i="68"/>
  <c r="E7" i="68"/>
  <c r="C7" i="68"/>
  <c r="F7" i="68" s="1"/>
  <c r="B7" i="68"/>
  <c r="C7" i="78" l="1"/>
  <c r="B7" i="78"/>
  <c r="G10" i="73" l="1"/>
  <c r="G4" i="73" s="1"/>
  <c r="G7" i="73"/>
  <c r="G5" i="73"/>
  <c r="G6" i="73"/>
  <c r="BE13" i="70"/>
  <c r="BC13" i="70"/>
  <c r="BB13" i="70"/>
  <c r="BA13" i="70"/>
  <c r="BE7" i="70"/>
  <c r="BE6" i="70" s="1"/>
  <c r="BD7" i="70"/>
  <c r="BC7" i="70"/>
  <c r="BC6" i="70" s="1"/>
  <c r="BB7" i="70"/>
  <c r="BB6" i="70" s="1"/>
  <c r="BA7" i="70"/>
  <c r="Y214" i="69"/>
  <c r="X214" i="69"/>
  <c r="W214" i="69"/>
  <c r="V214" i="69"/>
  <c r="U214" i="69"/>
  <c r="S214" i="69"/>
  <c r="R214" i="69"/>
  <c r="Q214" i="69"/>
  <c r="P214" i="69"/>
  <c r="O214" i="69"/>
  <c r="M214" i="69"/>
  <c r="L214" i="69"/>
  <c r="K214" i="69"/>
  <c r="J214" i="69"/>
  <c r="I214" i="69"/>
  <c r="G214" i="69"/>
  <c r="F214" i="69"/>
  <c r="E214" i="69"/>
  <c r="D214" i="69"/>
  <c r="C214" i="69"/>
  <c r="Y212" i="69"/>
  <c r="X212" i="69"/>
  <c r="W212" i="69"/>
  <c r="V212" i="69"/>
  <c r="U212" i="69"/>
  <c r="S212" i="69"/>
  <c r="R212" i="69"/>
  <c r="Q212" i="69"/>
  <c r="P212" i="69"/>
  <c r="O212" i="69"/>
  <c r="M212" i="69"/>
  <c r="L212" i="69"/>
  <c r="K212" i="69"/>
  <c r="J212" i="69"/>
  <c r="I212" i="69"/>
  <c r="F212" i="69"/>
  <c r="D212" i="69"/>
  <c r="C212" i="69"/>
  <c r="E212" i="69" s="1"/>
  <c r="G212" i="69" s="1"/>
  <c r="W211" i="69"/>
  <c r="Y211" i="69" s="1"/>
  <c r="Q211" i="69"/>
  <c r="S211" i="69" s="1"/>
  <c r="K211" i="69"/>
  <c r="M211" i="69" s="1"/>
  <c r="E211" i="69"/>
  <c r="G211" i="69" s="1"/>
  <c r="W210" i="69"/>
  <c r="Y210" i="69" s="1"/>
  <c r="Q210" i="69"/>
  <c r="S210" i="69" s="1"/>
  <c r="K210" i="69"/>
  <c r="M210" i="69" s="1"/>
  <c r="E210" i="69"/>
  <c r="G210" i="69" s="1"/>
  <c r="W209" i="69"/>
  <c r="Y209" i="69" s="1"/>
  <c r="Q209" i="69"/>
  <c r="S209" i="69" s="1"/>
  <c r="K209" i="69"/>
  <c r="M209" i="69" s="1"/>
  <c r="E209" i="69"/>
  <c r="G209" i="69" s="1"/>
  <c r="W208" i="69"/>
  <c r="Y208" i="69" s="1"/>
  <c r="Q208" i="69"/>
  <c r="S208" i="69" s="1"/>
  <c r="K208" i="69"/>
  <c r="M208" i="69" s="1"/>
  <c r="E208" i="69"/>
  <c r="G208" i="69" s="1"/>
  <c r="W207" i="69"/>
  <c r="Y207" i="69" s="1"/>
  <c r="Q207" i="69"/>
  <c r="S207" i="69" s="1"/>
  <c r="K207" i="69"/>
  <c r="M207" i="69" s="1"/>
  <c r="E207" i="69"/>
  <c r="G207" i="69" s="1"/>
  <c r="W206" i="69"/>
  <c r="Y206" i="69" s="1"/>
  <c r="Q206" i="69"/>
  <c r="S206" i="69" s="1"/>
  <c r="K206" i="69"/>
  <c r="M206" i="69" s="1"/>
  <c r="E206" i="69"/>
  <c r="G206" i="69" s="1"/>
  <c r="W205" i="69"/>
  <c r="Y205" i="69" s="1"/>
  <c r="Q205" i="69"/>
  <c r="S205" i="69" s="1"/>
  <c r="K205" i="69"/>
  <c r="M205" i="69" s="1"/>
  <c r="E205" i="69"/>
  <c r="G205" i="69" s="1"/>
  <c r="W204" i="69"/>
  <c r="Y204" i="69" s="1"/>
  <c r="Q204" i="69"/>
  <c r="S204" i="69" s="1"/>
  <c r="K204" i="69"/>
  <c r="M204" i="69" s="1"/>
  <c r="E204" i="69"/>
  <c r="G204" i="69" s="1"/>
  <c r="W203" i="69"/>
  <c r="Y203" i="69" s="1"/>
  <c r="Q203" i="69"/>
  <c r="S203" i="69" s="1"/>
  <c r="S202" i="69" s="1"/>
  <c r="K203" i="69"/>
  <c r="M203" i="69" s="1"/>
  <c r="M202" i="69" s="1"/>
  <c r="E203" i="69"/>
  <c r="G203" i="69" s="1"/>
  <c r="X202" i="69"/>
  <c r="V202" i="69"/>
  <c r="U202" i="69"/>
  <c r="R202" i="69"/>
  <c r="Q202" i="69"/>
  <c r="P202" i="69"/>
  <c r="O202" i="69"/>
  <c r="L202" i="69"/>
  <c r="J202" i="69"/>
  <c r="I202" i="69"/>
  <c r="G202" i="69"/>
  <c r="F202" i="69"/>
  <c r="E202" i="69"/>
  <c r="D202" i="69"/>
  <c r="C202" i="69"/>
  <c r="W201" i="69"/>
  <c r="Y201" i="69" s="1"/>
  <c r="Q201" i="69"/>
  <c r="S201" i="69" s="1"/>
  <c r="K201" i="69"/>
  <c r="M201" i="69" s="1"/>
  <c r="E201" i="69"/>
  <c r="G201" i="69" s="1"/>
  <c r="W200" i="69"/>
  <c r="Y200" i="69" s="1"/>
  <c r="Q200" i="69"/>
  <c r="S200" i="69" s="1"/>
  <c r="K200" i="69"/>
  <c r="M200" i="69" s="1"/>
  <c r="E200" i="69"/>
  <c r="G200" i="69" s="1"/>
  <c r="W199" i="69"/>
  <c r="Y199" i="69" s="1"/>
  <c r="Q199" i="69"/>
  <c r="S199" i="69" s="1"/>
  <c r="K199" i="69"/>
  <c r="M199" i="69" s="1"/>
  <c r="E199" i="69"/>
  <c r="G199" i="69" s="1"/>
  <c r="W198" i="69"/>
  <c r="Y198" i="69" s="1"/>
  <c r="Q198" i="69"/>
  <c r="S198" i="69" s="1"/>
  <c r="K198" i="69"/>
  <c r="M198" i="69" s="1"/>
  <c r="E198" i="69"/>
  <c r="G198" i="69" s="1"/>
  <c r="W197" i="69"/>
  <c r="Y197" i="69" s="1"/>
  <c r="Q197" i="69"/>
  <c r="S197" i="69" s="1"/>
  <c r="K197" i="69"/>
  <c r="M197" i="69" s="1"/>
  <c r="E197" i="69"/>
  <c r="G197" i="69" s="1"/>
  <c r="W196" i="69"/>
  <c r="Y196" i="69" s="1"/>
  <c r="Q196" i="69"/>
  <c r="S196" i="69" s="1"/>
  <c r="K196" i="69"/>
  <c r="M196" i="69" s="1"/>
  <c r="E196" i="69"/>
  <c r="G196" i="69" s="1"/>
  <c r="W195" i="69"/>
  <c r="Y195" i="69" s="1"/>
  <c r="Q195" i="69"/>
  <c r="S195" i="69" s="1"/>
  <c r="K195" i="69"/>
  <c r="M195" i="69" s="1"/>
  <c r="E195" i="69"/>
  <c r="G195" i="69" s="1"/>
  <c r="W194" i="69"/>
  <c r="Y194" i="69" s="1"/>
  <c r="Q194" i="69"/>
  <c r="S194" i="69" s="1"/>
  <c r="K194" i="69"/>
  <c r="M194" i="69" s="1"/>
  <c r="E194" i="69"/>
  <c r="G194" i="69" s="1"/>
  <c r="W193" i="69"/>
  <c r="Y193" i="69" s="1"/>
  <c r="Q193" i="69"/>
  <c r="K193" i="69"/>
  <c r="M193" i="69" s="1"/>
  <c r="E193" i="69"/>
  <c r="G193" i="69" s="1"/>
  <c r="X192" i="69"/>
  <c r="V192" i="69"/>
  <c r="U192" i="69"/>
  <c r="R192" i="69"/>
  <c r="P192" i="69"/>
  <c r="O192" i="69"/>
  <c r="L192" i="69"/>
  <c r="J192" i="69"/>
  <c r="I192" i="69"/>
  <c r="F192" i="69"/>
  <c r="D192" i="69"/>
  <c r="C192" i="69"/>
  <c r="E192" i="69" s="1"/>
  <c r="G192" i="69" s="1"/>
  <c r="W191" i="69"/>
  <c r="Y191" i="69" s="1"/>
  <c r="Q191" i="69"/>
  <c r="S191" i="69" s="1"/>
  <c r="K191" i="69"/>
  <c r="M191" i="69" s="1"/>
  <c r="E191" i="69"/>
  <c r="G191" i="69" s="1"/>
  <c r="W190" i="69"/>
  <c r="Y190" i="69" s="1"/>
  <c r="Q190" i="69"/>
  <c r="S190" i="69" s="1"/>
  <c r="K190" i="69"/>
  <c r="M190" i="69" s="1"/>
  <c r="E190" i="69"/>
  <c r="G190" i="69" s="1"/>
  <c r="W189" i="69"/>
  <c r="Y189" i="69" s="1"/>
  <c r="Q189" i="69"/>
  <c r="S189" i="69" s="1"/>
  <c r="K189" i="69"/>
  <c r="M189" i="69" s="1"/>
  <c r="E189" i="69"/>
  <c r="G189" i="69" s="1"/>
  <c r="W188" i="69"/>
  <c r="Y188" i="69" s="1"/>
  <c r="Q188" i="69"/>
  <c r="S188" i="69" s="1"/>
  <c r="K188" i="69"/>
  <c r="M188" i="69" s="1"/>
  <c r="E188" i="69"/>
  <c r="G188" i="69" s="1"/>
  <c r="W187" i="69"/>
  <c r="Y187" i="69" s="1"/>
  <c r="Q187" i="69"/>
  <c r="S187" i="69" s="1"/>
  <c r="K187" i="69"/>
  <c r="M187" i="69" s="1"/>
  <c r="E187" i="69"/>
  <c r="G187" i="69" s="1"/>
  <c r="W186" i="69"/>
  <c r="Y186" i="69" s="1"/>
  <c r="Q186" i="69"/>
  <c r="S186" i="69" s="1"/>
  <c r="K186" i="69"/>
  <c r="M186" i="69" s="1"/>
  <c r="E186" i="69"/>
  <c r="G186" i="69" s="1"/>
  <c r="W185" i="69"/>
  <c r="Y185" i="69" s="1"/>
  <c r="Q185" i="69"/>
  <c r="S185" i="69" s="1"/>
  <c r="K185" i="69"/>
  <c r="M185" i="69" s="1"/>
  <c r="E185" i="69"/>
  <c r="G185" i="69" s="1"/>
  <c r="W184" i="69"/>
  <c r="Y184" i="69" s="1"/>
  <c r="Q184" i="69"/>
  <c r="S184" i="69" s="1"/>
  <c r="K184" i="69"/>
  <c r="M184" i="69" s="1"/>
  <c r="E184" i="69"/>
  <c r="G184" i="69" s="1"/>
  <c r="W183" i="69"/>
  <c r="Y183" i="69" s="1"/>
  <c r="Q183" i="69"/>
  <c r="S183" i="69" s="1"/>
  <c r="K183" i="69"/>
  <c r="M183" i="69" s="1"/>
  <c r="E183" i="69"/>
  <c r="G183" i="69" s="1"/>
  <c r="W182" i="69"/>
  <c r="Y182" i="69" s="1"/>
  <c r="Q182" i="69"/>
  <c r="S182" i="69" s="1"/>
  <c r="K182" i="69"/>
  <c r="M182" i="69" s="1"/>
  <c r="E182" i="69"/>
  <c r="G182" i="69" s="1"/>
  <c r="W181" i="69"/>
  <c r="Y181" i="69" s="1"/>
  <c r="Q181" i="69"/>
  <c r="S181" i="69" s="1"/>
  <c r="K181" i="69"/>
  <c r="M181" i="69" s="1"/>
  <c r="E181" i="69"/>
  <c r="G181" i="69" s="1"/>
  <c r="X180" i="69"/>
  <c r="V180" i="69"/>
  <c r="U180" i="69"/>
  <c r="R180" i="69"/>
  <c r="Q180" i="69"/>
  <c r="P180" i="69"/>
  <c r="O180" i="69"/>
  <c r="L180" i="69"/>
  <c r="J180" i="69"/>
  <c r="I180" i="69"/>
  <c r="G180" i="69"/>
  <c r="F180" i="69"/>
  <c r="E180" i="69"/>
  <c r="D180" i="69"/>
  <c r="C180" i="69"/>
  <c r="W179" i="69"/>
  <c r="Y179" i="69" s="1"/>
  <c r="Q179" i="69"/>
  <c r="S179" i="69" s="1"/>
  <c r="K179" i="69"/>
  <c r="M179" i="69" s="1"/>
  <c r="E179" i="69"/>
  <c r="G179" i="69" s="1"/>
  <c r="W178" i="69"/>
  <c r="Y178" i="69" s="1"/>
  <c r="Q178" i="69"/>
  <c r="S178" i="69" s="1"/>
  <c r="K178" i="69"/>
  <c r="M178" i="69" s="1"/>
  <c r="E178" i="69"/>
  <c r="G178" i="69" s="1"/>
  <c r="W177" i="69"/>
  <c r="Y177" i="69" s="1"/>
  <c r="Q177" i="69"/>
  <c r="S177" i="69" s="1"/>
  <c r="K177" i="69"/>
  <c r="M177" i="69" s="1"/>
  <c r="E177" i="69"/>
  <c r="G177" i="69" s="1"/>
  <c r="W176" i="69"/>
  <c r="Y176" i="69" s="1"/>
  <c r="Q176" i="69"/>
  <c r="S176" i="69" s="1"/>
  <c r="K176" i="69"/>
  <c r="M176" i="69" s="1"/>
  <c r="E176" i="69"/>
  <c r="G176" i="69" s="1"/>
  <c r="W175" i="69"/>
  <c r="Y175" i="69" s="1"/>
  <c r="Q175" i="69"/>
  <c r="S175" i="69" s="1"/>
  <c r="K175" i="69"/>
  <c r="M175" i="69" s="1"/>
  <c r="E175" i="69"/>
  <c r="G175" i="69" s="1"/>
  <c r="W174" i="69"/>
  <c r="Y174" i="69" s="1"/>
  <c r="Q174" i="69"/>
  <c r="S174" i="69" s="1"/>
  <c r="K174" i="69"/>
  <c r="M174" i="69" s="1"/>
  <c r="E174" i="69"/>
  <c r="G174" i="69" s="1"/>
  <c r="W173" i="69"/>
  <c r="Y173" i="69" s="1"/>
  <c r="Q173" i="69"/>
  <c r="S173" i="69" s="1"/>
  <c r="K173" i="69"/>
  <c r="M173" i="69" s="1"/>
  <c r="E173" i="69"/>
  <c r="G173" i="69" s="1"/>
  <c r="W172" i="69"/>
  <c r="Y172" i="69" s="1"/>
  <c r="Q172" i="69"/>
  <c r="S172" i="69" s="1"/>
  <c r="K172" i="69"/>
  <c r="M172" i="69" s="1"/>
  <c r="E172" i="69"/>
  <c r="G172" i="69" s="1"/>
  <c r="W171" i="69"/>
  <c r="Y171" i="69" s="1"/>
  <c r="Q171" i="69"/>
  <c r="S171" i="69" s="1"/>
  <c r="K171" i="69"/>
  <c r="M171" i="69" s="1"/>
  <c r="E171" i="69"/>
  <c r="G171" i="69" s="1"/>
  <c r="W170" i="69"/>
  <c r="Y170" i="69" s="1"/>
  <c r="Q170" i="69"/>
  <c r="S170" i="69" s="1"/>
  <c r="K170" i="69"/>
  <c r="M170" i="69" s="1"/>
  <c r="E170" i="69"/>
  <c r="G170" i="69" s="1"/>
  <c r="W169" i="69"/>
  <c r="Y169" i="69" s="1"/>
  <c r="Q169" i="69"/>
  <c r="S169" i="69" s="1"/>
  <c r="K169" i="69"/>
  <c r="M169" i="69" s="1"/>
  <c r="E169" i="69"/>
  <c r="G169" i="69" s="1"/>
  <c r="W168" i="69"/>
  <c r="Y168" i="69" s="1"/>
  <c r="Q168" i="69"/>
  <c r="S168" i="69" s="1"/>
  <c r="K168" i="69"/>
  <c r="M168" i="69" s="1"/>
  <c r="E168" i="69"/>
  <c r="G168" i="69" s="1"/>
  <c r="W167" i="69"/>
  <c r="Q167" i="69"/>
  <c r="K167" i="69"/>
  <c r="M167" i="69" s="1"/>
  <c r="M166" i="69" s="1"/>
  <c r="E167" i="69"/>
  <c r="G167" i="69" s="1"/>
  <c r="X166" i="69"/>
  <c r="V166" i="69"/>
  <c r="U166" i="69"/>
  <c r="R166" i="69"/>
  <c r="P166" i="69"/>
  <c r="O166" i="69"/>
  <c r="L166" i="69"/>
  <c r="J166" i="69"/>
  <c r="I166" i="69"/>
  <c r="F166" i="69"/>
  <c r="D166" i="69"/>
  <c r="C166" i="69"/>
  <c r="E166" i="69" s="1"/>
  <c r="G166" i="69" s="1"/>
  <c r="Y165" i="69"/>
  <c r="W165" i="69"/>
  <c r="Q165" i="69"/>
  <c r="S165" i="69" s="1"/>
  <c r="K165" i="69"/>
  <c r="M165" i="69" s="1"/>
  <c r="E165" i="69"/>
  <c r="G165" i="69" s="1"/>
  <c r="Y164" i="69"/>
  <c r="W164" i="69"/>
  <c r="Q164" i="69"/>
  <c r="S164" i="69" s="1"/>
  <c r="K164" i="69"/>
  <c r="M164" i="69" s="1"/>
  <c r="E164" i="69"/>
  <c r="G164" i="69" s="1"/>
  <c r="Y163" i="69"/>
  <c r="W163" i="69"/>
  <c r="Q163" i="69"/>
  <c r="S163" i="69" s="1"/>
  <c r="K163" i="69"/>
  <c r="M163" i="69" s="1"/>
  <c r="E163" i="69"/>
  <c r="G163" i="69" s="1"/>
  <c r="W162" i="69"/>
  <c r="Y162" i="69" s="1"/>
  <c r="Q162" i="69"/>
  <c r="S162" i="69" s="1"/>
  <c r="K162" i="69"/>
  <c r="M162" i="69" s="1"/>
  <c r="E162" i="69"/>
  <c r="G162" i="69" s="1"/>
  <c r="W161" i="69"/>
  <c r="Y161" i="69" s="1"/>
  <c r="Q161" i="69"/>
  <c r="S161" i="69" s="1"/>
  <c r="S159" i="69" s="1"/>
  <c r="K161" i="69"/>
  <c r="M161" i="69" s="1"/>
  <c r="E161" i="69"/>
  <c r="G161" i="69" s="1"/>
  <c r="Y160" i="69"/>
  <c r="W160" i="69"/>
  <c r="Q160" i="69"/>
  <c r="S160" i="69" s="1"/>
  <c r="K160" i="69"/>
  <c r="E160" i="69"/>
  <c r="G160" i="69" s="1"/>
  <c r="X159" i="69"/>
  <c r="V159" i="69"/>
  <c r="U159" i="69"/>
  <c r="R159" i="69"/>
  <c r="Q159" i="69"/>
  <c r="P159" i="69"/>
  <c r="O159" i="69"/>
  <c r="L159" i="69"/>
  <c r="J159" i="69"/>
  <c r="I159" i="69"/>
  <c r="G159" i="69"/>
  <c r="F159" i="69"/>
  <c r="E159" i="69"/>
  <c r="D159" i="69"/>
  <c r="C159" i="69"/>
  <c r="W158" i="69"/>
  <c r="Y158" i="69" s="1"/>
  <c r="Q158" i="69"/>
  <c r="S158" i="69" s="1"/>
  <c r="M158" i="69"/>
  <c r="K158" i="69"/>
  <c r="E158" i="69"/>
  <c r="G158" i="69" s="1"/>
  <c r="W157" i="69"/>
  <c r="Y157" i="69" s="1"/>
  <c r="Q157" i="69"/>
  <c r="S157" i="69" s="1"/>
  <c r="K157" i="69"/>
  <c r="M157" i="69" s="1"/>
  <c r="E157" i="69"/>
  <c r="G157" i="69" s="1"/>
  <c r="W156" i="69"/>
  <c r="Y156" i="69" s="1"/>
  <c r="Q156" i="69"/>
  <c r="S156" i="69" s="1"/>
  <c r="M156" i="69"/>
  <c r="K156" i="69"/>
  <c r="E156" i="69"/>
  <c r="G156" i="69" s="1"/>
  <c r="W155" i="69"/>
  <c r="Y155" i="69" s="1"/>
  <c r="Q155" i="69"/>
  <c r="S155" i="69" s="1"/>
  <c r="M155" i="69"/>
  <c r="K155" i="69"/>
  <c r="E155" i="69"/>
  <c r="G155" i="69" s="1"/>
  <c r="W154" i="69"/>
  <c r="Q154" i="69"/>
  <c r="M154" i="69"/>
  <c r="K154" i="69"/>
  <c r="E154" i="69"/>
  <c r="G154" i="69" s="1"/>
  <c r="X153" i="69"/>
  <c r="V153" i="69"/>
  <c r="U153" i="69"/>
  <c r="R153" i="69"/>
  <c r="P153" i="69"/>
  <c r="O153" i="69"/>
  <c r="L153" i="69"/>
  <c r="K153" i="69"/>
  <c r="J153" i="69"/>
  <c r="I153" i="69"/>
  <c r="F153" i="69"/>
  <c r="D153" i="69"/>
  <c r="C153" i="69"/>
  <c r="E153" i="69" s="1"/>
  <c r="G153" i="69" s="1"/>
  <c r="W152" i="69"/>
  <c r="Y152" i="69" s="1"/>
  <c r="Q152" i="69"/>
  <c r="S152" i="69" s="1"/>
  <c r="K152" i="69"/>
  <c r="M152" i="69" s="1"/>
  <c r="E152" i="69"/>
  <c r="G152" i="69" s="1"/>
  <c r="W151" i="69"/>
  <c r="Y151" i="69" s="1"/>
  <c r="Q151" i="69"/>
  <c r="S151" i="69" s="1"/>
  <c r="K151" i="69"/>
  <c r="M151" i="69" s="1"/>
  <c r="E151" i="69"/>
  <c r="G151" i="69" s="1"/>
  <c r="Y150" i="69"/>
  <c r="W150" i="69"/>
  <c r="Q150" i="69"/>
  <c r="S150" i="69" s="1"/>
  <c r="K150" i="69"/>
  <c r="M150" i="69" s="1"/>
  <c r="E150" i="69"/>
  <c r="G150" i="69" s="1"/>
  <c r="W149" i="69"/>
  <c r="Y149" i="69" s="1"/>
  <c r="Q149" i="69"/>
  <c r="S149" i="69" s="1"/>
  <c r="K149" i="69"/>
  <c r="M149" i="69" s="1"/>
  <c r="E149" i="69"/>
  <c r="G149" i="69" s="1"/>
  <c r="Y148" i="69"/>
  <c r="W148" i="69"/>
  <c r="Q148" i="69"/>
  <c r="S148" i="69" s="1"/>
  <c r="K148" i="69"/>
  <c r="M148" i="69" s="1"/>
  <c r="E148" i="69"/>
  <c r="G148" i="69" s="1"/>
  <c r="Y147" i="69"/>
  <c r="W147" i="69"/>
  <c r="Q147" i="69"/>
  <c r="S147" i="69" s="1"/>
  <c r="K147" i="69"/>
  <c r="M147" i="69" s="1"/>
  <c r="E147" i="69"/>
  <c r="G147" i="69" s="1"/>
  <c r="Y146" i="69"/>
  <c r="W146" i="69"/>
  <c r="Q146" i="69"/>
  <c r="S146" i="69" s="1"/>
  <c r="S144" i="69" s="1"/>
  <c r="K146" i="69"/>
  <c r="M146" i="69" s="1"/>
  <c r="E146" i="69"/>
  <c r="G146" i="69" s="1"/>
  <c r="W145" i="69"/>
  <c r="Q145" i="69"/>
  <c r="S145" i="69" s="1"/>
  <c r="K145" i="69"/>
  <c r="E145" i="69"/>
  <c r="G145" i="69" s="1"/>
  <c r="X144" i="69"/>
  <c r="V144" i="69"/>
  <c r="U144" i="69"/>
  <c r="R144" i="69"/>
  <c r="P144" i="69"/>
  <c r="O144" i="69"/>
  <c r="L144" i="69"/>
  <c r="J144" i="69"/>
  <c r="I144" i="69"/>
  <c r="F144" i="69"/>
  <c r="D144" i="69"/>
  <c r="C144" i="69"/>
  <c r="E144" i="69" s="1"/>
  <c r="G144" i="69" s="1"/>
  <c r="W143" i="69"/>
  <c r="Y143" i="69" s="1"/>
  <c r="Q143" i="69"/>
  <c r="S143" i="69" s="1"/>
  <c r="K143" i="69"/>
  <c r="M143" i="69" s="1"/>
  <c r="E143" i="69"/>
  <c r="G143" i="69" s="1"/>
  <c r="W142" i="69"/>
  <c r="Y142" i="69" s="1"/>
  <c r="Q142" i="69"/>
  <c r="S142" i="69" s="1"/>
  <c r="K142" i="69"/>
  <c r="K138" i="69" s="1"/>
  <c r="E142" i="69"/>
  <c r="G142" i="69" s="1"/>
  <c r="W141" i="69"/>
  <c r="Y141" i="69" s="1"/>
  <c r="Q141" i="69"/>
  <c r="S141" i="69" s="1"/>
  <c r="M141" i="69"/>
  <c r="K141" i="69"/>
  <c r="E141" i="69"/>
  <c r="G141" i="69" s="1"/>
  <c r="Y140" i="69"/>
  <c r="W140" i="69"/>
  <c r="Q140" i="69"/>
  <c r="S140" i="69" s="1"/>
  <c r="M140" i="69"/>
  <c r="K140" i="69"/>
  <c r="E140" i="69"/>
  <c r="G140" i="69" s="1"/>
  <c r="W139" i="69"/>
  <c r="Y139" i="69" s="1"/>
  <c r="Y138" i="69" s="1"/>
  <c r="Q139" i="69"/>
  <c r="S139" i="69" s="1"/>
  <c r="S138" i="69" s="1"/>
  <c r="M139" i="69"/>
  <c r="K139" i="69"/>
  <c r="E139" i="69"/>
  <c r="G139" i="69" s="1"/>
  <c r="X138" i="69"/>
  <c r="V138" i="69"/>
  <c r="U138" i="69"/>
  <c r="R138" i="69"/>
  <c r="P138" i="69"/>
  <c r="O138" i="69"/>
  <c r="L138" i="69"/>
  <c r="J138" i="69"/>
  <c r="I138" i="69"/>
  <c r="F138" i="69"/>
  <c r="D138" i="69"/>
  <c r="C138" i="69"/>
  <c r="E138" i="69" s="1"/>
  <c r="G138" i="69" s="1"/>
  <c r="W137" i="69"/>
  <c r="Y137" i="69" s="1"/>
  <c r="Q137" i="69"/>
  <c r="S137" i="69" s="1"/>
  <c r="M137" i="69"/>
  <c r="K137" i="69"/>
  <c r="E137" i="69"/>
  <c r="G137" i="69" s="1"/>
  <c r="W136" i="69"/>
  <c r="Y136" i="69" s="1"/>
  <c r="Q136" i="69"/>
  <c r="S136" i="69" s="1"/>
  <c r="K136" i="69"/>
  <c r="M136" i="69" s="1"/>
  <c r="E136" i="69"/>
  <c r="G136" i="69" s="1"/>
  <c r="W135" i="69"/>
  <c r="Y135" i="69" s="1"/>
  <c r="Q135" i="69"/>
  <c r="S135" i="69" s="1"/>
  <c r="M135" i="69"/>
  <c r="K135" i="69"/>
  <c r="E135" i="69"/>
  <c r="G135" i="69" s="1"/>
  <c r="Y134" i="69"/>
  <c r="W134" i="69"/>
  <c r="Q134" i="69"/>
  <c r="S134" i="69" s="1"/>
  <c r="M134" i="69"/>
  <c r="K134" i="69"/>
  <c r="E134" i="69"/>
  <c r="G134" i="69" s="1"/>
  <c r="W133" i="69"/>
  <c r="Y133" i="69" s="1"/>
  <c r="Q133" i="69"/>
  <c r="S133" i="69" s="1"/>
  <c r="M133" i="69"/>
  <c r="K133" i="69"/>
  <c r="E133" i="69"/>
  <c r="G133" i="69" s="1"/>
  <c r="W132" i="69"/>
  <c r="Y132" i="69" s="1"/>
  <c r="Q132" i="69"/>
  <c r="S132" i="69" s="1"/>
  <c r="K132" i="69"/>
  <c r="M132" i="69" s="1"/>
  <c r="E132" i="69"/>
  <c r="G132" i="69" s="1"/>
  <c r="W131" i="69"/>
  <c r="Y131" i="69" s="1"/>
  <c r="Q131" i="69"/>
  <c r="S131" i="69" s="1"/>
  <c r="M131" i="69"/>
  <c r="K131" i="69"/>
  <c r="E131" i="69"/>
  <c r="G131" i="69" s="1"/>
  <c r="Y130" i="69"/>
  <c r="W130" i="69"/>
  <c r="Q130" i="69"/>
  <c r="S130" i="69" s="1"/>
  <c r="M130" i="69"/>
  <c r="K130" i="69"/>
  <c r="E130" i="69"/>
  <c r="G130" i="69" s="1"/>
  <c r="W129" i="69"/>
  <c r="Y129" i="69" s="1"/>
  <c r="Q129" i="69"/>
  <c r="S129" i="69" s="1"/>
  <c r="S127" i="69" s="1"/>
  <c r="M129" i="69"/>
  <c r="K129" i="69"/>
  <c r="E129" i="69"/>
  <c r="G129" i="69" s="1"/>
  <c r="W128" i="69"/>
  <c r="Q128" i="69"/>
  <c r="S128" i="69" s="1"/>
  <c r="K128" i="69"/>
  <c r="M128" i="69" s="1"/>
  <c r="M127" i="69" s="1"/>
  <c r="E128" i="69"/>
  <c r="G128" i="69" s="1"/>
  <c r="X127" i="69"/>
  <c r="V127" i="69"/>
  <c r="U127" i="69"/>
  <c r="R127" i="69"/>
  <c r="Q127" i="69"/>
  <c r="P127" i="69"/>
  <c r="O127" i="69"/>
  <c r="L127" i="69"/>
  <c r="J127" i="69"/>
  <c r="I127" i="69"/>
  <c r="F127" i="69"/>
  <c r="D127" i="69"/>
  <c r="E127" i="69" s="1"/>
  <c r="G127" i="69" s="1"/>
  <c r="C127" i="69"/>
  <c r="Y126" i="69"/>
  <c r="W126" i="69"/>
  <c r="Q126" i="69"/>
  <c r="S126" i="69" s="1"/>
  <c r="M126" i="69"/>
  <c r="K126" i="69"/>
  <c r="G126" i="69"/>
  <c r="E126" i="69"/>
  <c r="Y125" i="69"/>
  <c r="W125" i="69"/>
  <c r="Q125" i="69"/>
  <c r="S125" i="69" s="1"/>
  <c r="M125" i="69"/>
  <c r="K125" i="69"/>
  <c r="G125" i="69"/>
  <c r="E125" i="69"/>
  <c r="Y124" i="69"/>
  <c r="W124" i="69"/>
  <c r="Q124" i="69"/>
  <c r="S124" i="69" s="1"/>
  <c r="M124" i="69"/>
  <c r="K124" i="69"/>
  <c r="G124" i="69"/>
  <c r="E124" i="69"/>
  <c r="Y123" i="69"/>
  <c r="W123" i="69"/>
  <c r="Q123" i="69"/>
  <c r="S123" i="69" s="1"/>
  <c r="M123" i="69"/>
  <c r="K123" i="69"/>
  <c r="G123" i="69"/>
  <c r="E123" i="69"/>
  <c r="Y122" i="69"/>
  <c r="W122" i="69"/>
  <c r="Q122" i="69"/>
  <c r="S122" i="69" s="1"/>
  <c r="M122" i="69"/>
  <c r="K122" i="69"/>
  <c r="G122" i="69"/>
  <c r="E122" i="69"/>
  <c r="Y121" i="69"/>
  <c r="W121" i="69"/>
  <c r="Q121" i="69"/>
  <c r="S121" i="69" s="1"/>
  <c r="M121" i="69"/>
  <c r="K121" i="69"/>
  <c r="G121" i="69"/>
  <c r="E121" i="69"/>
  <c r="Y120" i="69"/>
  <c r="W120" i="69"/>
  <c r="Q120" i="69"/>
  <c r="S120" i="69" s="1"/>
  <c r="M120" i="69"/>
  <c r="K120" i="69"/>
  <c r="G120" i="69"/>
  <c r="E120" i="69"/>
  <c r="Y119" i="69"/>
  <c r="W119" i="69"/>
  <c r="Q119" i="69"/>
  <c r="Q118" i="69" s="1"/>
  <c r="M119" i="69"/>
  <c r="K119" i="69"/>
  <c r="G119" i="69"/>
  <c r="E119" i="69"/>
  <c r="Y118" i="69"/>
  <c r="X118" i="69"/>
  <c r="W118" i="69"/>
  <c r="V118" i="69"/>
  <c r="V14" i="69" s="1"/>
  <c r="U118" i="69"/>
  <c r="R118" i="69"/>
  <c r="P118" i="69"/>
  <c r="O118" i="69"/>
  <c r="M118" i="69"/>
  <c r="L118" i="69"/>
  <c r="L14" i="69" s="1"/>
  <c r="K118" i="69"/>
  <c r="J118" i="69"/>
  <c r="I118" i="69"/>
  <c r="F118" i="69"/>
  <c r="D118" i="69"/>
  <c r="D14" i="69" s="1"/>
  <c r="C118" i="69"/>
  <c r="C14" i="69" s="1"/>
  <c r="S117" i="69"/>
  <c r="Q117" i="69"/>
  <c r="M117" i="69"/>
  <c r="K117" i="69"/>
  <c r="G117" i="69"/>
  <c r="E117" i="69"/>
  <c r="Q116" i="69"/>
  <c r="S116" i="69" s="1"/>
  <c r="M116" i="69"/>
  <c r="K116" i="69"/>
  <c r="G116" i="69"/>
  <c r="E116" i="69"/>
  <c r="S115" i="69"/>
  <c r="Q115" i="69"/>
  <c r="K115" i="69"/>
  <c r="M115" i="69" s="1"/>
  <c r="G115" i="69"/>
  <c r="E115" i="69"/>
  <c r="S114" i="69"/>
  <c r="Q114" i="69"/>
  <c r="M114" i="69"/>
  <c r="K114" i="69"/>
  <c r="E114" i="69"/>
  <c r="G114" i="69" s="1"/>
  <c r="S113" i="69"/>
  <c r="Q113" i="69"/>
  <c r="M113" i="69"/>
  <c r="K113" i="69"/>
  <c r="G113" i="69"/>
  <c r="E113" i="69"/>
  <c r="Q112" i="69"/>
  <c r="S112" i="69" s="1"/>
  <c r="M112" i="69"/>
  <c r="K112" i="69"/>
  <c r="G112" i="69"/>
  <c r="E112" i="69"/>
  <c r="S111" i="69"/>
  <c r="Q111" i="69"/>
  <c r="K111" i="69"/>
  <c r="K108" i="69" s="1"/>
  <c r="G111" i="69"/>
  <c r="E111" i="69"/>
  <c r="S110" i="69"/>
  <c r="Q110" i="69"/>
  <c r="M110" i="69"/>
  <c r="K110" i="69"/>
  <c r="E110" i="69"/>
  <c r="G110" i="69" s="1"/>
  <c r="S109" i="69"/>
  <c r="Q109" i="69"/>
  <c r="M109" i="69"/>
  <c r="K109" i="69"/>
  <c r="G109" i="69"/>
  <c r="E109" i="69"/>
  <c r="Y108" i="69"/>
  <c r="X108" i="69"/>
  <c r="W108" i="69"/>
  <c r="V108" i="69"/>
  <c r="U108" i="69"/>
  <c r="R108" i="69"/>
  <c r="P108" i="69"/>
  <c r="O108" i="69"/>
  <c r="L108" i="69"/>
  <c r="J108" i="69"/>
  <c r="I108" i="69"/>
  <c r="F108" i="69"/>
  <c r="E108" i="69"/>
  <c r="G108" i="69" s="1"/>
  <c r="D108" i="69"/>
  <c r="C108" i="69"/>
  <c r="Y107" i="69"/>
  <c r="W107" i="69"/>
  <c r="S107" i="69"/>
  <c r="Q107" i="69"/>
  <c r="K107" i="69"/>
  <c r="M107" i="69" s="1"/>
  <c r="G107" i="69"/>
  <c r="E107" i="69"/>
  <c r="Y106" i="69"/>
  <c r="W106" i="69"/>
  <c r="S106" i="69"/>
  <c r="Q106" i="69"/>
  <c r="K106" i="69"/>
  <c r="M106" i="69" s="1"/>
  <c r="G106" i="69"/>
  <c r="E106" i="69"/>
  <c r="Y105" i="69"/>
  <c r="W105" i="69"/>
  <c r="S105" i="69"/>
  <c r="Q105" i="69"/>
  <c r="K105" i="69"/>
  <c r="M105" i="69" s="1"/>
  <c r="G105" i="69"/>
  <c r="E105" i="69"/>
  <c r="Y104" i="69"/>
  <c r="W104" i="69"/>
  <c r="S104" i="69"/>
  <c r="Q104" i="69"/>
  <c r="K104" i="69"/>
  <c r="M104" i="69" s="1"/>
  <c r="G104" i="69"/>
  <c r="E104" i="69"/>
  <c r="Y103" i="69"/>
  <c r="X103" i="69"/>
  <c r="W103" i="69"/>
  <c r="V103" i="69"/>
  <c r="U103" i="69"/>
  <c r="S103" i="69"/>
  <c r="R103" i="69"/>
  <c r="Q103" i="69"/>
  <c r="P103" i="69"/>
  <c r="O103" i="69"/>
  <c r="L103" i="69"/>
  <c r="J103" i="69"/>
  <c r="I103" i="69"/>
  <c r="F103" i="69"/>
  <c r="D103" i="69"/>
  <c r="E103" i="69" s="1"/>
  <c r="G103" i="69" s="1"/>
  <c r="C103" i="69"/>
  <c r="W102" i="69"/>
  <c r="Y102" i="69" s="1"/>
  <c r="S102" i="69"/>
  <c r="Q102" i="69"/>
  <c r="M102" i="69"/>
  <c r="K102" i="69"/>
  <c r="G102" i="69"/>
  <c r="E102" i="69"/>
  <c r="W101" i="69"/>
  <c r="Y101" i="69" s="1"/>
  <c r="S101" i="69"/>
  <c r="Q101" i="69"/>
  <c r="M101" i="69"/>
  <c r="K101" i="69"/>
  <c r="G101" i="69"/>
  <c r="E101" i="69"/>
  <c r="W100" i="69"/>
  <c r="Y100" i="69" s="1"/>
  <c r="S100" i="69"/>
  <c r="Q100" i="69"/>
  <c r="M100" i="69"/>
  <c r="K100" i="69"/>
  <c r="G100" i="69"/>
  <c r="E100" i="69"/>
  <c r="W99" i="69"/>
  <c r="Y99" i="69" s="1"/>
  <c r="S99" i="69"/>
  <c r="Q99" i="69"/>
  <c r="M99" i="69"/>
  <c r="K99" i="69"/>
  <c r="G99" i="69"/>
  <c r="E99" i="69"/>
  <c r="W98" i="69"/>
  <c r="Y98" i="69" s="1"/>
  <c r="S98" i="69"/>
  <c r="Q98" i="69"/>
  <c r="M98" i="69"/>
  <c r="K98" i="69"/>
  <c r="G98" i="69"/>
  <c r="E98" i="69"/>
  <c r="W97" i="69"/>
  <c r="Y97" i="69" s="1"/>
  <c r="S97" i="69"/>
  <c r="Q97" i="69"/>
  <c r="M97" i="69"/>
  <c r="K97" i="69"/>
  <c r="G97" i="69"/>
  <c r="E97" i="69"/>
  <c r="W96" i="69"/>
  <c r="Y96" i="69" s="1"/>
  <c r="S96" i="69"/>
  <c r="Q96" i="69"/>
  <c r="M96" i="69"/>
  <c r="K96" i="69"/>
  <c r="G96" i="69"/>
  <c r="E96" i="69"/>
  <c r="W95" i="69"/>
  <c r="Y95" i="69" s="1"/>
  <c r="S95" i="69"/>
  <c r="Q95" i="69"/>
  <c r="M95" i="69"/>
  <c r="K95" i="69"/>
  <c r="G95" i="69"/>
  <c r="E95" i="69"/>
  <c r="W94" i="69"/>
  <c r="Y94" i="69" s="1"/>
  <c r="S94" i="69"/>
  <c r="Q94" i="69"/>
  <c r="M94" i="69"/>
  <c r="K94" i="69"/>
  <c r="G94" i="69"/>
  <c r="E94" i="69"/>
  <c r="W93" i="69"/>
  <c r="Y93" i="69" s="1"/>
  <c r="S93" i="69"/>
  <c r="Q93" i="69"/>
  <c r="M93" i="69"/>
  <c r="K93" i="69"/>
  <c r="G93" i="69"/>
  <c r="E93" i="69"/>
  <c r="W92" i="69"/>
  <c r="Y92" i="69" s="1"/>
  <c r="S92" i="69"/>
  <c r="Q92" i="69"/>
  <c r="M92" i="69"/>
  <c r="K92" i="69"/>
  <c r="G92" i="69"/>
  <c r="E92" i="69"/>
  <c r="W91" i="69"/>
  <c r="Y91" i="69" s="1"/>
  <c r="S91" i="69"/>
  <c r="Q91" i="69"/>
  <c r="M91" i="69"/>
  <c r="K91" i="69"/>
  <c r="G91" i="69"/>
  <c r="E91" i="69"/>
  <c r="W90" i="69"/>
  <c r="W89" i="69" s="1"/>
  <c r="S90" i="69"/>
  <c r="S89" i="69" s="1"/>
  <c r="Q90" i="69"/>
  <c r="M90" i="69"/>
  <c r="K90" i="69"/>
  <c r="G90" i="69"/>
  <c r="E90" i="69"/>
  <c r="X89" i="69"/>
  <c r="V89" i="69"/>
  <c r="U89" i="69"/>
  <c r="R89" i="69"/>
  <c r="Q89" i="69"/>
  <c r="P89" i="69"/>
  <c r="O89" i="69"/>
  <c r="M89" i="69"/>
  <c r="L89" i="69"/>
  <c r="K89" i="69"/>
  <c r="J89" i="69"/>
  <c r="I89" i="69"/>
  <c r="F89" i="69"/>
  <c r="E89" i="69"/>
  <c r="G89" i="69" s="1"/>
  <c r="D89" i="69"/>
  <c r="C89" i="69"/>
  <c r="Y88" i="69"/>
  <c r="W88" i="69"/>
  <c r="S88" i="69"/>
  <c r="Q88" i="69"/>
  <c r="K88" i="69"/>
  <c r="M88" i="69" s="1"/>
  <c r="G88" i="69"/>
  <c r="E88" i="69"/>
  <c r="Y87" i="69"/>
  <c r="W87" i="69"/>
  <c r="S87" i="69"/>
  <c r="Q87" i="69"/>
  <c r="K87" i="69"/>
  <c r="M87" i="69" s="1"/>
  <c r="G87" i="69"/>
  <c r="E87" i="69"/>
  <c r="Y86" i="69"/>
  <c r="W86" i="69"/>
  <c r="S86" i="69"/>
  <c r="Q86" i="69"/>
  <c r="K86" i="69"/>
  <c r="M86" i="69" s="1"/>
  <c r="G86" i="69"/>
  <c r="E86" i="69"/>
  <c r="Y85" i="69"/>
  <c r="W85" i="69"/>
  <c r="S85" i="69"/>
  <c r="Q85" i="69"/>
  <c r="K85" i="69"/>
  <c r="M85" i="69" s="1"/>
  <c r="G85" i="69"/>
  <c r="E85" i="69"/>
  <c r="Y84" i="69"/>
  <c r="W84" i="69"/>
  <c r="S84" i="69"/>
  <c r="Q84" i="69"/>
  <c r="K84" i="69"/>
  <c r="M84" i="69" s="1"/>
  <c r="G84" i="69"/>
  <c r="E84" i="69"/>
  <c r="Y83" i="69"/>
  <c r="W83" i="69"/>
  <c r="S83" i="69"/>
  <c r="Q83" i="69"/>
  <c r="K83" i="69"/>
  <c r="M83" i="69" s="1"/>
  <c r="G83" i="69"/>
  <c r="E83" i="69"/>
  <c r="Y82" i="69"/>
  <c r="W82" i="69"/>
  <c r="S82" i="69"/>
  <c r="Q82" i="69"/>
  <c r="K82" i="69"/>
  <c r="M82" i="69" s="1"/>
  <c r="G82" i="69"/>
  <c r="E82" i="69"/>
  <c r="Y81" i="69"/>
  <c r="W81" i="69"/>
  <c r="S81" i="69"/>
  <c r="Q81" i="69"/>
  <c r="K81" i="69"/>
  <c r="M81" i="69" s="1"/>
  <c r="G81" i="69"/>
  <c r="E81" i="69"/>
  <c r="Y80" i="69"/>
  <c r="W80" i="69"/>
  <c r="S80" i="69"/>
  <c r="Q80" i="69"/>
  <c r="K80" i="69"/>
  <c r="M80" i="69" s="1"/>
  <c r="G80" i="69"/>
  <c r="E80" i="69"/>
  <c r="Y79" i="69"/>
  <c r="W79" i="69"/>
  <c r="S79" i="69"/>
  <c r="Q79" i="69"/>
  <c r="K79" i="69"/>
  <c r="M79" i="69" s="1"/>
  <c r="G79" i="69"/>
  <c r="E79" i="69"/>
  <c r="Y78" i="69"/>
  <c r="W78" i="69"/>
  <c r="S78" i="69"/>
  <c r="Q78" i="69"/>
  <c r="K78" i="69"/>
  <c r="M78" i="69" s="1"/>
  <c r="G78" i="69"/>
  <c r="E78" i="69"/>
  <c r="Y77" i="69"/>
  <c r="W77" i="69"/>
  <c r="S77" i="69"/>
  <c r="Q77" i="69"/>
  <c r="K77" i="69"/>
  <c r="M77" i="69" s="1"/>
  <c r="G77" i="69"/>
  <c r="E77" i="69"/>
  <c r="Y76" i="69"/>
  <c r="W76" i="69"/>
  <c r="S76" i="69"/>
  <c r="Q76" i="69"/>
  <c r="K76" i="69"/>
  <c r="M76" i="69" s="1"/>
  <c r="G76" i="69"/>
  <c r="E76" i="69"/>
  <c r="Y75" i="69"/>
  <c r="W75" i="69"/>
  <c r="S75" i="69"/>
  <c r="Q75" i="69"/>
  <c r="K75" i="69"/>
  <c r="M75" i="69" s="1"/>
  <c r="G75" i="69"/>
  <c r="E75" i="69"/>
  <c r="Y74" i="69"/>
  <c r="W74" i="69"/>
  <c r="S74" i="69"/>
  <c r="Q74" i="69"/>
  <c r="K74" i="69"/>
  <c r="M74" i="69" s="1"/>
  <c r="G74" i="69"/>
  <c r="E74" i="69"/>
  <c r="Y73" i="69"/>
  <c r="X73" i="69"/>
  <c r="W73" i="69"/>
  <c r="V73" i="69"/>
  <c r="U73" i="69"/>
  <c r="S73" i="69"/>
  <c r="R73" i="69"/>
  <c r="Q73" i="69"/>
  <c r="P73" i="69"/>
  <c r="O73" i="69"/>
  <c r="L73" i="69"/>
  <c r="J73" i="69"/>
  <c r="I73" i="69"/>
  <c r="F73" i="69"/>
  <c r="D73" i="69"/>
  <c r="E73" i="69" s="1"/>
  <c r="G73" i="69" s="1"/>
  <c r="C73" i="69"/>
  <c r="W72" i="69"/>
  <c r="Y72" i="69" s="1"/>
  <c r="S72" i="69"/>
  <c r="Q72" i="69"/>
  <c r="M72" i="69"/>
  <c r="K72" i="69"/>
  <c r="G72" i="69"/>
  <c r="E72" i="69"/>
  <c r="W71" i="69"/>
  <c r="Y71" i="69" s="1"/>
  <c r="S71" i="69"/>
  <c r="Q71" i="69"/>
  <c r="M71" i="69"/>
  <c r="K71" i="69"/>
  <c r="G71" i="69"/>
  <c r="E71" i="69"/>
  <c r="W70" i="69"/>
  <c r="Y70" i="69" s="1"/>
  <c r="S70" i="69"/>
  <c r="Q70" i="69"/>
  <c r="M70" i="69"/>
  <c r="K70" i="69"/>
  <c r="G70" i="69"/>
  <c r="E70" i="69"/>
  <c r="W69" i="69"/>
  <c r="Y69" i="69" s="1"/>
  <c r="S69" i="69"/>
  <c r="Q69" i="69"/>
  <c r="M69" i="69"/>
  <c r="K69" i="69"/>
  <c r="G69" i="69"/>
  <c r="E69" i="69"/>
  <c r="W68" i="69"/>
  <c r="Y68" i="69" s="1"/>
  <c r="S68" i="69"/>
  <c r="Q68" i="69"/>
  <c r="M68" i="69"/>
  <c r="K68" i="69"/>
  <c r="G68" i="69"/>
  <c r="E68" i="69"/>
  <c r="W67" i="69"/>
  <c r="Y67" i="69" s="1"/>
  <c r="S67" i="69"/>
  <c r="Q67" i="69"/>
  <c r="M67" i="69"/>
  <c r="K67" i="69"/>
  <c r="G67" i="69"/>
  <c r="E67" i="69"/>
  <c r="W66" i="69"/>
  <c r="Y66" i="69" s="1"/>
  <c r="S66" i="69"/>
  <c r="Q66" i="69"/>
  <c r="M66" i="69"/>
  <c r="K66" i="69"/>
  <c r="G66" i="69"/>
  <c r="E66" i="69"/>
  <c r="W65" i="69"/>
  <c r="Y65" i="69" s="1"/>
  <c r="S65" i="69"/>
  <c r="Q65" i="69"/>
  <c r="M65" i="69"/>
  <c r="K65" i="69"/>
  <c r="G65" i="69"/>
  <c r="E65" i="69"/>
  <c r="W64" i="69"/>
  <c r="Y64" i="69" s="1"/>
  <c r="S64" i="69"/>
  <c r="Q64" i="69"/>
  <c r="M64" i="69"/>
  <c r="K64" i="69"/>
  <c r="G64" i="69"/>
  <c r="E64" i="69"/>
  <c r="W63" i="69"/>
  <c r="Y63" i="69" s="1"/>
  <c r="S63" i="69"/>
  <c r="Q63" i="69"/>
  <c r="M63" i="69"/>
  <c r="K63" i="69"/>
  <c r="G63" i="69"/>
  <c r="E63" i="69"/>
  <c r="W62" i="69"/>
  <c r="Y62" i="69" s="1"/>
  <c r="S62" i="69"/>
  <c r="Q62" i="69"/>
  <c r="M62" i="69"/>
  <c r="K62" i="69"/>
  <c r="G62" i="69"/>
  <c r="E62" i="69"/>
  <c r="W61" i="69"/>
  <c r="Y61" i="69" s="1"/>
  <c r="S61" i="69"/>
  <c r="Q61" i="69"/>
  <c r="M61" i="69"/>
  <c r="K61" i="69"/>
  <c r="G61" i="69"/>
  <c r="E61" i="69"/>
  <c r="W60" i="69"/>
  <c r="W59" i="69" s="1"/>
  <c r="S60" i="69"/>
  <c r="S59" i="69" s="1"/>
  <c r="Q60" i="69"/>
  <c r="M60" i="69"/>
  <c r="M59" i="69" s="1"/>
  <c r="K60" i="69"/>
  <c r="G60" i="69"/>
  <c r="E60" i="69"/>
  <c r="X59" i="69"/>
  <c r="V59" i="69"/>
  <c r="U59" i="69"/>
  <c r="R59" i="69"/>
  <c r="Q59" i="69"/>
  <c r="P59" i="69"/>
  <c r="O59" i="69"/>
  <c r="L59" i="69"/>
  <c r="K59" i="69"/>
  <c r="J59" i="69"/>
  <c r="I59" i="69"/>
  <c r="F59" i="69"/>
  <c r="E59" i="69"/>
  <c r="G59" i="69" s="1"/>
  <c r="D59" i="69"/>
  <c r="C59" i="69"/>
  <c r="Y58" i="69"/>
  <c r="W58" i="69"/>
  <c r="S58" i="69"/>
  <c r="Q58" i="69"/>
  <c r="K58" i="69"/>
  <c r="M58" i="69" s="1"/>
  <c r="G58" i="69"/>
  <c r="E58" i="69"/>
  <c r="Y57" i="69"/>
  <c r="W57" i="69"/>
  <c r="S57" i="69"/>
  <c r="Q57" i="69"/>
  <c r="K57" i="69"/>
  <c r="M57" i="69" s="1"/>
  <c r="G57" i="69"/>
  <c r="E57" i="69"/>
  <c r="Y56" i="69"/>
  <c r="W56" i="69"/>
  <c r="S56" i="69"/>
  <c r="Q56" i="69"/>
  <c r="K56" i="69"/>
  <c r="M56" i="69" s="1"/>
  <c r="G56" i="69"/>
  <c r="E56" i="69"/>
  <c r="Y55" i="69"/>
  <c r="W55" i="69"/>
  <c r="S55" i="69"/>
  <c r="Q55" i="69"/>
  <c r="K55" i="69"/>
  <c r="M55" i="69" s="1"/>
  <c r="G55" i="69"/>
  <c r="E55" i="69"/>
  <c r="Y54" i="69"/>
  <c r="W54" i="69"/>
  <c r="S54" i="69"/>
  <c r="Q54" i="69"/>
  <c r="K54" i="69"/>
  <c r="M54" i="69" s="1"/>
  <c r="G54" i="69"/>
  <c r="E54" i="69"/>
  <c r="Y53" i="69"/>
  <c r="W53" i="69"/>
  <c r="S53" i="69"/>
  <c r="Q53" i="69"/>
  <c r="K53" i="69"/>
  <c r="M53" i="69" s="1"/>
  <c r="G53" i="69"/>
  <c r="E53" i="69"/>
  <c r="Y52" i="69"/>
  <c r="W52" i="69"/>
  <c r="S52" i="69"/>
  <c r="Q52" i="69"/>
  <c r="K52" i="69"/>
  <c r="M52" i="69" s="1"/>
  <c r="G52" i="69"/>
  <c r="E52" i="69"/>
  <c r="Y51" i="69"/>
  <c r="W51" i="69"/>
  <c r="S51" i="69"/>
  <c r="Q51" i="69"/>
  <c r="K51" i="69"/>
  <c r="M51" i="69" s="1"/>
  <c r="G51" i="69"/>
  <c r="E51" i="69"/>
  <c r="Y50" i="69"/>
  <c r="W50" i="69"/>
  <c r="S50" i="69"/>
  <c r="Q50" i="69"/>
  <c r="K50" i="69"/>
  <c r="M50" i="69" s="1"/>
  <c r="G50" i="69"/>
  <c r="E50" i="69"/>
  <c r="Y49" i="69"/>
  <c r="W49" i="69"/>
  <c r="S49" i="69"/>
  <c r="Q49" i="69"/>
  <c r="K49" i="69"/>
  <c r="M49" i="69" s="1"/>
  <c r="G49" i="69"/>
  <c r="E49" i="69"/>
  <c r="Y48" i="69"/>
  <c r="W48" i="69"/>
  <c r="S48" i="69"/>
  <c r="Q48" i="69"/>
  <c r="K48" i="69"/>
  <c r="M48" i="69" s="1"/>
  <c r="G48" i="69"/>
  <c r="E48" i="69"/>
  <c r="Y47" i="69"/>
  <c r="W47" i="69"/>
  <c r="S47" i="69"/>
  <c r="Q47" i="69"/>
  <c r="K47" i="69"/>
  <c r="M47" i="69" s="1"/>
  <c r="G47" i="69"/>
  <c r="E47" i="69"/>
  <c r="Y46" i="69"/>
  <c r="W46" i="69"/>
  <c r="S46" i="69"/>
  <c r="Q46" i="69"/>
  <c r="K46" i="69"/>
  <c r="M46" i="69" s="1"/>
  <c r="G46" i="69"/>
  <c r="E46" i="69"/>
  <c r="Y45" i="69"/>
  <c r="W45" i="69"/>
  <c r="S45" i="69"/>
  <c r="Q45" i="69"/>
  <c r="K45" i="69"/>
  <c r="M45" i="69" s="1"/>
  <c r="G45" i="69"/>
  <c r="E45" i="69"/>
  <c r="Y44" i="69"/>
  <c r="X44" i="69"/>
  <c r="W44" i="69"/>
  <c r="V44" i="69"/>
  <c r="U44" i="69"/>
  <c r="S44" i="69"/>
  <c r="R44" i="69"/>
  <c r="Q44" i="69"/>
  <c r="P44" i="69"/>
  <c r="O44" i="69"/>
  <c r="L44" i="69"/>
  <c r="J44" i="69"/>
  <c r="I44" i="69"/>
  <c r="F44" i="69"/>
  <c r="E44" i="69"/>
  <c r="G44" i="69" s="1"/>
  <c r="D44" i="69"/>
  <c r="C44" i="69"/>
  <c r="W43" i="69"/>
  <c r="Y43" i="69" s="1"/>
  <c r="S43" i="69"/>
  <c r="Q43" i="69"/>
  <c r="M43" i="69"/>
  <c r="K43" i="69"/>
  <c r="G43" i="69"/>
  <c r="E43" i="69"/>
  <c r="W42" i="69"/>
  <c r="Y42" i="69" s="1"/>
  <c r="S42" i="69"/>
  <c r="Q42" i="69"/>
  <c r="M42" i="69"/>
  <c r="K42" i="69"/>
  <c r="G42" i="69"/>
  <c r="E42" i="69"/>
  <c r="W41" i="69"/>
  <c r="Y41" i="69" s="1"/>
  <c r="S41" i="69"/>
  <c r="Q41" i="69"/>
  <c r="M41" i="69"/>
  <c r="K41" i="69"/>
  <c r="G41" i="69"/>
  <c r="E41" i="69"/>
  <c r="W40" i="69"/>
  <c r="Y40" i="69" s="1"/>
  <c r="S40" i="69"/>
  <c r="Q40" i="69"/>
  <c r="M40" i="69"/>
  <c r="K40" i="69"/>
  <c r="G40" i="69"/>
  <c r="E40" i="69"/>
  <c r="W39" i="69"/>
  <c r="Y39" i="69" s="1"/>
  <c r="S39" i="69"/>
  <c r="Q39" i="69"/>
  <c r="M39" i="69"/>
  <c r="K39" i="69"/>
  <c r="G39" i="69"/>
  <c r="E39" i="69"/>
  <c r="W38" i="69"/>
  <c r="Y38" i="69" s="1"/>
  <c r="S38" i="69"/>
  <c r="Q38" i="69"/>
  <c r="M38" i="69"/>
  <c r="K38" i="69"/>
  <c r="G38" i="69"/>
  <c r="E38" i="69"/>
  <c r="W37" i="69"/>
  <c r="Y37" i="69" s="1"/>
  <c r="S37" i="69"/>
  <c r="Q37" i="69"/>
  <c r="M37" i="69"/>
  <c r="K37" i="69"/>
  <c r="G37" i="69"/>
  <c r="E37" i="69"/>
  <c r="W36" i="69"/>
  <c r="Y36" i="69" s="1"/>
  <c r="S36" i="69"/>
  <c r="Q36" i="69"/>
  <c r="M36" i="69"/>
  <c r="K36" i="69"/>
  <c r="G36" i="69"/>
  <c r="E36" i="69"/>
  <c r="W35" i="69"/>
  <c r="Y35" i="69" s="1"/>
  <c r="S35" i="69"/>
  <c r="Q35" i="69"/>
  <c r="M35" i="69"/>
  <c r="K35" i="69"/>
  <c r="G35" i="69"/>
  <c r="E35" i="69"/>
  <c r="W34" i="69"/>
  <c r="Y34" i="69" s="1"/>
  <c r="S34" i="69"/>
  <c r="Q34" i="69"/>
  <c r="M34" i="69"/>
  <c r="K34" i="69"/>
  <c r="G34" i="69"/>
  <c r="E34" i="69"/>
  <c r="W33" i="69"/>
  <c r="Y33" i="69" s="1"/>
  <c r="S33" i="69"/>
  <c r="Q33" i="69"/>
  <c r="M33" i="69"/>
  <c r="K33" i="69"/>
  <c r="G33" i="69"/>
  <c r="E33" i="69"/>
  <c r="W32" i="69"/>
  <c r="Y32" i="69" s="1"/>
  <c r="S32" i="69"/>
  <c r="Q32" i="69"/>
  <c r="M32" i="69"/>
  <c r="K32" i="69"/>
  <c r="G32" i="69"/>
  <c r="E32" i="69"/>
  <c r="W31" i="69"/>
  <c r="W30" i="69" s="1"/>
  <c r="S31" i="69"/>
  <c r="Q31" i="69"/>
  <c r="M31" i="69"/>
  <c r="M30" i="69" s="1"/>
  <c r="K31" i="69"/>
  <c r="G31" i="69"/>
  <c r="E31" i="69"/>
  <c r="X30" i="69"/>
  <c r="V30" i="69"/>
  <c r="U30" i="69"/>
  <c r="S30" i="69"/>
  <c r="R30" i="69"/>
  <c r="Q30" i="69"/>
  <c r="P30" i="69"/>
  <c r="O30" i="69"/>
  <c r="L30" i="69"/>
  <c r="K30" i="69"/>
  <c r="J30" i="69"/>
  <c r="I30" i="69"/>
  <c r="F30" i="69"/>
  <c r="E30" i="69"/>
  <c r="G30" i="69" s="1"/>
  <c r="D30" i="69"/>
  <c r="C30" i="69"/>
  <c r="Y29" i="69"/>
  <c r="W29" i="69"/>
  <c r="S29" i="69"/>
  <c r="Q29" i="69"/>
  <c r="K29" i="69"/>
  <c r="M29" i="69" s="1"/>
  <c r="G29" i="69"/>
  <c r="E29" i="69"/>
  <c r="Y28" i="69"/>
  <c r="W28" i="69"/>
  <c r="S28" i="69"/>
  <c r="Q28" i="69"/>
  <c r="K28" i="69"/>
  <c r="M28" i="69" s="1"/>
  <c r="G28" i="69"/>
  <c r="E28" i="69"/>
  <c r="Y27" i="69"/>
  <c r="W27" i="69"/>
  <c r="S27" i="69"/>
  <c r="Q27" i="69"/>
  <c r="K27" i="69"/>
  <c r="M27" i="69" s="1"/>
  <c r="G27" i="69"/>
  <c r="E27" i="69"/>
  <c r="Y26" i="69"/>
  <c r="W26" i="69"/>
  <c r="S26" i="69"/>
  <c r="Q26" i="69"/>
  <c r="K26" i="69"/>
  <c r="M26" i="69" s="1"/>
  <c r="G26" i="69"/>
  <c r="E26" i="69"/>
  <c r="Y25" i="69"/>
  <c r="W25" i="69"/>
  <c r="S25" i="69"/>
  <c r="Q25" i="69"/>
  <c r="K25" i="69"/>
  <c r="M25" i="69" s="1"/>
  <c r="G25" i="69"/>
  <c r="E25" i="69"/>
  <c r="Y24" i="69"/>
  <c r="W24" i="69"/>
  <c r="S24" i="69"/>
  <c r="Q24" i="69"/>
  <c r="K24" i="69"/>
  <c r="M24" i="69" s="1"/>
  <c r="G24" i="69"/>
  <c r="E24" i="69"/>
  <c r="Y23" i="69"/>
  <c r="W23" i="69"/>
  <c r="S23" i="69"/>
  <c r="Q23" i="69"/>
  <c r="K23" i="69"/>
  <c r="M23" i="69" s="1"/>
  <c r="G23" i="69"/>
  <c r="E23" i="69"/>
  <c r="Y22" i="69"/>
  <c r="W22" i="69"/>
  <c r="S22" i="69"/>
  <c r="Q22" i="69"/>
  <c r="K22" i="69"/>
  <c r="M22" i="69" s="1"/>
  <c r="G22" i="69"/>
  <c r="E22" i="69"/>
  <c r="Y21" i="69"/>
  <c r="W21" i="69"/>
  <c r="S21" i="69"/>
  <c r="Q21" i="69"/>
  <c r="K21" i="69"/>
  <c r="M21" i="69" s="1"/>
  <c r="G21" i="69"/>
  <c r="E21" i="69"/>
  <c r="Y20" i="69"/>
  <c r="W20" i="69"/>
  <c r="S20" i="69"/>
  <c r="Q20" i="69"/>
  <c r="K20" i="69"/>
  <c r="M20" i="69" s="1"/>
  <c r="G20" i="69"/>
  <c r="E20" i="69"/>
  <c r="Y19" i="69"/>
  <c r="W19" i="69"/>
  <c r="S19" i="69"/>
  <c r="Q19" i="69"/>
  <c r="K19" i="69"/>
  <c r="M19" i="69" s="1"/>
  <c r="G19" i="69"/>
  <c r="E19" i="69"/>
  <c r="Y18" i="69"/>
  <c r="W18" i="69"/>
  <c r="S18" i="69"/>
  <c r="Q18" i="69"/>
  <c r="K18" i="69"/>
  <c r="M18" i="69" s="1"/>
  <c r="G18" i="69"/>
  <c r="E18" i="69"/>
  <c r="Y17" i="69"/>
  <c r="W17" i="69"/>
  <c r="S17" i="69"/>
  <c r="Q17" i="69"/>
  <c r="K17" i="69"/>
  <c r="M17" i="69" s="1"/>
  <c r="G17" i="69"/>
  <c r="E17" i="69"/>
  <c r="Y16" i="69"/>
  <c r="Y15" i="69" s="1"/>
  <c r="W16" i="69"/>
  <c r="W15" i="69" s="1"/>
  <c r="S16" i="69"/>
  <c r="Q16" i="69"/>
  <c r="K16" i="69"/>
  <c r="M16" i="69" s="1"/>
  <c r="G16" i="69"/>
  <c r="E16" i="69"/>
  <c r="X15" i="69"/>
  <c r="V15" i="69"/>
  <c r="U15" i="69"/>
  <c r="U14" i="69" s="1"/>
  <c r="S15" i="69"/>
  <c r="R15" i="69"/>
  <c r="Q15" i="69"/>
  <c r="P15" i="69"/>
  <c r="O15" i="69"/>
  <c r="L15" i="69"/>
  <c r="J15" i="69"/>
  <c r="J14" i="69" s="1"/>
  <c r="I15" i="69"/>
  <c r="F15" i="69"/>
  <c r="E15" i="69"/>
  <c r="G15" i="69" s="1"/>
  <c r="D15" i="69"/>
  <c r="C15" i="69"/>
  <c r="X14" i="69"/>
  <c r="R14" i="69"/>
  <c r="P14" i="69"/>
  <c r="O14" i="69"/>
  <c r="I14" i="69"/>
  <c r="F14" i="69"/>
  <c r="Y13" i="69"/>
  <c r="W13" i="69"/>
  <c r="S13" i="69"/>
  <c r="Q13" i="69"/>
  <c r="K13" i="69"/>
  <c r="M13" i="69" s="1"/>
  <c r="E13" i="69"/>
  <c r="G13" i="69" s="1"/>
  <c r="W12" i="69"/>
  <c r="Y12" i="69" s="1"/>
  <c r="Q12" i="69"/>
  <c r="S12" i="69" s="1"/>
  <c r="M12" i="69"/>
  <c r="E12" i="69"/>
  <c r="G12" i="69" s="1"/>
  <c r="Y11" i="69"/>
  <c r="W11" i="69"/>
  <c r="Q11" i="69"/>
  <c r="S11" i="69" s="1"/>
  <c r="K11" i="69"/>
  <c r="M11" i="69" s="1"/>
  <c r="Y10" i="69"/>
  <c r="W10" i="69"/>
  <c r="S10" i="69"/>
  <c r="Q10" i="69"/>
  <c r="K10" i="69"/>
  <c r="M10" i="69" s="1"/>
  <c r="W9" i="69"/>
  <c r="Y9" i="69" s="1"/>
  <c r="Q9" i="69"/>
  <c r="S9" i="69" s="1"/>
  <c r="K9" i="69"/>
  <c r="M9" i="69" s="1"/>
  <c r="E9" i="69"/>
  <c r="G9" i="69" s="1"/>
  <c r="W8" i="69"/>
  <c r="Y8" i="69" s="1"/>
  <c r="S8" i="69"/>
  <c r="Q8" i="69"/>
  <c r="K8" i="69"/>
  <c r="M8" i="69" s="1"/>
  <c r="G8" i="69"/>
  <c r="BA6" i="70" l="1"/>
  <c r="BD6" i="70"/>
  <c r="M103" i="69"/>
  <c r="E14" i="69"/>
  <c r="G14" i="69" s="1"/>
  <c r="M15" i="69"/>
  <c r="Y159" i="69"/>
  <c r="M44" i="69"/>
  <c r="M73" i="69"/>
  <c r="S108" i="69"/>
  <c r="Y31" i="69"/>
  <c r="Y30" i="69" s="1"/>
  <c r="Y14" i="69" s="1"/>
  <c r="Y90" i="69"/>
  <c r="Y89" i="69" s="1"/>
  <c r="K103" i="69"/>
  <c r="M142" i="69"/>
  <c r="M138" i="69" s="1"/>
  <c r="Q108" i="69"/>
  <c r="Q14" i="69" s="1"/>
  <c r="E118" i="69"/>
  <c r="G118" i="69" s="1"/>
  <c r="Q166" i="69"/>
  <c r="S167" i="69"/>
  <c r="S166" i="69" s="1"/>
  <c r="K73" i="69"/>
  <c r="S119" i="69"/>
  <c r="S118" i="69" s="1"/>
  <c r="K127" i="69"/>
  <c r="W127" i="69"/>
  <c r="Q144" i="69"/>
  <c r="M145" i="69"/>
  <c r="M144" i="69" s="1"/>
  <c r="K144" i="69"/>
  <c r="M153" i="69"/>
  <c r="Y167" i="69"/>
  <c r="Y166" i="69" s="1"/>
  <c r="W166" i="69"/>
  <c r="K44" i="69"/>
  <c r="Y128" i="69"/>
  <c r="Y127" i="69" s="1"/>
  <c r="Q153" i="69"/>
  <c r="S154" i="69"/>
  <c r="S153" i="69" s="1"/>
  <c r="S14" i="69" s="1"/>
  <c r="M160" i="69"/>
  <c r="M159" i="69" s="1"/>
  <c r="K159" i="69"/>
  <c r="M180" i="69"/>
  <c r="M192" i="69"/>
  <c r="M111" i="69"/>
  <c r="M108" i="69" s="1"/>
  <c r="W144" i="69"/>
  <c r="Y154" i="69"/>
  <c r="Y153" i="69" s="1"/>
  <c r="W153" i="69"/>
  <c r="W14" i="69" s="1"/>
  <c r="S180" i="69"/>
  <c r="Q192" i="69"/>
  <c r="S193" i="69"/>
  <c r="S192" i="69" s="1"/>
  <c r="K15" i="69"/>
  <c r="Y60" i="69"/>
  <c r="Y59" i="69" s="1"/>
  <c r="Q138" i="69"/>
  <c r="Y145" i="69"/>
  <c r="Y144" i="69" s="1"/>
  <c r="W159" i="69"/>
  <c r="Y180" i="69"/>
  <c r="Y192" i="69"/>
  <c r="W138" i="69"/>
  <c r="Y202" i="69"/>
  <c r="K166" i="69"/>
  <c r="W192" i="69"/>
  <c r="K180" i="69"/>
  <c r="K202" i="69"/>
  <c r="W180" i="69"/>
  <c r="W202" i="69"/>
  <c r="K192" i="69"/>
  <c r="M14" i="69" l="1"/>
  <c r="K14" i="69"/>
  <c r="N15" i="81" l="1"/>
  <c r="N14" i="81"/>
  <c r="N13" i="81"/>
  <c r="N12" i="81"/>
  <c r="N11" i="81"/>
  <c r="N10" i="81"/>
  <c r="N9" i="81"/>
  <c r="N8" i="81"/>
  <c r="P7" i="81"/>
  <c r="O7" i="81"/>
  <c r="K15" i="81"/>
  <c r="K14" i="81"/>
  <c r="K13" i="81"/>
  <c r="K12" i="81"/>
  <c r="K11" i="81"/>
  <c r="K10" i="81"/>
  <c r="K9" i="81"/>
  <c r="K8" i="81"/>
  <c r="M7" i="81"/>
  <c r="L7" i="81"/>
  <c r="M6" i="113"/>
  <c r="N6" i="113"/>
  <c r="G5" i="115"/>
  <c r="H5" i="115"/>
  <c r="Z7" i="79"/>
  <c r="AA7" i="79"/>
  <c r="AB7" i="79"/>
  <c r="AD7" i="79"/>
  <c r="AC7" i="79" s="1"/>
  <c r="AE7" i="79"/>
  <c r="Z8" i="79"/>
  <c r="AC8" i="79"/>
  <c r="Z9" i="79"/>
  <c r="AC9" i="79"/>
  <c r="Z10" i="79"/>
  <c r="AC10" i="79"/>
  <c r="Z11" i="79"/>
  <c r="AC11" i="79"/>
  <c r="Z12" i="79"/>
  <c r="AC12" i="79"/>
  <c r="Z13" i="79"/>
  <c r="AC13" i="79"/>
  <c r="W13" i="79"/>
  <c r="T13" i="79"/>
  <c r="W12" i="79"/>
  <c r="T12" i="79"/>
  <c r="W11" i="79"/>
  <c r="T11" i="79"/>
  <c r="W10" i="79"/>
  <c r="T10" i="79"/>
  <c r="W9" i="79"/>
  <c r="T9" i="79"/>
  <c r="W8" i="79"/>
  <c r="T8" i="79"/>
  <c r="W7" i="79"/>
  <c r="AF8" i="77"/>
  <c r="AG8" i="77"/>
  <c r="AH8" i="77"/>
  <c r="AF9" i="77"/>
  <c r="AG9" i="77"/>
  <c r="AH9" i="77"/>
  <c r="AF10" i="77"/>
  <c r="AG10" i="77"/>
  <c r="AH10" i="77"/>
  <c r="AF11" i="77"/>
  <c r="AG11" i="77"/>
  <c r="AH11" i="77"/>
  <c r="AF12" i="77"/>
  <c r="AG12" i="77"/>
  <c r="AH12" i="77"/>
  <c r="AF13" i="77"/>
  <c r="AG13" i="77"/>
  <c r="AH13" i="77"/>
  <c r="AF14" i="77"/>
  <c r="AG14" i="77"/>
  <c r="AH14" i="77"/>
  <c r="AF15" i="77"/>
  <c r="AG15" i="77"/>
  <c r="AH15" i="77"/>
  <c r="AF16" i="77"/>
  <c r="AG16" i="77"/>
  <c r="AH16" i="77"/>
  <c r="AG7" i="77"/>
  <c r="AH7" i="77"/>
  <c r="AF7" i="77"/>
  <c r="AE7" i="77"/>
  <c r="AD7" i="77"/>
  <c r="AE13" i="77"/>
  <c r="AD13" i="77"/>
  <c r="N7" i="81" l="1"/>
  <c r="K7" i="81"/>
  <c r="AC13" i="77"/>
  <c r="AC7" i="77"/>
  <c r="M6" i="76"/>
  <c r="H6" i="74"/>
  <c r="M20" i="67"/>
  <c r="M21" i="67"/>
  <c r="M22" i="67"/>
  <c r="M23" i="67"/>
  <c r="M24" i="67"/>
  <c r="M25" i="67"/>
  <c r="M5" i="67"/>
  <c r="M13" i="67" s="1"/>
  <c r="D15" i="64"/>
  <c r="A15" i="64"/>
  <c r="D14" i="64"/>
  <c r="A14" i="64"/>
  <c r="D13" i="64"/>
  <c r="D12" i="64"/>
  <c r="A12" i="64"/>
  <c r="D11" i="64"/>
  <c r="D10" i="64"/>
  <c r="A10" i="64"/>
  <c r="D9" i="64"/>
  <c r="A9" i="64"/>
  <c r="D8" i="64"/>
  <c r="A8" i="64"/>
  <c r="D7" i="64"/>
  <c r="A7" i="64"/>
  <c r="F6" i="64"/>
  <c r="D6" i="64" s="1"/>
  <c r="E6" i="64"/>
  <c r="C6" i="64"/>
  <c r="B6" i="64"/>
  <c r="A6" i="64"/>
  <c r="M17" i="67" l="1"/>
  <c r="M16" i="67"/>
  <c r="M15" i="67"/>
  <c r="M14" i="67"/>
  <c r="M18" i="67"/>
  <c r="M12" i="67" l="1"/>
  <c r="F6" i="73"/>
  <c r="F5" i="73"/>
  <c r="E5" i="73"/>
  <c r="D5" i="73"/>
  <c r="C5" i="73"/>
  <c r="Z17" i="73"/>
  <c r="Y17" i="73"/>
  <c r="X17" i="73"/>
  <c r="W17" i="73"/>
  <c r="V17" i="73"/>
  <c r="U17" i="73"/>
  <c r="S17" i="73"/>
  <c r="R17" i="73"/>
  <c r="Q17" i="73"/>
  <c r="Z16" i="73"/>
  <c r="Y16" i="73"/>
  <c r="X16" i="73"/>
  <c r="W16" i="73"/>
  <c r="V16" i="73"/>
  <c r="U16" i="73"/>
  <c r="AN15" i="76" l="1"/>
  <c r="AN16" i="76"/>
  <c r="R15" i="74"/>
  <c r="R14" i="74"/>
  <c r="R13" i="74"/>
  <c r="R12" i="74"/>
  <c r="R11" i="74"/>
  <c r="R10" i="74"/>
  <c r="S15" i="74"/>
  <c r="S14" i="74"/>
  <c r="S13" i="74"/>
  <c r="S12" i="74"/>
  <c r="S11" i="74"/>
  <c r="L5" i="67"/>
  <c r="M19" i="67" s="1"/>
  <c r="AN13" i="76" l="1"/>
  <c r="T15" i="120"/>
  <c r="Q15" i="120"/>
  <c r="N15" i="120"/>
  <c r="K15" i="120"/>
  <c r="H15" i="120"/>
  <c r="E15" i="120"/>
  <c r="B15" i="120"/>
  <c r="T14" i="120"/>
  <c r="Q14" i="120"/>
  <c r="N14" i="120"/>
  <c r="K14" i="120"/>
  <c r="H14" i="120"/>
  <c r="E14" i="120"/>
  <c r="B14" i="120"/>
  <c r="T13" i="120"/>
  <c r="Q13" i="120"/>
  <c r="N13" i="120"/>
  <c r="K13" i="120"/>
  <c r="H13" i="120"/>
  <c r="E13" i="120"/>
  <c r="B13" i="120"/>
  <c r="T12" i="120"/>
  <c r="Q12" i="120"/>
  <c r="N12" i="120"/>
  <c r="K12" i="120"/>
  <c r="H12" i="120"/>
  <c r="E12" i="120"/>
  <c r="B12" i="120"/>
  <c r="T11" i="120"/>
  <c r="Q11" i="120"/>
  <c r="N11" i="120"/>
  <c r="K11" i="120"/>
  <c r="H11" i="120"/>
  <c r="E11" i="120"/>
  <c r="B11" i="120"/>
  <c r="T10" i="120"/>
  <c r="Q10" i="120"/>
  <c r="N10" i="120"/>
  <c r="K10" i="120"/>
  <c r="H10" i="120"/>
  <c r="E10" i="120"/>
  <c r="B10" i="120"/>
  <c r="T9" i="120"/>
  <c r="Q9" i="120"/>
  <c r="N9" i="120"/>
  <c r="K9" i="120"/>
  <c r="H9" i="120"/>
  <c r="E9" i="120"/>
  <c r="B9" i="120"/>
  <c r="V8" i="120"/>
  <c r="U8" i="120"/>
  <c r="T8" i="120" s="1"/>
  <c r="S8" i="120"/>
  <c r="R8" i="120"/>
  <c r="Q8" i="120" s="1"/>
  <c r="P8" i="120"/>
  <c r="N8" i="120" s="1"/>
  <c r="O8" i="120"/>
  <c r="K8" i="120"/>
  <c r="J8" i="120"/>
  <c r="H8" i="120" s="1"/>
  <c r="I8" i="120"/>
  <c r="G8" i="120"/>
  <c r="F8" i="120"/>
  <c r="E8" i="120" s="1"/>
  <c r="D8" i="120"/>
  <c r="B8" i="120" s="1"/>
  <c r="C8" i="120"/>
  <c r="K14" i="121"/>
  <c r="H14" i="121"/>
  <c r="E14" i="121"/>
  <c r="B14" i="121"/>
  <c r="K13" i="121"/>
  <c r="H13" i="121"/>
  <c r="E13" i="121"/>
  <c r="B13" i="121"/>
  <c r="K12" i="121"/>
  <c r="H12" i="121"/>
  <c r="E12" i="121"/>
  <c r="B12" i="121"/>
  <c r="K11" i="121"/>
  <c r="H11" i="121"/>
  <c r="E11" i="121"/>
  <c r="B11" i="121"/>
  <c r="K10" i="121"/>
  <c r="H10" i="121"/>
  <c r="E10" i="121"/>
  <c r="B10" i="121"/>
  <c r="K9" i="121"/>
  <c r="H9" i="121"/>
  <c r="E9" i="121"/>
  <c r="B9" i="121"/>
  <c r="K8" i="121"/>
  <c r="H8" i="121"/>
  <c r="E8" i="121"/>
  <c r="B8" i="121"/>
  <c r="M7" i="121"/>
  <c r="L7" i="121"/>
  <c r="K7" i="121" s="1"/>
  <c r="J7" i="121"/>
  <c r="I7" i="121"/>
  <c r="G7" i="121"/>
  <c r="E7" i="121" s="1"/>
  <c r="F7" i="121"/>
  <c r="D7" i="121"/>
  <c r="C7" i="121"/>
  <c r="B7" i="121" s="1"/>
  <c r="B75" i="118"/>
  <c r="B74" i="118"/>
  <c r="B73" i="118"/>
  <c r="B72" i="118"/>
  <c r="J71" i="118"/>
  <c r="I71" i="118"/>
  <c r="H71" i="118"/>
  <c r="G71" i="118"/>
  <c r="F71" i="118"/>
  <c r="E71" i="118"/>
  <c r="D71" i="118"/>
  <c r="B63" i="118"/>
  <c r="B62" i="118"/>
  <c r="B61" i="118"/>
  <c r="B60" i="118"/>
  <c r="J59" i="118"/>
  <c r="I59" i="118"/>
  <c r="H59" i="118"/>
  <c r="G59" i="118"/>
  <c r="F59" i="118"/>
  <c r="E59" i="118"/>
  <c r="D59" i="118"/>
  <c r="B51" i="118"/>
  <c r="B50" i="118"/>
  <c r="B49" i="118"/>
  <c r="B48" i="118"/>
  <c r="B47" i="118"/>
  <c r="B46" i="118"/>
  <c r="B45" i="118"/>
  <c r="B44" i="118"/>
  <c r="B43" i="118"/>
  <c r="J42" i="118"/>
  <c r="I42" i="118"/>
  <c r="H42" i="118"/>
  <c r="G42" i="118"/>
  <c r="F42" i="118"/>
  <c r="E42" i="118"/>
  <c r="D42" i="118"/>
  <c r="B33" i="118"/>
  <c r="B32" i="118"/>
  <c r="B31" i="118"/>
  <c r="B30" i="118"/>
  <c r="B29" i="118"/>
  <c r="B28" i="118"/>
  <c r="B27" i="118"/>
  <c r="B26" i="118"/>
  <c r="B25" i="118"/>
  <c r="J24" i="118"/>
  <c r="I24" i="118"/>
  <c r="H24" i="118"/>
  <c r="G24" i="118"/>
  <c r="F24" i="118"/>
  <c r="E24" i="118"/>
  <c r="D24" i="118"/>
  <c r="B16" i="118"/>
  <c r="B15" i="118"/>
  <c r="B14" i="118"/>
  <c r="B13" i="118"/>
  <c r="B12" i="118"/>
  <c r="B11" i="118"/>
  <c r="B10" i="118"/>
  <c r="B9" i="118"/>
  <c r="B8" i="118"/>
  <c r="J7" i="118"/>
  <c r="I7" i="118"/>
  <c r="H7" i="118"/>
  <c r="G7" i="118"/>
  <c r="F7" i="118"/>
  <c r="E7" i="118"/>
  <c r="D7" i="118"/>
  <c r="L6" i="113"/>
  <c r="K6" i="113"/>
  <c r="J6" i="113"/>
  <c r="I6" i="113"/>
  <c r="H6" i="113"/>
  <c r="G6" i="113"/>
  <c r="F6" i="113"/>
  <c r="E6" i="113"/>
  <c r="D6" i="113"/>
  <c r="C6" i="113"/>
  <c r="B6" i="113"/>
  <c r="BJ37" i="114"/>
  <c r="BI37" i="114"/>
  <c r="BH37" i="114"/>
  <c r="BG37" i="114"/>
  <c r="BJ36" i="114"/>
  <c r="BI36" i="114"/>
  <c r="BH36" i="114"/>
  <c r="BG36" i="114"/>
  <c r="BJ35" i="114"/>
  <c r="BI35" i="114"/>
  <c r="BH35" i="114"/>
  <c r="BG35" i="114"/>
  <c r="BJ32" i="114"/>
  <c r="BI32" i="114"/>
  <c r="BH32" i="114"/>
  <c r="BG32" i="114"/>
  <c r="BI31" i="114"/>
  <c r="BH31" i="114"/>
  <c r="BG31" i="114"/>
  <c r="F5" i="115"/>
  <c r="E5" i="115"/>
  <c r="D5" i="115"/>
  <c r="C5" i="115"/>
  <c r="B42" i="118" l="1"/>
  <c r="B24" i="118"/>
  <c r="B71" i="118"/>
  <c r="B7" i="118"/>
  <c r="B59" i="118"/>
  <c r="H7" i="121"/>
  <c r="B35" i="99"/>
  <c r="B34" i="99"/>
  <c r="D33" i="99"/>
  <c r="C33" i="99"/>
  <c r="B33" i="99" s="1"/>
  <c r="B22" i="99"/>
  <c r="B21" i="99"/>
  <c r="D20" i="99"/>
  <c r="C20" i="99"/>
  <c r="B20" i="99"/>
  <c r="B10" i="99"/>
  <c r="B9" i="99"/>
  <c r="D8" i="99"/>
  <c r="C8" i="99"/>
  <c r="B8" i="99" s="1"/>
  <c r="H15" i="98"/>
  <c r="E15" i="98"/>
  <c r="B15" i="98"/>
  <c r="H14" i="98"/>
  <c r="E14" i="98"/>
  <c r="B14" i="98"/>
  <c r="H13" i="98"/>
  <c r="E13" i="98"/>
  <c r="B13" i="98"/>
  <c r="H12" i="98"/>
  <c r="E12" i="98"/>
  <c r="B12" i="98"/>
  <c r="H11" i="98"/>
  <c r="E11" i="98"/>
  <c r="B11" i="98"/>
  <c r="H10" i="98"/>
  <c r="E10" i="98"/>
  <c r="B10" i="98"/>
  <c r="H9" i="98"/>
  <c r="E9" i="98"/>
  <c r="B9" i="98"/>
  <c r="H8" i="98"/>
  <c r="E8" i="98"/>
  <c r="B8" i="98"/>
  <c r="J7" i="98"/>
  <c r="I7" i="98"/>
  <c r="H7" i="98" s="1"/>
  <c r="G7" i="98"/>
  <c r="E7" i="98" s="1"/>
  <c r="F7" i="98"/>
  <c r="D7" i="98"/>
  <c r="C7" i="98"/>
  <c r="B7" i="98"/>
  <c r="K6" i="97"/>
  <c r="J6" i="97"/>
  <c r="I6" i="97"/>
  <c r="H6" i="97"/>
  <c r="G6" i="97"/>
  <c r="F6" i="97"/>
  <c r="E6" i="97"/>
  <c r="D6" i="97"/>
  <c r="C6" i="97"/>
  <c r="B6" i="97"/>
  <c r="O26" i="96"/>
  <c r="L26" i="96"/>
  <c r="I26" i="96"/>
  <c r="F26" i="96"/>
  <c r="C26" i="96"/>
  <c r="O25" i="96"/>
  <c r="L25" i="96"/>
  <c r="I25" i="96"/>
  <c r="F25" i="96"/>
  <c r="C25" i="96"/>
  <c r="O24" i="96"/>
  <c r="L24" i="96"/>
  <c r="I24" i="96"/>
  <c r="F24" i="96"/>
  <c r="C24" i="96"/>
  <c r="O23" i="96"/>
  <c r="L23" i="96"/>
  <c r="I23" i="96"/>
  <c r="F23" i="96"/>
  <c r="C23" i="96"/>
  <c r="O22" i="96"/>
  <c r="L22" i="96"/>
  <c r="I22" i="96"/>
  <c r="F22" i="96"/>
  <c r="C22" i="96"/>
  <c r="O21" i="96"/>
  <c r="L21" i="96"/>
  <c r="I21" i="96"/>
  <c r="F21" i="96"/>
  <c r="C21" i="96"/>
  <c r="O20" i="96"/>
  <c r="L20" i="96"/>
  <c r="I20" i="96"/>
  <c r="F20" i="96"/>
  <c r="C20" i="96"/>
  <c r="O19" i="96"/>
  <c r="L19" i="96"/>
  <c r="I19" i="96"/>
  <c r="F19" i="96"/>
  <c r="C19" i="96"/>
  <c r="O18" i="96"/>
  <c r="L18" i="96"/>
  <c r="I18" i="96"/>
  <c r="F18" i="96"/>
  <c r="C18" i="96"/>
  <c r="O17" i="96"/>
  <c r="L17" i="96"/>
  <c r="I17" i="96"/>
  <c r="F17" i="96"/>
  <c r="C17" i="96"/>
  <c r="O16" i="96"/>
  <c r="L16" i="96"/>
  <c r="I16" i="96"/>
  <c r="F16" i="96"/>
  <c r="C16" i="96"/>
  <c r="O15" i="96"/>
  <c r="L15" i="96"/>
  <c r="I15" i="96"/>
  <c r="F15" i="96"/>
  <c r="C15" i="96"/>
  <c r="O14" i="96"/>
  <c r="L14" i="96"/>
  <c r="I14" i="96"/>
  <c r="C14" i="96"/>
  <c r="O13" i="96"/>
  <c r="L13" i="96"/>
  <c r="I13" i="96"/>
  <c r="F13" i="96"/>
  <c r="C13" i="96"/>
  <c r="O12" i="96"/>
  <c r="L12" i="96"/>
  <c r="I12" i="96"/>
  <c r="F12" i="96"/>
  <c r="C12" i="96"/>
  <c r="O11" i="96"/>
  <c r="L11" i="96"/>
  <c r="I11" i="96"/>
  <c r="F11" i="96"/>
  <c r="C11" i="96"/>
  <c r="O10" i="96"/>
  <c r="L10" i="96"/>
  <c r="I10" i="96"/>
  <c r="F10" i="96"/>
  <c r="C10" i="96"/>
  <c r="O9" i="96"/>
  <c r="L9" i="96"/>
  <c r="I9" i="96"/>
  <c r="F9" i="96"/>
  <c r="C9" i="96"/>
  <c r="O8" i="96"/>
  <c r="L8" i="96"/>
  <c r="I8" i="96"/>
  <c r="F8" i="96"/>
  <c r="C8" i="96"/>
  <c r="O7" i="96"/>
  <c r="L7" i="96"/>
  <c r="I7" i="96"/>
  <c r="F7" i="96"/>
  <c r="C7" i="96"/>
  <c r="Q6" i="96"/>
  <c r="P6" i="96"/>
  <c r="N6" i="96"/>
  <c r="M6" i="96"/>
  <c r="K6" i="96"/>
  <c r="I6" i="96" s="1"/>
  <c r="J6" i="96"/>
  <c r="H6" i="96"/>
  <c r="G6" i="96"/>
  <c r="E6" i="96"/>
  <c r="D6" i="96"/>
  <c r="C6" i="96" s="1"/>
  <c r="B9" i="95"/>
  <c r="B8" i="95"/>
  <c r="B7" i="95"/>
  <c r="D6" i="95"/>
  <c r="C6" i="95"/>
  <c r="K16" i="94"/>
  <c r="H16" i="94"/>
  <c r="E16" i="94"/>
  <c r="B16" i="94"/>
  <c r="K15" i="94"/>
  <c r="H15" i="94"/>
  <c r="E15" i="94"/>
  <c r="B15" i="94"/>
  <c r="K14" i="94"/>
  <c r="H14" i="94"/>
  <c r="E14" i="94"/>
  <c r="B14" i="94"/>
  <c r="K13" i="94"/>
  <c r="H13" i="94"/>
  <c r="E13" i="94"/>
  <c r="B13" i="94"/>
  <c r="K12" i="94"/>
  <c r="H12" i="94"/>
  <c r="E12" i="94"/>
  <c r="B12" i="94"/>
  <c r="K11" i="94"/>
  <c r="H11" i="94"/>
  <c r="E11" i="94"/>
  <c r="B11" i="94"/>
  <c r="K10" i="94"/>
  <c r="H10" i="94"/>
  <c r="E10" i="94"/>
  <c r="B10" i="94"/>
  <c r="K9" i="94"/>
  <c r="H9" i="94"/>
  <c r="E9" i="94"/>
  <c r="B9" i="94"/>
  <c r="K8" i="94"/>
  <c r="H8" i="94"/>
  <c r="E8" i="94"/>
  <c r="B8" i="94"/>
  <c r="M7" i="94"/>
  <c r="L7" i="94"/>
  <c r="K7" i="94"/>
  <c r="J7" i="94"/>
  <c r="I7" i="94"/>
  <c r="H7" i="94" s="1"/>
  <c r="G7" i="94"/>
  <c r="F7" i="94"/>
  <c r="E7" i="94"/>
  <c r="D7" i="94"/>
  <c r="C7" i="94"/>
  <c r="B7" i="94" s="1"/>
  <c r="M5" i="93"/>
  <c r="L5" i="93"/>
  <c r="K5" i="93"/>
  <c r="J5" i="93"/>
  <c r="I5" i="93"/>
  <c r="H5" i="93"/>
  <c r="G5" i="93"/>
  <c r="F5" i="93"/>
  <c r="E5" i="93"/>
  <c r="D5" i="93"/>
  <c r="C5" i="93"/>
  <c r="B5" i="93"/>
  <c r="O6" i="96" l="1"/>
  <c r="F6" i="96"/>
  <c r="B6" i="95"/>
  <c r="L6" i="96"/>
  <c r="H5" i="90" l="1"/>
  <c r="G5" i="90"/>
  <c r="F5" i="90"/>
  <c r="E5" i="90"/>
  <c r="D5" i="90"/>
  <c r="C5" i="90"/>
  <c r="B5" i="90"/>
  <c r="K5" i="89"/>
  <c r="J5" i="89"/>
  <c r="I5" i="89"/>
  <c r="H5" i="89"/>
  <c r="G5" i="89"/>
  <c r="F5" i="89"/>
  <c r="E5" i="89"/>
  <c r="D5" i="89"/>
  <c r="C5" i="89"/>
  <c r="B5" i="89"/>
  <c r="G4" i="88"/>
  <c r="F4" i="88"/>
  <c r="E4" i="88"/>
  <c r="D4" i="88"/>
  <c r="C4" i="88"/>
  <c r="B4" i="88"/>
  <c r="G6" i="87"/>
  <c r="F6" i="87"/>
  <c r="E6" i="87"/>
  <c r="D6" i="87"/>
  <c r="C6" i="87"/>
  <c r="B6" i="87"/>
  <c r="Y9" i="86"/>
  <c r="Y8" i="86"/>
  <c r="K8" i="86"/>
  <c r="I8" i="86"/>
  <c r="H8" i="86"/>
  <c r="G8" i="86"/>
  <c r="G6" i="86" s="1"/>
  <c r="F8" i="86"/>
  <c r="F6" i="86" s="1"/>
  <c r="E8" i="86"/>
  <c r="E6" i="86" s="1"/>
  <c r="D8" i="86"/>
  <c r="D6" i="86" s="1"/>
  <c r="C8" i="86"/>
  <c r="C6" i="86" s="1"/>
  <c r="B8" i="86"/>
  <c r="B6" i="86" s="1"/>
  <c r="I6" i="86"/>
  <c r="H6" i="86"/>
  <c r="B235" i="84" l="1"/>
  <c r="B234" i="84"/>
  <c r="B233" i="84"/>
  <c r="B232" i="84"/>
  <c r="B231" i="84"/>
  <c r="B230" i="84"/>
  <c r="B229" i="84"/>
  <c r="B228" i="84"/>
  <c r="B227" i="84"/>
  <c r="B226" i="84"/>
  <c r="B225" i="84"/>
  <c r="B224" i="84"/>
  <c r="B223" i="84"/>
  <c r="B222" i="84"/>
  <c r="B221" i="84"/>
  <c r="B220" i="84"/>
  <c r="B219" i="84"/>
  <c r="B218" i="84"/>
  <c r="B217" i="84"/>
  <c r="B216" i="84"/>
  <c r="B215" i="84"/>
  <c r="B214" i="84"/>
  <c r="B213" i="84"/>
  <c r="B212" i="84"/>
  <c r="B211" i="84"/>
  <c r="B210" i="84"/>
  <c r="B209" i="84"/>
  <c r="B208" i="84"/>
  <c r="B207" i="84"/>
  <c r="B206" i="84"/>
  <c r="B205" i="84"/>
  <c r="B204" i="84"/>
  <c r="B203" i="84"/>
  <c r="B202" i="84"/>
  <c r="B201" i="84"/>
  <c r="B200" i="84"/>
  <c r="B199" i="84"/>
  <c r="B198" i="84"/>
  <c r="B197" i="84"/>
  <c r="B196" i="84"/>
  <c r="B195" i="84"/>
  <c r="B194" i="84"/>
  <c r="B193" i="84"/>
  <c r="B192" i="84"/>
  <c r="B191" i="84"/>
  <c r="B190" i="84"/>
  <c r="B189" i="84"/>
  <c r="B188" i="84"/>
  <c r="B187" i="84"/>
  <c r="B186" i="84"/>
  <c r="B185" i="84"/>
  <c r="B184" i="84"/>
  <c r="B183" i="84"/>
  <c r="B182" i="84"/>
  <c r="B181" i="84"/>
  <c r="B180" i="84"/>
  <c r="B179" i="84"/>
  <c r="B178" i="84"/>
  <c r="B177" i="84"/>
  <c r="B176" i="84"/>
  <c r="B175" i="84"/>
  <c r="B174" i="84"/>
  <c r="B173" i="84"/>
  <c r="B172" i="84"/>
  <c r="B171" i="84"/>
  <c r="B170" i="84"/>
  <c r="B169" i="84"/>
  <c r="B168" i="84"/>
  <c r="B167" i="84"/>
  <c r="B166" i="84"/>
  <c r="B165" i="84"/>
  <c r="B164" i="84"/>
  <c r="B163" i="84"/>
  <c r="B162" i="84"/>
  <c r="B161" i="84"/>
  <c r="B160" i="84"/>
  <c r="B159" i="84"/>
  <c r="B158" i="84"/>
  <c r="B157" i="84"/>
  <c r="B156" i="84"/>
  <c r="B155" i="84"/>
  <c r="B154" i="84"/>
  <c r="B153" i="84"/>
  <c r="B152" i="84"/>
  <c r="B151" i="84"/>
  <c r="B150" i="84"/>
  <c r="B149" i="84"/>
  <c r="B148" i="84"/>
  <c r="B147" i="84"/>
  <c r="B146" i="84"/>
  <c r="B145" i="84"/>
  <c r="B144" i="84"/>
  <c r="B143" i="84"/>
  <c r="B142" i="84"/>
  <c r="B141" i="84"/>
  <c r="B140" i="84"/>
  <c r="B139" i="84"/>
  <c r="B138" i="84"/>
  <c r="B137" i="84"/>
  <c r="B136" i="84"/>
  <c r="B135" i="84"/>
  <c r="B134" i="84"/>
  <c r="B133" i="84"/>
  <c r="B132" i="84"/>
  <c r="B131" i="84"/>
  <c r="B130" i="84"/>
  <c r="N129" i="84"/>
  <c r="M129" i="84"/>
  <c r="L129" i="84"/>
  <c r="K129" i="84"/>
  <c r="J129" i="84"/>
  <c r="I129" i="84"/>
  <c r="H129" i="84"/>
  <c r="G129" i="84"/>
  <c r="F129" i="84"/>
  <c r="E129" i="84"/>
  <c r="D129" i="84"/>
  <c r="C129" i="84"/>
  <c r="B117" i="84"/>
  <c r="B116" i="84"/>
  <c r="B115" i="84"/>
  <c r="B114" i="84"/>
  <c r="B113" i="84"/>
  <c r="B112" i="84"/>
  <c r="B111" i="84"/>
  <c r="B110" i="84"/>
  <c r="B109" i="84"/>
  <c r="B108" i="84"/>
  <c r="B107" i="84"/>
  <c r="B106" i="84"/>
  <c r="B105" i="84"/>
  <c r="B104" i="84"/>
  <c r="B103" i="84"/>
  <c r="B102" i="84"/>
  <c r="B101" i="84"/>
  <c r="B100" i="84"/>
  <c r="B99" i="84"/>
  <c r="B98" i="84"/>
  <c r="B97" i="84"/>
  <c r="B96" i="84"/>
  <c r="B95" i="84"/>
  <c r="B94" i="84"/>
  <c r="B93" i="84"/>
  <c r="B92" i="84"/>
  <c r="B91" i="84"/>
  <c r="B90" i="84"/>
  <c r="B89" i="84"/>
  <c r="B88" i="84"/>
  <c r="B87" i="84"/>
  <c r="B86" i="84"/>
  <c r="B85" i="84"/>
  <c r="B84" i="84"/>
  <c r="B83" i="84"/>
  <c r="B82" i="84"/>
  <c r="B81" i="84"/>
  <c r="B80" i="84"/>
  <c r="B79" i="84"/>
  <c r="B78" i="84"/>
  <c r="B77" i="84"/>
  <c r="B76" i="84"/>
  <c r="B75" i="84"/>
  <c r="B74" i="84"/>
  <c r="B73" i="84"/>
  <c r="B72" i="84"/>
  <c r="B71" i="84"/>
  <c r="B70" i="84"/>
  <c r="B69" i="84"/>
  <c r="B68" i="84"/>
  <c r="B67" i="84"/>
  <c r="B66" i="84"/>
  <c r="B65" i="84"/>
  <c r="B64" i="84"/>
  <c r="B63" i="84"/>
  <c r="B62" i="84"/>
  <c r="B61" i="84"/>
  <c r="B60" i="84"/>
  <c r="B59" i="84"/>
  <c r="B58" i="84"/>
  <c r="B57" i="84"/>
  <c r="B56" i="84"/>
  <c r="B55" i="84"/>
  <c r="B54" i="84"/>
  <c r="B53" i="84"/>
  <c r="B52" i="84"/>
  <c r="B51" i="84"/>
  <c r="B50" i="84"/>
  <c r="B49" i="84"/>
  <c r="B48" i="84"/>
  <c r="B47" i="84"/>
  <c r="B46" i="84"/>
  <c r="B45" i="84"/>
  <c r="B44" i="84"/>
  <c r="B43" i="84"/>
  <c r="B42" i="84"/>
  <c r="B41" i="84"/>
  <c r="B40" i="84"/>
  <c r="B39" i="84"/>
  <c r="B38" i="84"/>
  <c r="B37" i="84"/>
  <c r="B36" i="84"/>
  <c r="B35" i="84"/>
  <c r="B34" i="84"/>
  <c r="B33" i="84"/>
  <c r="B32" i="84"/>
  <c r="B31" i="84"/>
  <c r="B30" i="84"/>
  <c r="B29" i="84"/>
  <c r="B28" i="84"/>
  <c r="B27" i="84"/>
  <c r="B26" i="84"/>
  <c r="B25" i="84"/>
  <c r="B24" i="84"/>
  <c r="B23" i="84"/>
  <c r="B22" i="84"/>
  <c r="B21" i="84"/>
  <c r="B20" i="84"/>
  <c r="B19" i="84"/>
  <c r="B18" i="84"/>
  <c r="B17" i="84"/>
  <c r="B16" i="84"/>
  <c r="B15" i="84"/>
  <c r="B14" i="84"/>
  <c r="B13" i="84"/>
  <c r="B12" i="84"/>
  <c r="B11" i="84"/>
  <c r="B10" i="84"/>
  <c r="B9" i="84"/>
  <c r="B8" i="84"/>
  <c r="B7" i="84"/>
  <c r="B6" i="84"/>
  <c r="N5" i="84"/>
  <c r="M5" i="84"/>
  <c r="L5" i="84"/>
  <c r="K5" i="84"/>
  <c r="J5" i="84"/>
  <c r="I5" i="84"/>
  <c r="H5" i="84"/>
  <c r="G5" i="84"/>
  <c r="F5" i="84"/>
  <c r="E5" i="84"/>
  <c r="D5" i="84"/>
  <c r="C5" i="84"/>
  <c r="B230" i="83"/>
  <c r="B229" i="83"/>
  <c r="B228" i="83"/>
  <c r="B227" i="83"/>
  <c r="B226" i="83"/>
  <c r="B225" i="83"/>
  <c r="B224" i="83"/>
  <c r="B223" i="83"/>
  <c r="B222" i="83"/>
  <c r="B221" i="83"/>
  <c r="B220" i="83"/>
  <c r="B219" i="83"/>
  <c r="B218" i="83"/>
  <c r="B217" i="83"/>
  <c r="B216" i="83"/>
  <c r="B215" i="83"/>
  <c r="B214" i="83"/>
  <c r="B213" i="83"/>
  <c r="B212" i="83"/>
  <c r="B211" i="83"/>
  <c r="B210" i="83"/>
  <c r="B209" i="83"/>
  <c r="B208" i="83"/>
  <c r="B207" i="83"/>
  <c r="B206" i="83"/>
  <c r="B205" i="83"/>
  <c r="B204" i="83"/>
  <c r="B203" i="83"/>
  <c r="B202" i="83"/>
  <c r="B201" i="83"/>
  <c r="B200" i="83"/>
  <c r="B199" i="83"/>
  <c r="B198" i="83"/>
  <c r="B197" i="83"/>
  <c r="B196" i="83"/>
  <c r="B195" i="83"/>
  <c r="B194" i="83"/>
  <c r="B193" i="83"/>
  <c r="B192" i="83"/>
  <c r="B191" i="83"/>
  <c r="B190" i="83"/>
  <c r="B189" i="83"/>
  <c r="B188" i="83"/>
  <c r="B187" i="83"/>
  <c r="B186" i="83"/>
  <c r="B185" i="83"/>
  <c r="B184" i="83"/>
  <c r="B183" i="83"/>
  <c r="B182" i="83"/>
  <c r="B181" i="83"/>
  <c r="B180" i="83"/>
  <c r="B179" i="83"/>
  <c r="B178" i="83"/>
  <c r="B177" i="83"/>
  <c r="B176" i="83"/>
  <c r="B175" i="83"/>
  <c r="B174" i="83"/>
  <c r="B173" i="83"/>
  <c r="B172" i="83"/>
  <c r="B171" i="83"/>
  <c r="B170" i="83"/>
  <c r="B169" i="83"/>
  <c r="B168" i="83"/>
  <c r="B167" i="83"/>
  <c r="B166" i="83"/>
  <c r="B165" i="83"/>
  <c r="B164" i="83"/>
  <c r="B163" i="83"/>
  <c r="B162" i="83"/>
  <c r="B161" i="83"/>
  <c r="B160" i="83"/>
  <c r="B159" i="83"/>
  <c r="B158" i="83"/>
  <c r="B157" i="83"/>
  <c r="B156" i="83"/>
  <c r="B155" i="83"/>
  <c r="B154" i="83"/>
  <c r="B153" i="83"/>
  <c r="B152" i="83"/>
  <c r="B151" i="83"/>
  <c r="B150" i="83"/>
  <c r="B149" i="83"/>
  <c r="B148" i="83"/>
  <c r="B147" i="83"/>
  <c r="B146" i="83"/>
  <c r="B145" i="83"/>
  <c r="B144" i="83"/>
  <c r="B143" i="83"/>
  <c r="B142" i="83"/>
  <c r="B141" i="83"/>
  <c r="B140" i="83"/>
  <c r="B139" i="83"/>
  <c r="B138" i="83"/>
  <c r="B137" i="83"/>
  <c r="B136" i="83"/>
  <c r="B135" i="83"/>
  <c r="B134" i="83"/>
  <c r="B133" i="83"/>
  <c r="B132" i="83"/>
  <c r="B131" i="83"/>
  <c r="B130" i="83"/>
  <c r="B129" i="83"/>
  <c r="B128" i="83"/>
  <c r="B127" i="83"/>
  <c r="B126" i="83"/>
  <c r="B125" i="83"/>
  <c r="D124" i="83"/>
  <c r="C124" i="83"/>
  <c r="B124" i="83" s="1"/>
  <c r="B116" i="83"/>
  <c r="B115" i="83"/>
  <c r="B114" i="83"/>
  <c r="B113" i="83"/>
  <c r="B112" i="83"/>
  <c r="B111" i="83"/>
  <c r="B110" i="83"/>
  <c r="B109" i="83"/>
  <c r="B108" i="83"/>
  <c r="B107" i="83"/>
  <c r="B106" i="83"/>
  <c r="B105" i="83"/>
  <c r="B104" i="83"/>
  <c r="B103" i="83"/>
  <c r="B102" i="83"/>
  <c r="B101" i="83"/>
  <c r="B100" i="83"/>
  <c r="B99" i="83"/>
  <c r="B98" i="83"/>
  <c r="B97" i="83"/>
  <c r="B96" i="83"/>
  <c r="B95" i="83"/>
  <c r="B94" i="83"/>
  <c r="B93" i="83"/>
  <c r="B92" i="83"/>
  <c r="B91" i="83"/>
  <c r="B90" i="83"/>
  <c r="B89" i="83"/>
  <c r="B88" i="83"/>
  <c r="B87" i="83"/>
  <c r="B86" i="83"/>
  <c r="B85" i="83"/>
  <c r="B84" i="83"/>
  <c r="B83" i="83"/>
  <c r="B82" i="83"/>
  <c r="B81" i="83"/>
  <c r="B80" i="83"/>
  <c r="B79" i="83"/>
  <c r="B78" i="83"/>
  <c r="B77" i="83"/>
  <c r="B76" i="83"/>
  <c r="B75" i="83"/>
  <c r="B74" i="83"/>
  <c r="B73" i="83"/>
  <c r="B72" i="83"/>
  <c r="B71" i="83"/>
  <c r="B70" i="83"/>
  <c r="B69" i="83"/>
  <c r="B68" i="83"/>
  <c r="B67" i="83"/>
  <c r="B66" i="83"/>
  <c r="B65" i="83"/>
  <c r="B64" i="83"/>
  <c r="B63" i="83"/>
  <c r="B62" i="83"/>
  <c r="B61" i="83"/>
  <c r="B60" i="83"/>
  <c r="B59" i="83"/>
  <c r="B58" i="83"/>
  <c r="B57" i="83"/>
  <c r="B56" i="83"/>
  <c r="B55" i="83"/>
  <c r="B54" i="83"/>
  <c r="B53" i="83"/>
  <c r="B52" i="83"/>
  <c r="B51" i="83"/>
  <c r="B50" i="83"/>
  <c r="B49" i="83"/>
  <c r="B48" i="83"/>
  <c r="B47" i="83"/>
  <c r="B46" i="83"/>
  <c r="B45" i="83"/>
  <c r="B44" i="83"/>
  <c r="B43" i="83"/>
  <c r="B42" i="83"/>
  <c r="B41" i="83"/>
  <c r="B40" i="83"/>
  <c r="B39" i="83"/>
  <c r="B38" i="83"/>
  <c r="B37" i="83"/>
  <c r="B36" i="83"/>
  <c r="B35" i="83"/>
  <c r="B34" i="83"/>
  <c r="B33" i="83"/>
  <c r="B32" i="83"/>
  <c r="B31" i="83"/>
  <c r="B30" i="83"/>
  <c r="B29" i="83"/>
  <c r="B28" i="83"/>
  <c r="B27" i="83"/>
  <c r="B26" i="83"/>
  <c r="B25" i="83"/>
  <c r="B24" i="83"/>
  <c r="B23" i="83"/>
  <c r="B22" i="83"/>
  <c r="B21" i="83"/>
  <c r="B20" i="83"/>
  <c r="B19" i="83"/>
  <c r="B18" i="83"/>
  <c r="B17" i="83"/>
  <c r="B16" i="83"/>
  <c r="B15" i="83"/>
  <c r="B14" i="83"/>
  <c r="B13" i="83"/>
  <c r="B12" i="83"/>
  <c r="B11" i="83"/>
  <c r="B10" i="83"/>
  <c r="B9" i="83"/>
  <c r="B8" i="83"/>
  <c r="B7" i="83"/>
  <c r="B6" i="83"/>
  <c r="B5" i="83"/>
  <c r="D4" i="83"/>
  <c r="C4" i="83"/>
  <c r="B4" i="83" s="1"/>
  <c r="U28" i="82"/>
  <c r="P28" i="82" s="1"/>
  <c r="BK51" i="82" s="1"/>
  <c r="N28" i="82"/>
  <c r="I28" i="82" s="1"/>
  <c r="G28" i="82"/>
  <c r="B28" i="82" s="1"/>
  <c r="U27" i="82"/>
  <c r="P27" i="82" s="1"/>
  <c r="N27" i="82"/>
  <c r="I27" i="82" s="1"/>
  <c r="G27" i="82"/>
  <c r="B27" i="82" s="1"/>
  <c r="U26" i="82"/>
  <c r="P26" i="82" s="1"/>
  <c r="N26" i="82"/>
  <c r="I26" i="82" s="1"/>
  <c r="G26" i="82"/>
  <c r="B26" i="82" s="1"/>
  <c r="U25" i="82"/>
  <c r="P25" i="82" s="1"/>
  <c r="BK48" i="82" s="1"/>
  <c r="N25" i="82"/>
  <c r="I25" i="82" s="1"/>
  <c r="G25" i="82"/>
  <c r="B25" i="82" s="1"/>
  <c r="U24" i="82"/>
  <c r="P24" i="82" s="1"/>
  <c r="BK47" i="82" s="1"/>
  <c r="N24" i="82"/>
  <c r="I24" i="82" s="1"/>
  <c r="G24" i="82"/>
  <c r="B24" i="82" s="1"/>
  <c r="U23" i="82"/>
  <c r="P23" i="82" s="1"/>
  <c r="BK46" i="82" s="1"/>
  <c r="N23" i="82"/>
  <c r="I23" i="82" s="1"/>
  <c r="G23" i="82"/>
  <c r="B23" i="82" s="1"/>
  <c r="T22" i="82"/>
  <c r="S22" i="82"/>
  <c r="R22" i="82"/>
  <c r="Q22" i="82"/>
  <c r="M22" i="82"/>
  <c r="L22" i="82"/>
  <c r="K22" i="82"/>
  <c r="J22" i="82"/>
  <c r="F22" i="82"/>
  <c r="E22" i="82"/>
  <c r="D22" i="82"/>
  <c r="C22" i="82"/>
  <c r="U21" i="82"/>
  <c r="P21" i="82" s="1"/>
  <c r="N21" i="82"/>
  <c r="I21" i="82" s="1"/>
  <c r="G21" i="82"/>
  <c r="B21" i="82" s="1"/>
  <c r="U20" i="82"/>
  <c r="P20" i="82" s="1"/>
  <c r="BJ50" i="82" s="1"/>
  <c r="N20" i="82"/>
  <c r="I20" i="82" s="1"/>
  <c r="G20" i="82"/>
  <c r="B20" i="82" s="1"/>
  <c r="BM64" i="82"/>
  <c r="U19" i="82"/>
  <c r="N19" i="82"/>
  <c r="I19" i="82" s="1"/>
  <c r="G19" i="82"/>
  <c r="B19" i="82" s="1"/>
  <c r="U18" i="82"/>
  <c r="P18" i="82" s="1"/>
  <c r="N18" i="82"/>
  <c r="I18" i="82" s="1"/>
  <c r="G18" i="82"/>
  <c r="U17" i="82"/>
  <c r="P17" i="82" s="1"/>
  <c r="N17" i="82"/>
  <c r="I17" i="82" s="1"/>
  <c r="G17" i="82"/>
  <c r="U16" i="82"/>
  <c r="P16" i="82" s="1"/>
  <c r="BJ46" i="82" s="1"/>
  <c r="N16" i="82"/>
  <c r="I16" i="82" s="1"/>
  <c r="G16" i="82"/>
  <c r="T15" i="82"/>
  <c r="S15" i="82"/>
  <c r="S8" i="82" s="1"/>
  <c r="R15" i="82"/>
  <c r="Q15" i="82"/>
  <c r="M15" i="82"/>
  <c r="L15" i="82"/>
  <c r="K15" i="82"/>
  <c r="J15" i="82"/>
  <c r="F15" i="82"/>
  <c r="E15" i="82"/>
  <c r="D15" i="82"/>
  <c r="C15" i="82"/>
  <c r="T14" i="82"/>
  <c r="S14" i="82"/>
  <c r="R14" i="82"/>
  <c r="Q14" i="82"/>
  <c r="M14" i="82"/>
  <c r="L14" i="82"/>
  <c r="K14" i="82"/>
  <c r="J14" i="82"/>
  <c r="F14" i="82"/>
  <c r="E14" i="82"/>
  <c r="D14" i="82"/>
  <c r="C14" i="82"/>
  <c r="T13" i="82"/>
  <c r="S13" i="82"/>
  <c r="R13" i="82"/>
  <c r="Q13" i="82"/>
  <c r="M13" i="82"/>
  <c r="L13" i="82"/>
  <c r="K13" i="82"/>
  <c r="J13" i="82"/>
  <c r="F13" i="82"/>
  <c r="E13" i="82"/>
  <c r="D13" i="82"/>
  <c r="C13" i="82"/>
  <c r="T12" i="82"/>
  <c r="S12" i="82"/>
  <c r="R12" i="82"/>
  <c r="Q12" i="82"/>
  <c r="M12" i="82"/>
  <c r="L12" i="82"/>
  <c r="K12" i="82"/>
  <c r="J12" i="82"/>
  <c r="F12" i="82"/>
  <c r="E12" i="82"/>
  <c r="D12" i="82"/>
  <c r="C12" i="82"/>
  <c r="T11" i="82"/>
  <c r="S11" i="82"/>
  <c r="R11" i="82"/>
  <c r="Q11" i="82"/>
  <c r="M11" i="82"/>
  <c r="L11" i="82"/>
  <c r="K11" i="82"/>
  <c r="J11" i="82"/>
  <c r="F11" i="82"/>
  <c r="E11" i="82"/>
  <c r="D11" i="82"/>
  <c r="C11" i="82"/>
  <c r="T10" i="82"/>
  <c r="S10" i="82"/>
  <c r="R10" i="82"/>
  <c r="Q10" i="82"/>
  <c r="M10" i="82"/>
  <c r="L10" i="82"/>
  <c r="K10" i="82"/>
  <c r="J10" i="82"/>
  <c r="F10" i="82"/>
  <c r="E10" i="82"/>
  <c r="D10" i="82"/>
  <c r="C10" i="82"/>
  <c r="T9" i="82"/>
  <c r="S9" i="82"/>
  <c r="R9" i="82"/>
  <c r="Q9" i="82"/>
  <c r="M9" i="82"/>
  <c r="L9" i="82"/>
  <c r="K9" i="82"/>
  <c r="J9" i="82"/>
  <c r="F9" i="82"/>
  <c r="E9" i="82"/>
  <c r="D9" i="82"/>
  <c r="C9" i="82"/>
  <c r="H15" i="81"/>
  <c r="E15" i="81"/>
  <c r="B15" i="81"/>
  <c r="H14" i="81"/>
  <c r="E14" i="81"/>
  <c r="B14" i="81"/>
  <c r="H13" i="81"/>
  <c r="E13" i="81"/>
  <c r="B13" i="81"/>
  <c r="H12" i="81"/>
  <c r="E12" i="81"/>
  <c r="B12" i="81"/>
  <c r="H11" i="81"/>
  <c r="E11" i="81"/>
  <c r="B11" i="81"/>
  <c r="H10" i="81"/>
  <c r="E10" i="81"/>
  <c r="B10" i="81"/>
  <c r="H9" i="81"/>
  <c r="E9" i="81"/>
  <c r="B9" i="81"/>
  <c r="H8" i="81"/>
  <c r="E8" i="81"/>
  <c r="B8" i="81"/>
  <c r="J7" i="81"/>
  <c r="AD21" i="81" s="1"/>
  <c r="I7" i="81"/>
  <c r="G7" i="81"/>
  <c r="AD20" i="81" s="1"/>
  <c r="F7" i="81"/>
  <c r="D7" i="81"/>
  <c r="C7" i="81"/>
  <c r="G11" i="82" l="1"/>
  <c r="U10" i="82"/>
  <c r="K8" i="82"/>
  <c r="BK40" i="82" s="1"/>
  <c r="U11" i="82"/>
  <c r="F8" i="82"/>
  <c r="N11" i="82"/>
  <c r="J8" i="82"/>
  <c r="BJ40" i="82" s="1"/>
  <c r="L8" i="82"/>
  <c r="N9" i="82"/>
  <c r="C8" i="82"/>
  <c r="BJ39" i="82" s="1"/>
  <c r="Q8" i="82"/>
  <c r="BJ41" i="82" s="1"/>
  <c r="G10" i="82"/>
  <c r="G13" i="82"/>
  <c r="D8" i="82"/>
  <c r="BK39" i="82" s="1"/>
  <c r="M8" i="82"/>
  <c r="U12" i="82"/>
  <c r="I12" i="82"/>
  <c r="BO63" i="82" s="1"/>
  <c r="I11" i="82"/>
  <c r="BO62" i="82" s="1"/>
  <c r="N12" i="82"/>
  <c r="I13" i="82"/>
  <c r="BO64" i="82" s="1"/>
  <c r="T8" i="82"/>
  <c r="N13" i="82"/>
  <c r="B17" i="82"/>
  <c r="B10" i="82" s="1"/>
  <c r="BN61" i="82" s="1"/>
  <c r="N22" i="82"/>
  <c r="I22" i="82" s="1"/>
  <c r="B7" i="81"/>
  <c r="E7" i="81"/>
  <c r="AB20" i="81" s="1"/>
  <c r="B5" i="84"/>
  <c r="B118" i="84"/>
  <c r="P9" i="82"/>
  <c r="BP60" i="82" s="1"/>
  <c r="B18" i="82"/>
  <c r="B11" i="82" s="1"/>
  <c r="BN62" i="82" s="1"/>
  <c r="P19" i="82"/>
  <c r="BJ49" i="82" s="1"/>
  <c r="U22" i="82"/>
  <c r="P22" i="82" s="1"/>
  <c r="BM62" i="82"/>
  <c r="B129" i="84"/>
  <c r="P13" i="82"/>
  <c r="BP64" i="82" s="1"/>
  <c r="BK50" i="82"/>
  <c r="BL50" i="82" s="1"/>
  <c r="BN50" i="82" s="1"/>
  <c r="B12" i="82"/>
  <c r="BN63" i="82" s="1"/>
  <c r="BK49" i="82"/>
  <c r="U13" i="82"/>
  <c r="P10" i="82"/>
  <c r="BP61" i="82" s="1"/>
  <c r="BJ47" i="82"/>
  <c r="AC20" i="81"/>
  <c r="U14" i="82"/>
  <c r="BM63" i="82"/>
  <c r="B14" i="82"/>
  <c r="BN65" i="82" s="1"/>
  <c r="E8" i="82"/>
  <c r="BM60" i="82"/>
  <c r="N14" i="82"/>
  <c r="G15" i="82"/>
  <c r="B15" i="82" s="1"/>
  <c r="P14" i="82"/>
  <c r="BP65" i="82" s="1"/>
  <c r="BJ51" i="82"/>
  <c r="BL51" i="82" s="1"/>
  <c r="BM51" i="82" s="1"/>
  <c r="H7" i="81"/>
  <c r="AB21" i="81" s="1"/>
  <c r="AC21" i="81"/>
  <c r="B13" i="82"/>
  <c r="BN64" i="82" s="1"/>
  <c r="P11" i="82"/>
  <c r="BP62" i="82" s="1"/>
  <c r="BJ48" i="82"/>
  <c r="BL48" i="82" s="1"/>
  <c r="BM48" i="82" s="1"/>
  <c r="BM61" i="82"/>
  <c r="I9" i="82"/>
  <c r="BO60" i="82" s="1"/>
  <c r="I10" i="82"/>
  <c r="BO61" i="82" s="1"/>
  <c r="I14" i="82"/>
  <c r="BO65" i="82" s="1"/>
  <c r="BM65" i="82"/>
  <c r="G12" i="82"/>
  <c r="R8" i="82"/>
  <c r="BK41" i="82" s="1"/>
  <c r="G22" i="82"/>
  <c r="G9" i="82"/>
  <c r="N10" i="82"/>
  <c r="U15" i="82"/>
  <c r="B16" i="82"/>
  <c r="B9" i="82" s="1"/>
  <c r="BN60" i="82" s="1"/>
  <c r="BK80" i="82"/>
  <c r="G14" i="82"/>
  <c r="N15" i="82"/>
  <c r="U9" i="82"/>
  <c r="G8" i="82" l="1"/>
  <c r="BL39" i="82" s="1"/>
  <c r="BL49" i="82"/>
  <c r="BN49" i="82" s="1"/>
  <c r="BJ80" i="82"/>
  <c r="BK82" i="82" s="1"/>
  <c r="U8" i="82"/>
  <c r="BL41" i="82" s="1"/>
  <c r="P12" i="82"/>
  <c r="BP63" i="82" s="1"/>
  <c r="BN48" i="82"/>
  <c r="BM50" i="82"/>
  <c r="B22" i="82"/>
  <c r="B8" i="82" s="1"/>
  <c r="BL47" i="82"/>
  <c r="BN47" i="82" s="1"/>
  <c r="N8" i="82"/>
  <c r="I15" i="82"/>
  <c r="I8" i="82" s="1"/>
  <c r="P15" i="82"/>
  <c r="P8" i="82" s="1"/>
  <c r="BN51" i="82"/>
  <c r="BL46" i="82"/>
  <c r="BN46" i="82" s="1"/>
  <c r="BM49" i="82" l="1"/>
  <c r="BM47" i="82"/>
  <c r="BL80" i="82"/>
  <c r="BL40" i="82"/>
  <c r="BM46" i="82"/>
  <c r="BL82" i="82" l="1"/>
  <c r="BI80" i="82"/>
  <c r="BJ82" i="82" s="1"/>
  <c r="Z13" i="77" l="1"/>
  <c r="Z7" i="77"/>
  <c r="Q13" i="79" l="1"/>
  <c r="N13" i="79"/>
  <c r="K13" i="79"/>
  <c r="H13" i="79"/>
  <c r="E13" i="79"/>
  <c r="B13" i="79"/>
  <c r="Q12" i="79"/>
  <c r="N12" i="79"/>
  <c r="K12" i="79"/>
  <c r="H12" i="79"/>
  <c r="E12" i="79"/>
  <c r="B12" i="79"/>
  <c r="Q11" i="79"/>
  <c r="N11" i="79"/>
  <c r="K11" i="79"/>
  <c r="H11" i="79"/>
  <c r="E11" i="79"/>
  <c r="B11" i="79"/>
  <c r="Q10" i="79"/>
  <c r="N10" i="79"/>
  <c r="K10" i="79"/>
  <c r="H10" i="79"/>
  <c r="E10" i="79"/>
  <c r="B10" i="79"/>
  <c r="Q9" i="79"/>
  <c r="N9" i="79"/>
  <c r="K9" i="79"/>
  <c r="H9" i="79"/>
  <c r="E9" i="79"/>
  <c r="B9" i="79"/>
  <c r="Q8" i="79"/>
  <c r="N8" i="79"/>
  <c r="K8" i="79"/>
  <c r="H8" i="79"/>
  <c r="E8" i="79"/>
  <c r="B8" i="79"/>
  <c r="S7" i="79"/>
  <c r="R7" i="79"/>
  <c r="P7" i="79"/>
  <c r="O7" i="79"/>
  <c r="N7" i="79" s="1"/>
  <c r="M7" i="79"/>
  <c r="L7" i="79"/>
  <c r="J7" i="79"/>
  <c r="I7" i="79"/>
  <c r="G7" i="79"/>
  <c r="F7" i="79"/>
  <c r="D7" i="79"/>
  <c r="C7" i="79"/>
  <c r="B7" i="79" s="1"/>
  <c r="T16" i="77"/>
  <c r="N16" i="77"/>
  <c r="K16" i="77"/>
  <c r="H16" i="77"/>
  <c r="E16" i="77"/>
  <c r="B16" i="77"/>
  <c r="T15" i="77"/>
  <c r="N15" i="77"/>
  <c r="K15" i="77"/>
  <c r="H15" i="77"/>
  <c r="E15" i="77"/>
  <c r="B15" i="77"/>
  <c r="T14" i="77"/>
  <c r="N14" i="77"/>
  <c r="K14" i="77"/>
  <c r="H14" i="77"/>
  <c r="E14" i="77"/>
  <c r="B14" i="77"/>
  <c r="N13" i="77"/>
  <c r="K13" i="77"/>
  <c r="H13" i="77"/>
  <c r="E13" i="77"/>
  <c r="B13" i="77"/>
  <c r="T12" i="77"/>
  <c r="N12" i="77"/>
  <c r="K12" i="77"/>
  <c r="H12" i="77"/>
  <c r="E12" i="77"/>
  <c r="B12" i="77"/>
  <c r="T11" i="77"/>
  <c r="N11" i="77"/>
  <c r="K11" i="77"/>
  <c r="H11" i="77"/>
  <c r="E11" i="77"/>
  <c r="B11" i="77"/>
  <c r="T10" i="77"/>
  <c r="N10" i="77"/>
  <c r="K10" i="77"/>
  <c r="H10" i="77"/>
  <c r="E10" i="77"/>
  <c r="B10" i="77"/>
  <c r="T9" i="77"/>
  <c r="N9" i="77"/>
  <c r="K9" i="77"/>
  <c r="H9" i="77"/>
  <c r="E9" i="77"/>
  <c r="B9" i="77"/>
  <c r="AV8" i="77"/>
  <c r="T8" i="77"/>
  <c r="N8" i="77"/>
  <c r="K8" i="77"/>
  <c r="H8" i="77"/>
  <c r="E8" i="77"/>
  <c r="B8" i="77"/>
  <c r="AV7" i="77"/>
  <c r="Y7" i="77"/>
  <c r="X7" i="77"/>
  <c r="V7" i="77"/>
  <c r="U7" i="77"/>
  <c r="T7" i="77" s="1"/>
  <c r="S7" i="77"/>
  <c r="R7" i="77"/>
  <c r="P7" i="77"/>
  <c r="O7" i="77"/>
  <c r="N7" i="77" s="1"/>
  <c r="M7" i="77"/>
  <c r="L7" i="77"/>
  <c r="K7" i="77" s="1"/>
  <c r="J7" i="77"/>
  <c r="I7" i="77"/>
  <c r="G7" i="77"/>
  <c r="F7" i="77"/>
  <c r="D7" i="77"/>
  <c r="C7" i="77"/>
  <c r="W7" i="77" l="1"/>
  <c r="Q7" i="77"/>
  <c r="E7" i="77"/>
  <c r="Q7" i="79"/>
  <c r="B7" i="77"/>
  <c r="K7" i="79"/>
  <c r="E7" i="79"/>
  <c r="H7" i="79"/>
  <c r="H7" i="77"/>
  <c r="F6" i="74" l="1"/>
  <c r="AM16" i="76" l="1"/>
  <c r="AL16" i="76"/>
  <c r="AK16" i="76"/>
  <c r="AJ16" i="76"/>
  <c r="AI16" i="76"/>
  <c r="AH16" i="76"/>
  <c r="AG16" i="76"/>
  <c r="AM15" i="76"/>
  <c r="AL15" i="76"/>
  <c r="AK15" i="76"/>
  <c r="AJ15" i="76"/>
  <c r="AI15" i="76"/>
  <c r="AH15" i="76"/>
  <c r="AG15" i="76"/>
  <c r="L6" i="76"/>
  <c r="AN17" i="76" s="1"/>
  <c r="K6" i="76"/>
  <c r="J6" i="76"/>
  <c r="I6" i="76"/>
  <c r="H6" i="76"/>
  <c r="G6" i="76"/>
  <c r="F6" i="76"/>
  <c r="E6" i="76"/>
  <c r="D6" i="76"/>
  <c r="AF17" i="76" s="1"/>
  <c r="C6" i="76"/>
  <c r="AE17" i="76" s="1"/>
  <c r="B6" i="76"/>
  <c r="AD17" i="76" s="1"/>
  <c r="D6" i="74"/>
  <c r="C6" i="74"/>
  <c r="B6" i="74"/>
  <c r="T17" i="73"/>
  <c r="T16" i="73"/>
  <c r="S16" i="73"/>
  <c r="R16" i="73"/>
  <c r="Q16" i="73"/>
  <c r="F10" i="73"/>
  <c r="E10" i="73"/>
  <c r="D10" i="73"/>
  <c r="C10" i="73"/>
  <c r="B10" i="73"/>
  <c r="F7" i="73"/>
  <c r="E7" i="73"/>
  <c r="D7" i="73"/>
  <c r="C7" i="73"/>
  <c r="B7" i="73"/>
  <c r="C6" i="73"/>
  <c r="B6" i="73"/>
  <c r="E6" i="73"/>
  <c r="D6" i="73"/>
  <c r="B5" i="73"/>
  <c r="AZ13" i="70"/>
  <c r="CE9" i="70" s="1"/>
  <c r="AY13" i="70"/>
  <c r="AX13" i="70"/>
  <c r="AW13" i="70"/>
  <c r="AW6" i="70" s="1"/>
  <c r="AV13" i="70"/>
  <c r="AU13" i="70"/>
  <c r="CD9" i="70" s="1"/>
  <c r="AT13" i="70"/>
  <c r="AT6" i="70" s="1"/>
  <c r="BX7" i="70" s="1"/>
  <c r="AS13" i="70"/>
  <c r="AR13" i="70"/>
  <c r="AQ13" i="70"/>
  <c r="AP13" i="70"/>
  <c r="CC9" i="70" s="1"/>
  <c r="BX32" i="70" s="1"/>
  <c r="AO13" i="70"/>
  <c r="AO6" i="70" s="1"/>
  <c r="BW7" i="70" s="1"/>
  <c r="BX24" i="70" s="1"/>
  <c r="AN13" i="70"/>
  <c r="AM13" i="70"/>
  <c r="AL13" i="70"/>
  <c r="AL6" i="70" s="1"/>
  <c r="AK13" i="70"/>
  <c r="CB9" i="70" s="1"/>
  <c r="BW32" i="70" s="1"/>
  <c r="AJ13" i="70"/>
  <c r="AI13" i="70"/>
  <c r="AH13" i="70"/>
  <c r="AG13" i="70"/>
  <c r="AF13" i="70"/>
  <c r="AE13" i="70"/>
  <c r="BU9" i="70" s="1"/>
  <c r="AD13" i="70"/>
  <c r="AD6" i="70" s="1"/>
  <c r="AC13" i="70"/>
  <c r="AB13" i="70"/>
  <c r="AA13" i="70"/>
  <c r="Z13" i="70"/>
  <c r="BT9" i="70" s="1"/>
  <c r="Y13" i="70"/>
  <c r="X13" i="70"/>
  <c r="W13" i="70"/>
  <c r="V13" i="70"/>
  <c r="V6" i="70" s="1"/>
  <c r="U13" i="70"/>
  <c r="T13" i="70"/>
  <c r="S13" i="70"/>
  <c r="R13" i="70"/>
  <c r="Q13" i="70"/>
  <c r="P13" i="70"/>
  <c r="O13" i="70"/>
  <c r="N13" i="70"/>
  <c r="N6" i="70" s="1"/>
  <c r="M13" i="70"/>
  <c r="L13" i="70"/>
  <c r="K13" i="70"/>
  <c r="J13" i="70"/>
  <c r="I13" i="70"/>
  <c r="H13" i="70"/>
  <c r="F13" i="70"/>
  <c r="E13" i="70"/>
  <c r="E6" i="70" s="1"/>
  <c r="D13" i="70"/>
  <c r="C13" i="70"/>
  <c r="B13" i="70"/>
  <c r="CA9" i="70"/>
  <c r="BZ9" i="70"/>
  <c r="AZ7" i="70"/>
  <c r="CE8" i="70" s="1"/>
  <c r="AY7" i="70"/>
  <c r="AX7" i="70"/>
  <c r="AX6" i="70" s="1"/>
  <c r="AW7" i="70"/>
  <c r="AV7" i="70"/>
  <c r="AV6" i="70" s="1"/>
  <c r="AU7" i="70"/>
  <c r="CD8" i="70" s="1"/>
  <c r="AT7" i="70"/>
  <c r="BX8" i="70" s="1"/>
  <c r="AS7" i="70"/>
  <c r="AR7" i="70"/>
  <c r="AQ7" i="70"/>
  <c r="AP7" i="70"/>
  <c r="AP6" i="70" s="1"/>
  <c r="CC7" i="70" s="1"/>
  <c r="BX30" i="70" s="1"/>
  <c r="AO7" i="70"/>
  <c r="BW8" i="70" s="1"/>
  <c r="BX25" i="70" s="1"/>
  <c r="AN7" i="70"/>
  <c r="AN6" i="70" s="1"/>
  <c r="AM7" i="70"/>
  <c r="AL7" i="70"/>
  <c r="AK7" i="70"/>
  <c r="CB8" i="70" s="1"/>
  <c r="BW31" i="70" s="1"/>
  <c r="AJ7" i="70"/>
  <c r="BV8" i="70" s="1"/>
  <c r="BW25" i="70" s="1"/>
  <c r="AI7" i="70"/>
  <c r="AH7" i="70"/>
  <c r="AH6" i="70" s="1"/>
  <c r="AG7" i="70"/>
  <c r="AF7" i="70"/>
  <c r="AE7" i="70"/>
  <c r="BU8" i="70" s="1"/>
  <c r="AD7" i="70"/>
  <c r="AC7" i="70"/>
  <c r="AC6" i="70" s="1"/>
  <c r="AB7" i="70"/>
  <c r="AA7" i="70"/>
  <c r="BZ8" i="70" s="1"/>
  <c r="Z7" i="70"/>
  <c r="Z6" i="70" s="1"/>
  <c r="BT7" i="70" s="1"/>
  <c r="Y7" i="70"/>
  <c r="X7" i="70"/>
  <c r="X6" i="70" s="1"/>
  <c r="W7" i="70"/>
  <c r="W6" i="70" s="1"/>
  <c r="V7" i="70"/>
  <c r="U7" i="70"/>
  <c r="U6" i="70" s="1"/>
  <c r="T7" i="70"/>
  <c r="S7" i="70"/>
  <c r="R7" i="70"/>
  <c r="R6" i="70" s="1"/>
  <c r="Q7" i="70"/>
  <c r="P7" i="70"/>
  <c r="P6" i="70" s="1"/>
  <c r="O7" i="70"/>
  <c r="O6" i="70" s="1"/>
  <c r="N7" i="70"/>
  <c r="M7" i="70"/>
  <c r="L7" i="70"/>
  <c r="K7" i="70"/>
  <c r="J7" i="70"/>
  <c r="J6" i="70" s="1"/>
  <c r="I7" i="70"/>
  <c r="H7" i="70"/>
  <c r="H6" i="70" s="1"/>
  <c r="F7" i="70"/>
  <c r="E7" i="70"/>
  <c r="D7" i="70"/>
  <c r="D6" i="70" s="1"/>
  <c r="C7" i="70"/>
  <c r="C6" i="70" s="1"/>
  <c r="B7" i="70"/>
  <c r="B6" i="70" s="1"/>
  <c r="AY6" i="70"/>
  <c r="AQ6" i="70"/>
  <c r="AM6" i="70"/>
  <c r="AI6" i="70"/>
  <c r="AA6" i="70"/>
  <c r="BZ7" i="70" s="1"/>
  <c r="S6" i="70"/>
  <c r="M6" i="70"/>
  <c r="K6" i="70"/>
  <c r="F6" i="70"/>
  <c r="AE287" i="69"/>
  <c r="AE284" i="69"/>
  <c r="AE283" i="69"/>
  <c r="AG255" i="69"/>
  <c r="X6" i="69"/>
  <c r="AG254" i="69" s="1"/>
  <c r="V6" i="69"/>
  <c r="U6" i="69"/>
  <c r="R6" i="69"/>
  <c r="AF254" i="69" s="1"/>
  <c r="P6" i="69"/>
  <c r="O6" i="69"/>
  <c r="L6" i="69"/>
  <c r="J6" i="69"/>
  <c r="I6" i="69"/>
  <c r="F6" i="69"/>
  <c r="D6" i="69"/>
  <c r="C6" i="69"/>
  <c r="L25" i="67"/>
  <c r="K25" i="67"/>
  <c r="J25" i="67"/>
  <c r="I25" i="67"/>
  <c r="H25" i="67"/>
  <c r="G25" i="67"/>
  <c r="F25" i="67"/>
  <c r="E25" i="67"/>
  <c r="D25" i="67"/>
  <c r="C25" i="67"/>
  <c r="B25" i="67"/>
  <c r="L24" i="67"/>
  <c r="K24" i="67"/>
  <c r="J24" i="67"/>
  <c r="I24" i="67"/>
  <c r="H24" i="67"/>
  <c r="G24" i="67"/>
  <c r="F24" i="67"/>
  <c r="E24" i="67"/>
  <c r="D24" i="67"/>
  <c r="C24" i="67"/>
  <c r="B24" i="67"/>
  <c r="L23" i="67"/>
  <c r="K23" i="67"/>
  <c r="J23" i="67"/>
  <c r="I23" i="67"/>
  <c r="H23" i="67"/>
  <c r="G23" i="67"/>
  <c r="F23" i="67"/>
  <c r="E23" i="67"/>
  <c r="D23" i="67"/>
  <c r="C23" i="67"/>
  <c r="B23" i="67"/>
  <c r="L22" i="67"/>
  <c r="K22" i="67"/>
  <c r="J22" i="67"/>
  <c r="I22" i="67"/>
  <c r="H22" i="67"/>
  <c r="G22" i="67"/>
  <c r="F22" i="67"/>
  <c r="E22" i="67"/>
  <c r="D22" i="67"/>
  <c r="C22" i="67"/>
  <c r="B22" i="67"/>
  <c r="L21" i="67"/>
  <c r="K21" i="67"/>
  <c r="J21" i="67"/>
  <c r="I21" i="67"/>
  <c r="H21" i="67"/>
  <c r="G21" i="67"/>
  <c r="F21" i="67"/>
  <c r="E21" i="67"/>
  <c r="D21" i="67"/>
  <c r="C21" i="67"/>
  <c r="B21" i="67"/>
  <c r="L20" i="67"/>
  <c r="K20" i="67"/>
  <c r="J20" i="67"/>
  <c r="I20" i="67"/>
  <c r="H20" i="67"/>
  <c r="G20" i="67"/>
  <c r="F20" i="67"/>
  <c r="E20" i="67"/>
  <c r="L18" i="67"/>
  <c r="L17" i="67"/>
  <c r="K5" i="67"/>
  <c r="K13" i="67" s="1"/>
  <c r="J5" i="67"/>
  <c r="J18" i="67" s="1"/>
  <c r="I5" i="67"/>
  <c r="I13" i="67" s="1"/>
  <c r="H5" i="67"/>
  <c r="H14" i="67" s="1"/>
  <c r="G5" i="67"/>
  <c r="F5" i="67"/>
  <c r="F14" i="67" s="1"/>
  <c r="E5" i="67"/>
  <c r="E17" i="67" s="1"/>
  <c r="D5" i="67"/>
  <c r="D17" i="67" s="1"/>
  <c r="C5" i="67"/>
  <c r="C15" i="67" s="1"/>
  <c r="B5" i="67"/>
  <c r="B18" i="67" s="1"/>
  <c r="BW9" i="70" l="1"/>
  <c r="BX26" i="70" s="1"/>
  <c r="BX9" i="70"/>
  <c r="AU6" i="70"/>
  <c r="CD7" i="70" s="1"/>
  <c r="I6" i="70"/>
  <c r="Q6" i="70"/>
  <c r="Y6" i="70"/>
  <c r="AG6" i="70"/>
  <c r="AJ6" i="70"/>
  <c r="BV7" i="70" s="1"/>
  <c r="BW24" i="70" s="1"/>
  <c r="AE6" i="70"/>
  <c r="BU7" i="70" s="1"/>
  <c r="AS6" i="70"/>
  <c r="AG17" i="76"/>
  <c r="AH13" i="76"/>
  <c r="AK13" i="76"/>
  <c r="AL17" i="76"/>
  <c r="B4" i="73"/>
  <c r="C4" i="73"/>
  <c r="G19" i="67"/>
  <c r="E15" i="67"/>
  <c r="B19" i="67"/>
  <c r="B16" i="67"/>
  <c r="J16" i="67"/>
  <c r="CA8" i="70"/>
  <c r="AF6" i="70"/>
  <c r="CA7" i="70" s="1"/>
  <c r="P5" i="69"/>
  <c r="AI17" i="76"/>
  <c r="AG260" i="69"/>
  <c r="U5" i="69"/>
  <c r="AG280" i="69"/>
  <c r="L6" i="70"/>
  <c r="T6" i="70"/>
  <c r="AB6" i="70"/>
  <c r="AR6" i="70"/>
  <c r="BV9" i="70"/>
  <c r="BW26" i="70" s="1"/>
  <c r="I5" i="69"/>
  <c r="J19" i="67"/>
  <c r="W6" i="69"/>
  <c r="AG229" i="69" s="1"/>
  <c r="AG240" i="69" s="1"/>
  <c r="AZ6" i="70"/>
  <c r="CE7" i="70" s="1"/>
  <c r="AI13" i="76"/>
  <c r="AJ17" i="76"/>
  <c r="AF259" i="69"/>
  <c r="L5" i="69"/>
  <c r="BY8" i="70"/>
  <c r="BZ25" i="70"/>
  <c r="E4" i="73"/>
  <c r="AJ13" i="76"/>
  <c r="AK17" i="76"/>
  <c r="BY7" i="70"/>
  <c r="BZ24" i="70"/>
  <c r="S6" i="69"/>
  <c r="AF246" i="69" s="1"/>
  <c r="AM17" i="76"/>
  <c r="AE285" i="69"/>
  <c r="H19" i="67"/>
  <c r="K15" i="67"/>
  <c r="L19" i="67"/>
  <c r="O5" i="69"/>
  <c r="AE279" i="69"/>
  <c r="AE288" i="69"/>
  <c r="V5" i="69"/>
  <c r="AK6" i="70"/>
  <c r="CB7" i="70" s="1"/>
  <c r="BW30" i="70" s="1"/>
  <c r="AL13" i="76"/>
  <c r="D18" i="67"/>
  <c r="J5" i="69"/>
  <c r="G6" i="69"/>
  <c r="AE281" i="69"/>
  <c r="BY9" i="70"/>
  <c r="BZ26" i="70"/>
  <c r="AH17" i="76"/>
  <c r="D4" i="73"/>
  <c r="F4" i="73"/>
  <c r="AM13" i="76"/>
  <c r="BT8" i="70"/>
  <c r="CC8" i="70"/>
  <c r="BX31" i="70" s="1"/>
  <c r="M6" i="69"/>
  <c r="AE246" i="69" s="1"/>
  <c r="K6" i="69"/>
  <c r="AF260" i="69"/>
  <c r="Y6" i="69"/>
  <c r="E6" i="69"/>
  <c r="AG259" i="69"/>
  <c r="AG272" i="69"/>
  <c r="AE275" i="69"/>
  <c r="AF261" i="69"/>
  <c r="AE254" i="69"/>
  <c r="AG273" i="69"/>
  <c r="C5" i="69"/>
  <c r="Q6" i="69"/>
  <c r="AG274" i="69"/>
  <c r="AG277" i="69"/>
  <c r="D5" i="69"/>
  <c r="X5" i="69"/>
  <c r="AG253" i="69" s="1"/>
  <c r="AG270" i="69"/>
  <c r="AE269" i="69"/>
  <c r="AE271" i="69"/>
  <c r="AE273" i="69"/>
  <c r="AG275" i="69"/>
  <c r="AF274" i="69"/>
  <c r="AG285" i="69"/>
  <c r="AF309" i="69" s="1"/>
  <c r="AG278" i="69"/>
  <c r="AE270" i="69"/>
  <c r="AG271" i="69"/>
  <c r="AE272" i="69"/>
  <c r="AG281" i="69"/>
  <c r="AF305" i="69" s="1"/>
  <c r="AF277" i="69"/>
  <c r="AE277" i="69"/>
  <c r="AG279" i="69"/>
  <c r="AF303" i="69" s="1"/>
  <c r="AG282" i="69"/>
  <c r="AF285" i="69"/>
  <c r="AE274" i="69"/>
  <c r="AE276" i="69"/>
  <c r="AE278" i="69"/>
  <c r="AE280" i="69"/>
  <c r="AE282" i="69"/>
  <c r="AE286" i="69"/>
  <c r="AF282" i="69"/>
  <c r="AF287" i="69"/>
  <c r="AG288" i="69"/>
  <c r="AG287" i="69"/>
  <c r="AF311" i="69" s="1"/>
  <c r="AG284" i="69"/>
  <c r="AF308" i="69" s="1"/>
  <c r="J13" i="67"/>
  <c r="G14" i="67"/>
  <c r="D15" i="67"/>
  <c r="L15" i="67"/>
  <c r="I16" i="67"/>
  <c r="F17" i="67"/>
  <c r="C18" i="67"/>
  <c r="K18" i="67"/>
  <c r="I19" i="67"/>
  <c r="D13" i="67"/>
  <c r="L13" i="67"/>
  <c r="I14" i="67"/>
  <c r="F15" i="67"/>
  <c r="C16" i="67"/>
  <c r="K16" i="67"/>
  <c r="H17" i="67"/>
  <c r="E18" i="67"/>
  <c r="C19" i="67"/>
  <c r="K19" i="67"/>
  <c r="E13" i="67"/>
  <c r="B14" i="67"/>
  <c r="J14" i="67"/>
  <c r="G15" i="67"/>
  <c r="D16" i="67"/>
  <c r="L16" i="67"/>
  <c r="I17" i="67"/>
  <c r="F18" i="67"/>
  <c r="D19" i="67"/>
  <c r="F13" i="67"/>
  <c r="C14" i="67"/>
  <c r="K14" i="67"/>
  <c r="H15" i="67"/>
  <c r="E16" i="67"/>
  <c r="B17" i="67"/>
  <c r="J17" i="67"/>
  <c r="G18" i="67"/>
  <c r="E19" i="67"/>
  <c r="G13" i="67"/>
  <c r="D14" i="67"/>
  <c r="L14" i="67"/>
  <c r="I15" i="67"/>
  <c r="F16" i="67"/>
  <c r="C17" i="67"/>
  <c r="K17" i="67"/>
  <c r="H18" i="67"/>
  <c r="F19" i="67"/>
  <c r="G17" i="67"/>
  <c r="H13" i="67"/>
  <c r="E14" i="67"/>
  <c r="B15" i="67"/>
  <c r="J15" i="67"/>
  <c r="G16" i="67"/>
  <c r="I18" i="67"/>
  <c r="H16" i="67"/>
  <c r="AE260" i="69" l="1"/>
  <c r="C12" i="67"/>
  <c r="AF272" i="69"/>
  <c r="AG283" i="69"/>
  <c r="AF307" i="69" s="1"/>
  <c r="K12" i="67"/>
  <c r="B12" i="67"/>
  <c r="I12" i="67"/>
  <c r="AF283" i="69"/>
  <c r="AF273" i="69"/>
  <c r="AF312" i="69"/>
  <c r="AF271" i="69"/>
  <c r="AF255" i="69"/>
  <c r="R5" i="69"/>
  <c r="AF253" i="69" s="1"/>
  <c r="AG286" i="69"/>
  <c r="AF310" i="69" s="1"/>
  <c r="AF294" i="69"/>
  <c r="AF276" i="69"/>
  <c r="AF270" i="69"/>
  <c r="AG276" i="69"/>
  <c r="AF300" i="69" s="1"/>
  <c r="AF295" i="69"/>
  <c r="AF288" i="69"/>
  <c r="AF278" i="69"/>
  <c r="AF306" i="69"/>
  <c r="AG247" i="69"/>
  <c r="AE230" i="69"/>
  <c r="AF304" i="69"/>
  <c r="AF275" i="69"/>
  <c r="M5" i="69"/>
  <c r="AF296" i="69"/>
  <c r="AF302" i="69"/>
  <c r="AF301" i="69"/>
  <c r="AG246" i="69"/>
  <c r="AF262" i="69"/>
  <c r="AF281" i="69"/>
  <c r="AF230" i="69"/>
  <c r="AF241" i="69" s="1"/>
  <c r="AE255" i="69"/>
  <c r="AG261" i="69"/>
  <c r="F5" i="69"/>
  <c r="AF284" i="69"/>
  <c r="AF298" i="69"/>
  <c r="AF286" i="69"/>
  <c r="AF279" i="69"/>
  <c r="AF280" i="69"/>
  <c r="AF297" i="69"/>
  <c r="AF229" i="69"/>
  <c r="AF240" i="69" s="1"/>
  <c r="AF299" i="69"/>
  <c r="AE229" i="69"/>
  <c r="AE240" i="69" s="1"/>
  <c r="E5" i="69"/>
  <c r="E12" i="67"/>
  <c r="L12" i="67"/>
  <c r="J12" i="67"/>
  <c r="D12" i="67"/>
  <c r="G12" i="67"/>
  <c r="F12" i="67"/>
  <c r="H12" i="67"/>
  <c r="AF247" i="69" l="1"/>
  <c r="S5" i="69"/>
  <c r="AF245" i="69" s="1"/>
  <c r="Q5" i="69"/>
  <c r="AF228" i="69" s="1"/>
  <c r="AF239" i="69" s="1"/>
  <c r="AE247" i="69"/>
  <c r="AG262" i="69"/>
  <c r="G5" i="69"/>
  <c r="AE253" i="69"/>
  <c r="AE239" i="69" s="1"/>
  <c r="AE261" i="69"/>
  <c r="K5" i="69"/>
  <c r="AE241" i="69"/>
  <c r="Y5" i="69"/>
  <c r="AG245" i="69" s="1"/>
  <c r="AG230" i="69"/>
  <c r="AG241" i="69" s="1"/>
  <c r="W5" i="69"/>
  <c r="AG228" i="69" s="1"/>
  <c r="AG239" i="69" s="1"/>
  <c r="AE245" i="69" l="1"/>
  <c r="AE262" i="6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Fathimath Shifaza</author>
  </authors>
  <commentList>
    <comment ref="A8" authorId="0" shapeId="0" xr:uid="{4F3408C3-4150-429C-8A13-103680EB9E12}">
      <text>
        <r>
          <rPr>
            <b/>
            <sz val="9"/>
            <color indexed="81"/>
            <rFont val="Tahoma"/>
            <family val="2"/>
          </rPr>
          <t xml:space="preserve">Fathimath Shifaza:
</t>
        </r>
        <r>
          <rPr>
            <sz val="9"/>
            <color indexed="81"/>
            <rFont val="Tahoma"/>
            <family val="2"/>
          </rPr>
          <t>Kindly please include english translation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mohamed</author>
  </authors>
  <commentList>
    <comment ref="A3" authorId="0" shapeId="0" xr:uid="{00000000-0006-0000-2A00-000001000000}">
      <text>
        <r>
          <rPr>
            <b/>
            <sz val="9"/>
            <color indexed="81"/>
            <rFont val="Tahoma"/>
            <family val="2"/>
          </rPr>
          <t>shifaza:</t>
        </r>
        <r>
          <rPr>
            <sz val="9"/>
            <color indexed="81"/>
            <rFont val="Tahoma"/>
            <family val="2"/>
          </rPr>
          <t xml:space="preserve">
pls add English translation .</t>
        </r>
      </text>
    </comment>
    <comment ref="A123" authorId="0" shapeId="0" xr:uid="{00000000-0006-0000-2A00-000002000000}">
      <text>
        <r>
          <rPr>
            <b/>
            <sz val="9"/>
            <color indexed="81"/>
            <rFont val="Tahoma"/>
            <family val="2"/>
          </rPr>
          <t>shifaza:</t>
        </r>
        <r>
          <rPr>
            <sz val="9"/>
            <color indexed="81"/>
            <rFont val="Tahoma"/>
            <family val="2"/>
          </rPr>
          <t xml:space="preserve">
pls add English translation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Fathimath Shifaza</author>
  </authors>
  <commentList>
    <comment ref="A8" authorId="0" shapeId="0" xr:uid="{00000000-0006-0000-2B00-000001000000}">
      <text>
        <r>
          <rPr>
            <b/>
            <sz val="9"/>
            <color indexed="81"/>
            <rFont val="Tahoma"/>
            <family val="2"/>
          </rPr>
          <t>Fathimath Shifaza:</t>
        </r>
        <r>
          <rPr>
            <sz val="9"/>
            <color indexed="81"/>
            <rFont val="Tahoma"/>
            <family val="2"/>
          </rPr>
          <t xml:space="preserve">
Pls provide English Translation of cases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Aminath Shihama</author>
    <author>Afra Ibrahim</author>
  </authors>
  <commentList>
    <comment ref="B42" authorId="0" shapeId="0" xr:uid="{00000000-0006-0000-3600-000001000000}">
      <text>
        <r>
          <rPr>
            <b/>
            <sz val="9"/>
            <color indexed="81"/>
            <rFont val="Tahoma"/>
            <family val="2"/>
          </rPr>
          <t>Aminath Shihama:</t>
        </r>
        <r>
          <rPr>
            <sz val="9"/>
            <color indexed="81"/>
            <rFont val="Tahoma"/>
            <family val="2"/>
          </rPr>
          <t xml:space="preserve">
Total should tally with table 8.41. </t>
        </r>
      </text>
    </comment>
    <comment ref="B59" authorId="1" shapeId="0" xr:uid="{00000000-0006-0000-3600-000002000000}">
      <text>
        <r>
          <rPr>
            <b/>
            <sz val="9"/>
            <color indexed="81"/>
            <rFont val="Tahoma"/>
            <family val="2"/>
          </rPr>
          <t>Afra Ibrahim:</t>
        </r>
        <r>
          <rPr>
            <sz val="9"/>
            <color indexed="81"/>
            <rFont val="Tahoma"/>
            <family val="2"/>
          </rPr>
          <t xml:space="preserve">
Total should tally with table 8.41</t>
        </r>
      </text>
    </comment>
    <comment ref="B71" authorId="1" shapeId="0" xr:uid="{00000000-0006-0000-3600-000003000000}">
      <text>
        <r>
          <rPr>
            <b/>
            <sz val="9"/>
            <color indexed="81"/>
            <rFont val="Tahoma"/>
            <family val="2"/>
          </rPr>
          <t>Afra Ibrahim:</t>
        </r>
        <r>
          <rPr>
            <sz val="9"/>
            <color indexed="81"/>
            <rFont val="Tahoma"/>
            <family val="2"/>
          </rPr>
          <t xml:space="preserve">
Total should tally with table 8.41
</t>
        </r>
      </text>
    </comment>
  </commentList>
</comments>
</file>

<file path=xl/sharedStrings.xml><?xml version="1.0" encoding="utf-8"?>
<sst xmlns="http://schemas.openxmlformats.org/spreadsheetml/2006/main" count="4261" uniqueCount="2194">
  <si>
    <t>Theft</t>
  </si>
  <si>
    <t>Total</t>
  </si>
  <si>
    <t>wlcmuj</t>
  </si>
  <si>
    <t>ވައްކަން</t>
  </si>
  <si>
    <t>Assault</t>
  </si>
  <si>
    <t>Others</t>
  </si>
  <si>
    <t>މަސްތުވާތަކެތި</t>
  </si>
  <si>
    <t>Robbery</t>
  </si>
  <si>
    <t>މާރާމާރީ</t>
  </si>
  <si>
    <t>މުދަލަށް ގެއްލުންދިނުން</t>
  </si>
  <si>
    <t>ފޭރުން</t>
  </si>
  <si>
    <t>މަކަރާއި ޙީލަތް</t>
  </si>
  <si>
    <t>Disorderly Conduct</t>
  </si>
  <si>
    <t>އެހެނިހެން</t>
  </si>
  <si>
    <t>އަމިއްލައަށް މަރުވާން އުޅުން</t>
  </si>
  <si>
    <t>Theft by Deception</t>
  </si>
  <si>
    <t>Source: Maldives Police Service</t>
  </si>
  <si>
    <t>csivrws csilop cscviDclOm :Ivcaed utWmUluAwm</t>
  </si>
  <si>
    <t>މާލެ</t>
  </si>
  <si>
    <t>އަތޮޅުތައް</t>
  </si>
  <si>
    <t>Republic</t>
  </si>
  <si>
    <t>Male'</t>
  </si>
  <si>
    <t>Atolls</t>
  </si>
  <si>
    <t>Obstruction of Justice</t>
  </si>
  <si>
    <t>Locality</t>
  </si>
  <si>
    <t>ތަން</t>
  </si>
  <si>
    <t>HA</t>
  </si>
  <si>
    <t>HDh</t>
  </si>
  <si>
    <t>Sh</t>
  </si>
  <si>
    <t>S</t>
  </si>
  <si>
    <t>N</t>
  </si>
  <si>
    <t>R</t>
  </si>
  <si>
    <t>B</t>
  </si>
  <si>
    <t>Lh</t>
  </si>
  <si>
    <t>L</t>
  </si>
  <si>
    <t>K</t>
  </si>
  <si>
    <t>AA</t>
  </si>
  <si>
    <t>ADh</t>
  </si>
  <si>
    <t>V</t>
  </si>
  <si>
    <t>M</t>
  </si>
  <si>
    <t>m</t>
  </si>
  <si>
    <t>F</t>
  </si>
  <si>
    <t>f</t>
  </si>
  <si>
    <t>Dh</t>
  </si>
  <si>
    <t>Th</t>
  </si>
  <si>
    <t>GA</t>
  </si>
  <si>
    <t>GDh</t>
  </si>
  <si>
    <t>Gn</t>
  </si>
  <si>
    <t>-</t>
  </si>
  <si>
    <t>ޖުމްލަ</t>
  </si>
  <si>
    <t>Counterfeit</t>
  </si>
  <si>
    <t>January</t>
  </si>
  <si>
    <t>February</t>
  </si>
  <si>
    <t>March</t>
  </si>
  <si>
    <t>April</t>
  </si>
  <si>
    <t>May</t>
  </si>
  <si>
    <t>June</t>
  </si>
  <si>
    <t>July</t>
  </si>
  <si>
    <t>August</t>
  </si>
  <si>
    <t>September</t>
  </si>
  <si>
    <t>October</t>
  </si>
  <si>
    <t>November</t>
  </si>
  <si>
    <t>December</t>
  </si>
  <si>
    <t xml:space="preserve">Type </t>
  </si>
  <si>
    <t>Percentage share</t>
  </si>
  <si>
    <t>މައްސަލައިގެ ބާވަތް</t>
  </si>
  <si>
    <t>މަސްތުވާތަކެތީގެ މައްސަލަތައް</t>
  </si>
  <si>
    <t>ބާވަތް</t>
  </si>
  <si>
    <t>Both Sexes</t>
  </si>
  <si>
    <t>Male</t>
  </si>
  <si>
    <t>Female</t>
  </si>
  <si>
    <t>ދެޖިންސް</t>
  </si>
  <si>
    <t>Both sexes</t>
  </si>
  <si>
    <t xml:space="preserve">Total </t>
  </si>
  <si>
    <t>Details</t>
  </si>
  <si>
    <t>ތަފްސީލް</t>
  </si>
  <si>
    <t>ފިރިހެން</t>
  </si>
  <si>
    <t>އަންހެން</t>
  </si>
  <si>
    <t>Thuraakunu</t>
  </si>
  <si>
    <t>Dhidhdhoo</t>
  </si>
  <si>
    <t>Filladhoo</t>
  </si>
  <si>
    <t>Muraidhoo</t>
  </si>
  <si>
    <t>Finey</t>
  </si>
  <si>
    <t>Kulhudhuffushi</t>
  </si>
  <si>
    <t>Vaikaradhoo</t>
  </si>
  <si>
    <t>Hanimaadhoo</t>
  </si>
  <si>
    <t>Foakaidhoo</t>
  </si>
  <si>
    <t>Funadhoo</t>
  </si>
  <si>
    <t>Feydhoo</t>
  </si>
  <si>
    <t>Milandhoo</t>
  </si>
  <si>
    <t>Kendhikulhudhoo</t>
  </si>
  <si>
    <t>Miladhoo</t>
  </si>
  <si>
    <t>Vaadhoo</t>
  </si>
  <si>
    <t>Angolhitheemu</t>
  </si>
  <si>
    <t>Ungoofaaru</t>
  </si>
  <si>
    <t>Kudarikilu</t>
  </si>
  <si>
    <t>Eydhafushi</t>
  </si>
  <si>
    <t>Fulhadhoo</t>
  </si>
  <si>
    <t>Fehendhoo</t>
  </si>
  <si>
    <t>Goidhoo</t>
  </si>
  <si>
    <t>Olhuvelifushi</t>
  </si>
  <si>
    <t xml:space="preserve">Male' </t>
  </si>
  <si>
    <t>North Thiladhunmathi (HA)</t>
  </si>
  <si>
    <t>South Thiladhunmathi (HDh)</t>
  </si>
  <si>
    <t>North Miladhunmadulu (Sh)</t>
  </si>
  <si>
    <t>South Miladhunmadulu (N)</t>
  </si>
  <si>
    <t>North Maalhosmadulu (R)</t>
  </si>
  <si>
    <t>North Ari Atoll (AA)</t>
  </si>
  <si>
    <t>South Ari Atoll (ADh)</t>
  </si>
  <si>
    <t>Felidhu Atoll (V)</t>
  </si>
  <si>
    <t>Mulakatholhu (M)</t>
  </si>
  <si>
    <t>South Nilandhe Atoll (Dh)</t>
  </si>
  <si>
    <t>Kolhumadulu (Th)</t>
  </si>
  <si>
    <t>Hadhdhunmathi (L)</t>
  </si>
  <si>
    <t>North Huvadhu Atoll (GA)</t>
  </si>
  <si>
    <t>South Huvadhu Atoll (GDh)</t>
  </si>
  <si>
    <t>Fuvahmulah (Gn)</t>
  </si>
  <si>
    <t>Type</t>
  </si>
  <si>
    <t>ކުރެވޭ އަނިޔާގެ ބާވަތް</t>
  </si>
  <si>
    <t>Both Sex</t>
  </si>
  <si>
    <t>Types of abuse</t>
  </si>
  <si>
    <t xml:space="preserve">Age-group </t>
  </si>
  <si>
    <t>under 1 year</t>
  </si>
  <si>
    <t>1 - 4</t>
  </si>
  <si>
    <t>5</t>
  </si>
  <si>
    <t>6 - 9</t>
  </si>
  <si>
    <t>10 - 14</t>
  </si>
  <si>
    <t>15</t>
  </si>
  <si>
    <t>16 - 18</t>
  </si>
  <si>
    <t>Both sex</t>
  </si>
  <si>
    <t xml:space="preserve">Age </t>
  </si>
  <si>
    <t>under 14</t>
  </si>
  <si>
    <t>15-17</t>
  </si>
  <si>
    <t>18-  25</t>
  </si>
  <si>
    <t>26 - 30</t>
  </si>
  <si>
    <t>31 - 35</t>
  </si>
  <si>
    <t>36-  40</t>
  </si>
  <si>
    <t>41- 45</t>
  </si>
  <si>
    <t>46 - 50</t>
  </si>
  <si>
    <t>51- 55</t>
  </si>
  <si>
    <t>56- 60</t>
  </si>
  <si>
    <t>61 - 65</t>
  </si>
  <si>
    <t>66+</t>
  </si>
  <si>
    <t>Number of Cases Reported</t>
  </si>
  <si>
    <t>Number of Cases Investigated</t>
  </si>
  <si>
    <t>Number of cases sent to PG</t>
  </si>
  <si>
    <t>qwatalasqwam Eheb iwAnqnirifamed</t>
  </si>
  <si>
    <t>qnurukAyinaw qSawAhImibnaw AhImirif</t>
  </si>
  <si>
    <t>qnurukAyinaw qSawAhImirif AhImibnaw</t>
  </si>
  <si>
    <t>qnurukAyinaw qSakakenaw ukakew qnirifamed</t>
  </si>
  <si>
    <t>qwatalasqwam egAyinaw InAmqsij Aruk qSanqniwafabqniwam</t>
  </si>
  <si>
    <t>qnurukAyinaw qSanqnidukaDuk</t>
  </si>
  <si>
    <t>) itam qnurahaw 18 ( qnurukAyinaw qSanqnirad</t>
  </si>
  <si>
    <t>Physical Abuse</t>
  </si>
  <si>
    <t>Sexual Abuse</t>
  </si>
  <si>
    <t>Neglect</t>
  </si>
  <si>
    <t>Emotional / Verbal Abuse</t>
  </si>
  <si>
    <t>Cyberbullying</t>
  </si>
  <si>
    <t>Online Exploitation / Grooming</t>
  </si>
  <si>
    <t>Self-harm / Suicidal Behaviour</t>
  </si>
  <si>
    <t>These figures may not be exact. It may vary due to the case investigation process.</t>
  </si>
  <si>
    <t>Court</t>
  </si>
  <si>
    <t>ކޯޓުތައް</t>
  </si>
  <si>
    <t>Drug court</t>
  </si>
  <si>
    <t>ޑްރަގް ކޯޓު</t>
  </si>
  <si>
    <t>Juvenile court</t>
  </si>
  <si>
    <t>ޖުވެނައިލް ކޯޓު</t>
  </si>
  <si>
    <t>Family court</t>
  </si>
  <si>
    <t>ފެމިލީ ކޯޓު</t>
  </si>
  <si>
    <t>Criminal court</t>
  </si>
  <si>
    <t>ކްރިމިނަލް ކޯޓު</t>
  </si>
  <si>
    <t>Civil court</t>
  </si>
  <si>
    <t>ސިވިލް ކޯޓު</t>
  </si>
  <si>
    <t>Magistrate Courts</t>
  </si>
  <si>
    <t>މެޖިސްޓްރޭޓް ކޯޓުތައް</t>
  </si>
  <si>
    <t>cniawtcaws ctogWviawfiheb</t>
  </si>
  <si>
    <t>_</t>
  </si>
  <si>
    <t>އަތޮޅުތަކުގައި ހުރިމެޖިސްޓްރޭޓް ކޯޓުތައް</t>
  </si>
  <si>
    <t>% Change over previous year</t>
  </si>
  <si>
    <t>urwvcnim ivurutia eruvcSwrwhwa Iruk</t>
  </si>
  <si>
    <t>Source: Department of Judicial Administration</t>
  </si>
  <si>
    <t>cnwxErcTcsinimcDea clwxiDuj cfoa cTcnwmcTWpiD : utWmUluAwm</t>
  </si>
  <si>
    <t>Atoll</t>
  </si>
  <si>
    <t>Criminal Cases above 18</t>
  </si>
  <si>
    <t>Criminal Cases below 18</t>
  </si>
  <si>
    <t xml:space="preserve">Civil Cases </t>
  </si>
  <si>
    <t xml:space="preserve">Family Cases </t>
  </si>
  <si>
    <t>Starting Balance</t>
  </si>
  <si>
    <t>New cases filed</t>
  </si>
  <si>
    <t>Concluded</t>
  </si>
  <si>
    <t>Ending Balance</t>
  </si>
  <si>
    <t>Grand Total</t>
  </si>
  <si>
    <t>Male' Total</t>
  </si>
  <si>
    <t>Civil Court</t>
  </si>
  <si>
    <t>Criminal Court</t>
  </si>
  <si>
    <t>Family Court</t>
  </si>
  <si>
    <t>Juvenile Court</t>
  </si>
  <si>
    <t>`</t>
  </si>
  <si>
    <t>HulhuMale' Court</t>
  </si>
  <si>
    <t>Atoll Total</t>
  </si>
  <si>
    <t>Uligamu</t>
  </si>
  <si>
    <t xml:space="preserve">Molhadhoo </t>
  </si>
  <si>
    <t xml:space="preserve">Hoarafushi </t>
  </si>
  <si>
    <t xml:space="preserve">Ihavandhoo </t>
  </si>
  <si>
    <t xml:space="preserve">Kela </t>
  </si>
  <si>
    <t xml:space="preserve">Vashafaru </t>
  </si>
  <si>
    <t xml:space="preserve">Maarandhoo </t>
  </si>
  <si>
    <t xml:space="preserve">Thakandhoo </t>
  </si>
  <si>
    <t xml:space="preserve">Utheemu </t>
  </si>
  <si>
    <t xml:space="preserve">Baarashu </t>
  </si>
  <si>
    <t xml:space="preserve">Makunudhoo </t>
  </si>
  <si>
    <t>Naavaidhoo</t>
  </si>
  <si>
    <t xml:space="preserve">Kumundhoo </t>
  </si>
  <si>
    <t xml:space="preserve">Hirimaradhoo </t>
  </si>
  <si>
    <t>Nolhivaramfaru</t>
  </si>
  <si>
    <t xml:space="preserve">Kurinbee </t>
  </si>
  <si>
    <t>Nolhivaram</t>
  </si>
  <si>
    <t xml:space="preserve">Neykurendhoo </t>
  </si>
  <si>
    <t>Nehlaidhoo</t>
  </si>
  <si>
    <t xml:space="preserve">Kanditheemu </t>
  </si>
  <si>
    <t xml:space="preserve">Goidhoo </t>
  </si>
  <si>
    <t xml:space="preserve">Feevaku </t>
  </si>
  <si>
    <t xml:space="preserve">Lhaimagu </t>
  </si>
  <si>
    <t xml:space="preserve">Komandoo </t>
  </si>
  <si>
    <t xml:space="preserve">Noomaraa </t>
  </si>
  <si>
    <t xml:space="preserve">Bileffahi </t>
  </si>
  <si>
    <t xml:space="preserve">Narudhoo </t>
  </si>
  <si>
    <t xml:space="preserve">Maroshi </t>
  </si>
  <si>
    <t xml:space="preserve">Maaungoodhoo </t>
  </si>
  <si>
    <t xml:space="preserve">Henbadhoo </t>
  </si>
  <si>
    <t xml:space="preserve">Maalhendhoo </t>
  </si>
  <si>
    <t xml:space="preserve">Kudafari </t>
  </si>
  <si>
    <t xml:space="preserve">Landhoo </t>
  </si>
  <si>
    <t xml:space="preserve">Maafaru </t>
  </si>
  <si>
    <t xml:space="preserve">Lhohi </t>
  </si>
  <si>
    <t xml:space="preserve">Magoodhoo </t>
  </si>
  <si>
    <t xml:space="preserve">Manadhoo </t>
  </si>
  <si>
    <t xml:space="preserve">Holhudhoo </t>
  </si>
  <si>
    <t>Fohdhdhoo</t>
  </si>
  <si>
    <t xml:space="preserve">Velidhoo </t>
  </si>
  <si>
    <t>Alifushee</t>
  </si>
  <si>
    <t xml:space="preserve">Rasgetheemu </t>
  </si>
  <si>
    <t xml:space="preserve">Hulhduffaaru </t>
  </si>
  <si>
    <t xml:space="preserve">Dhuvaafaru </t>
  </si>
  <si>
    <t xml:space="preserve">Maakurathu </t>
  </si>
  <si>
    <t xml:space="preserve">Rasmaadhoo </t>
  </si>
  <si>
    <t xml:space="preserve">Innamaadhoo </t>
  </si>
  <si>
    <t xml:space="preserve">Maduvvaree </t>
  </si>
  <si>
    <t xml:space="preserve">Inguraidhoo </t>
  </si>
  <si>
    <t xml:space="preserve">Fainu </t>
  </si>
  <si>
    <t xml:space="preserve">Meedhoo </t>
  </si>
  <si>
    <t xml:space="preserve">Kinolhas </t>
  </si>
  <si>
    <t xml:space="preserve">Kamadhoo </t>
  </si>
  <si>
    <t xml:space="preserve">Kendhoo </t>
  </si>
  <si>
    <t xml:space="preserve">Kihaadhoo </t>
  </si>
  <si>
    <t xml:space="preserve">Dhonfanu </t>
  </si>
  <si>
    <t xml:space="preserve">Dharavandhoo </t>
  </si>
  <si>
    <t>Maalhohu</t>
  </si>
  <si>
    <t xml:space="preserve">Thulhaadhoo </t>
  </si>
  <si>
    <t xml:space="preserve">Hithaadhoo </t>
  </si>
  <si>
    <t xml:space="preserve">Hinnavaru </t>
  </si>
  <si>
    <t xml:space="preserve">Kurendhoo </t>
  </si>
  <si>
    <t xml:space="preserve">Naifaru </t>
  </si>
  <si>
    <t xml:space="preserve">Kaashidhoo </t>
  </si>
  <si>
    <t xml:space="preserve">Gaafaru </t>
  </si>
  <si>
    <t xml:space="preserve">Dhiffushi </t>
  </si>
  <si>
    <t xml:space="preserve">Thulusdhoo </t>
  </si>
  <si>
    <t xml:space="preserve">Huraa </t>
  </si>
  <si>
    <t xml:space="preserve">Hinmafushi </t>
  </si>
  <si>
    <t xml:space="preserve">Maafushi </t>
  </si>
  <si>
    <t xml:space="preserve">Guraidhoo </t>
  </si>
  <si>
    <t xml:space="preserve">Gulhi </t>
  </si>
  <si>
    <t xml:space="preserve">Thoddoo </t>
  </si>
  <si>
    <t xml:space="preserve">Rasdhoo </t>
  </si>
  <si>
    <t xml:space="preserve">Ukulhahu </t>
  </si>
  <si>
    <t xml:space="preserve">Mathiveri </t>
  </si>
  <si>
    <t xml:space="preserve">Bodufulhadho </t>
  </si>
  <si>
    <t xml:space="preserve">Feridhoo </t>
  </si>
  <si>
    <t xml:space="preserve">Maalhohu </t>
  </si>
  <si>
    <t xml:space="preserve">Himandhoo </t>
  </si>
  <si>
    <t xml:space="preserve">Hanyaameedhoo </t>
  </si>
  <si>
    <t xml:space="preserve">Omadhoo </t>
  </si>
  <si>
    <t xml:space="preserve">Kunburudhoo </t>
  </si>
  <si>
    <t xml:space="preserve">Mahibadhoo </t>
  </si>
  <si>
    <t xml:space="preserve">Mandhoo </t>
  </si>
  <si>
    <t xml:space="preserve">Dhangethi </t>
  </si>
  <si>
    <t xml:space="preserve">Dhigurashu </t>
  </si>
  <si>
    <t xml:space="preserve">Fenfushi </t>
  </si>
  <si>
    <t xml:space="preserve">Dhidhdhoo </t>
  </si>
  <si>
    <t xml:space="preserve">Maamigili </t>
  </si>
  <si>
    <t xml:space="preserve">Fulidhoo </t>
  </si>
  <si>
    <t xml:space="preserve">Thinadhoo </t>
  </si>
  <si>
    <t xml:space="preserve">Felidhoo </t>
  </si>
  <si>
    <t xml:space="preserve">Keyodhoo </t>
  </si>
  <si>
    <t xml:space="preserve">Rakeedhoo </t>
  </si>
  <si>
    <t xml:space="preserve">Raimandhoo </t>
  </si>
  <si>
    <t xml:space="preserve">Veyvashu </t>
  </si>
  <si>
    <t xml:space="preserve">Mulaku </t>
  </si>
  <si>
    <t xml:space="preserve">Naalaafushi </t>
  </si>
  <si>
    <t xml:space="preserve">Kolhufushi </t>
  </si>
  <si>
    <t xml:space="preserve">Dhiggaru </t>
  </si>
  <si>
    <t xml:space="preserve">Muli </t>
  </si>
  <si>
    <t xml:space="preserve">Feeali </t>
  </si>
  <si>
    <t xml:space="preserve">Bilehdhoo </t>
  </si>
  <si>
    <t xml:space="preserve">Dharanboodhoo </t>
  </si>
  <si>
    <t xml:space="preserve">Nilandhoo </t>
  </si>
  <si>
    <t xml:space="preserve">Kudahuvadhoo </t>
  </si>
  <si>
    <t xml:space="preserve">Bandidhoo </t>
  </si>
  <si>
    <t xml:space="preserve">Rinbudhoo </t>
  </si>
  <si>
    <t xml:space="preserve">Hulhudheli </t>
  </si>
  <si>
    <t xml:space="preserve">Maaenboodhoo </t>
  </si>
  <si>
    <t>Veymandoo Court</t>
  </si>
  <si>
    <t xml:space="preserve">Burnee </t>
  </si>
  <si>
    <t xml:space="preserve">Vilufushi </t>
  </si>
  <si>
    <t xml:space="preserve">Madifushi </t>
  </si>
  <si>
    <t xml:space="preserve">Dhiyamigili </t>
  </si>
  <si>
    <t xml:space="preserve">Kandoodhoo </t>
  </si>
  <si>
    <t xml:space="preserve">Vandhoo </t>
  </si>
  <si>
    <t xml:space="preserve">Hirilandhoo </t>
  </si>
  <si>
    <t xml:space="preserve">Gaadhiffushi </t>
  </si>
  <si>
    <t xml:space="preserve">Thimarafushi </t>
  </si>
  <si>
    <t xml:space="preserve">Kinbidhoo </t>
  </si>
  <si>
    <t xml:space="preserve">Hithadhoo </t>
  </si>
  <si>
    <t xml:space="preserve">Fonadhoo </t>
  </si>
  <si>
    <t xml:space="preserve">Kunahandhoo </t>
  </si>
  <si>
    <t xml:space="preserve">Maamendhoo </t>
  </si>
  <si>
    <t xml:space="preserve">Maavashu </t>
  </si>
  <si>
    <t xml:space="preserve">Dhanbidhoo </t>
  </si>
  <si>
    <t xml:space="preserve">Maabaidhoo </t>
  </si>
  <si>
    <t xml:space="preserve">Mundoo </t>
  </si>
  <si>
    <t xml:space="preserve">Isdhoo </t>
  </si>
  <si>
    <t xml:space="preserve">Kalaidhoo </t>
  </si>
  <si>
    <t xml:space="preserve">Gan </t>
  </si>
  <si>
    <t xml:space="preserve">Vilingili </t>
  </si>
  <si>
    <t xml:space="preserve">Dhaandhoo </t>
  </si>
  <si>
    <t xml:space="preserve">Dhevvadhoo </t>
  </si>
  <si>
    <t xml:space="preserve">Kondey </t>
  </si>
  <si>
    <t xml:space="preserve">Gemanafushi </t>
  </si>
  <si>
    <t xml:space="preserve">Kanduhulhudhoo </t>
  </si>
  <si>
    <t xml:space="preserve">Kolamaafushi </t>
  </si>
  <si>
    <t xml:space="preserve">Madaveli </t>
  </si>
  <si>
    <t xml:space="preserve">Hoadehdhoo </t>
  </si>
  <si>
    <t xml:space="preserve">Nadehllaa </t>
  </si>
  <si>
    <t xml:space="preserve">Rathafandhoo </t>
  </si>
  <si>
    <t xml:space="preserve">Fiyoaree </t>
  </si>
  <si>
    <t xml:space="preserve">FaresMaathoda </t>
  </si>
  <si>
    <t xml:space="preserve">Vaadhoo </t>
  </si>
  <si>
    <t xml:space="preserve">Gadhdhoo </t>
  </si>
  <si>
    <t xml:space="preserve">Fuah Mulaku </t>
  </si>
  <si>
    <t xml:space="preserve">Maradhoo </t>
  </si>
  <si>
    <t xml:space="preserve">Maradhoo Feydhoo </t>
  </si>
  <si>
    <t xml:space="preserve">Feydhoo </t>
  </si>
  <si>
    <t xml:space="preserve">Hulhudhoo </t>
  </si>
  <si>
    <t xml:space="preserve">ޖިނާއީ މަޢުލޫމާތު (18 އަހަރުން މަތި އަދި 18 އަހަރުން ދަށް) </t>
  </si>
  <si>
    <t>ޑްރަގް ކޯޓް:</t>
  </si>
  <si>
    <t xml:space="preserve">Criminal Cases </t>
  </si>
  <si>
    <t>Civil cases</t>
  </si>
  <si>
    <t>Family Cases</t>
  </si>
  <si>
    <t xml:space="preserve">Republic </t>
  </si>
  <si>
    <t xml:space="preserve">Atoll </t>
  </si>
  <si>
    <t>% share completed</t>
  </si>
  <si>
    <t>ending balance</t>
  </si>
  <si>
    <t>concluded</t>
  </si>
  <si>
    <t>Starting balance</t>
  </si>
  <si>
    <t>new cases filed</t>
  </si>
  <si>
    <t>Pending</t>
  </si>
  <si>
    <t>total</t>
  </si>
  <si>
    <t>އަތޮޅޮތައް</t>
  </si>
  <si>
    <t>Marriage</t>
  </si>
  <si>
    <t>Divorce</t>
  </si>
  <si>
    <t>ކްރިމިނަލް މައްސަލަ</t>
  </si>
  <si>
    <t>ސިވިލް މައްސަލަ</t>
  </si>
  <si>
    <t>އާއިލީ މައްސަލަ</t>
  </si>
  <si>
    <t>ކައިވެނި</t>
  </si>
  <si>
    <t>ވަރި</t>
  </si>
  <si>
    <t>ޖިނާއީ މައްސަލަ</t>
  </si>
  <si>
    <t>މަދަނީ މައްސަލަ</t>
  </si>
  <si>
    <t xml:space="preserve">Marriage       </t>
  </si>
  <si>
    <t xml:space="preserve"> Divorce              </t>
  </si>
  <si>
    <t xml:space="preserve"> Republic</t>
  </si>
  <si>
    <t xml:space="preserve"> Male'</t>
  </si>
  <si>
    <t>ޖުވެނައިލް ކޯޓް</t>
  </si>
  <si>
    <t>ފެމިލީކޯޓް</t>
  </si>
  <si>
    <t xml:space="preserve"> Atolls</t>
  </si>
  <si>
    <t>ކްރިމިނަލްކޯޓް</t>
  </si>
  <si>
    <t>ސިވިލް ކޯޓް</t>
  </si>
  <si>
    <t>ޑްރަގް ކޯޓް</t>
  </si>
  <si>
    <t>ހުޅުމާލޭ ކޯޓް</t>
  </si>
  <si>
    <t>ހއ</t>
  </si>
  <si>
    <t>ހދ</t>
  </si>
  <si>
    <t>ށ</t>
  </si>
  <si>
    <t>ނ</t>
  </si>
  <si>
    <t>ރ</t>
  </si>
  <si>
    <t>ބ</t>
  </si>
  <si>
    <t>ޅ</t>
  </si>
  <si>
    <t>ކ</t>
  </si>
  <si>
    <t>އއ</t>
  </si>
  <si>
    <t>އދ</t>
  </si>
  <si>
    <t>ވ</t>
  </si>
  <si>
    <t>މ</t>
  </si>
  <si>
    <t>ފ</t>
  </si>
  <si>
    <t>ދ</t>
  </si>
  <si>
    <t>ތ</t>
  </si>
  <si>
    <t>ލ</t>
  </si>
  <si>
    <t>ގއ</t>
  </si>
  <si>
    <t>ގދ</t>
  </si>
  <si>
    <t>ޏ</t>
  </si>
  <si>
    <t>ސ</t>
  </si>
  <si>
    <t>Type of cases</t>
  </si>
  <si>
    <t>Theft by Taking or Disposition</t>
  </si>
  <si>
    <t>Drug Cases</t>
  </si>
  <si>
    <t>Criminal Trespass</t>
  </si>
  <si>
    <t>ހުއްދަނޫން ތަނަކަށްވަނުން</t>
  </si>
  <si>
    <t>މަކަރާއި ހީލަތް/ ޓެކުމުން އެހެން މީހެއްގެ މުދަލެއް ނިގުޅައިގަތުން</t>
  </si>
  <si>
    <t>Child Sexual abuse/abetting</t>
  </si>
  <si>
    <t>ކުޑަކުއްޖަކާއެކު ޖިންސީ އަމަލެއް ހިންގުން</t>
  </si>
  <si>
    <t>criminal Property Damage</t>
  </si>
  <si>
    <t>މުދަލަށް ގެއްލުން ދިނުން</t>
  </si>
  <si>
    <t>Possession of Instruments of Crime</t>
  </si>
  <si>
    <t>ކުށެއް ކުރުމަށް ބޭނުން ކުރުމުގެ މަޤްސަދުގައި އެކުށް ކުރުމުގައި ބޭނުންކުރާނެ އާލާތް އަތުގައި ބެހެއްޓުން</t>
  </si>
  <si>
    <t>Creating fear or Terror</t>
  </si>
  <si>
    <t>ބިރުދެއްކުން</t>
  </si>
  <si>
    <t>Failing to fast during Ramadan; Consuming pork or Alcohol</t>
  </si>
  <si>
    <t>ރަމަޝާންމަހު ރޯދަނުހިފުމާއި ބަނގުރާބުއިމާއި އޫރުމަސް ކެއުން</t>
  </si>
  <si>
    <t>Breech of Agreement</t>
  </si>
  <si>
    <t>އެއްބަސްވުމާ ޚިލާފުވުން</t>
  </si>
  <si>
    <t>Enforment of judgement</t>
  </si>
  <si>
    <t>ޙުކުމް ތަންފީޛްކުރުން</t>
  </si>
  <si>
    <t>collection of remuneration</t>
  </si>
  <si>
    <t>މުދަލާއި ހިދުމަތުގެ މަސައްކަތުގެ އަގުހޯދުން</t>
  </si>
  <si>
    <t>Debt enforcement</t>
  </si>
  <si>
    <t>ދަރަނި/ފައިސާ ހޯދުން</t>
  </si>
  <si>
    <t>Loan without security</t>
  </si>
  <si>
    <t>ރަހުނު ނުހިމެނޭ ލޯނުގެ މައްސަލަތައް</t>
  </si>
  <si>
    <t>Claims of administrative nature in state institutions</t>
  </si>
  <si>
    <t>ދައުލަތުގެ އިދާރާއެއްގައި ހިމެނޭ އިދާރީ ތަބީއަތުގެ ދައުވާ</t>
  </si>
  <si>
    <t>claims of hire-purchase/leasing</t>
  </si>
  <si>
    <t>ހަޔަރޕަޗޭސް/ފައިނޭންސް ލީސިން މައްސަލަ</t>
  </si>
  <si>
    <t>Division of real estate(land)</t>
  </si>
  <si>
    <t>ބިން ބައިކުރުން</t>
  </si>
  <si>
    <t>Rental of real estate</t>
  </si>
  <si>
    <t>ބިމާ އިމާރާތް ކުއްޔަށް ދިނުން</t>
  </si>
  <si>
    <t>Establishing/changing ownership</t>
  </si>
  <si>
    <t>މިލްކުވެރިކަން ސާބިތުކުރުން/ ބަދަލުކުރުން</t>
  </si>
  <si>
    <t>Claims of credit card</t>
  </si>
  <si>
    <t>ކްރެޑިޓް ކާޑާއި ބެހޭ މައްސަލަތައް</t>
  </si>
  <si>
    <t>Age and sex</t>
  </si>
  <si>
    <t>ޢުމުރު އަދި ޖިންސު</t>
  </si>
  <si>
    <t xml:space="preserve"> Total</t>
  </si>
  <si>
    <t>މުޅި ޖުމުލަ</t>
  </si>
  <si>
    <t>Above 18 - Total</t>
  </si>
  <si>
    <r>
      <rPr>
        <b/>
        <sz val="11"/>
        <color theme="1"/>
        <rFont val="Calibri"/>
        <family val="2"/>
        <scheme val="minor"/>
      </rPr>
      <t>18</t>
    </r>
    <r>
      <rPr>
        <b/>
        <sz val="11"/>
        <color theme="1"/>
        <rFont val="Faruma"/>
      </rPr>
      <t xml:space="preserve"> އަހަރުން މަތި- ޖުމުލަ</t>
    </r>
  </si>
  <si>
    <t>Below 18- Total</t>
  </si>
  <si>
    <r>
      <rPr>
        <b/>
        <sz val="11"/>
        <color theme="1"/>
        <rFont val="Calibri"/>
        <family val="2"/>
        <scheme val="minor"/>
      </rPr>
      <t>18</t>
    </r>
    <r>
      <rPr>
        <b/>
        <sz val="11"/>
        <color theme="1"/>
        <rFont val="Faruma"/>
      </rPr>
      <t xml:space="preserve"> އަހަރުން ދަށް- ޖުމުލަ</t>
    </r>
  </si>
  <si>
    <t xml:space="preserve">Above 18 </t>
  </si>
  <si>
    <t xml:space="preserve">Below 18 </t>
  </si>
  <si>
    <t>Age Group</t>
  </si>
  <si>
    <t xml:space="preserve"> އުމުރުފުރާ</t>
  </si>
  <si>
    <t>Below 18</t>
  </si>
  <si>
    <r>
      <rPr>
        <sz val="11"/>
        <color theme="1"/>
        <rFont val="Calibri"/>
        <family val="2"/>
        <scheme val="minor"/>
      </rPr>
      <t>18</t>
    </r>
    <r>
      <rPr>
        <sz val="11"/>
        <color theme="1"/>
        <rFont val="Faruma"/>
      </rPr>
      <t xml:space="preserve"> އަހަރުން ދަށް</t>
    </r>
  </si>
  <si>
    <t>18-25</t>
  </si>
  <si>
    <t>26-35</t>
  </si>
  <si>
    <t>26-40</t>
  </si>
  <si>
    <t>36-45</t>
  </si>
  <si>
    <t>41-55</t>
  </si>
  <si>
    <t>46-55</t>
  </si>
  <si>
    <t>56-65</t>
  </si>
  <si>
    <t>Above 55</t>
  </si>
  <si>
    <r>
      <rPr>
        <sz val="11"/>
        <color theme="1"/>
        <rFont val="Calibri"/>
        <family val="2"/>
        <scheme val="minor"/>
      </rPr>
      <t>55</t>
    </r>
    <r>
      <rPr>
        <sz val="11"/>
        <color theme="1"/>
        <rFont val="Faruma"/>
      </rPr>
      <t xml:space="preserve"> އަހަރުން މަތި</t>
    </r>
  </si>
  <si>
    <t>65 އަހަރުން މަތި</t>
  </si>
  <si>
    <t>Category</t>
  </si>
  <si>
    <t>end year</t>
  </si>
  <si>
    <t>Total judges / Majistrates</t>
  </si>
  <si>
    <t xml:space="preserve">ފަނޑިޔާރުންގެ ޖުމްލަ އަދަދު </t>
  </si>
  <si>
    <t>Total  Expenditure for Courts (million MVR)</t>
  </si>
  <si>
    <t>ކޯޓުތަކަށް ޖުމްލަ ޚަރަދުވި ވަރު (މިލިއަން ރުފިޔާ)</t>
  </si>
  <si>
    <t>Source:  Judicial Service Commission</t>
  </si>
  <si>
    <t>މަޢުލޫމާތު ދެއްވި ފަރާތް: ޖުޑީޝަލް ސަރވިސް ކޮމިޝަން</t>
  </si>
  <si>
    <t xml:space="preserve"> Department of Judicial Administration</t>
  </si>
  <si>
    <t xml:space="preserve">                 ޑިޕާޓްމަންޓް އޮފް ޖުޑިޝަލް އެޑްމިނިސްޓްރޭޝަން</t>
  </si>
  <si>
    <t>% share 2019</t>
  </si>
  <si>
    <t>% share of females</t>
  </si>
  <si>
    <t>Qualification</t>
  </si>
  <si>
    <t xml:space="preserve">Male </t>
  </si>
  <si>
    <t xml:space="preserve">ތަޢުލީމީ ފެންވަރު </t>
  </si>
  <si>
    <t>total registered lawyers as of Dec 2017</t>
  </si>
  <si>
    <t>Total Number of lawyers</t>
  </si>
  <si>
    <t>Certificate 3</t>
  </si>
  <si>
    <t>ސެޓްފިކެޓް 3</t>
  </si>
  <si>
    <t>Advanced Certificate</t>
  </si>
  <si>
    <t>އެޑްވާންސްޑް ސެޓްފިކެޓް</t>
  </si>
  <si>
    <t>Gaanoonee vakeelukamuge sanadhu</t>
  </si>
  <si>
    <t xml:space="preserve">ޤާނޫނޫ ވަކީލުކަމުގެ ސަނަދު </t>
  </si>
  <si>
    <t>Diploma</t>
  </si>
  <si>
    <t>ޑިޕްލޮމާ</t>
  </si>
  <si>
    <t>Advanced Diploma</t>
  </si>
  <si>
    <t>އެޑްވާންސްޑް ޑިޕްލޮމާ</t>
  </si>
  <si>
    <t>Bachelors degree</t>
  </si>
  <si>
    <t>ބެޗެލަރސް ޑިގްރީ</t>
  </si>
  <si>
    <t xml:space="preserve">Masters degree </t>
  </si>
  <si>
    <t>މާސްޓަރސް ޑިގްރީ</t>
  </si>
  <si>
    <t>Doctoral degree</t>
  </si>
  <si>
    <t>ޑޮކްޓޯރަލް ޑިގްރީ</t>
  </si>
  <si>
    <t>Other</t>
  </si>
  <si>
    <t>Type of Cases</t>
  </si>
  <si>
    <t>ހުށައެޅުނު މައްސަލަތައް</t>
  </si>
  <si>
    <r>
      <t xml:space="preserve"> Cases logged</t>
    </r>
    <r>
      <rPr>
        <sz val="11"/>
        <rFont val="A_Randhoo"/>
      </rPr>
      <t xml:space="preserve">  wlwscawm unuLehwSuh</t>
    </r>
  </si>
  <si>
    <t xml:space="preserve"> wlwscawmunuLehwSuh ukeaWaIkWb eg 2007</t>
  </si>
  <si>
    <t>Cases logged trial including 2007</t>
  </si>
  <si>
    <r>
      <t xml:space="preserve"> Cases dealt </t>
    </r>
    <r>
      <rPr>
        <sz val="11"/>
        <rFont val="A_Randhoo"/>
      </rPr>
      <t>wlwscawm unumin</t>
    </r>
  </si>
  <si>
    <t xml:space="preserve"> wlwscawmiruhiminun ukeaWaIkWb eg 2007</t>
  </si>
  <si>
    <t>Cases awaiting trial including 2007</t>
  </si>
  <si>
    <t>2008 ނިމުނު އިރު ހުރި ބާކީ Cases awaiting trial 2008</t>
  </si>
  <si>
    <t xml:space="preserve">2009 ގައި ހުށަހެޅުނު  Cases logged </t>
  </si>
  <si>
    <t>Cases logged trial including 2008</t>
  </si>
  <si>
    <t xml:space="preserve">2008 ވަނަ އަހަރުގެ ބާކީއާއެކު ޖުމުލަ ހުށަހެޅުނު </t>
  </si>
  <si>
    <t>2009 ގައި ނިމުނު  Cases dealt</t>
  </si>
  <si>
    <t>2008 ވަނަ އަހަރުގެ ބާކީ އާއެކު 2009 ގައި ނުނިމިހުރި ޖުމުލަ Cases awaiting trial including 2008</t>
  </si>
  <si>
    <t>2009 ނިމުނު އިރު ހުރި ބާކީ Cases awaiting trial 2009</t>
  </si>
  <si>
    <t xml:space="preserve">2010 ގައި ހުށަހެޅުނު  Cases logged </t>
  </si>
  <si>
    <t>Cases logged trial including 2009</t>
  </si>
  <si>
    <t xml:space="preserve">2009 ވަނަ އަހަރުގެ ބާކީއާއެކު ޖުމުލަ ހުށަހެޅުނު </t>
  </si>
  <si>
    <t>2010 ގައި ނިމުނު  Cases dealt</t>
  </si>
  <si>
    <t>2009 ވަނަ އަހަރުގެ ބާކީ އާއެކު 2010 ގައި ނުނިމިހުރި ޖުމުލަ Cases awaiting trial including 2009</t>
  </si>
  <si>
    <t>2010 ނިމުނު އިރު ހުރި ބާކީ Cases awaiting trial 2010</t>
  </si>
  <si>
    <t xml:space="preserve">2011 ގައި ހުށަހެޅުނު  Cases logged </t>
  </si>
  <si>
    <t>Cases logged trial including 2010</t>
  </si>
  <si>
    <t xml:space="preserve">2010 ވަނަ އަހަރުގެ ބާކީއާއެކު ޖުމުލަ ހުށަހެޅުނު </t>
  </si>
  <si>
    <t>2011 ގައި ނިމުނު  Cases dealt</t>
  </si>
  <si>
    <t>2010 ވަނަ އަހަރުގެ ބާކީ އާއެކު 2011 ގައި ނުނިމިހުރި ޖުމުލަ Cases awaiting trial including 2010</t>
  </si>
  <si>
    <t>2012 ނިމުނު އިރު ހުރި ބާކީ Cases awaiting trial 2012</t>
  </si>
  <si>
    <t xml:space="preserve">2013 ގައި ހުށަހެޅުނު  Cases logged </t>
  </si>
  <si>
    <t>Cases logged trial including 2012</t>
  </si>
  <si>
    <t xml:space="preserve">2012 ވަނަ އަހަރުގެ ބާކީއާއެކު ޖުމުލަ ހުށަހެޅުނު </t>
  </si>
  <si>
    <t>2013 ގައި ނިމުނު  Cases dealt</t>
  </si>
  <si>
    <t>2012 ވަނަ އަހަރުގެ ބާކީ އާއެކު 2013 ގައި ނުނިމިހުރި ޖުމުލަ Cases awaiting trial including 2012</t>
  </si>
  <si>
    <t>2013 ނިމުނު އިރު ހުރި ބާކީ، Cases awaiting trial 2013</t>
  </si>
  <si>
    <t xml:space="preserve">2014 ގައި ހުށަހެޅުނު  Cases logged </t>
  </si>
  <si>
    <t>Cases logged trial including 2013</t>
  </si>
  <si>
    <t xml:space="preserve">2013 ވަނަ އަހަރުގެ ބާކީއާއެކު ޖުމުލަ ހުށަހެޅުނު </t>
  </si>
  <si>
    <t>2014 ގައި ނިމުނު  Cases dealt</t>
  </si>
  <si>
    <t>2013 ވަނަ އަހަރުގެ ބާކީ އާއެކު 2014 ގައި ނުނިމިހުރި ޖުމުލަ Cases awaiting trial including 2013</t>
  </si>
  <si>
    <t>2014 ނިމުނު އިރު ހުރި ބާކީ، Cases awaiting trial 2014</t>
  </si>
  <si>
    <t xml:space="preserve">2015 ގައި ހުށަހެޅުނު  Cases logged </t>
  </si>
  <si>
    <t>Cases logged trial including 2014</t>
  </si>
  <si>
    <t xml:space="preserve">2014 ވަނަ އަހަރުގެ ބާކީއާއެކު ޖުމުލަ ހުށަހެޅުނު </t>
  </si>
  <si>
    <t>2015 ގައި ނިމުނު  Cases dealt</t>
  </si>
  <si>
    <t>2014 ވަނަ އަހަރުގެ ބާކީ އާއެކު 2015 ގައި ނުނިމިހުރި ޖުމުލަ Cases awaiting trial including 2014</t>
  </si>
  <si>
    <t>2015 ނިމުނު އިރު ހުރި ބާކީ، Cases awaiting trial 2015</t>
  </si>
  <si>
    <t xml:space="preserve">2016 ގައި ހުށަހެޅުނު  Cases logged </t>
  </si>
  <si>
    <t>Cases logged trial including 2015</t>
  </si>
  <si>
    <t xml:space="preserve">2015 ވަނަ އަހަރުގެ ބާކީއާއެކު ޖުމުލަ ހުށަހެޅުނު </t>
  </si>
  <si>
    <t>2016 ގައި ނިމުނު  Cases dealt</t>
  </si>
  <si>
    <t xml:space="preserve">2015 ވަނަ އަހަރުގެ ބާކީ އާއެކު 2016 ގައި ނުނިމިހުރި ޖުމުލަ, 2015  Cases awaiting trial including  </t>
  </si>
  <si>
    <t>2016 ނިމުނު އިރު ހުރި ބާކީ، Cases awaiting trial 2016</t>
  </si>
  <si>
    <t xml:space="preserve">2017 ގައި ހުށަހެޅުނު  Cases logged 2017 </t>
  </si>
  <si>
    <t>Cases logged trial including 2016</t>
  </si>
  <si>
    <t xml:space="preserve">2016 ވަނަ އަހަރުގެ ބާކީއާއެކު ޖުމުލަ ހުށަހެޅުނު </t>
  </si>
  <si>
    <t>2017 ގައި ނިމުނު  Cases dealt</t>
  </si>
  <si>
    <t xml:space="preserve">2016 ވަނަ އަހަރުގެ ބާކީ އާއެކު 2017 ގައި ނުނިމިހުރި ޖުމުލަ, 2016  Cases awaiting trial including  </t>
  </si>
  <si>
    <t>2017 ނިމުނު އިރު ހުރި ބާކީ، Cases awaiting trial 2017</t>
  </si>
  <si>
    <t xml:space="preserve">2018 ގައި ހުށަހެޅުނު  Cases logged 2018 </t>
  </si>
  <si>
    <t>Cases logged trial including 2017</t>
  </si>
  <si>
    <t xml:space="preserve">2017 ވަނަ އަހަރުގެ ބާކީއާއެކު ޖުމުލަ ހުށަހެޅުނު </t>
  </si>
  <si>
    <t>2018 ގައި ނިމުނު  Cases dealt</t>
  </si>
  <si>
    <t xml:space="preserve">2017 ވަނަ އަހަރުގެ ބާކީ އާއެކު 2018 ގައި ނުނިމިހުރި ޖުމުލަ, 2017  Cases awaiting trial including  </t>
  </si>
  <si>
    <t>2018 ނިމުނު އިރު ހުރި ބާކީ، Cases awaiting trial 2018</t>
  </si>
  <si>
    <t xml:space="preserve">2019 ގައި ހުށަހެޅުނު  Cases logged 2019 </t>
  </si>
  <si>
    <t>Cases logged trial including 2018</t>
  </si>
  <si>
    <t xml:space="preserve">2018 ވަނަ އަހަރުގެ ބާކީއާއެކު ޖުމުލަ ހުށަހެޅުނު </t>
  </si>
  <si>
    <t>2019 ގައި ނިމުނު  Cases dealt</t>
  </si>
  <si>
    <t xml:space="preserve">2018 ވަނަ އަހަރުގެ ބާކީ އާއެކު 2019 ގައި ނުނިމިހުރި ޖުމުލަ, 2017  Cases awaiting trial including  </t>
  </si>
  <si>
    <t>2019 ނިމުނު އިރު ހުރި ބާކީ، Cases awaiting trial 2019</t>
  </si>
  <si>
    <t xml:space="preserve">2020 ގައި ހުށަހެޅުނު  Cases logged 2020 </t>
  </si>
  <si>
    <t>Cases logged trial including 2019</t>
  </si>
  <si>
    <t xml:space="preserve">2019 ވަނަ އަހަރުގެ ބާކީއާއެކު ޖުމުލަ ހުށަހެޅުނު </t>
  </si>
  <si>
    <t>2020 ގައި ނިމުނު  Cases dealt</t>
  </si>
  <si>
    <t xml:space="preserve">2019 ވަނަ އަހަރުގެ ބާކީ އާއެކު 2020 ގައި ނުނިމިހުރި ޖުމުލަ, 2017  Cases awaiting trial including  </t>
  </si>
  <si>
    <t>No of cases appealed  by private individuals</t>
  </si>
  <si>
    <t>އިސްތިއުނާފްކުރުމަށް އަމިއްލަ ފަރާތްތަކުން ހުށަހެޅި މައްސަލަތަކުގެ އަދަދު  (ވަކިވަކި ފަރުދުން/ކުންފުނި/ކޮމިޝަން/ކައުންސިލްތައް)</t>
  </si>
  <si>
    <t>No of cases appealed by the state</t>
  </si>
  <si>
    <t xml:space="preserve"> udwdwa egukwtwlwscawmi LehwSuh cnutwluawd cSwmurukufWnuaitcsia</t>
  </si>
  <si>
    <t>No of cases re heare or reviewed by the high court</t>
  </si>
  <si>
    <t>udwdwa egukwtwlwscawm unuLehwSuh cSwrwhwfwnwved cSwTOkiawh</t>
  </si>
  <si>
    <t>No of cases reviewed by highcourt that are registered to South/North Branch upon SC request</t>
  </si>
  <si>
    <t>ސުޕްރީމްކޯޓުން ހުއްދަދީގެން މާލެ ހައިކޯޓުން ބެލުނު އުތުރު/ ދެކުނު ގޮފިތަކުގެ މައްސަލަ</t>
  </si>
  <si>
    <t>No. of cases on Complains on elections</t>
  </si>
  <si>
    <t>އިންތިޚާބާއިބެހޭ ޝަކުވާގެ ދަޢުވާ ހުށަހެޅުނު މައްސަލަތަކުގެ އަދަދު</t>
  </si>
  <si>
    <t>No. of cases on Political parties</t>
  </si>
  <si>
    <t>ސިޔާސީ ޕާޓީތަކާބެހޭ ގޮތުން ހުށަހެޅުނު މައްސަލަތަކުގެ އަދަދު</t>
  </si>
  <si>
    <t>No of cases filed on constitutional issues</t>
  </si>
  <si>
    <r>
      <t>udwd</t>
    </r>
    <r>
      <rPr>
        <sz val="11"/>
        <rFont val="A_Reethi"/>
      </rPr>
      <t xml:space="preserve">އަ </t>
    </r>
    <r>
      <rPr>
        <sz val="11"/>
        <rFont val="A_Randhoo"/>
      </rPr>
      <t>egukwtwlwscawm IrUtcsud</t>
    </r>
  </si>
  <si>
    <t>Monicom Order</t>
  </si>
  <si>
    <t>މޮނިކޮމް އަމުރު</t>
  </si>
  <si>
    <t>Review of Monicom Order</t>
  </si>
  <si>
    <t>މޮނިކޮމް އަމުރު މުރާޖާކުރުން</t>
  </si>
  <si>
    <t>Source: The High Court of the Republic of Maldives</t>
  </si>
  <si>
    <t>cTOkiawh egEjcaWrihevid :Ivcaed utWmUluAwm</t>
  </si>
  <si>
    <t xml:space="preserve">  </t>
  </si>
  <si>
    <t>26 - 40</t>
  </si>
  <si>
    <t>41 - 55</t>
  </si>
  <si>
    <t>56 -65</t>
  </si>
  <si>
    <t>Above 65</t>
  </si>
  <si>
    <t xml:space="preserve"> Court</t>
  </si>
  <si>
    <t>ފަނޑިޔާރުންގެ އަދަދު</t>
  </si>
  <si>
    <t>ކޯޓް</t>
  </si>
  <si>
    <t>Assigned number of Majistrates</t>
  </si>
  <si>
    <t>Courts in Male'</t>
  </si>
  <si>
    <t xml:space="preserve">މާލޭ ކޯޓުތައް </t>
  </si>
  <si>
    <t>Supreme court</t>
  </si>
  <si>
    <t>ދިވެހިރާއްޖޭގެ ސުޕްރީމް ކޯޓް</t>
  </si>
  <si>
    <t>High court</t>
  </si>
  <si>
    <t>ދިވެހިރާއްޖޭގެ ހައި ކޯޓް</t>
  </si>
  <si>
    <t>ކްރިމިނަލް ކޯޓް</t>
  </si>
  <si>
    <t>ފެމިލީ ކޯޓް</t>
  </si>
  <si>
    <t>ޑްރަގްކޯޓް</t>
  </si>
  <si>
    <t>Hulhumale' majistrate court</t>
  </si>
  <si>
    <t>ހުޅުމާލެ މެޖިސްޓްރޭޓް ކޯޓް</t>
  </si>
  <si>
    <t>Majistrate Courts in Atolls</t>
  </si>
  <si>
    <t>މެޖިސްޓްރޭޓް ކޯޓް (އަތޮޅު)</t>
  </si>
  <si>
    <t>HA. Atoll</t>
  </si>
  <si>
    <t>ހއ. އަތޮޅު</t>
  </si>
  <si>
    <t>HA.Dhidhoo majistrate Court</t>
  </si>
  <si>
    <t>ހއ. ދިއްދޫ މެޖިސްޓްރޭޓް ކޯޓް</t>
  </si>
  <si>
    <t>HA.Thuraakunu majistrate court</t>
  </si>
  <si>
    <t>ހއ. ތުރާކުނު މެޖިސްޓްރޭޓް ކޯޓް</t>
  </si>
  <si>
    <t>HA.Hoarafushi majistarte court</t>
  </si>
  <si>
    <t>ހއ. ހޯރަފުށީ މެޖިސްޓްރޭޓް ކޯޓް</t>
  </si>
  <si>
    <t>HA.Ihavandhoo majistarte court</t>
  </si>
  <si>
    <t>ހއ. އިހަވަންދޫ މެޖިސްޓްރޭޓް ކޯޓް</t>
  </si>
  <si>
    <t>HA.Filladhoo majistarte court</t>
  </si>
  <si>
    <t>ހއ. ފިއްލަދޫ މެޖިސްޓްރޭޓް ކޯޓް</t>
  </si>
  <si>
    <t>HA.Vashafaru majistarte court</t>
  </si>
  <si>
    <t>ހއ. ވަށަފަރު މެޖިސްޓްރޭޓް ކޯޓް</t>
  </si>
  <si>
    <t>HA.Muraidhoo majistarte court</t>
  </si>
  <si>
    <t>ހއ. މުރައިދޫ މެޖިސްޓްރޭޓް ކޯޓް</t>
  </si>
  <si>
    <t>HA.Baarah majistrate court</t>
  </si>
  <si>
    <t>ހއ. ބާރަށް މެޖިސްޓްރޭޓް ކޯޓް</t>
  </si>
  <si>
    <t>HA.Molhadhoo majistrate court</t>
  </si>
  <si>
    <t>ހއ. މޮޅަދޫ މެޖިސްޓްރޭޓް ކޯޓް</t>
  </si>
  <si>
    <t>HA.Marandhoo majistrate court</t>
  </si>
  <si>
    <t>ހއ. މާރަންދޫ މެޖިސްޓްރޭޓް ކޯޓް</t>
  </si>
  <si>
    <t>HA.Thakandhoo majistrate court</t>
  </si>
  <si>
    <t>ހއ. ތަކަންދޫ މެޖިސްޓްރޭޓް ކޯޓް</t>
  </si>
  <si>
    <t>HA.Kelaa majistrate court</t>
  </si>
  <si>
    <t>ހއ. ކެލާ މެޖިސްޓްރޭޓް ކޯޓް</t>
  </si>
  <si>
    <t>HA.Uligamu majistrate court</t>
  </si>
  <si>
    <t>ހއ. އުލިގަމު މެޖިސްޓްރޭޓް ކޯޓް</t>
  </si>
  <si>
    <t>HA.Utheemu majistrate court</t>
  </si>
  <si>
    <t>ހއ. އުތީމު މެޖިސްޓްރޭޓް ކޯޓް</t>
  </si>
  <si>
    <t>HDh. Atoll</t>
  </si>
  <si>
    <t>ހދ. އަތޮޅު</t>
  </si>
  <si>
    <t>HDh.Kulhudhufushi majistrate court</t>
  </si>
  <si>
    <t>ހދ. ކުޅުދުއްފުށީ މެޖިސްޓްރޭޓް ކޯޓް</t>
  </si>
  <si>
    <t>HDh.Vaikaradhoo majistrate court</t>
  </si>
  <si>
    <t>ހދ. ވައިކަރަދޫ މެޖިސްޓްރޭޓް ކޯޓް</t>
  </si>
  <si>
    <t>HDh.Hanimaadhoo majistrate court</t>
  </si>
  <si>
    <t>ހދ. ހަނިމާދޫ މެޖިސްޓްރޭޓް ކޯޓް</t>
  </si>
  <si>
    <t>HDh.Neillaadhoo majistrate court</t>
  </si>
  <si>
    <t>ހދ. ނެއްލައިދޫ މެޖިސްޓްރޭޓް ކޯޓް</t>
  </si>
  <si>
    <t>HDh.Hirimaradhoo majistrate court</t>
  </si>
  <si>
    <t>ހދ. ހިރިމަރަދޫ މެޖިސްޓްރޭޓް ކޯޓް</t>
  </si>
  <si>
    <t>HDh.Finey majistrate court</t>
  </si>
  <si>
    <t>ހދ. ފިނޭ މެޖިސްޓްރޭޓް ކޯޓް</t>
  </si>
  <si>
    <t>HDh.Kuribey majistrate court</t>
  </si>
  <si>
    <t>ހދ. ކުރިބީ މެޖިސްޓްރޭޓް ކޯޓް</t>
  </si>
  <si>
    <t>HDh.Naivadhoo majistrate court</t>
  </si>
  <si>
    <t>ހދ. ނައިވާދޫ މެޖިސްޓްރޭޓް ކޯޓް</t>
  </si>
  <si>
    <t>HDh.Neykurendhoo majistrate court</t>
  </si>
  <si>
    <t>ހދ. ނޭކުރެންދޫ މެޖިސްޓްރޭޓް ކޯޓް</t>
  </si>
  <si>
    <t>HDh.Nolhivaranfaru majistrate court</t>
  </si>
  <si>
    <t>ހދ. ނޮޅިވަރަންފަރު މެޖިސްޓްރޭޓް ކޯޓް</t>
  </si>
  <si>
    <t>HDh.Nolhivaran majistrate court</t>
  </si>
  <si>
    <t>ހދ. ނޮޅިވަރަން މެޖިސްޓްރޭޓް ކޯޓް</t>
  </si>
  <si>
    <t>HDh.Makunudhoo majistrate court</t>
  </si>
  <si>
    <t>ހދ. މަކުނުދޫ މެޖިސްޓްރޭޓް ކޯޓް</t>
  </si>
  <si>
    <t>HDh.kumundhoo majistrate court</t>
  </si>
  <si>
    <t>ހދ. ކުމުންދޫ މެޖިސްޓްރޭޓް ކޯޓް</t>
  </si>
  <si>
    <t>Sh. Atoll</t>
  </si>
  <si>
    <t>ށ. އަތޮޅު</t>
  </si>
  <si>
    <t>Sh.Funadhoo majistrate court</t>
  </si>
  <si>
    <t>ށ. ފުނަދޫ މެޖިސްޓްރޭޓް ކޯޓް</t>
  </si>
  <si>
    <t>Sh.Foakaidhoo majistrate court</t>
  </si>
  <si>
    <t>ށ. ފޯކައިދޫ މެޖިސްޓްރޭޓް ކޯޓް</t>
  </si>
  <si>
    <t>Sh.Goidhoo majistrate court</t>
  </si>
  <si>
    <t>ށ. ގޮއިދޫ މެޖިސްޓްރޭޓް ކޯޓް</t>
  </si>
  <si>
    <t>Sh.Feevaku majistrate court</t>
  </si>
  <si>
    <t>ށ. ފީވަކު މެޖިސްޓްރޭޓް ކޯޓް</t>
  </si>
  <si>
    <t>Sh.Kaditheemu majistrate court</t>
  </si>
  <si>
    <t>ށ. ކަނޑިތީމު މެޖިސްޓްރޭޓް ކޯޓް</t>
  </si>
  <si>
    <t>Sh.Bileifahi majistrate court</t>
  </si>
  <si>
    <t>ށ. ބިލެތްފަހި މެޖިސްޓްރޭޓް ކޯޓް</t>
  </si>
  <si>
    <t>Sh.Narudhoo majistrate court</t>
  </si>
  <si>
    <t>ށ. ނަރުދޫ މެޖިސްޓްރޭޓް ކޯޓް</t>
  </si>
  <si>
    <t>Sh.Maroshi majistrate court</t>
  </si>
  <si>
    <t>ށ. މަރޮށި މެޖިސްޓްރޭޓް ކޯޓް</t>
  </si>
  <si>
    <t>Sh.Lhaimagu majistrate court</t>
  </si>
  <si>
    <t>ށ. ޅައިމަގު މެޖިސްޓްރޭޓް ކޯޓް</t>
  </si>
  <si>
    <t>Sh.Komandoo majistrate court</t>
  </si>
  <si>
    <t>ށ. ކޮމަންޑޫ މެޖިސްޓްރޭޓް ކޯޓް</t>
  </si>
  <si>
    <t>Sh.Maaungoodhoo majistrate court</t>
  </si>
  <si>
    <t>ށ. މާއުގޫދޫ މެޖިސްޓްރޭޓް ކޯޓް</t>
  </si>
  <si>
    <t>Sh.Milandhoo majistrate court</t>
  </si>
  <si>
    <t>ށ. މިލަންދޫ މެޖިސްޓްރޭޓް ކޯޓު</t>
  </si>
  <si>
    <t>Sh.Feydhoo majistrate court</t>
  </si>
  <si>
    <t>ށ. ފޭދޫ މެޖިސްޓްރޭޓް ކޯޓު</t>
  </si>
  <si>
    <t>N. Atoll</t>
  </si>
  <si>
    <t>ނ. އަތޮޅު</t>
  </si>
  <si>
    <t>N.Manadhoo majistrate court</t>
  </si>
  <si>
    <t>ނ. މަނަދޫ މެޖިސްޓްރޭޓް ކޯޓް</t>
  </si>
  <si>
    <t>N.Henbadhoo majistrate court</t>
  </si>
  <si>
    <t>ނ. ހެބަނދޫ މެޖިސްޓްރޭޓް ކޯޓް</t>
  </si>
  <si>
    <t>N.Kendhikulhudhoo majistrate court</t>
  </si>
  <si>
    <t>ނ. ކެނދިކުޅަދޫ މެޖިސްޓްރޭޓް ކޯޓް</t>
  </si>
  <si>
    <t>N.Maalhendhoo majistrate court</t>
  </si>
  <si>
    <t>ނ. މާޅެންދޫ މެޖިސްޓްރޭޓް ކޯޓް</t>
  </si>
  <si>
    <t>N.Kudafari majistrate court</t>
  </si>
  <si>
    <t>ނ. ކުޑަފަރީ މެޖިސްޓްރޭޓް ކޯޓް</t>
  </si>
  <si>
    <t>N.Landhoo majistrate court</t>
  </si>
  <si>
    <t>ނ. ލަންދޫ މެޖިސްޓްރޭޓް  ކޯޓް</t>
  </si>
  <si>
    <t>N.Maafaru majistrate court</t>
  </si>
  <si>
    <t>ނ. މާފަރު މެޖިސްޓްރޭޓް ކޯޓް</t>
  </si>
  <si>
    <t>N.Magoodhoo majistrate court</t>
  </si>
  <si>
    <t>ނ. މަގޫދޫ މެޖިސްޓްރޭޓް ކޯޓް</t>
  </si>
  <si>
    <t>N.Fohdhoo majistrate court</t>
  </si>
  <si>
    <t>ނ. ފޮއްދޫ މެޖިސްޓްރޭޓް ކޯޓް</t>
  </si>
  <si>
    <t>N.Lhohee majistrate court</t>
  </si>
  <si>
    <t>ނ. ޅޮހީ މެޖިސްޓްރޭޓް ކޯޓް</t>
  </si>
  <si>
    <t>N.Holhudhoo majistrate court</t>
  </si>
  <si>
    <t>ނ. ހޮޅުދޫ މެޖިސްޓްރޭޓް ކޯޓު</t>
  </si>
  <si>
    <t>N.Velidhoo majistrate court</t>
  </si>
  <si>
    <t>ނ. ވެލިދޫ މެޖިސްޓްރޭޓް ކޯޓް</t>
  </si>
  <si>
    <t>N.Miladhoo majistrate court</t>
  </si>
  <si>
    <t>ނ. މިލަދޫ މެޖިސްޓްރޭޓް ކޯޓު</t>
  </si>
  <si>
    <t>R.Atoll</t>
  </si>
  <si>
    <t>ރ. އަތޮޅު</t>
  </si>
  <si>
    <t>R.Hulhudhufaaru magistrate court</t>
  </si>
  <si>
    <t>ރ. ހުޅުދުއްފާރު މެޖިސްޓްރޭޓް ކޯޓް</t>
  </si>
  <si>
    <t>R.Alifushi magistrate court</t>
  </si>
  <si>
    <t>ރ. އަލިފުށީ މެޖިސްޓްރޭޓް ކޯޓް</t>
  </si>
  <si>
    <t>R.Angolhitheemu magistrate court</t>
  </si>
  <si>
    <t>ރ. އަނގޮޅިތީމު މެޖިސްޓްރޭޓް ކޯޓް</t>
  </si>
  <si>
    <t>R.Inguraidhoo magistrate court</t>
  </si>
  <si>
    <t>ރ. އިނގުރައިދޫ މެޖިސްޓްރޭޓް ކޯޓް</t>
  </si>
  <si>
    <t>R.Meedhoo magistrate court</t>
  </si>
  <si>
    <t>ރ. މީދޫ މެޖިސްޓްރޭޓް ކޯޓް</t>
  </si>
  <si>
    <t>R.Dhuvaafaru magistrate court</t>
  </si>
  <si>
    <t>ރ. ދުވާފަރު މެޖިސްޓްރޭޓް ކޯޓް</t>
  </si>
  <si>
    <t>R.Innamaadhoo magistrate court</t>
  </si>
  <si>
    <t>ރ. އިންނަމާދޫ މެޖިސްޓްރޭޓް ކޯޓް</t>
  </si>
  <si>
    <t>R.Ungoofaaru magistrate court</t>
  </si>
  <si>
    <t>ރ. އުނގޫފާރު މެޖިސްޓްރޭޓް ކޯޓް</t>
  </si>
  <si>
    <t>R.Maakurathu magistrate court</t>
  </si>
  <si>
    <t>ރ. މާކުރަތު މެޖިސްޓްރޭޓް ކޯޓް</t>
  </si>
  <si>
    <t>R.Vaadhoo magistrate court</t>
  </si>
  <si>
    <t>ރ. ވާދޫ މެޖިސްޓްރޭޓް ކޯޓް</t>
  </si>
  <si>
    <t>R.Khinolhas magistrate court</t>
  </si>
  <si>
    <t>ރ. ކިނޮޅަސް މެޖިސްޓްރޭޓް ކޯޓް</t>
  </si>
  <si>
    <t>R.Fainu magistrate court</t>
  </si>
  <si>
    <t>ރ. ފައިނު މެޖިސްޓްރޭޓް  ކޯޓް</t>
  </si>
  <si>
    <t>R.Rasmadhoo magistrate court</t>
  </si>
  <si>
    <t>ރ. ރަސްމާދޫ މެޖިސްޓްރޭޓް  ކޯޓް</t>
  </si>
  <si>
    <t>R.Maduvvari magistrate court</t>
  </si>
  <si>
    <t>ރ. މަޑުއްވަރީ މެޖިސްޓްރޭޓް  ކޯޓް</t>
  </si>
  <si>
    <t>R.Rasgetheemu magistrate court</t>
  </si>
  <si>
    <t>ރ. ރަސްގެތީމު މެޖިސްޓްރޭޓް ކޯޓް</t>
  </si>
  <si>
    <t>B.Atoll</t>
  </si>
  <si>
    <t>ބ. އަތޮޅު</t>
  </si>
  <si>
    <t>B.Eydhafushi magistrate court</t>
  </si>
  <si>
    <t>ބ. އޭދަފުށީ މެޖިސްޓްރޭޓް ކޯޓް</t>
  </si>
  <si>
    <t>Number  of majistrates</t>
  </si>
  <si>
    <t>Number of islands with majistrate courts</t>
  </si>
  <si>
    <t>B.Kamadhoo magistrate court</t>
  </si>
  <si>
    <t>ބ. ކަމަދޫ މެޖިސްޓްރޭޓް ކޯޓް</t>
  </si>
  <si>
    <t>B.Dhonfanu magistrate court</t>
  </si>
  <si>
    <t>ބ. ދޮންފަނު މެޖިސްޓްރޭޓް ކޯޓް</t>
  </si>
  <si>
    <t>B.Kendhoo magistrate court</t>
  </si>
  <si>
    <t>ބ. ކެންދޫ މެޖިސްޓްރޭޓް ކޯޓް</t>
  </si>
  <si>
    <t>B.Goidhoo magistrate court</t>
  </si>
  <si>
    <t>ބ. ގޮއިދޫ މެޖިސްޓްރޭޓް ކޯޓް</t>
  </si>
  <si>
    <t>B.Dharavandhoo magistrate court</t>
  </si>
  <si>
    <t>ބ. ދަރަވަންދޫ މެޖިސްޓްރޭޓް ކޯޓް</t>
  </si>
  <si>
    <t>B.Hithaadhoo magistrate court</t>
  </si>
  <si>
    <t>ބ. ހިތާދޫ މެޖިސްޓްރޭޓް ކޯޓް</t>
  </si>
  <si>
    <t>B.Maalhos magistrate court</t>
  </si>
  <si>
    <t>ބ. މާޅޮހު މެޖިސްޓްރޭޓް ކޯޓް</t>
  </si>
  <si>
    <t>B.Kudarikhilu magistrate court</t>
  </si>
  <si>
    <t>ބ. ކުޑަރިކިލު މެޖިސްޓްރޭޓް ކޯޓް</t>
  </si>
  <si>
    <t>B.Kihadhoo magistrate court</t>
  </si>
  <si>
    <t>ބ. ކިހާދޫ މެޖިސްޓްރޭޓް ކޯޓް</t>
  </si>
  <si>
    <t>B.Fulhadhoo magistrate court</t>
  </si>
  <si>
    <t>ބ. ފުޅަދޫ މެޖިސްޓްރޭޓް  ކޯޓް</t>
  </si>
  <si>
    <t>B.Fehendhoo  magistrate court</t>
  </si>
  <si>
    <t>ބ. ފެހެންދޫ މެޖިސްޓްރޭޓް  ކޯޓް</t>
  </si>
  <si>
    <t>B.Thulhaadhoo magistrate court</t>
  </si>
  <si>
    <t>ބ. ތުޅާދޫ މެޖިސްޓްރޭޓް ކޯޓް</t>
  </si>
  <si>
    <t>Lh.Atoll</t>
  </si>
  <si>
    <t>ޅ. އަތޮޅު</t>
  </si>
  <si>
    <t>Lh.Naifaru magistrate court</t>
  </si>
  <si>
    <t>ޅ. ނައިފަރު މެޖިސްޓްރޭޓް ކޯޓް</t>
  </si>
  <si>
    <t>Lh.Hinnavaru magistrate court</t>
  </si>
  <si>
    <t>ޅ. ހިންނަވަރު މެޖިސްޓްރޭޓް ކޯޓް</t>
  </si>
  <si>
    <t>Lh.Olhuvelifushi magistrate court</t>
  </si>
  <si>
    <t>ޅ. އޮޅިވެލިފުށީ މެޖިސްޓްރޭޓް ކޯޓް</t>
  </si>
  <si>
    <t>Lh.Kurendhoo magistrate court</t>
  </si>
  <si>
    <t>ޅ. ކުރެންދޫ މެޖިސްޓްރޭޓް ކޯޓް</t>
  </si>
  <si>
    <t>K.Atoll</t>
  </si>
  <si>
    <t>ކ. އަތޮޅު</t>
  </si>
  <si>
    <t>K.Thulusdhoo magistrate court</t>
  </si>
  <si>
    <t>ކ. ތުލުސްދޫ މެޖިސްޓްރޭޓް ކޯޓް</t>
  </si>
  <si>
    <t>K.Kaashidhoo magistrate court</t>
  </si>
  <si>
    <t>ކ. ކާށިދޫ މެޖިސްޓްރޭޓް ކޯޓް</t>
  </si>
  <si>
    <t>K.Dhifushi magistrate court</t>
  </si>
  <si>
    <t>ކ. ދިއްފުށީ މެޖިސްޓްރޭޓް ކޯޓް</t>
  </si>
  <si>
    <t>K.Huraa magistrate court</t>
  </si>
  <si>
    <t>ކ. ހުރާ މެޖިސްޓްރޭޓް ކޯޓް</t>
  </si>
  <si>
    <t>K.Hinmafushi magistrate court</t>
  </si>
  <si>
    <t>ކ. ހިއްމަފުށީ މެޖިސްޓްރޭޓް ކޯޓް</t>
  </si>
  <si>
    <t>K.Maafushi magistrate court</t>
  </si>
  <si>
    <t>ކ. މާފުށީ މެޖިސްޓްރޭޓް ކޯޓް</t>
  </si>
  <si>
    <t>K.Guraidhoo magistrate court</t>
  </si>
  <si>
    <t>ކ. ގުރައިދޫ މެޖިސްޓްރޭޓް ކޯޓް</t>
  </si>
  <si>
    <t>K.Gulhi magistrate court</t>
  </si>
  <si>
    <t>ކ. ގުޅި މެޖިސްޓްރޭޓް ކޯޓް</t>
  </si>
  <si>
    <t>K.Gaafaru magistrate court</t>
  </si>
  <si>
    <t>ކ. ގާފަރު މެޖިސްޓްރޭޓް ކޯޓް</t>
  </si>
  <si>
    <t>AA.Atoll</t>
  </si>
  <si>
    <t>އއ. އަތޮޅު</t>
  </si>
  <si>
    <t>AA.Rasdhoo magistrate court</t>
  </si>
  <si>
    <t>އއ. ރަސްދޫ މެޖިސްޓްރޭޓް ކޯޓް</t>
  </si>
  <si>
    <t>AA.Thodoo magistrate court</t>
  </si>
  <si>
    <t>އއ. ތޮއްޑޫ މެޖިސްޓްރޭޓް ކޯޓް</t>
  </si>
  <si>
    <t>AA.Mathiveri magistrate court</t>
  </si>
  <si>
    <t>އއ. މަތިވެރި މެޖިސްޓްރޭޓް ކޯޓް</t>
  </si>
  <si>
    <t>AA.Maalhohu magistrate court</t>
  </si>
  <si>
    <t>އއ. މާޅޮހު މެޖިސްޓްރޭޓް ކޯޓް</t>
  </si>
  <si>
    <t>AA.Himandhoo magistrate court</t>
  </si>
  <si>
    <t>އއ. ހިމަންދޫ މެޖިސްޓްރޭޓް ކޯޓް</t>
  </si>
  <si>
    <t>AA.Ukulhahu magistrate court</t>
  </si>
  <si>
    <t>އއ. އުކުޅަހު މެޖިސްޓްރޭޓް ކޯޓް</t>
  </si>
  <si>
    <t>AA.Bodufolhudhoo magistrate court</t>
  </si>
  <si>
    <t>އއ. ބޮޑުފޮޅުދޫ މެޖިސްޓްރޭޓް ކޯޓް</t>
  </si>
  <si>
    <t>AA.Feridhoo magistrate court</t>
  </si>
  <si>
    <t>އއ. ފެރިދޫ މެޖިސްޓްރޭޓް ކޯޓް</t>
  </si>
  <si>
    <t>ADh.Atoll</t>
  </si>
  <si>
    <t>އދ. އަތޮޅު</t>
  </si>
  <si>
    <t>ADh.Mahibadhoo magistrate court</t>
  </si>
  <si>
    <t>އދ. މަހިބަދޫ މެޖިސްޓްރޭޓް ކޯޓް</t>
  </si>
  <si>
    <t>ADh.Omadhoo magistrate court</t>
  </si>
  <si>
    <t>އދ. އޮމަދޫ މެޖިސްޓްރޭޓް ކޯޓް</t>
  </si>
  <si>
    <t>ADh.Mandhoo magistrate court</t>
  </si>
  <si>
    <t>އދ. މަންދޫ މެޖިސްޓްރޭޓް ކޯޓް</t>
  </si>
  <si>
    <t>ADh.Maamigili magistrate court</t>
  </si>
  <si>
    <t>އދ. މާމިގިލި މެޖިސްޓްރޭޓް ކޯޓް</t>
  </si>
  <si>
    <t>ADh.Hannameedhoo magistrate court</t>
  </si>
  <si>
    <t>އދ. ހަންޏާމީދޫ މެޖިސްޓްރޭޓް ކޯޓް</t>
  </si>
  <si>
    <t>ADh.Fenfushi magistrate court</t>
  </si>
  <si>
    <t>އދ. ފެންފުށި މެޖިސްޓްރޭޓް ކޯޓް</t>
  </si>
  <si>
    <t>ADh.Kuburudhoo magistrate court</t>
  </si>
  <si>
    <t>އދ. ކުނބުރުދޫ މެޖިސްޓްރޭޓް ކޯޓް</t>
  </si>
  <si>
    <t>ADh.Dhidhoo magistrate court</t>
  </si>
  <si>
    <t>އދ. ދިއްދޫ މެޖިސްޓްރޭޓް ކޯޓް</t>
  </si>
  <si>
    <t>ADh.Dhigurah magistrate court</t>
  </si>
  <si>
    <t>އދ. ދިގުރަށު މެޖިސްޓްރޭޓް ކޯޓް</t>
  </si>
  <si>
    <t>ADh.Dhangethi magistrate court</t>
  </si>
  <si>
    <t>އދ. ދަނގެތި މެޖިސްޓްރޭޓް ކޯޓް</t>
  </si>
  <si>
    <t>V.Atoll</t>
  </si>
  <si>
    <t>ވ. އަތޮޅު</t>
  </si>
  <si>
    <t>V.Felidhoo magistrate court</t>
  </si>
  <si>
    <t>ވ. ފެލިދޫ މެޖިސްޓްރޭޓް ކޯޓް</t>
  </si>
  <si>
    <t>V.Thinadhoo magistrate court</t>
  </si>
  <si>
    <t>ވ. ތިނަދޫ މެޖިސްޓްރޭޓް ކޯޓް</t>
  </si>
  <si>
    <t>V.Fulidhoo magistrate court</t>
  </si>
  <si>
    <t>ވ. ފުލިދޫ މެޖިސްޓްރޭޓް ކޯޓް</t>
  </si>
  <si>
    <t>V.Rakeedhoo magistrate court</t>
  </si>
  <si>
    <t>ވ. ރަކީދޫ މެޖިސްޓްރޭޓް ކޯޓް</t>
  </si>
  <si>
    <t>V.Keyodhoo magistrate court</t>
  </si>
  <si>
    <t>ވ. ކެޔޮދޫ މެޖިސްޓްރޭޓް ކޯޓް</t>
  </si>
  <si>
    <t>M.Atoll</t>
  </si>
  <si>
    <t>މ. އަތޮޅު</t>
  </si>
  <si>
    <t>M.Muli magistrate court</t>
  </si>
  <si>
    <t>މ. މުލީ މެޖިސްޓްރޭޓް ކޯޓް</t>
  </si>
  <si>
    <t>M.Mulaku magistrate court</t>
  </si>
  <si>
    <t>މ. މުލަކު މެޖިސްޓްރޭޓް ކޯޓް</t>
  </si>
  <si>
    <t>M.Rahmandhoo magistrate court</t>
  </si>
  <si>
    <t>މ. ރަތްމަންދޫ މެޖިސްޓްރޭޓް ކޯޓް</t>
  </si>
  <si>
    <t>M.Kolhufushi magistrate court</t>
  </si>
  <si>
    <t>މ. ކޮޅުފުށީ މެޖިސްޓްރޭޓް ކޯޓް</t>
  </si>
  <si>
    <t>M.Naalaafushi magistrate court</t>
  </si>
  <si>
    <t>މ. ނާލާފުށީ މެޖިސްޓްރޭޓް ކޯޓް</t>
  </si>
  <si>
    <t>M.Veyvashu magistrate court</t>
  </si>
  <si>
    <t>މ. ވޭވަށު މެޖިސްޓްރޭޓް  ކޯޓް</t>
  </si>
  <si>
    <t>M.Maduvvari magistrate court</t>
  </si>
  <si>
    <t>މ. މަޑުއްވަރީ މެޖިސްޓްރޭޓް ކޯޓް</t>
  </si>
  <si>
    <t>M.Dhigaru magistrate court</t>
  </si>
  <si>
    <t>މ. ދިއްގަރު މެޖިސްޓްރޭޓް ކޯޓް</t>
  </si>
  <si>
    <t>F.Atoll</t>
  </si>
  <si>
    <t>ފ. އަތޮޅު</t>
  </si>
  <si>
    <t>F.Nilandhoo magistrate court</t>
  </si>
  <si>
    <t>ފ. ނިލަންދޫ މެޖިސްޓްރޭޓް ކޯޓް</t>
  </si>
  <si>
    <t>F.Magoodhoo magistrate court</t>
  </si>
  <si>
    <t>ފ. މަގޫދޫ މެޖިސްޓްރޭޓް ކޯޓް</t>
  </si>
  <si>
    <t>F.Bileidhoo magistrate court</t>
  </si>
  <si>
    <t>ފ. ބިލެތްދޫ މެޖިސްޓްރޭޓް  ކޯޓް</t>
  </si>
  <si>
    <t>F.Daraboodhoo magistrate court</t>
  </si>
  <si>
    <t>ފ. ދަނރަބޫދޫ މެޖިސްޓްރޭޓް  ކޯޓް</t>
  </si>
  <si>
    <t>F.Feeali magistrate court</t>
  </si>
  <si>
    <t>ފ. ފީއަލީ މެޖިސްޓްރޭޓް ކޯޓް</t>
  </si>
  <si>
    <t>Dh.Atoll</t>
  </si>
  <si>
    <t>ދ. އަތޮޅު</t>
  </si>
  <si>
    <t>Dh.Kudahuvadhoo magistrate court</t>
  </si>
  <si>
    <t>ދ. ކުޑަހުވަދޫ މެޖިސްޓްރޭޓް ކޯޓް</t>
  </si>
  <si>
    <t>Dh.Bandidhoo magistrate court</t>
  </si>
  <si>
    <t>ދ. ބަނޑިދޫ މެޖިސްޓްރޭޓް ކޯޓް</t>
  </si>
  <si>
    <t>Dh.Ribudhoo magistrate court</t>
  </si>
  <si>
    <t>ދ. ރިނބުދޫ މެޖިސްޓްރޭޓް ކޯޓް</t>
  </si>
  <si>
    <t>Dh.Hulhudheli magistrate court</t>
  </si>
  <si>
    <t>ދ. ހުޅުދެލީ މެޖިސްޓްރޭޓް  ކޯޓް</t>
  </si>
  <si>
    <t>Dh.Maaembudhoo magistrate court</t>
  </si>
  <si>
    <t>ދ. މާއެނބޫދޫ މެޖިސްޓްރޭޓް ކޯޓް</t>
  </si>
  <si>
    <t>Dh.Meedhoo magistrate court</t>
  </si>
  <si>
    <t>ދ. މީދޫ މެޖިސްޓްރޭޓް ކޯޓް</t>
  </si>
  <si>
    <t>Th.Atoll</t>
  </si>
  <si>
    <t>ތ. އަތޮޅު</t>
  </si>
  <si>
    <t>Th.Buruni magistrate court</t>
  </si>
  <si>
    <t>ތ. ބުރުނީ މެޖިސްޓްރޭޓް ކޯޓް</t>
  </si>
  <si>
    <t>Th.Gaadhifushi magistrate court</t>
  </si>
  <si>
    <t>ތ. ގާދިއްފުށީ މެޖިސްޓްރޭޓް ކޯޓް</t>
  </si>
  <si>
    <t>Th.Vilufushi magistrate court</t>
  </si>
  <si>
    <t>ތ. ވިލުފުށީ މެޖިސްޓްރޭޓް ކޯޓް</t>
  </si>
  <si>
    <t>Th.Guraidhoo magistrate court</t>
  </si>
  <si>
    <t>ތ. ގުރައިދޫ މެޖިސްޓްރޭޓް ކޯޓް</t>
  </si>
  <si>
    <t>Th.Veymandoo magistrate court</t>
  </si>
  <si>
    <t>ތ. ވޭމަންޑޫ މެޖިސްޓްރޭޓް ކޯޓް</t>
  </si>
  <si>
    <t>Th.Kandoodhoo magistrate court</t>
  </si>
  <si>
    <t>ތ. ކަނޑޫދޫ މެޖިސްޓްރޭޓް ކޯޓް</t>
  </si>
  <si>
    <t>Th.Vandhoo magistrate court</t>
  </si>
  <si>
    <t>ތ. ވަންދޫ މެޖިސްޓްރޭޓް ކޯޓް</t>
  </si>
  <si>
    <t>Th.Thimarafushi magistrate court</t>
  </si>
  <si>
    <t>ތ. ތިމަރަފުށީ މެޖިސްޓްރޭޓް ކޯޓް</t>
  </si>
  <si>
    <t>Th.Omadhoo magistrate court</t>
  </si>
  <si>
    <t>ތ. އޮމަދޫ މެޖިސްޓްރޭޓް ކޯޓް</t>
  </si>
  <si>
    <t>Th.Hirilandhoo magistrate court</t>
  </si>
  <si>
    <t>ތ. ހިރިލަންދޫ މެޖިސްޓްރޭޓް ކޯޓް</t>
  </si>
  <si>
    <t>Th.Dhiyamigili magistrate court</t>
  </si>
  <si>
    <t>ތ. ދިޔަމިގިލީ މެޖިސްޓްރޭޓް ކޯޓް</t>
  </si>
  <si>
    <t>Th.Madifushi magistrate court</t>
  </si>
  <si>
    <t>ތ. މަޑިފުށި މެޖިސްޓްރޭޓް ކޯޓް</t>
  </si>
  <si>
    <t>Th.Kinbidhoo magistrate court</t>
  </si>
  <si>
    <t>ތ. ކިނބިދޫ މެޖިސްޓްރޭޓް ކޯޓް</t>
  </si>
  <si>
    <t>L.Atoll</t>
  </si>
  <si>
    <t>ލ. އަތޮޅު</t>
  </si>
  <si>
    <t>L.Fonadhoo magistrate court</t>
  </si>
  <si>
    <t>ލ. ފޮނަދޫ މެޖިސްޓްރޭޓް ކޯޓް</t>
  </si>
  <si>
    <t>L.Maabaidhoo magistrate court</t>
  </si>
  <si>
    <t>ލ. މާބައިދޫ މެޖިސްޓްރޭޓް ކޯޓް</t>
  </si>
  <si>
    <t>L.Gamu magistrate court</t>
  </si>
  <si>
    <t>ލ. ގަމު މެޖިސްޓްރޭޓް ކޯޓް</t>
  </si>
  <si>
    <t>L.Maamendhoo magistrate court</t>
  </si>
  <si>
    <t>ލ. މާމެންދޫ މެޖިސްޓްރޭޓް ކޯޓް</t>
  </si>
  <si>
    <t>L.Hithadhoo magistrate court</t>
  </si>
  <si>
    <t>ލ. ހިތަދޫ މެޖިސްޓްރޭޓް ކޯޓް</t>
  </si>
  <si>
    <t>L.Kunahandhoo magistrate court</t>
  </si>
  <si>
    <t>ލ. ކުނަހަންދޫ މެޖިސްޓްރޭޓް ކޯޓް</t>
  </si>
  <si>
    <t>L.Isdhoo magistrate court</t>
  </si>
  <si>
    <t>ލ. އިސްދޫ މެޖިސްޓްރޭޓް ކޯޓް</t>
  </si>
  <si>
    <t>L.DMunhoo magistrate court</t>
  </si>
  <si>
    <t>ލ. މުންޑޫ މެޖިސްޓްރޭޓް ކޯޓް</t>
  </si>
  <si>
    <t>L.Dhabidhoo magistrate court</t>
  </si>
  <si>
    <t>ލ. ދަނބިދޫ މެޖިސްޓްރޭޓް ކޯޓް</t>
  </si>
  <si>
    <t>L. Kalaidhoo magistrate court</t>
  </si>
  <si>
    <t>ލ. ކަލައިދޫ މެޖިސްޓްރޭޓް ކޯޓް</t>
  </si>
  <si>
    <t>L.Maavashu magistrate court</t>
  </si>
  <si>
    <t>ލ. މާވަށު މެޖިސްޓްރޭޓް ކޯޓް</t>
  </si>
  <si>
    <t>GA.Atoll</t>
  </si>
  <si>
    <t>ގއ. އަތޮޅު</t>
  </si>
  <si>
    <t>GA.Viligili magistrate court</t>
  </si>
  <si>
    <t>ގއ. ވިލިނގިލީ މެޖިސްޓްރޭޓް ކޯޓް</t>
  </si>
  <si>
    <t>GA.Kolamaafushi magistrate court</t>
  </si>
  <si>
    <t>ގއ. ކޮލަމާފުށީ މެޖިސްޓްރޭޓް ކޯޓް</t>
  </si>
  <si>
    <t>GA.Nilandhoo magistrate court</t>
  </si>
  <si>
    <t>ގއ. ނިލަންދޫ މެޖިސްޓްރޭޓް ކޯޓް</t>
  </si>
  <si>
    <t>GA.Maamendhoo magistrate court</t>
  </si>
  <si>
    <t>ގއ. މާމެންދޫ މެޖިސްޓްރޭޓް ކޯޓު</t>
  </si>
  <si>
    <t>GA.Dhaandhoo magistrate court</t>
  </si>
  <si>
    <t>ގއ. ދާންދޫ މެޖިސްޓްރޭޓް ކޯޓް</t>
  </si>
  <si>
    <t>GA.Dhevadhoo magistrate court</t>
  </si>
  <si>
    <t>ގއ. ދެއްވަދޫ މެޖިސްޓްރޭޓް ކޯޓް</t>
  </si>
  <si>
    <t>GA.Kondey magistrate court</t>
  </si>
  <si>
    <t>ގއ. ކޮނޑޭ މެޖިސްޓްރޭޓް ކޯޓް</t>
  </si>
  <si>
    <t>GA.Gemanafushi magistrate court</t>
  </si>
  <si>
    <t>ގއ. ގެމަނަފުށި މެޖިސްޓްރޭޓް ކޯޓް</t>
  </si>
  <si>
    <t>GA.Kanduhulhudhoo magistrate court</t>
  </si>
  <si>
    <t>ގއ. ކަނޑުހުޅުދޫ މެޖިސްޓްރޭޓް ކޯޓް</t>
  </si>
  <si>
    <t>GDh.Atoll</t>
  </si>
  <si>
    <t>ގދ. އަތޮޅު</t>
  </si>
  <si>
    <t>GDh.Thinadhoo magistrate court</t>
  </si>
  <si>
    <t>ގދ. ތިނަދޫ މެޖިސްޓްރޭޓް ކޯޓް</t>
  </si>
  <si>
    <t>GDh.Madaveli magistrate court</t>
  </si>
  <si>
    <t>ގދ. މަޑަވެލި މެޖިސްޓްރޭޓް ކޯޓް</t>
  </si>
  <si>
    <t>GDh.Hoandedhoo magistrate court</t>
  </si>
  <si>
    <t>ގދ. ހޯނޑެއްދޫ މެޖިސްޓްރޭޓް ކޯޓް</t>
  </si>
  <si>
    <t>GDh.Rathafandhoo magistrate court</t>
  </si>
  <si>
    <t>ގދ. ރަތަފަންދޫ މެޖިސްޓްރޭޓް ކޯޓް</t>
  </si>
  <si>
    <t>GDh.Faresmaathodaa magistrate court</t>
  </si>
  <si>
    <t>ގދ. ފަރެސް މާތޮޑާ މެޖިސްޓްރޭޓް ކޯޓް</t>
  </si>
  <si>
    <t>GDh.Nadella magistrate court</t>
  </si>
  <si>
    <t>ގދ. ނަޑެއްލާ މެޖިސްޓްރޭޓް ކޯޓް</t>
  </si>
  <si>
    <t>GDh.Vaadhoo magistrate court</t>
  </si>
  <si>
    <t>ގދ. ވާދޫ މެޖިސްޓްރޭޓް  ކޯޓް</t>
  </si>
  <si>
    <t>GDh.Gadhoo magistrate court</t>
  </si>
  <si>
    <t>ގދ. ގައްދޫ މެޖިސްޓްރޭޓް ކޯޓް</t>
  </si>
  <si>
    <t>GDh.Fiyoree magistrate court</t>
  </si>
  <si>
    <t>ގދ. ފިޔޯރީ މެޖިސްޓްރޭޓް ކޯޓް</t>
  </si>
  <si>
    <t>Gn.Atoll</t>
  </si>
  <si>
    <t>ޏ. އަތޮޅު</t>
  </si>
  <si>
    <t>Gn.Fuvahmulaku magistrate court</t>
  </si>
  <si>
    <t>ޏ. ފުވައްމުލަކު މެޖިސްޓްރޭޓް ކޯޓް</t>
  </si>
  <si>
    <t>S.Atoll</t>
  </si>
  <si>
    <t>ސ. އަތޮޅު</t>
  </si>
  <si>
    <t>S.Hithadhoo magistrate court</t>
  </si>
  <si>
    <t>ސ. ހިތަދޫ މެޖިސްޓްރޭޓް ކޯޓް</t>
  </si>
  <si>
    <t>S.Hulhudhoo magistrate court</t>
  </si>
  <si>
    <t>ސ. ހުޅުދޫ މެޖިސްޓްރޭޓް ކޯޓް</t>
  </si>
  <si>
    <t>S.Maradhoo magistrate court</t>
  </si>
  <si>
    <t>ސ. މަރަދޫ މެޖިސްޓްރޭޓް ކޯޓް</t>
  </si>
  <si>
    <t>S.Feydhoo magistrate court</t>
  </si>
  <si>
    <t>ސ. ފޭދޫ މެޖިސްޓްރޭޓް ކޯޓް</t>
  </si>
  <si>
    <t>S.Meedhoo magistrate court</t>
  </si>
  <si>
    <t>ސ. މީދޫ މެޖިސްޓްރޭޓް ކޯޓް</t>
  </si>
  <si>
    <t>S.Maradhoofeydhoo magistrate court</t>
  </si>
  <si>
    <t>ސ، މަރަދޫފޭދޫ މެޖިސްޓްރޭޓް ކޯޓް</t>
  </si>
  <si>
    <t>Source: Judicial Service Commission</t>
  </si>
  <si>
    <t>Number of Cases reported</t>
  </si>
  <si>
    <r>
      <t>Number of Cases investigated</t>
    </r>
    <r>
      <rPr>
        <i/>
        <sz val="10"/>
        <color theme="1"/>
        <rFont val="Calibri"/>
        <family val="2"/>
        <scheme val="minor"/>
      </rPr>
      <t xml:space="preserve"> </t>
    </r>
  </si>
  <si>
    <t>އިންޓެގްރިޓީއާ ޚިލާފުވުން</t>
  </si>
  <si>
    <t>ސިޔާސީ ޙަރަކާތުން އެއްކިބާވުމާ ޚިލާފުވުން</t>
  </si>
  <si>
    <t>ހިތްތިރިކަމާ ރިވެތި އަޚްލާޤާ ޚިލާފުވުން</t>
  </si>
  <si>
    <t>ޤާނޫނުތަކާ ޤަވާޢިދުތަކާ ޚިލާފުވުން</t>
  </si>
  <si>
    <t>ވަކިފަރާތަކަށް ނުޖެހުމާ ޚިލާފުވުން</t>
  </si>
  <si>
    <t>ހުނަރާއި ކުޅަދާނަކަން ނެތުން</t>
  </si>
  <si>
    <t>ކޯޓަށް ހުށަހެޅޭ މައްސަލަ ލަސްވާކަމުގެ ޝަކުވާ</t>
  </si>
  <si>
    <t>Age group</t>
  </si>
  <si>
    <t>Tracfficker</t>
  </si>
  <si>
    <t>Victim</t>
  </si>
  <si>
    <t>Cases Logged</t>
  </si>
  <si>
    <t>Cases Completed</t>
  </si>
  <si>
    <t>2017 ވަނަ އަހަރުގައި އެއްވެސް ވަކީލަކު ހުވާ ކުރައްވާފައި ނުވޭ</t>
  </si>
  <si>
    <t xml:space="preserve">ނޯޓް: 2014 ވަނަ އަހަރު އެވަނީ 2014 ވަނަ އަހަރުގެ ނިޔަލަށް ޤާނޫނީ ވަކީލުންގެ ދަފްތަރުގައި ރަޖިސްޓްރީ ކޮށްފައިވާ ޤާނޫނީ ވަކީލުންގެ މަޢުލޫމާތެވެ. އަދި 2015 ވަނަ އަހަރުން ފެނިގެން އެވަނީ އެއަހަރަކު އަލަށް ރަޖިސްޓްރީކުރެވުނު ޤާނޫނީ ވަކީލުންގެ އަދަދެވެ. </t>
  </si>
  <si>
    <t>ޖޫން 2019 ގައި ބާ ކައުންސިލު އުފެދުނު ފަހުން، ބާ ކައުންސިލުގެ ބެލުމުގެ ދަށުން ވަކީލުން ޤާނޫނީ ވަކީލުކަމުގެ ހުވާ ކުރައްވާފައިވަނީ 2020 ވަނަ އަހަރުގައެވެ.</t>
  </si>
  <si>
    <t>މައުލޫމާތު ދެއްވީ:  ދިވެހިރާއްޖޭގެ ބާ ކައުންސިލު / ޑިޕާޓްމަންޓް އޮފް ޖުޑީޝަލް އެޑްމިނިސްޓްރޭޝަން</t>
  </si>
  <si>
    <t>Age groups</t>
  </si>
  <si>
    <t>Wruf egurumuA</t>
  </si>
  <si>
    <t>cscnijed</t>
  </si>
  <si>
    <t>cnehirif</t>
  </si>
  <si>
    <t>cnehcnwa</t>
  </si>
  <si>
    <t>All ages</t>
  </si>
  <si>
    <t>caerumua Whiruh</t>
  </si>
  <si>
    <t>Under 15</t>
  </si>
  <si>
    <t>cSwdcnurwhwa 15</t>
  </si>
  <si>
    <t>15 - 19</t>
  </si>
  <si>
    <t xml:space="preserve">19 - 15 </t>
  </si>
  <si>
    <t>20 - 24</t>
  </si>
  <si>
    <t>24 - 20</t>
  </si>
  <si>
    <t>25 - 29</t>
  </si>
  <si>
    <t>29 - 25</t>
  </si>
  <si>
    <t>30 - 34</t>
  </si>
  <si>
    <t>34 - 30</t>
  </si>
  <si>
    <t>35 - 39</t>
  </si>
  <si>
    <t xml:space="preserve">39 - 35 </t>
  </si>
  <si>
    <t>40 - 49</t>
  </si>
  <si>
    <t>49 - 40</t>
  </si>
  <si>
    <t>50 &amp; Over</t>
  </si>
  <si>
    <t>itwmcnurwa 50</t>
  </si>
  <si>
    <t>Source:Maldives Correctional  Service</t>
  </si>
  <si>
    <t>މައުލޫމާތު ދެއްވީ: މޯލްޑިވްސް ކަރެކްޝަނަލް ސަރވިސް</t>
  </si>
  <si>
    <t>2020 - 2018 cnutogeguscnij cnuhIm unuverukcmukuh :8.33clwvWt</t>
  </si>
  <si>
    <t>Table  8.33 :   PERSONS SENTENCED, BY TYPE AND PERIOD, 2018 - 2020</t>
  </si>
  <si>
    <t>Period of Sentence and Sex</t>
  </si>
  <si>
    <t xml:space="preserve"> cnutogeguscnij utwdcaum unuveruk cmukuh</t>
  </si>
  <si>
    <t>iawgudcnwb Eg</t>
  </si>
  <si>
    <t>Jailed</t>
  </si>
  <si>
    <t>Banished</t>
  </si>
  <si>
    <t>House Arrest/Detention</t>
  </si>
  <si>
    <t xml:space="preserve"> elWm</t>
  </si>
  <si>
    <t xml:space="preserve"> uLotwa</t>
  </si>
  <si>
    <t xml:space="preserve"> wlcmuj</t>
  </si>
  <si>
    <t xml:space="preserve"> iawgulwj</t>
  </si>
  <si>
    <t xml:space="preserve"> iawfivelWvurwa</t>
  </si>
  <si>
    <t>Less than 1 year</t>
  </si>
  <si>
    <t xml:space="preserve"> cSwd cnurwhwa 1</t>
  </si>
  <si>
    <t>1 - 2 years</t>
  </si>
  <si>
    <t>urwhwa 2 - 1</t>
  </si>
  <si>
    <t>2 - 3 years</t>
  </si>
  <si>
    <t>urwhwa 3 - 2</t>
  </si>
  <si>
    <t>3 - 4 years</t>
  </si>
  <si>
    <t>urwhwa 4 - 3</t>
  </si>
  <si>
    <t>4 - 5 years</t>
  </si>
  <si>
    <t>urwhwa 5 - 4</t>
  </si>
  <si>
    <t>5 years &amp; Over</t>
  </si>
  <si>
    <t xml:space="preserve"> itwm cnurwhwa 5</t>
  </si>
  <si>
    <t xml:space="preserve"> cnehirif</t>
  </si>
  <si>
    <t xml:space="preserve"> cnehcnwa</t>
  </si>
  <si>
    <t>Table 8.34: Number of Persons sentenced by type  of crimes and sex, 2020</t>
  </si>
  <si>
    <t>ހުއްދަ ނޫން ޖިންސީ މުޢާމަލާތެއް ހިންގުމުގެ ކުށް</t>
  </si>
  <si>
    <t>Carrying out any act that requires a license or permission from an authority, without obtaining the license</t>
  </si>
  <si>
    <t>ހުއްދަނަގައިދެން ކުރަންޖެހޭ ކަމެއް ހުއްދަނުނަގާ ކުރުން</t>
  </si>
  <si>
    <t>Prostitution</t>
  </si>
  <si>
    <t>ހަށި ވިއްކުން</t>
  </si>
  <si>
    <t>ހުއްދަނޫން ތަނަކަށް ވަނުން</t>
  </si>
  <si>
    <t>ހުއްދަނޫން ޖިންސީ މުއާމަލާތް ހިންގަން އުޅުން</t>
  </si>
  <si>
    <t>ހުއްދަނެތި ދިވެހިރާއްޖޭގެ ޙާއްސަ އިޤްތިސާދީ ސަރަހަށްދަށް ވަނުމުގެ ކުށް</t>
  </si>
  <si>
    <t>ޙިޔާނާތް</t>
  </si>
  <si>
    <t>ޙުކުމާއި އެއްގޮތަށް ޢަމަލުނުކުރުން</t>
  </si>
  <si>
    <t>ނުކުޅެދުންތެރިކަމެއް ހުރި މީހަކާއި އެކު ޖިންސީ އަނިޔާއެއްކުރަން އުޅުމުގެ ކުށް</t>
  </si>
  <si>
    <t>ރޭޕްކުރުން</t>
  </si>
  <si>
    <t>ރަސްމީ ހައިސިއްޔަތު ނަހަމަ ގޮތުގައި ބޭނުންކުރުން</t>
  </si>
  <si>
    <t>Failing to Fast During Ramadan</t>
  </si>
  <si>
    <t>ރަމަޟާންމަހު ރޯދަ ނުހިފުމުގެ ކުށް</t>
  </si>
  <si>
    <t>Consumption of Alcohol</t>
  </si>
  <si>
    <t>ބަނގުރާ ބުއިމުގެ ކުށް</t>
  </si>
  <si>
    <t>ބަނގުރާ ކައްކަން ގެންގުޅޭ އާލާތެއް އަތުގައި ބެހެއްޓުން</t>
  </si>
  <si>
    <t>Unlawful sexual conduct</t>
  </si>
  <si>
    <t>ބަދުއަޚްލާޤީ ޢަމަލުހިންގުން</t>
  </si>
  <si>
    <t xml:space="preserve">Threatening </t>
  </si>
  <si>
    <t>Blackmailing</t>
  </si>
  <si>
    <t>ބްލެކްމެއިލްކުރުން</t>
  </si>
  <si>
    <t>ކައިވެނި ހެޔޮނުވާ ކުޑަކުއްޖަކާމެދު ބަދުއަޙްލާޤީ ޢަމަލު ހިންގުމުގެ ކުށް</t>
  </si>
  <si>
    <t>ކުށެއްކުރުމުގައި ނުރައްކާތެރި ހަތިޔާރެއް ބޭނުންކުރުން</t>
  </si>
  <si>
    <t>ކުށެއްކުރުމުގެ އާލަތެއް އަތުގައި ބެހެއްޓުން</t>
  </si>
  <si>
    <t>ކުޑަ ކުއްޖަކާއިއެކު ޖިންސީ ޢަމަލެއް ހިންގުން</t>
  </si>
  <si>
    <t>ކުޑަކަމުދާ ތަކެތި ދިނުމަށް އިންކާރުކުރުން</t>
  </si>
  <si>
    <t>ކުޑަކުއްޖަކަށް ޖިންސީ ގުނަވަނެއްދެއްކުން</t>
  </si>
  <si>
    <t>ކުޑަކުއްޖެއްގެ ހަށިގަނޑުގައި ޖިންސީ ނިޔަތެއް އޮވެގެން ޤަސްދުގައި އަތްލުން</t>
  </si>
  <si>
    <t>ކުޑަކުދިންނަށް ޖިންސީ ގޯނާކުރުން</t>
  </si>
  <si>
    <t>ކެނަބިސް ބޭނުންކުރުން</t>
  </si>
  <si>
    <t>ކެނަބިސް ޓްރެފިކް ކުރުން</t>
  </si>
  <si>
    <t>ކެނެބިސް ޕެޑްލްކުރުން</t>
  </si>
  <si>
    <t>ކޯޓުގެ ޙުރުމަތްކެނޑުން</t>
  </si>
  <si>
    <t>އަނިޔާއެއްދިނުން</t>
  </si>
  <si>
    <t>އަމަން ނަގާލުން</t>
  </si>
  <si>
    <t>އަމުރަށް ނުކިޔަމަންތެރިވުން</t>
  </si>
  <si>
    <t>އާއިލާގެ މެމްބަރަކާއި އެކު ޖިންސީ އަމަލެއް ހިންގުން</t>
  </si>
  <si>
    <t>އާއްމު މަޞްލަހަތަށް ގެއްލުން ހުރި ޢަމަލެއްކުރުމުގެ ކުށް</t>
  </si>
  <si>
    <t>އަދުލްއިންޞާފް ޤާއިމުކުރުމަށް ހުރަސްއެޅުން</t>
  </si>
  <si>
    <t>އިތުބާރުކުރެވޭ މަޤާމެއްގައިހުރެ ކުޑަކުއްޖަކާއިމެދު ޖިންސީއަމަލެއްހިންގުން</t>
  </si>
  <si>
    <t>އިންޒާރުދިނުން</t>
  </si>
  <si>
    <t>އެހެންމީހެއްގެ މުދަލެއްގެ މައްޗަށް ހުއްދަނޫން ގޮތެއްގައި ބާރު ހިންގުމުގައި ބައިވެރިވުން</t>
  </si>
  <si>
    <t>އެނގިހުރެ މީހަކު މެރުން</t>
  </si>
  <si>
    <t>އެނގިހުރެ ހުއްދަނޫން ތަނަކަށް ވަނުމުގެ ކުށް</t>
  </si>
  <si>
    <t>އެނގިހުރެ ހުއްދަނޫން ގޮތުގައި މަޢުލޫމާތު ހޯދުން</t>
  </si>
  <si>
    <t>އެނގިހުރެ ސައްޙަނޫން ގޮތުގައި އެއްޗެއް އުފެއްދުން</t>
  </si>
  <si>
    <t>އެކަކަށްވުރެ ގިނަމީހުން ބައިވެރިވެގެން ކުޑަކުއްޖަކާއިއެކު ޖިންސީ އަމަލު ހިންގުން</t>
  </si>
  <si>
    <t>އެއްޖިންސުން ޖިންސީ ގުޅުން ހިންގުން</t>
  </si>
  <si>
    <t>އެއްޗެއް ހަލާކުކޮށްލައިގެން ފިހާރައަކުން ދިހަހާސް ރުފިޔާ އަށްވުރެ މަތި އަދަދެއްގެ ފައިސާއިން ވައްކަންކުރުން</t>
  </si>
  <si>
    <t>އޮރިޔާން ކާޑް ރައްދުކުރުން</t>
  </si>
  <si>
    <t>އޮރިޔާންކާޑް ގެންގުޅުން</t>
  </si>
  <si>
    <t>ވަކިމީހަކަށް ނުލައްވާ ގޮތަށް ވިހެއުން</t>
  </si>
  <si>
    <t>ވައްކަންކުރުން</t>
  </si>
  <si>
    <t>ވައްކަންކުރުން ، އެނގިހުރެ ހުއްދަނޫން ތަނަކަށް ވަނުން</t>
  </si>
  <si>
    <t>ވައްކަންކުރުން،އެނގިހުރެ ހުއްދަނޫން ތަނަކަށްވަނުން އަދި މީހެއްގެ މުދަލަށް ގެއްލުންދިނު</t>
  </si>
  <si>
    <t>ވައްކަންކުރުމާއި އެނގިހުރެ ހުއްދަނޫން ތަނަކަށްވަނުން</t>
  </si>
  <si>
    <t>ވައްކަންކުރުމުގައި ބައިވެރިވުން</t>
  </si>
  <si>
    <t>ވާޖިބަށް ހުރަސް އެޅުން</t>
  </si>
  <si>
    <t>މަޙްރަމަކާއެކު ޖިންސީ ޢަމަލެއް ހިންގަން އުޅުން</t>
  </si>
  <si>
    <t>މައްޔިތާގެ ބޭނުން ނަހަމަގޮތުގައި ކުރުން</t>
  </si>
  <si>
    <t>މަނީ ލޯންޑަރިންގ</t>
  </si>
  <si>
    <t>މަކަރާއި ހީލަތް ހެދުން</t>
  </si>
  <si>
    <t>މަޤާމުގެ ނުފޫޒް ބޭނުންކޮށްގެން ނާޖާއިޒު ފައިދާއެއް ހޯދަންއުޅުން</t>
  </si>
  <si>
    <t>މަޤްބޫލް ސަބަބެއްނެތި ނުރައްކާތެރި ހަތިޔާރެއް އާއްމުތަނެއްގައި ގެންގުޅުން</t>
  </si>
  <si>
    <t>މަޤްބޫލް ސަބަބެއްނެތި ޢާއްމުތަނެއްގައި ތޫނުއެއްޗެއް  ގެންގުޅުން</t>
  </si>
  <si>
    <t>މީހަކަށް ނުރައްކާތެރި ހާނިއްކައެއްވާގޮތަށް ތޫނު އެއްޗެއް ނުވަތަ ހަތިޔާރެއް ބޭނުންކޮށްގެން މާރާމާރީ ހިންގުން</t>
  </si>
  <si>
    <t>މީހަކަށް ނުރައްކާތެރި ހާނިއްކައެއްވާގޮތަށް ތޫނު އެއްޗެއް ނުވަތަ ހަތިޔާރެއް ބޭނުންކޮށްގެން މާރާމާރީ ހިންގުމުގައި ބައިވެރިވުން</t>
  </si>
  <si>
    <t>މީހަކު މަރުވެދިދިއުމުގެ ފަރުވާކުޑަ އަމަލެއްކުރުން / ކެނެބިސް ބޭނުންކުރުން</t>
  </si>
  <si>
    <t>މީހުން ޓްރެފިކް ކުރުން</t>
  </si>
  <si>
    <t>މީހަކު ލައްވާ ހަށިވިއްކުން</t>
  </si>
  <si>
    <t>މީހެއްގެ ކާކުކަން އަންގައިދޭ ލިޔުމެއް ނުވަތަ ޓްރެވަލް ޑޮކިއުމެންޓެއް ނަހަމަ ގޮތުގައި ބޭނުންކުރުމަށްޓަކައި ހިފެހެއްޓުން</t>
  </si>
  <si>
    <t>މީހެއްގެ ހަށިގަނޑަށް ގެއްލުންދިނުން</t>
  </si>
  <si>
    <t>މީހެއްގެ މުދަލަށް ގެއްލުން ދިނުން</t>
  </si>
  <si>
    <t>މީހެއްގެ މުދަލަށް ގެއްލުންދިނުން ، ވައްކަންކުރުން</t>
  </si>
  <si>
    <t>މީހެއްގެ މުދަލެއްގެ މައްޗަށް ހުއްދަނޫން ގޮތެއްގައި ބާރު ހިންގުން</t>
  </si>
  <si>
    <t>ފިރިމީހާ އަނބިމީހާ ރޭޕްކުރުން</t>
  </si>
  <si>
    <t>ދަރަނި</t>
  </si>
  <si>
    <t>ދިވެހިރާއްޖެއަށް މަސްތުވާތަކެތި އެތެރެކުރުން / ޓްރެފިކްކުރުން</t>
  </si>
  <si>
    <t>ދަރިންގެ ޙަރަދުގެ ފައިސާ ނުދެއްކުން</t>
  </si>
  <si>
    <t>ދިހަހާސް ރުފިޔާ އަށްވުރެ ގިނަ އަދަދެއްގެ ފައިސާއިން މަކަރާއި ޙީލަތް ހެދުން</t>
  </si>
  <si>
    <t>ދިހަހާސް ރުފިޔާއަށްވުރެ މަތީ އަދަދަކުން ޖަމާއަތް ހަދައިގެން ތަނެއް ހަލާކުކޮށްލައިގެން ސަރުކާރުގެ މުދަލަކުން ވައްކަންކުރުން</t>
  </si>
  <si>
    <t>ދިހަހާސް ރުފިޔާއަށްވުރެ މަތީ އަދަދެއްގެ ފައިސާއިން މަކަރާއި ޙީލަތް ހެދުން</t>
  </si>
  <si>
    <t>ދިވެހި ރާއްޖެއަށް ގެނައުން މަނާތަކެތި ދިވެހިރާއްޖޭގައި ގެންގުޅުން</t>
  </si>
  <si>
    <t>ދޮގުހެދުން</t>
  </si>
  <si>
    <t>ޝަޚުޞް އޮޅުވާލުން</t>
  </si>
  <si>
    <t>ތޫނު ހަތިޔާރު ބޭނުންކޮށްގެން މާރާމާރީ ހިންގުން</t>
  </si>
  <si>
    <t>ތޫނު ހަތިޔާރު ބޭނުންކޮށްގެން މީހަކަށް ގެއްލުންދޭން އުޅުން</t>
  </si>
  <si>
    <t>ތޫނު އެއްޗެއް ބޭނުންކޮށްގެން ގަސްދުގައި މީހަކު މެރުމުގައި ބައިވެރިވުން</t>
  </si>
  <si>
    <t>ޤަތުލު ޟިބުހު އަމުދުގެ ކުށް (ޤަސްދުމަރާއި ވައްތަރުގެ މަރު)</t>
  </si>
  <si>
    <t>ގައިގާ އަތްލުން</t>
  </si>
  <si>
    <t>ގަސްތުގައި ކުއްޖަކު މެރުން</t>
  </si>
  <si>
    <t>ޤާނޫނު ތަންފީޒްކުރާ އިދާރާއަކަށް ދޮގު މަޢުލޫމާތުދިނުން</t>
  </si>
  <si>
    <t>ޤަސްދުގައި މީހަކު މެރުން</t>
  </si>
  <si>
    <t>ޤާނޫނު ތަންފީޛްކުރާ މުވައްޒަފެއްގެ މަސައްކަތަށް ގަސްދުގައި ހުރަސްއެޅުމުގެ ކުށް</t>
  </si>
  <si>
    <t>ސާބިތު ޚަރަދަށް ފައިސާ ނުދެއްކުން</t>
  </si>
  <si>
    <t>ޑައިމޯފިނުން މުއާމަލާތްކުރުން</t>
  </si>
  <si>
    <t>ޑައިމޯފިން ބޭނުންކުރުން</t>
  </si>
  <si>
    <t>ޑައިމޯފިން ޓްރެފިކްކުރުން</t>
  </si>
  <si>
    <t>ޑައިމޯފިން ޕެޑްލްކުރުން</t>
  </si>
  <si>
    <t>ޒިނޭކުރުން</t>
  </si>
  <si>
    <t>ޓެކުން</t>
  </si>
  <si>
    <t>ޖަމާއަތް ހަދައިގެން ވައްކަންކުރުން</t>
  </si>
  <si>
    <t>ޖަމާއަތް ހަދައިގެން މީހުން ދިރިއުޅޭ ތަނަކުން ވައްކަންކުރުން</t>
  </si>
  <si>
    <t>ޖަމާއަތް ހަދައިގެން ތޫނުއެއްޗަކުން ބިރުދައްކައިގެން ފޭރުން</t>
  </si>
  <si>
    <t>ޖަދުވަލު 1 ގައިވާ މަސްތުވާއެއްޗެއް ޓްރެފިކްކުރުން</t>
  </si>
  <si>
    <t>ޖަދުވަލު 2 ގައިވާ މަސްތުވާ އެއްޗެއް ޓްރެފިކްކުރުން</t>
  </si>
  <si>
    <t>ޖިނާއީ ބަންދަކުން ފިލުން</t>
  </si>
  <si>
    <t>ޖިންސީ ނިޔަތެއް އޮވެގެން ކުޑަކުއްޖެއްގެ ހަށިގަނޑުގައި އަތްލުން</t>
  </si>
  <si>
    <t>ޖިންސީ ޢަމަލެއް ހިންގަމުންދާ މަންޒަރެއް ކުޑަކުއްޖަކަށް ދެއްކުމުގެ ކުށް</t>
  </si>
  <si>
    <t>ޖިންސީ ގޯނާ ކުރަން އުޅުން</t>
  </si>
  <si>
    <t>ޖިންސީ ގޯނާކުރުން</t>
  </si>
  <si>
    <t>ޖިންސީގުނަވަން ހާމަކުރުން</t>
  </si>
  <si>
    <t>Table 8.34: Number of Persons sentenced by type  of crimes and sex, 2019</t>
  </si>
  <si>
    <t>ނުރައްކާތެރި ހަތިޔާރާއި އެކު ބިރުދެއްކުން</t>
  </si>
  <si>
    <t>ނުރައްކާތެރި ހަތިޔާރެއް ބޭނުންކޮށްގެން މާރާމާރީ ހިންގުން</t>
  </si>
  <si>
    <t>ރައްކާތެރިކުރުމުގެ އަމުރާ ޙިލާފްވުން</t>
  </si>
  <si>
    <t>ކުޑަކުއްޖަކާމެދު ޖިންސީ ޢަމަލެއް ހިންގާކަން އެނގިހުރެ އެމައުލޫމާތު ސިއްރުކުރުން</t>
  </si>
  <si>
    <t>ކުޑްކުއްޖަކު މެދުވެރިކޮށް އޮރިޔާންކާޑް ހެދުމުގެ ކުށް</t>
  </si>
  <si>
    <t>އާއިލާގެ މެންބަރަކު އެއާއިލާގެ ކުޑަކުއްޖަކާއިއެކު ޖިންސީ އަމަލެއް ހިންގުން، ޖީންސީ އަމަލެއް ހިންގަމުން ގެންދާ މަންޒަރެއް ކުޑަކުއްޖަކަށް ދެއްކުން</t>
  </si>
  <si>
    <t>އިންސާނާގެ ފުރާނައިގެ އަގަށް އެއްވެސް ފަރުވާލެއް ނެތްކަމަށް ދައްކުވައިދޭ ޙާލަތެއްގައި މީހަކު މަރުވެދިއުމުގެ ފަރުވާކުޑަ އަމަލެއް ކުރުމުގެ ކުށް</t>
  </si>
  <si>
    <t>އެހެންމީހެއްގެ މުދަލެއްގެ މައްޗަށް ހުއްދަނޫން ގޮތެއްގައި ބާރު ހިންގުން، އޮރިޔާން ކާޑް އުފައްދާ ގެންގުޅުން</t>
  </si>
  <si>
    <t>އެނގިހުރެ ހުއްދަނޫން ތަނަކަށް ވަނުމާއި، މުދަލައް ގެއްލުން ދިނުމާއި، ވައްކަންކުރުން</t>
  </si>
  <si>
    <t>އެނގިހުރެ ސައްޙަނޫން ގޮތެއްގައި ލިޔުމެއް އުފެއްދުން</t>
  </si>
  <si>
    <t>ވައްކަންކޮށްގެން ހޯދާ މުދާ ބަލައިގަތުން</t>
  </si>
  <si>
    <t>މަނާކުރެވިފައިވާ އެއްޗެއް މީހުން ބަންދުކުރާ މަރުކަޒެއްގައި ގެންގުޅުން</t>
  </si>
  <si>
    <t>މަޤާމުގެ ނުފޫޒު ބޭނުންކޮށްގެން އެހެން ފަރާތަކަށް ނާޖައިޒު ފައިދާ ހޯދައިދިނުމުގެ ކުށް</t>
  </si>
  <si>
    <t>މީހަކު މަރުވެދިއުމުގެ އިހުމާލުގެ ޢަމަލެއްކުރުން</t>
  </si>
  <si>
    <t>މީހަކު މެރުމުގައި ބައިވެރިވުން</t>
  </si>
  <si>
    <t>މީހުން މެރުން</t>
  </si>
  <si>
    <t>މުދަލަށް ގެއްލުންދިނުން، އެނގިހުރެ ހުއްދަނޫން ތަނަކަށް ވަނުން، މަޤްބޫލް ސަބަބެއްނެތި ނުރައްކާތެރި ހަތިޔާރެއް އާއްމުތަނެއްގައި ގެންގުޅުން</t>
  </si>
  <si>
    <t>ދަރިން ބެލެހެއްޓުމަށް އޮތް ވާޖިބާއި، ދަރިންނަށް އަޅާނުލާ ދޫކޮށްލުމުގެ ކުށް</t>
  </si>
  <si>
    <t>ތަނެއް ހަލާކުކޮށްލައިގެން ފިހާރައަކުން ޖަމާއަތް ހަދައިގެން ވައްކަންކުރުން</t>
  </si>
  <si>
    <t>ތޫނު ހަތިޔާރު ބޭނުންކޮށްގެން މީހަކަށް ހާނިކައެއްވާގޮތަށް މާރާމާރީ ހިންގުން</t>
  </si>
  <si>
    <t>ތޫނު އެއްޗެއް ބޭނުންކޮށްގެން ޤަޞްދުގައި މީހަކު މެރުން</t>
  </si>
  <si>
    <t>ތޫނު އެއްޗެތި ގެންގުޅުން</t>
  </si>
  <si>
    <t>ޤަވާއިދާ ޙިލާފްވުން</t>
  </si>
  <si>
    <t>ޤަދަކަމުން ބަދުއަޙްލާޤީ އަމަލު ހިންގުން</t>
  </si>
  <si>
    <t>ޤާނޫނު ހިންގުމަށް ހުރަސްއެޅުމުގެ ކުށް</t>
  </si>
  <si>
    <t>ޓެރަރިޒަމް</t>
  </si>
  <si>
    <t>ޖަމާއަތް ހަދައިގެން ފޭރުން</t>
  </si>
  <si>
    <t>ޖިންސީ އަމަލެއް ހިންގުމަށް ގެއަކަށް ވަނުން</t>
  </si>
  <si>
    <t>Table 8.35: Monthly number of Persons sentenced by type  of crimes, 2020</t>
  </si>
  <si>
    <t>Table 8.35: Monthly number of Persons sentenced by type  of crimes, 2019</t>
  </si>
  <si>
    <t>Table 8.36: Monthly number of Prison arrivals and release, 2020</t>
  </si>
  <si>
    <t>Month</t>
  </si>
  <si>
    <t>Arrival</t>
  </si>
  <si>
    <t>Released</t>
  </si>
  <si>
    <t>sentenced</t>
  </si>
  <si>
    <t>pending trial</t>
  </si>
  <si>
    <t>Table 8.36: Monthly number of Prison arrivals and release, 2019</t>
  </si>
  <si>
    <t>ތާވަލު 8.37: އެންޓިކޮރަޕްޝަން ކޮމިޝަނަށް ހުށަހެޅިފައިވާ ކޮރަޕްޝަންގެ މައްސަލަތައް، 2013 - 2020</t>
  </si>
  <si>
    <t>TABLE 8.37: NUMBER OF CASES REPORTED ON CORRUPTION BY LOCALITY,  2013 - 2020</t>
  </si>
  <si>
    <r>
      <t xml:space="preserve">Cases Reported         </t>
    </r>
    <r>
      <rPr>
        <b/>
        <sz val="11"/>
        <rFont val="Faruma"/>
        <family val="3"/>
      </rPr>
      <t xml:space="preserve"> ހުށައެޅުނު މައްސަލަތައް</t>
    </r>
  </si>
  <si>
    <t>މުޅި ރާއްޖެ</t>
  </si>
  <si>
    <t>ތިލަދުންމަތި އުތުރުބުރި (ހއ)</t>
  </si>
  <si>
    <t>ތިލަދުންމަތި ދެކުނުބުރި (ހދ)</t>
  </si>
  <si>
    <t>މިލަދުންމަޑޫލު އުތުރުބުރި (ށ)</t>
  </si>
  <si>
    <t>މިލަދުންމަޑޫލު ދެކުނުބުރި (ނ)</t>
  </si>
  <si>
    <t>މާޅޮސްމަޑުލު އުތުރުބުރި (ރ)</t>
  </si>
  <si>
    <t>South Maalhosamadulu (B)</t>
  </si>
  <si>
    <t>މާޅޮސްމަޑުލު ދެކުނުބުރި (ބ)</t>
  </si>
  <si>
    <t>Faadhhippolhu (Lh)</t>
  </si>
  <si>
    <t>ފާދިއްޕޮޅު (ޅ)</t>
  </si>
  <si>
    <t>Kaafu Atoll (K)</t>
  </si>
  <si>
    <t>މާލެ އަތޮޅު (ކ)</t>
  </si>
  <si>
    <t>އަރިއަތޮޅު އުތުރުބުރި (އއ)</t>
  </si>
  <si>
    <t>އަރިއަތޮޅު ދެކުނުބުރި (އދ)</t>
  </si>
  <si>
    <t>ފެލިދެ އަތޮޅު (ވ)</t>
  </si>
  <si>
    <t>މުލަކަތޮޅު (މ)</t>
  </si>
  <si>
    <t xml:space="preserve">North Nilandhe Atoll (F) </t>
  </si>
  <si>
    <t>ނިލަންދެ އަތޮޅު އުތުރުބުރި (ފ)</t>
  </si>
  <si>
    <t>ނިލަންދެ އަތޮޅު ދެކުނުބުރި (ދ)</t>
  </si>
  <si>
    <t>ކޮޅުމަޑުލު (ތ)</t>
  </si>
  <si>
    <t>ހައްދުންމަތި (ލ)</t>
  </si>
  <si>
    <t>ހުވަދު އަތޮޅު އުތުރުބުރި (ގއ)</t>
  </si>
  <si>
    <t>ހުވަދު އަތޮޅު ދެކުނުބުރި (ގދ)</t>
  </si>
  <si>
    <t>ފުވައްމުލައް (ޏ)</t>
  </si>
  <si>
    <t>Addu Atoll (S)</t>
  </si>
  <si>
    <t>އައްޑު އަތޮޅު (ސ)</t>
  </si>
  <si>
    <t>Not Stated</t>
  </si>
  <si>
    <t>ވަކި އަތޮޅަކަށް ރައްދުނުވާ</t>
  </si>
  <si>
    <t>Source: Aniti Corruption Commision</t>
  </si>
  <si>
    <t xml:space="preserve">މަޢުލޫމާތު ދެއްވި ފަރާތް: އެންޓި ކޮރަޕްޝަން ކޮމިޝަން </t>
  </si>
  <si>
    <t>ތާވަލު 8.38: ކޮމިޝަންގައި ރަޖިސްޓްރީކުރެވުނު މައްސަލަތަކުގެ ބާވަތްތައް، 2015 - 2020</t>
  </si>
  <si>
    <t>Table 8.38: Cases Registered at the Commission by Type,  2015  - 2020</t>
  </si>
  <si>
    <t>Procumement</t>
  </si>
  <si>
    <t>ޕްރޮކިއުމަންޓް</t>
  </si>
  <si>
    <t>Employment</t>
  </si>
  <si>
    <t>ވަޒީފާ</t>
  </si>
  <si>
    <t>Land</t>
  </si>
  <si>
    <t>ގޯތިގެދޮރު</t>
  </si>
  <si>
    <t>Land / Residential Leasing</t>
  </si>
  <si>
    <t>ކުއްޔަށްދޫކުރެވޭ ތަން / ބިން</t>
  </si>
  <si>
    <t xml:space="preserve">Island Leasing </t>
  </si>
  <si>
    <t>ކުއްޔަށްދޫކުރެވޭ ރަށްތައް</t>
  </si>
  <si>
    <t xml:space="preserve">License &amp; Permits </t>
  </si>
  <si>
    <t xml:space="preserve">ލައިސެންސް އަދި ހުއްދަ ދިނުން </t>
  </si>
  <si>
    <t xml:space="preserve">Trainings &amp; Scholarships </t>
  </si>
  <si>
    <t xml:space="preserve">ޓްރެއިނިންގ އަދި ސްކޮލަރޝިޕް </t>
  </si>
  <si>
    <t xml:space="preserve">Loan Schemes </t>
  </si>
  <si>
    <t>ލޯން ސްކީމް</t>
  </si>
  <si>
    <t>Election &amp; Campaigns</t>
  </si>
  <si>
    <t xml:space="preserve">އިންތިޚާބް އަދި ކެމްޕެއިންތައް </t>
  </si>
  <si>
    <t xml:space="preserve">Salary &amp; Incentives </t>
  </si>
  <si>
    <t>މުސާރައާއި އިނާޔަތްތައް</t>
  </si>
  <si>
    <t xml:space="preserve">Utilizing Public Assets &amp; Finances </t>
  </si>
  <si>
    <t>ދައުލަތުގެ ފައިސާއާއި ތަކެތި ބޭނުންކުރުން</t>
  </si>
  <si>
    <t>*Note: Table title in table 8.33 revised dated 21 April 2019</t>
  </si>
  <si>
    <t>Providing undue advantage for a third party</t>
  </si>
  <si>
    <t>ނާޖާއިޒު ފައިދާ ހޯދައިދިނުން</t>
  </si>
  <si>
    <t>Acts in contradiction to the laws and regulations</t>
  </si>
  <si>
    <t>ގަވާއިދާ ޚިލާފުވުން</t>
  </si>
  <si>
    <t>Personal gain / Undue advantage</t>
  </si>
  <si>
    <t>ނާޖާއިޒު ފައިދާ ހޯދުން</t>
  </si>
  <si>
    <t>Acting in a manner which precludes an advantage to the public or the State</t>
  </si>
  <si>
    <t>ދައުލަތަށް ފައިދާވާން އޮތްކަމެއްގައި އެނޫންގޮތަކަށް ޢަމަލުކުރުން</t>
  </si>
  <si>
    <t>Negligence</t>
  </si>
  <si>
    <t>އިހުމާލު</t>
  </si>
  <si>
    <t>Providing false information</t>
  </si>
  <si>
    <t>ދޮގު މަޢުލޫމާތު ދިނުން</t>
  </si>
  <si>
    <t>Bribery</t>
  </si>
  <si>
    <t>ރިޝްވަތު</t>
  </si>
  <si>
    <t>Defying Commission's ruling</t>
  </si>
  <si>
    <t xml:space="preserve">ކޮމިޝަނުގެ ނިންމުމަށް ތަބާނުވުން </t>
  </si>
  <si>
    <t>ހެކިފޮރުވުން*</t>
  </si>
  <si>
    <t xml:space="preserve">ނޯޓް: 2018 ވަނަ އަހަރު ކޮމިޝަނުން ބަލައި ނިންމާފައިވަނީ ޖުމްލަ 1299 މައްސަލަ ކަމުގައިވީނަމަވެސް، މި ތާވަލުގައި ބަލައި ނިންމި މައްސަލަތަކުގެ ބާވަތްތަކުގެ ޖުމްލަ 1370ކަމުގައި ބަޔާންކުރެވިފައިއެވަނީ ކޮމިޝަނުން ބަލައި ނިންމި މައްސަލަތަކުގެ ތެރޭގައި މިތާވަލުގައި ހިމެނޭ އެއްބާވަތަށްވުރެ ގިނަ ބާވަތް ހިމެނޭތީއެވެ. </t>
  </si>
  <si>
    <t>TABLE 8.40: NUMBER OF CASES SENT TO PROSECUTOR GENERAL'S OFFICE BY TYPE OF CHARGES , 2011 - 2020</t>
  </si>
  <si>
    <t xml:space="preserve">ތާވަލު 8:40: ޕްރޮސެކިޔުޓަރ ޖެނެރަލް އޮފީހަށް ފޮނުވުނު މައްސަލަތަކުގައި ހިމެނޭ ދަޢުވާގެ ބާވަތްތައް، 2011 - 2020 </t>
  </si>
  <si>
    <t>އަހަރު   Year</t>
  </si>
  <si>
    <t>ދަޢުވާގެ ބާވަތްތައް</t>
  </si>
  <si>
    <t>Nepotism/ providing undue advantage for a third party</t>
  </si>
  <si>
    <t>Personal Gain/ Undue Advantage</t>
  </si>
  <si>
    <t>Fraud</t>
  </si>
  <si>
    <t>ޚިޔާނާތް</t>
  </si>
  <si>
    <t>Acting against the interest of state</t>
  </si>
  <si>
    <t>ދައުލަތަށް ފައިދާ ލިބެން އޮތްކަމެއްގައި އެނޫންގޮތަކަށް ޢަމަލުކުރުން</t>
  </si>
  <si>
    <t>Defying Commission rulings/ notice</t>
  </si>
  <si>
    <t>ކޮމިޝަނުގެ ނިންމުމަށް ތަބާނުވުން</t>
  </si>
  <si>
    <t>Recompense government loss</t>
  </si>
  <si>
    <t>ދައުލަތަށް ލިބުނު ގެއްލުމުގެ ބަދަލު ހޯދުން</t>
  </si>
  <si>
    <t>Acquire money obtained through bribery</t>
  </si>
  <si>
    <t>ރިޝްވަތުގެ ގޮތުގައި ހޯދި ފައިސާ އަތުލުން</t>
  </si>
  <si>
    <t>Kickbacks from Government Projects/ funds</t>
  </si>
  <si>
    <t>އަމިއްލަ ފައިދާ ލިބޭގޮތަށް ސަރުކާރަށް ތަކެތި ހޯދުން</t>
  </si>
  <si>
    <t>Embezzlement of Government Fund/ Assets</t>
  </si>
  <si>
    <t>އަމިއްލަ ފައިދާ ލިބޭގޮތަށް ސަރުކާރުގެ ތަކެތި ބޭނުންކުރުން</t>
  </si>
  <si>
    <t>Concealing Evidence</t>
  </si>
  <si>
    <t>ހެކިފޮރުވުން</t>
  </si>
  <si>
    <t>Misrepresentation</t>
  </si>
  <si>
    <t>Inchoate offense</t>
  </si>
  <si>
    <t>ކުށެއްކުރަން އުޅުން</t>
  </si>
  <si>
    <t>Tampering with Writings, Records, or Devices</t>
  </si>
  <si>
    <t>ކަމެއް އޮޅުވާލުމުގެ ނުވަތަ ނުރަނގަޅު ޢަމަލެއް ފޮރުވުމުގެ މަޤްޞަދުގައި ލިޔެކިޔުމާއި ރެކޯޑާއި އެހެނިހެން ވަޞީލަތްތަކާއި ބެހުން 311 (ހ) 1</t>
  </si>
  <si>
    <t>Deceptive Practices / Providing false or misleading information</t>
  </si>
  <si>
    <t>އޮޅުވާލުމުގެ ޢަމަލު / ސައްޙަނޫން މަޢުލޫމާތު ދިނުން 313 (ހ) 1</t>
  </si>
  <si>
    <t>Influencing Official Conduct / Illegal communication</t>
  </si>
  <si>
    <t>ރަސްމީ ހައިސިއްޔަތުން ކުރަންޖެހޭ ކަމަކަށް ނުފޫޒު ފޯރުވުން / ޤާނޫނުގައި މަނާ މުއާޞަލާތެއް ހިންގުން 511 (ހ) 2</t>
  </si>
  <si>
    <t>Failure to perform a mandatory duty as required by law</t>
  </si>
  <si>
    <t>ޤާނޫނުގައިވާ ގޮތުގެމަތިން އަދާކުރަންޖެހޭ ވާޖިބެއް އަދާ ނުކޮށް ދޫކޮށްލުން 512 (ހ) 1</t>
  </si>
  <si>
    <t>Perform an act that is not lawfully authorized</t>
  </si>
  <si>
    <t>ރަސްމީ ޙައިޞިއްޔަތު ބޭނުންކޮށްގެން ހުއްދަނޫން ކަމެއްކުރުން 512 (ހ) 2</t>
  </si>
  <si>
    <t>Misuse of Power / Official misconduct</t>
  </si>
  <si>
    <t>ރަސްމީ ހައިސިއްޔަތު ނަހަމަގޮތުގައި ބޭނުންކުރުން 513 (ށ)</t>
  </si>
  <si>
    <t xml:space="preserve">2020ވަނަ  އަހަރުގެ ތެރޭގައި ކޮމިޝަނުން ދަޢުވާކުރުމަށްޓަކައި ޕީޖީ އޮފީހަށް ފޮނުވާފައިވާ 11 މައްސަލަތަކުގައި ހިމެނެނީ ޖުމްލަ 54 ދަޢުވާއެވެ. </t>
  </si>
  <si>
    <t>ނޯޓު:</t>
  </si>
  <si>
    <t>ތާވަލު 8.41: ކޮމިޝަނަށް ހުށަހެޅުނު މައްސަލަތައް ރައްދުވާ އިދާރާތައް، 2014 - 2020</t>
  </si>
  <si>
    <t>TABLE 8.41:  NUMBER OF CASES REGISTERED TO THE COMMISSION BY ADDRESSEE, 2014 - 2020</t>
  </si>
  <si>
    <t>Sector</t>
  </si>
  <si>
    <t xml:space="preserve">އަހަރު    Year </t>
  </si>
  <si>
    <t>ދާއިރާ</t>
  </si>
  <si>
    <t xml:space="preserve">Others </t>
  </si>
  <si>
    <t>ވަކި އިދާރާއަކަށް ރައްދުނުވާ</t>
  </si>
  <si>
    <t>Political Parties</t>
  </si>
  <si>
    <t>ސިޔާސީ ޕާޓީ</t>
  </si>
  <si>
    <t>Coorperative Societies</t>
  </si>
  <si>
    <t>ކޯޕަރޭޓިވް ސޮސައިޓީ</t>
  </si>
  <si>
    <t>Club Associations / Organizations</t>
  </si>
  <si>
    <t>ޖަމާޢަތް/ ޖަމްޢިއްޔާ/ އެސޯސިއޭޝަންސް</t>
  </si>
  <si>
    <t>Maldives Customs Service</t>
  </si>
  <si>
    <t>މޯލްޑިވްސް ކަސްޓަމްސް ސަރވިސް</t>
  </si>
  <si>
    <t>Public Companies</t>
  </si>
  <si>
    <t>ސަރުކާރު ޙިއްޞާވާ ކުންފުނިތައް</t>
  </si>
  <si>
    <t>Island Councils</t>
  </si>
  <si>
    <t>ރަށު ކައުންސިލް</t>
  </si>
  <si>
    <t>Atoll Councils</t>
  </si>
  <si>
    <t>އަތޮޅު ކައުންސިލް</t>
  </si>
  <si>
    <t>City Councils</t>
  </si>
  <si>
    <t>ސިޓީ ކައުންސިލް</t>
  </si>
  <si>
    <t>Independent Commissions</t>
  </si>
  <si>
    <t>މުސްތަޤިއްލު އިދާރާތަކާއި ކޮމިޝަންތައް</t>
  </si>
  <si>
    <t>Attorney General's Office</t>
  </si>
  <si>
    <t>އެޓަރނީ ޖެނެރަލްގެ އޮފީސް</t>
  </si>
  <si>
    <t>Ministry of Foreign Affairs</t>
  </si>
  <si>
    <t>މިނިސްޓްރީ އޮފް ފޮރިން އެފެއާޒް</t>
  </si>
  <si>
    <t>Ministry of Islamic Affairs</t>
  </si>
  <si>
    <t>މިނިސްޓްރީ އޮފް އިސްލާމިކް އެފެއާޒް</t>
  </si>
  <si>
    <t>Ministry of Tourism</t>
  </si>
  <si>
    <t>މިނިސްޓްރީ އޮފް ޓޫރިޒަމް</t>
  </si>
  <si>
    <t>Ministry of Fisheries and Agriculture*</t>
  </si>
  <si>
    <r>
      <t xml:space="preserve">މިނިސްޓްރީ އޮފް ފިޝަރީޒް، </t>
    </r>
    <r>
      <rPr>
        <sz val="11"/>
        <color theme="5" tint="-0.499984740745262"/>
        <rFont val="Faruma"/>
        <family val="3"/>
      </rPr>
      <t xml:space="preserve">މެރިން ރިސޯސަސް </t>
    </r>
    <r>
      <rPr>
        <sz val="11"/>
        <color theme="1"/>
        <rFont val="Faruma"/>
        <family val="3"/>
      </rPr>
      <t>އެންޑް އެގްރިކަލްޗަރ</t>
    </r>
  </si>
  <si>
    <t>Ministry of Finance*</t>
  </si>
  <si>
    <t xml:space="preserve">މިނިސްޓްރީ އޮފް ފިނޭންސް </t>
  </si>
  <si>
    <t>Ministry of Finance and Treasury</t>
  </si>
  <si>
    <t>މިނިސްޓްރީ އޮފް ފިނޭންސް އެންޑް ޓްރެޜަރީ</t>
  </si>
  <si>
    <t>Ministry of Youth, Sports and Community Empowerment*</t>
  </si>
  <si>
    <t>މިނިސްޓްރީ އޮފް ޔޫތު ސްޕޯޓްސް އެންޑް ކޮމިއުނިޓީ އެމްޕަވަރަމެންޓް</t>
  </si>
  <si>
    <t>Ministry of Defence*</t>
  </si>
  <si>
    <t xml:space="preserve">މިނިސްޓްރީ އޮފް ޑިފެންސް </t>
  </si>
  <si>
    <t>Ministry of Defence and National Security</t>
  </si>
  <si>
    <t>މިނިސްޓްރީ އޮފް ޑިފެންސް އެންޑް ނޭޝަނަލް ސެކިއުރިޓީ</t>
  </si>
  <si>
    <t>Ministry of Economic Development</t>
  </si>
  <si>
    <t>މިނިސްޓްރީ އޮފް އިކޮނޮމިކް ޑިވެލޮޕްމަންޓް</t>
  </si>
  <si>
    <t>Ministry of National Planning and Infrastructure*</t>
  </si>
  <si>
    <t>މިނިސްޓްރީ އޮފް ނޭޝަނަލް ޕްލޭނިންގ އެންޑް އިންފްރާސްޓްރަކްޗަރ</t>
  </si>
  <si>
    <t>Ministry of Housing &amp; Urban Development*</t>
  </si>
  <si>
    <t>މިނިސްޓްރީ އޮފް ހައުސިންގ އެންޑް އަރބަން ޑެވެލޮޕްމެންޓް</t>
  </si>
  <si>
    <t>Ministry of Housing and Infrastructure</t>
  </si>
  <si>
    <t>މިނިސްޓްރީ އޮފް ހައުސިންގ އެންޑް އިންފްރާސްޓްރަކްޗަރ</t>
  </si>
  <si>
    <t>Ministry of National Planning, Housing and Infrastructure*</t>
  </si>
  <si>
    <t>މިނިސްޓްރީ އޮފް ނޭޝަނަލް ޕްލޭނިންގ، ހައުސިންގ އެންޑް އިންފްރާސްޓްރަކްޗަރ</t>
  </si>
  <si>
    <t>Ministry of Arts Heritage and Culture*</t>
  </si>
  <si>
    <t>މިނިސްޓްރީ އޮފް އާރޓްސް، ހެރިޓޭޖް އެންޑް ކަލްޗަރ</t>
  </si>
  <si>
    <t>Ministry of Communication &amp; Technology*</t>
  </si>
  <si>
    <t>މިނިސްޓްރީ އޮފް ކޮމިއުނިކޭޝަން ސައިންސް އެންޑް ޓެކްނޮލޮޖީ</t>
  </si>
  <si>
    <t>Ministry of Transport and Civil Aviation*</t>
  </si>
  <si>
    <t>މިނިސްޓްރީ އޮފް ޓްރާންސްޕޯޓް އެންޑް ސިވިލް އޭވިއޭޝަން</t>
  </si>
  <si>
    <t xml:space="preserve">Ministry of Transport &amp; Communication </t>
  </si>
  <si>
    <t>މިނިސްޓްރީ އޮފް ޓްރާންސްޕޯޓް އެންޑް ކޮމިއުނިކޭޝަން</t>
  </si>
  <si>
    <t>Ministry of Environment*</t>
  </si>
  <si>
    <t>މިނިސްޓްރީ އޮފް އެންވަޔަރަންމަންޓް</t>
  </si>
  <si>
    <t>Ministry of Environment and Energy</t>
  </si>
  <si>
    <t>މިނިސްޓްރީ އޮފް އެންވަރަޔަމަންޓް އެންޑް އެނަރޖީ</t>
  </si>
  <si>
    <t>Ministry of Home Affairs</t>
  </si>
  <si>
    <t>މިނިސްޓްރީ އޮފް ހޯމް އެފެއާޒް</t>
  </si>
  <si>
    <t>Ministry of Law and Gender</t>
  </si>
  <si>
    <t>މިނިސްޓްރީ އޮފް ލޯ އެންޑް ޖެންޑަރ</t>
  </si>
  <si>
    <t>Ministry of Gender, Family and Social Service</t>
  </si>
  <si>
    <t>މިނިސްޓްރީ އޮފް ޖެންޑަރ، ފެމިލީ، އެންޑް ސޯޝަލް ސަރވިސް</t>
  </si>
  <si>
    <t xml:space="preserve">Ministry of Health </t>
  </si>
  <si>
    <t>މިނިސްޓްރީ އޮފް ހެލްތް</t>
  </si>
  <si>
    <t>މިނިސްޓްރީ އޮފް ހަޔަރއެޑިޔުކޭޝަން</t>
  </si>
  <si>
    <t>Ministry of Education</t>
  </si>
  <si>
    <t>މިނިސްޓްރީ އޮފް އެޑިއުކޭޝަން</t>
  </si>
  <si>
    <t xml:space="preserve">Law and Order (Judiciary) </t>
  </si>
  <si>
    <t>ޝަރުޢީ ދާއިރާ</t>
  </si>
  <si>
    <t>Peoples Majlis</t>
  </si>
  <si>
    <t>ރައްޔިތުންގެ މަޖިލީހުގެ އިދާރާ</t>
  </si>
  <si>
    <t>The President's Office</t>
  </si>
  <si>
    <t>ރައީސުލް ޖުމްހޫރިއްޔާގެ އޮފީސް</t>
  </si>
  <si>
    <t xml:space="preserve">Note: The number of cases submitted to the commission  may have more than one addressee. </t>
  </si>
  <si>
    <t xml:space="preserve">ނޯޓް: ކޮމިޝަނަށް ހުށަހެޅޭ ބައެއް މައްސަލަތަކަކީ އެއްފަރާތަށް ވުރެ ގިނަ ފަރާތްތަކަށް ރައްދުވާ މައްސަލަތަކެވެ.  </t>
  </si>
  <si>
    <t>Source: Anti Corruption Commision</t>
  </si>
  <si>
    <t>ތާވަލު 8.42: ކޮމިޝަނުން ބަލައި ނިމިފައިވާ މައްސަލަތަކުގެ ތަފްސީލު، 2011 - 2020</t>
  </si>
  <si>
    <t>Table 8.42: Detail of completed cases investigated by the commission, 2011 - 2020</t>
  </si>
  <si>
    <t>މައްސަލަ ބަލައި ނިންމި ގޮތް</t>
  </si>
  <si>
    <t>Case Dismissed due to insufficient evidence and information</t>
  </si>
  <si>
    <t>އެކަށީގެންވާ ހެއްކާ ޤަރީނާ ލިބިފައިނުވާތީ  ކޮރަޕްޝަންގެ ޢަމަލެއް އެކުލެވިގެން ނުވާކަމަށް ނިންމި</t>
  </si>
  <si>
    <t>Recommendations Provide for Administration Issues*
(Cases related to Administration of Offices)</t>
  </si>
  <si>
    <t>މުއައްސަސާތަކުގެ ހިންގުމުގެ ދާއިރާގައި ހުރި  މައްސަލަތަށް އިސްލާހު ކުރުމަށް އެންގުމަށް ނިންމި</t>
  </si>
  <si>
    <t>Concluded in evaluation stage as not a corruption offence(*)</t>
  </si>
  <si>
    <t>އިވެލުއޭޝަން އިން ކޮރަޕްޝަންގެ ޢަމަލެއް އެކުލެވިގެންނުވާކަމަށް ނިންމި</t>
  </si>
  <si>
    <t xml:space="preserve">Concluded to be sent to PG Office </t>
  </si>
  <si>
    <t>ޝަރީޢަތަށް ހުށަހެޅުމަށްޓަކައި ޕްރޮސިކިއުޓަރ  ޖެނެރަލްގެ އޮފީހަށް ފޮނުވުމަށް ނިންމި</t>
  </si>
  <si>
    <t>Note: Description Details for  Cases related to Administration of Offices* changed to Recommendations Provide for Administration Issues from 21st April 2019</t>
  </si>
  <si>
    <t xml:space="preserve">މަޢުލޫމާތު ދެއްވި ފަރާތް: އެންޓިކޮރަޕްޝަން ކޮމިޝަން </t>
  </si>
  <si>
    <t>Source: Anti Corruption Commission</t>
  </si>
  <si>
    <t xml:space="preserve">(*) New inlcusion </t>
  </si>
  <si>
    <t>ތާވަލު 8.43: ކޮމިޝަނުން ބަލައި ނިންމި މައްސަލަތަކުގެ އަދަދު، 2010 - 2020</t>
  </si>
  <si>
    <t>Table 8.43: Total Number of Cases Concluded, 2010 - 2020</t>
  </si>
  <si>
    <t>Year  އަހަރު</t>
  </si>
  <si>
    <t>އަދަދު    Number</t>
  </si>
  <si>
    <t>ތާވަލު 8.44: ކުޑަކުދިންނަށް ކުރާ އަނިޔާއާއިބެހޭގޮތުން ހުށަހެޅިފައިވާ މައްސަލަތައް، 2009 - 2020</t>
  </si>
  <si>
    <t>Table 8.44: NUMBER OF REPORTED CHILD ABUSE  CASES (UNDER 18) BY TYPE, 2009 - 2020</t>
  </si>
  <si>
    <t xml:space="preserve">Types of abuse </t>
  </si>
  <si>
    <t>އަޅާނުލުން</t>
  </si>
  <si>
    <t>ޖިސްމާނީ އަނިޔާ</t>
  </si>
  <si>
    <t>Emotional Abuse</t>
  </si>
  <si>
    <t>ނަފްސާނީ އަނިޔާ</t>
  </si>
  <si>
    <t>ޖިންސީ އަނިޔާ</t>
  </si>
  <si>
    <t>Bullying</t>
  </si>
  <si>
    <t xml:space="preserve">ގަނާކުރުން </t>
  </si>
  <si>
    <t>Harrasment</t>
  </si>
  <si>
    <t xml:space="preserve">ފުރައްސާރަކުރުން </t>
  </si>
  <si>
    <t>Witness to Domestic Violence</t>
  </si>
  <si>
    <t xml:space="preserve">ގެވެށި އަނިޔާގެ އަމަލެއް ކުރާތައް ކުއްޖަކަށް ދެއްކުން ނުވަތަ ފެނުން </t>
  </si>
  <si>
    <t>Cyber Bullying</t>
  </si>
  <si>
    <t>އެހެންކުދިންގެ ފަރާތުން އިންޓަރނެޓް މެދުވެރިކޮށް ގަނާ ލިބުން</t>
  </si>
  <si>
    <t xml:space="preserve">Note: Others include: Child Deaths, Exploitation, Commercial Exploitation / Child Labor,  Commercial Sexual Exploitation,  Trafficking of Children, Victims of Bullying,  Child Abandonment 
</t>
  </si>
  <si>
    <t xml:space="preserve">މަޢުލޫމާތު ދެއްވީ: މިނިސްޓްރީ އޮފް ޖެންޑަރ، ފެމިލީ އެންޑް ސޯޝަލް ސަރވިސަސް </t>
  </si>
  <si>
    <t>Source: Ministry of Gender, Family and Social Services</t>
  </si>
  <si>
    <t>ތާވަލު 8.45: ޖިންސުގެ ގޮތުން ކުޑަކުދިންނަށް ކުރާ އަނިޔާއާއިބެހޭގޮތުން ހުށަހެޅިފައިވާ މައްސަލަތައް، 2017 - 2020</t>
  </si>
  <si>
    <t>ދެޖިންސު</t>
  </si>
  <si>
    <t xml:space="preserve">ތާވަލު 8.47: ހުށަހެޅިފައިވާ ކުޑަކުދިންގެ އަޚްލާޤީ މައްސަލަތައް އަދި ޖިންސު، 2020 </t>
  </si>
  <si>
    <t>Table 8.47: Number of cases reported regarding behavioural problems of children by sex, 2020</t>
  </si>
  <si>
    <t>Refusal to Attend School</t>
  </si>
  <si>
    <t>ސްކޫލަށްދާން ބޭނުންނުވުން</t>
  </si>
  <si>
    <t>Tamper Tantrums</t>
  </si>
  <si>
    <t>ރުޅިއިސްކުރުން / ރުޅިގަދަވެގެން އުޅުން</t>
  </si>
  <si>
    <t xml:space="preserve">Running Away </t>
  </si>
  <si>
    <t>ގެއިން ނުކުމެގެން ދިއުން</t>
  </si>
  <si>
    <t>Family and Children Service Centre</t>
  </si>
  <si>
    <t>ފެމިލީ އެންޑް ޗިލްޑްރެން ސަރވިސް ސެންޓަރ</t>
  </si>
  <si>
    <t xml:space="preserve">ޖުމްލަ </t>
  </si>
  <si>
    <t>HA. Dhidhdhoo</t>
  </si>
  <si>
    <t>ހއ.ދިއްދޫ</t>
  </si>
  <si>
    <t>HDh.Kulhuduffushi</t>
  </si>
  <si>
    <t>ހދ.ކުޅުދުއްފުށި</t>
  </si>
  <si>
    <t>Sh.Funadhoo</t>
  </si>
  <si>
    <t>ށ.ފުނަދޫ</t>
  </si>
  <si>
    <t>N.Manadhoo</t>
  </si>
  <si>
    <t>ނ.މަނަދޫ</t>
  </si>
  <si>
    <t>R.Dhuvaafaru</t>
  </si>
  <si>
    <t>ރ.ދުވާފަރު</t>
  </si>
  <si>
    <t>B.Eydhafushi</t>
  </si>
  <si>
    <t>ބ.އޭދަފުށި</t>
  </si>
  <si>
    <t>Lh.Naifaru</t>
  </si>
  <si>
    <t>ޅ.ނައިފަރު</t>
  </si>
  <si>
    <t>K.Male'</t>
  </si>
  <si>
    <t>ކ. މާލެ</t>
  </si>
  <si>
    <t>AA.Rasdhoo</t>
  </si>
  <si>
    <t>އއ.ރަސްދޫ</t>
  </si>
  <si>
    <t>ADh.Mahinbadhoo</t>
  </si>
  <si>
    <t>އދ.މަހިބަދޫ</t>
  </si>
  <si>
    <t>V.Fulhidhoo</t>
  </si>
  <si>
    <t>ވ.ފުލިދޫ</t>
  </si>
  <si>
    <t xml:space="preserve"> M. Mulah  </t>
  </si>
  <si>
    <t>މ.މުލަށް</t>
  </si>
  <si>
    <t xml:space="preserve"> F. Nilandhoo</t>
  </si>
  <si>
    <t>ފ.ނިލަންދޫ</t>
  </si>
  <si>
    <t xml:space="preserve">Dh. Kudahuvadhoo </t>
  </si>
  <si>
    <t>ދ.ކުޑަހުވަދޫ</t>
  </si>
  <si>
    <t xml:space="preserve">Th. Veymandoo </t>
  </si>
  <si>
    <t>ތ.ވޭމަންޑޫ</t>
  </si>
  <si>
    <t xml:space="preserve">L. Funadhoo </t>
  </si>
  <si>
    <t>ލ.ފޮނަދޫ</t>
  </si>
  <si>
    <t>GA.Villingili</t>
  </si>
  <si>
    <t>ގއ.ވިލިގިލި</t>
  </si>
  <si>
    <t>GDh. Thinadhoo</t>
  </si>
  <si>
    <t>ގދ.ތިނަދޫ</t>
  </si>
  <si>
    <t>Gn. Fuvahmulah</t>
  </si>
  <si>
    <t>ޏ.ފުވައްމުލަށް</t>
  </si>
  <si>
    <t xml:space="preserve">S. Hithadhoo </t>
  </si>
  <si>
    <t>ސ.ހިތަދޫ</t>
  </si>
  <si>
    <t>ތާވަލު 8.57: ހުށައެޅިފައިވާ އަންހެނުންނަށް ކުރާ އަނިޔާގެ މައްސަލަތައް، 2015 - 2020</t>
  </si>
  <si>
    <t>TABLE 8.57: REPORTED CASES ON VIOLENCE AGAINST WOMEN BY TYPE, 2015 - 2020</t>
  </si>
  <si>
    <t>Types of violence</t>
  </si>
  <si>
    <t>Number of cases  reported</t>
  </si>
  <si>
    <t xml:space="preserve">Physical Violence </t>
  </si>
  <si>
    <t xml:space="preserve">Sexual Violence </t>
  </si>
  <si>
    <t>Psychological Violence</t>
  </si>
  <si>
    <t>ނަފްސަނީ އަނިޔާ</t>
  </si>
  <si>
    <t>ތާވަލު 8.58:ވަކި ޖިންސަކަށް ވީތީ ކުރާ އަނިޔާ އަދި ގެވެށި އަނިޔާގެ މައްސަލަތައް، 2018 - 2020</t>
  </si>
  <si>
    <t>TABLE 8.58: Number of reported gender based violence and domestic violence, 2018 - 2020</t>
  </si>
  <si>
    <t>Intimidation</t>
  </si>
  <si>
    <t>Controlling Behaviour</t>
  </si>
  <si>
    <t>Sexual Violence / Abuse</t>
  </si>
  <si>
    <t>Commercial Exploitations</t>
  </si>
  <si>
    <t>Physical Violence / Abuse</t>
  </si>
  <si>
    <t>Emotional Abuse / Verbal Abuse</t>
  </si>
  <si>
    <t>Withholding / Damage to Property</t>
  </si>
  <si>
    <t xml:space="preserve">ތާވަލު 8.59: ނުކުޅެދުންތެރިކަން ހުންނަ ފަރާތްތަކާއި އުމުރުން ދުވަސްވީ މީހުނަށް އަޅައިލުމާއި އެހީތެރިކަން ބޭނުންވެގެން ހުށައެޅުނު މައްސަލަތަކުގެ ޢަދަދު، 2020 </t>
  </si>
  <si>
    <t>TABLE 8.59: Number of cases reported related to person with disability and elderly perosn by sex,  2020</t>
  </si>
  <si>
    <t>Detail</t>
  </si>
  <si>
    <t>ތަފްސީލު</t>
  </si>
  <si>
    <t xml:space="preserve">Care and support to the elderly </t>
  </si>
  <si>
    <t>އުމުރުން ދުވަސްވީ މީހުންނަށް އަޅައިލުމާއި އެހީތެރިކަން ބޭނުންވެގެން</t>
  </si>
  <si>
    <t xml:space="preserve">Care and support to person with special needs </t>
  </si>
  <si>
    <t>ނުކުޅެދުންތެރިކަން ހުންނަ މީހުންނަށް އަޅައިލުމާއި އެހީތެރިކަން ބޭނުންވެގެން</t>
  </si>
  <si>
    <t xml:space="preserve">ތާވަލު 8.59: ނުކުޅެދުންތެރިކަން ހުންނަ ފަރާތްތަކާއި އުމުރުން ދުވަސްވީ މީހުނަށް އަޅައިލުމާއި އެހީތެރިކަން ބޭނުންވެގެން ހުށައެޅުނު މައްސަލަތަކުގެ ޢަދަދު، 2019 </t>
  </si>
  <si>
    <t>TABLE 8.59: Number of cases reported related to person with disability and elderly perosn by sex,  2019</t>
  </si>
  <si>
    <t xml:space="preserve">ތާވަލު 8.59: ނުކުޅެދުންތެރިކަން ހުންނަ ފަރާތްތަކާއި އުމުރުން ދުވަސްވީ މީހުނަށް އަޅައިލުމާއި އެހީތެރިކަން ބޭނުންވެގެން ހުށައެޅުނު މައްސަލަތަކުގެ ޢަދަދު، 2018 </t>
  </si>
  <si>
    <t>TABLE 8.59: Number of cases reported related to person with disability and elderly perosn by sex,  2018</t>
  </si>
  <si>
    <t>މައްސަލަތަކުގެ ތަފްސީލް</t>
  </si>
  <si>
    <t xml:space="preserve">Partake in Prostitution </t>
  </si>
  <si>
    <t xml:space="preserve"> -</t>
  </si>
  <si>
    <t>ހަށި ވިއްކުމުގައި ބައިވެރިވުން</t>
  </si>
  <si>
    <t>Aiding and Abetting Prostitution</t>
  </si>
  <si>
    <t>ހަށި ވިއްކުމަށް އެހީތެރިވެދިނުން</t>
  </si>
  <si>
    <t>Accomplice in Abortion</t>
  </si>
  <si>
    <t>ހައްޔަރުން ނައްޓުވާ ލުމުގައި ބައިވެރިވުން</t>
  </si>
  <si>
    <t>Assault and Battery using a dangerous weapon</t>
  </si>
  <si>
    <t>ހަތިޔާރެއް ބޭނުންކޮށްގެން މާރާމާރީ ހިންގުން</t>
  </si>
  <si>
    <t>Partake in Assault and Battery using a Dangerous Weapon</t>
  </si>
  <si>
    <t>ހަތިޔާރެއް ބޭނުންކޮށްގެން މާރާމާރީ ހިންގުމުގައި ބައިވެރިވުން</t>
  </si>
  <si>
    <t>Attempted Unauthorised Disclosure of Confidential information</t>
  </si>
  <si>
    <t>ހުއްދަ ނޫން ގޮތުގައި މަޢުލޫމާތު ހާމަކުރަން އުޅުން</t>
  </si>
  <si>
    <t>Unlawful Sexual Conduct</t>
  </si>
  <si>
    <t>ހުއްދަ ނޫން ގޮތުގައި ޖިންސީ މުޢާމަލާތް ކުރުން</t>
  </si>
  <si>
    <t>Attempted Unlawful sexual conduct</t>
  </si>
  <si>
    <t>ހުއްދަ ނޫން ޖިންސީ މުޢާމަލާތް ހިންގަން އުޅުން</t>
  </si>
  <si>
    <t>ހުއްދަ ނޫން ޖިންސީ މުޢާމަލާތް ހިންގުން</t>
  </si>
  <si>
    <t>ހުއްދަ ނަގައިގެން ކުރަންޖެހޭ ކަމެއް ހުއްދަ ނުނަގައި ކުރުން</t>
  </si>
  <si>
    <t>Unlawful restraint</t>
  </si>
  <si>
    <t>ހުއްދަ ނޫން ގޮތުގައި މީހުން ހިފެހެއްޓުން</t>
  </si>
  <si>
    <t>Solicitation of unlawful restraint</t>
  </si>
  <si>
    <t>ހުއްދަ ނޫން ގޮތުގައި މީހުން ހިފަހައްޓަން އެދުން</t>
  </si>
  <si>
    <t>False report to a law enforcement authority</t>
  </si>
  <si>
    <t>ހިނގާފައިނުވާ ކަމެއް ހިނގައިފިކަމުގެ މަޢުލޫމާތު ޤާނޫނު ތަންފީޒުކުރާ އިދާރާއަކަށް ދިނުން</t>
  </si>
  <si>
    <t>Criminal breach of trust</t>
  </si>
  <si>
    <t>ޚިޔާނާތްތެރިވުން</t>
  </si>
  <si>
    <t xml:space="preserve"> Assault and Battery using a Dangerous Weapon</t>
  </si>
  <si>
    <t>Partake in Assault and Battery  using a dangerous weapon</t>
  </si>
  <si>
    <t>ނުރައްކާތެރި ހަތިޔާރެއް ބޭނުންކޮށްގެން މާރާމާރީ ހިންގުމުގައި ބައިވެރިވުން</t>
  </si>
  <si>
    <t>Assault and Battery causing  Bodily Harm using a dangerous weapon</t>
  </si>
  <si>
    <t>ނުރައްކާތެރި ހަތިޔާރެއް ބޭނުންކޮށްގެން މީހެއްގެ ހަށިގަނޑަށް ގެއްލުން ދިނުން</t>
  </si>
  <si>
    <t>Sexual assault of a person with a disability</t>
  </si>
  <si>
    <t>ނުކުޅެދުންތެރިކަމެއް ހުރި މީހަކާއެކު ޖިންސީ ޢަމަލު ހިންގުން</t>
  </si>
  <si>
    <t>Breach of protection order</t>
  </si>
  <si>
    <t>ރައްކާތެރިކުރުމުގެ އަމުރާ ޚިލާފުވުން</t>
  </si>
  <si>
    <t>ރަމަޟާންމަހު ރޯދަ ނުހިފުން</t>
  </si>
  <si>
    <t>Failing to fast during Ramadan</t>
  </si>
  <si>
    <t>ރަމަޟާންމަހު ރޯދައަށްހުރެ ރޯދަ ދޫކޮށްލުން</t>
  </si>
  <si>
    <t>Unauthorised Disclosure of Confidential information obtained in an Official capacity</t>
  </si>
  <si>
    <t>ރަސްމީ ހައިސިއްޔަތުން ލިބިފައިވާ ސިއްރު މައުލޫމާތު ހުއްދަނޫންގޮތުގައި ހާމަކުރުން</t>
  </si>
  <si>
    <t>Misuse of Official Authority</t>
  </si>
  <si>
    <t>ރަސްމީ ޙައިސިއްޔަތު ނަހަމަ ގޮތުގައި ބޭނުންކުރުން</t>
  </si>
  <si>
    <t>Influencing Official conduct</t>
  </si>
  <si>
    <t>ރަސްމީ ޙައިސިއްޔަތުން ކުރަން ޖެހޭ ކަންކަމަށް ނުފޫޒު ފޯރުވުން</t>
  </si>
  <si>
    <t>Attempt to influence Official Conduct</t>
  </si>
  <si>
    <t>ރަސްމީ ޙައިސިއްޔަތުން ކުރަން ޖެހޭ ކަންކަމަށް ނުފޫޒު ފޯރުވަން އުޅުން</t>
  </si>
  <si>
    <t>Unsworn Falsification to Authorities</t>
  </si>
  <si>
    <t>ރަސްމީ އިދާރާ އަކަށް ދޮގު މަޢުލޫމާތު ދިނުން</t>
  </si>
  <si>
    <t>Official Misconduct</t>
  </si>
  <si>
    <t>ރަސްމީ ވާޖިބު އަދާކުރުމުގައި އެކަށީގެން ނުވާ ޢަމަލެއް ހިންގުން</t>
  </si>
  <si>
    <t>Participating in a war in a foreign country</t>
  </si>
  <si>
    <t>ރާއްޖެއިން ބޭރުގައި ހިނގާ ހަނގުރާމައެއްގައި ބައިވެރިވުން</t>
  </si>
  <si>
    <t>Leaving Maldives for the purpose of participating in a war in a foreign country.</t>
  </si>
  <si>
    <t>ރާއްޖެއިން ބޭރުގައި ހިނގާ ހަނގުރާމައެއްގައި ބައިވެރިވުމަށް ރާއްޖެ ދޫކޮށްދިޔުން</t>
  </si>
  <si>
    <t>Accepting Bribe</t>
  </si>
  <si>
    <t>ރިޝްވަތު ހޯދުން</t>
  </si>
  <si>
    <t xml:space="preserve">Receipt of a Bribe  </t>
  </si>
  <si>
    <t>ރިޝްވަތު ހިފުން</t>
  </si>
  <si>
    <t xml:space="preserve">Solicitation of a Bribe  </t>
  </si>
  <si>
    <t>ރިޝްވަތު ދިނުން</t>
  </si>
  <si>
    <t>Offering Bribe</t>
  </si>
  <si>
    <t>ރިޝްވަތު ދިނުމަށް ހުށަހެޅުން</t>
  </si>
  <si>
    <t>Rape</t>
  </si>
  <si>
    <t xml:space="preserve">ރޭޕް ކުރުން </t>
  </si>
  <si>
    <t>Attempted rape</t>
  </si>
  <si>
    <t>ރޭޕް ކުރަން އުޅުން</t>
  </si>
  <si>
    <t>Partake in rape</t>
  </si>
  <si>
    <t>ރޭޕް ކުރުމުގައި ބައިވެރިވުން</t>
  </si>
  <si>
    <t>Aiding and Abetting  rape</t>
  </si>
  <si>
    <t>ރޭޕް ކުރުމުގައި އެހީތެރިވެދިނުން</t>
  </si>
  <si>
    <t>ބަނގުރާ ބުއިން</t>
  </si>
  <si>
    <t>Possession of alcohol</t>
  </si>
  <si>
    <t>ބަނގުރާ ގެންގުޅުން</t>
  </si>
  <si>
    <t>ބަދުއަޚްލާޤީ ޢަމަލު ހިންގުން</t>
  </si>
  <si>
    <t>Indecent Exposure</t>
  </si>
  <si>
    <t>ބޭއަދަބީ ގޮތުގައި ޖިންސީ ގުނަވަން ހާމަކުރުން</t>
  </si>
  <si>
    <t>Assult and Battery causing bodily harm</t>
  </si>
  <si>
    <t>ބޮޑު އަނިޔާއެއް ދިނުން</t>
  </si>
  <si>
    <t>ކައުންޓަރފީޓް ކުރުން</t>
  </si>
  <si>
    <t>ކުށެއް ކުރުމުގެ އާލާތެއް އަތުގައި ބެހެއްޓުން</t>
  </si>
  <si>
    <t xml:space="preserve">Use of a dangerous weapon in the commission of a crime </t>
  </si>
  <si>
    <t>ކުށެއް ކުރުމުގައި ނުރައްކާތެރި ހަތިޔާރެއް ބޭނުންކުރުން</t>
  </si>
  <si>
    <t>Refusal to provide urine sample</t>
  </si>
  <si>
    <t>ކުޑަކަމުދާ އެއްޗެހި ދިނުމަށް އިންކާރު ކުރުން</t>
  </si>
  <si>
    <t xml:space="preserve">Intentionally touch a child with a sexual intent </t>
  </si>
  <si>
    <t>ކުޑަކުއްޖެއްގެ ހަށިގަނޑުގައި ޖިންސީ ނިޔަތެއް އޮވެގެން ޤަޞްދުގައި އަތްލުން </t>
  </si>
  <si>
    <t xml:space="preserve">Sexual assault of a child by a person in a position of trust </t>
  </si>
  <si>
    <t>ކުޑަ ކުއްޖަކު އިތުބާރު ކުރަންޖެހޭ މަޤާމެއްގައި ހުރި މީހަކު، އެ ކުޑަ ކުއްޖާ އާއި އެކު ޖިންސީ ޢަމަލެއް ހިންގުން</t>
  </si>
  <si>
    <t xml:space="preserve">Sexual assault of a child by intoxication </t>
  </si>
  <si>
    <t>ކުޑަކުއްޖަކަށް މަސްތުވާއެއްޗެއް ދީގެން، އެ ކުއްޖާއާއެކު، މީހަކު ޖިންސީ ޢަމަލެއް ހިންގުން</t>
  </si>
  <si>
    <t>Indecent Exposure to a Child</t>
  </si>
  <si>
    <t>ކުޑަކުއްޖަކަށް ޖިންސީ ގުނަވަނެއް ދެއްކުން</t>
  </si>
  <si>
    <t>Indecent Exposure to a Minor</t>
  </si>
  <si>
    <t>ކުޑަކުއްޖަކަށް ޖިންސީ ގުނަވަން ދެއްކުން</t>
  </si>
  <si>
    <r>
      <t xml:space="preserve">Sexual conduct with a Minor/ </t>
    </r>
    <r>
      <rPr>
        <sz val="11"/>
        <color theme="1"/>
        <rFont val="Calibri"/>
        <family val="2"/>
        <scheme val="minor"/>
      </rPr>
      <t>Child sexual abuse</t>
    </r>
  </si>
  <si>
    <t>ކުޑަކުއްޖަކާއި އެކު ޖިންސީ ޢަމަލެއް ހިންގުން</t>
  </si>
  <si>
    <t>Enter a house of or a place with the intent of carrying out a sexual act</t>
  </si>
  <si>
    <t>ކުޑަކުއްޖަކާއެކު ޖިންސީ ޢަމަލެއް ހިންގުމުގެ ނިޔަތުގައި، އެ ކުއްޖާ ހުންނަ ގެއަކަށް ނުވަތަ އެ ކުއްޖާ އެ ވަގުތު ހުރި ތަނަކަށް މީހަކު ވަނުން</t>
  </si>
  <si>
    <t>Sexual Assault of a Minor</t>
  </si>
  <si>
    <t>ކުޑަކުއްޖަކާއި މެދު ބަދުއަޚްލާޤީ ޢަމަލު ހިންގުން</t>
  </si>
  <si>
    <t>Forcing a minor to engage in Sexual Conduct</t>
  </si>
  <si>
    <t>ކުޑަކުއްޖަކާއި މެދު ގަދަކަމުން ބަދުއަޚްލާޤީ ޢަމަލު ހިންގުން</t>
  </si>
  <si>
    <t>Sexual assault of a Minor</t>
  </si>
  <si>
    <t>ކުޑަކުއްޖަކާމެދު ޖިންސީ ޢަމަލެއް ހިންގުން</t>
  </si>
  <si>
    <t>Producing Child Pornography</t>
  </si>
  <si>
    <t>ކުޑަކުއްޖެއް މެދުވެރިކޮށް އޮރިޔާންކާޑު އުފެއްދުން</t>
  </si>
  <si>
    <t>Dealing in Cannabis</t>
  </si>
  <si>
    <t>ކެނެބިހުން މުޢާމަލާތްކުރުން</t>
  </si>
  <si>
    <t xml:space="preserve">Trafficking in cannabis </t>
  </si>
  <si>
    <t>ކެނެބިސް ޓްރެފިކްކުރުން</t>
  </si>
  <si>
    <t>Use of cannabis</t>
  </si>
  <si>
    <t>ކެނެބިސް ބޭނުންކުރުން</t>
  </si>
  <si>
    <t>Partake in Trafficking of Cannabis</t>
  </si>
  <si>
    <t>ކެނެބިސް ޓްރެފިކް ކުރުމުގައި ބައިވެރިވުން</t>
  </si>
  <si>
    <t>Pedddling in cannabis</t>
  </si>
  <si>
    <t>ކެނެބިސް ޕެޑްލް ކުރުން</t>
  </si>
  <si>
    <t>Assault and Battery causing  Bodily Harm</t>
  </si>
  <si>
    <t>އަނިޔާ ކުރުން</t>
  </si>
  <si>
    <t>އަނިޔާއެއް ކުރުން</t>
  </si>
  <si>
    <t>އަނިޔާއެއް ދިނުން</t>
  </si>
  <si>
    <t>Partake in Assault and Battery causing  Bodily Harm</t>
  </si>
  <si>
    <t>އަނިޔާއެއް ދިނުމުގައި ބައިވެރިވުން</t>
  </si>
  <si>
    <t>Disruption of peace</t>
  </si>
  <si>
    <t>Disobeying Lawful Order</t>
  </si>
  <si>
    <t>Assault/ Threatening</t>
  </si>
  <si>
    <t>Reckless Driving</t>
  </si>
  <si>
    <t>އިންޖީނުލީ އެއްޗެއް ނުރައްކާތެރިކޮށް ދުއްވުން</t>
  </si>
  <si>
    <t>އިދާރާއަކަށް ދޮގު މަޢުލޫމާތު ދިނުން</t>
  </si>
  <si>
    <t>Depiction of sexual conduct to a minor by a person in a position of trust</t>
  </si>
  <si>
    <t xml:space="preserve">އިތުބާރު ކުރެވޭ މަޤާމެއްގައި ހުރެ ކުޑަކުއްޖަކު ލައްވައި ޖިންސީ ޢަމަލެއް ބެލުވުން </t>
  </si>
  <si>
    <t>Sexual assault of a minor by a person in a position of trust</t>
  </si>
  <si>
    <t>އިތުބާރުކުރެވޭ މަޤާމެއްގައި ހުރެ ކުޑަކުއްޖަކާ އެކު ޖިންސީ ޢަމަލެއް ހިންގުން</t>
  </si>
  <si>
    <t>އިތުބާރުކުރެވޭ މަޤާމެއްގައި ހުރެ ކުޑަކުއްޖަކާއި މެދު ޖިންސީ ޢަމަލެއް ހިންގުން</t>
  </si>
  <si>
    <t>Falsely Accusing a person of a crime</t>
  </si>
  <si>
    <t>އެހެން މީހަކު ކުށެއް ކޮށްފިކަމުގެ ދޮގު މަޢުލޫމާތު ދިނުން</t>
  </si>
  <si>
    <t>Knowingly taking or exerting unauthorised control over the property of another without his knowledge</t>
  </si>
  <si>
    <t>އެހެން މީހެއްގެ މުދަލަށް ހުއްދަނޫން ގޮތުގައި ބާރު ހިންގުން</t>
  </si>
  <si>
    <t>Attempting to Knowingly take or exert unauthorised control over the property of another without his knowledge</t>
  </si>
  <si>
    <t>އެހެން މީހެއްގެ މުދަލެއްގެ މައްޗަށް ހުއްދަނޫން ގޮތުގައި / ގޮތެއްގައި ބާރު ހިންގަން އުޅުން</t>
  </si>
  <si>
    <t>Conspiring to Knowingly take or exert unauthorised control over the property of another without his knowledge</t>
  </si>
  <si>
    <t>އެހެން މީހެއްގެ މުދަލެއްގެ މައްޗަށް ހުއްދަނޫން ގޮތުގައި ބާރުހިންގަން ރޭވުން</t>
  </si>
  <si>
    <t>އެހެން މީހެއްގެ މުދަލެއްގެ މައްޗަށް ހުއްދަނޫން ގޮތެއްގައި ބާރު ހިންގުން</t>
  </si>
  <si>
    <t>Partake in Knowingly take or exert unauthorised control over the property of another without his knowledge</t>
  </si>
  <si>
    <t>އެހެން މީހެއްގެ މުދަލެއްގެ މައްޗަށް ހުއްދަނޫން ގޮތެއްގައި ބާރުހިންގުމުގައި ބައިވެރިވުން</t>
  </si>
  <si>
    <t>Accomplice in Homicide</t>
  </si>
  <si>
    <t>އެނގި ހުރެ މީހަކު މެރުމުގައި ބައިވެރިވުން</t>
  </si>
  <si>
    <t>އެނގިހުރެ ހުއްދަނޫން ތަނަކަށް ވަނުން</t>
  </si>
  <si>
    <t>Obtaining Information Illegally</t>
  </si>
  <si>
    <t>Concealing a Homicide</t>
  </si>
  <si>
    <t>އެނގިހުރެ މަރެއް ފޮރުވުން</t>
  </si>
  <si>
    <t>Reiterating any writing or object known to be a forgery</t>
  </si>
  <si>
    <t>އެނގިހުރެ ސައްޙަނޫން އެއްޗެއްގެ ތެދުކަން ދެއްކުން</t>
  </si>
  <si>
    <t>Riterating any writing or object known to be a forgery</t>
  </si>
  <si>
    <t>އެނގިހުރެ ޞައްޙަނޫން ލިޔުމެއްގެ ތެދުކަން ދެއްކުން</t>
  </si>
  <si>
    <t>Forgery</t>
  </si>
  <si>
    <t>އެނގިހުރެ ސައްޚަނޫން ގޮތުގައި ލިޔުމެއް އުފެއްދުން</t>
  </si>
  <si>
    <t xml:space="preserve">Partake in Forgery </t>
  </si>
  <si>
    <t>އެނގިހުރެ ސައްޚަނޫން ގޮތުގައި ލިޔުމެއް އުފެއްދުމުގައި ބައިވެރިވުން</t>
  </si>
  <si>
    <t>އެނގިހުރެ ޞައްޙަނޫން ގޮތުގައި އެއްޗެއް އުފެއްދުން</t>
  </si>
  <si>
    <t>އެނގިހުރެ ޞައްޙަނޫންގޮތުގައި ލިޔުމަކަށް ބަދަލުގެނައުން</t>
  </si>
  <si>
    <t>Cheque Bounce</t>
  </si>
  <si>
    <t>އެކައުންޓްގައި ފައިސާނެތި ޗެކް ދޫކުރުން</t>
  </si>
  <si>
    <t>Failure to Report Vehicular Accident</t>
  </si>
  <si>
    <t>އެކްސިޑެންޓް ވުމުން އެކަމުގެ ރިޕޯޓްނުކުރުން</t>
  </si>
  <si>
    <t>Same-sex intercourse</t>
  </si>
  <si>
    <t>އެއްޖިންސުން ޖިންސީ ޢަމަލު ހިންގުން</t>
  </si>
  <si>
    <t>Production of pornographic Material</t>
  </si>
  <si>
    <t>އޮރިޔާންކާޑު ހެދުން</t>
  </si>
  <si>
    <t>Production of Pornographic Material</t>
  </si>
  <si>
    <t>އޮރިޔާންކާޑު އުފެއްދުން</t>
  </si>
  <si>
    <t>Production and Possession of Pornographic Material</t>
  </si>
  <si>
    <t>އޮރިޔާންކާޑު އުފައްދައި ގެންގުޅުން</t>
  </si>
  <si>
    <t xml:space="preserve">Distribution of pornography </t>
  </si>
  <si>
    <t>އޮރިޔާންކާޑު ރައްދުކުރުން</t>
  </si>
  <si>
    <t>Possession of Pornographic Material</t>
  </si>
  <si>
    <t>އޮރިޔާންކާޑު ގެންގުޅުން</t>
  </si>
  <si>
    <t>Obstruction of  Justice</t>
  </si>
  <si>
    <t>ޢަދުލު އިންސާފު ޤާއިމު ކުރުމަށް ހުރަސްއެޅުން</t>
  </si>
  <si>
    <t>ޢާންމު މަޞްލަޙަތަށް ގެންލުންހުރި ޢަމަލެއްކުރުން</t>
  </si>
  <si>
    <t>Incest</t>
  </si>
  <si>
    <t>ޢާއިލީ މެންބަރަކާއެކު ޖިންސީ ޢަމަލެއް ހިންގުން</t>
  </si>
  <si>
    <t xml:space="preserve">Sexual abuse of a minor by a family member </t>
  </si>
  <si>
    <t>އާއިލާގެ މެންބަރަކު އެ އާއިލާގެ ކުޑަކުއްޖަކާއެކު ޖިންސީ އަމަލެއް ހިންގުން </t>
  </si>
  <si>
    <t>ޢާއްމު މަސްލަޙަތަށް ގެއްލުން ހުރި ޢަމަލެއް ކުރުން</t>
  </si>
  <si>
    <t>Knowingly producing a forged document</t>
  </si>
  <si>
    <t>ވަކި އަޞްލެއް އޮތް އެއްޗެއް ކަމުގައި ދެއްކުމަށްޓަކައި އެނގިހުރެ ސައްޙަނޫން ގޮތެއްގައި ލިޔުމެއް އުފެއްދުން</t>
  </si>
  <si>
    <t>Producing a Forged document</t>
  </si>
  <si>
    <t>ވަކި އަޞްލެއް އޮތް އެއްޗެއް ކަމުގައި ސައްޙަނޫން ގޮތެއްގައި ދެއްކުމަށްޓަކައި ލިޔުމެއް އުފެއްދުން</t>
  </si>
  <si>
    <t>Attempted theft</t>
  </si>
  <si>
    <t>ވައްކަން ކުރަން އުޅުން</t>
  </si>
  <si>
    <t xml:space="preserve">ވައްކަން ކުރުން </t>
  </si>
  <si>
    <t>Partake in Theft</t>
  </si>
  <si>
    <t>ވައްކަން ކުރުމުގައި ބައިވެރިވުން</t>
  </si>
  <si>
    <t>Receiving Stolen Property</t>
  </si>
  <si>
    <t>ވައްކަން ކޮށްގެން ހޯދާފައިވާ މުދާ ބަލައިގަތުން</t>
  </si>
  <si>
    <r>
      <t xml:space="preserve">Bribing a voter/ </t>
    </r>
    <r>
      <rPr>
        <sz val="11"/>
        <color theme="1"/>
        <rFont val="Calibri"/>
        <family val="2"/>
        <scheme val="minor"/>
      </rPr>
      <t xml:space="preserve">Intimidating, improperly influencing  voter </t>
    </r>
  </si>
  <si>
    <t>ވޯޓު ދޭން ހުރި މީހަކަށް ނުރަނގަޅު ގޮތުގައި ނުފޫޒު ފޯރުވަން އުޅުން</t>
  </si>
  <si>
    <t>Bringing or Allowing Contraband into a Custodial Facility</t>
  </si>
  <si>
    <t xml:space="preserve">މަނާކުރެވިފައިވާ އެއްޗެއް މީހުން ބަންދުކުރާ މަރުކަޒަކަށް ގެނައުން </t>
  </si>
  <si>
    <t>Attempt to Bring Contraband into a Custodial Facility</t>
  </si>
  <si>
    <t>މަނާކުރެވިފައިވާ އެއްޗެއް މީހުން ބަންދުކުރާ މަރުކަޒަކަށް ގެންނަން އުޅުން</t>
  </si>
  <si>
    <t>މަނާކުރެވިފައިވާ އެއްޗެއް މީހުން ބަންދުކުރާ މަރުކަޒަކަށް ގެންދަން އުޅުން</t>
  </si>
  <si>
    <t>Possession of Contraband in a Custodial Facility</t>
  </si>
  <si>
    <t>Placing a contraband in a custodial facility as to give an inmate easy access to it</t>
  </si>
  <si>
    <t>މަނާކުރެވިފައިވާ އެއްޗެއް މީޙުންބަންދުކުރާ މަރުކަޒެއްގައި ތިބޭ މީހުންނަށް ފަސޭހައިން ހޯދިދާނެ ހިސާބެއްގައި ބެހެއްޓުން</t>
  </si>
  <si>
    <t>Use of Illegal Drug</t>
  </si>
  <si>
    <t>މަނާކުރެވިފައިވާ މަސްތުވާ އެއްޗެއް ބޭނުންކުރުން</t>
  </si>
  <si>
    <t>މަކަރާއި ޙީލަތް ހެދުން</t>
  </si>
  <si>
    <t>Partake in Theft by Deception</t>
  </si>
  <si>
    <t>މަކަރާއި ޙީލަތް ހެދުމުގައި ބައިވެރިވުން</t>
  </si>
  <si>
    <t>Misuse of Authority for the benefit of others</t>
  </si>
  <si>
    <t>މަގާމުގެ ނުފޫޒު ބޭނުންކޮށްގެން ނާޖާއިޒު ފައިދާއެއް ހޯދައިދިނުން</t>
  </si>
  <si>
    <t>Unlawful Possession of Dangerous Weapons in a private place</t>
  </si>
  <si>
    <t>މަޤުބޫލު ސަބަބެއް ނެތި ޢާއްމު ތަނެއް ފިޔަވައި އެހެން ތަނެއްގައި ތޫނު އެއްޗެއް ބެހެއްޓުން</t>
  </si>
  <si>
    <t>Unlawful Possession of dangerous weapons</t>
  </si>
  <si>
    <t>މަޤުބޫލު ސަބަބެއް ނެތި ތޫނު އެއްޗެއް ބެހެއްޓުން</t>
  </si>
  <si>
    <t>Unlawful Possession of Dangerous Weapons in Public</t>
  </si>
  <si>
    <t xml:space="preserve">މަޤްބޫލު ސަބަބެއް ނެތި ނުރައްކާތެރި ހަތިޔާރެއް ޢާއްމު ތަނެއްގައި ގެންގުޅުން </t>
  </si>
  <si>
    <t>Unlawful Possession of sharp object in public</t>
  </si>
  <si>
    <t xml:space="preserve">މަޤްބޫލު ސަބަބެއް ނެތި ޢާއްމު ތަނެއްގައި ތޫނު އެއްޗެއް ގެންގުޅުން </t>
  </si>
  <si>
    <t xml:space="preserve">Forcing a person to participate in the production of pornography </t>
  </si>
  <si>
    <t>މަޖުބޫރުން އޮރިޔާންކާޑު ހެއްދުން</t>
  </si>
  <si>
    <t>Assault and Battery</t>
  </si>
  <si>
    <t>މާރާމާރީ ހިންގުން</t>
  </si>
  <si>
    <t>Attempted Assault and Battery using a weapon or sharp object</t>
  </si>
  <si>
    <t>މީހަކަށް ނުރައްކާތެރި ހާނިކައެއްވާ ގޮތަށް ތޫނު އެއްޗެއް ނުވަތަ ހަތިޔާރެއް ބޭނުންކޮށްގެން މާރާމާރީ ހިންގަން އުޅުން</t>
  </si>
  <si>
    <t>Assault and Battery using a weapon or sharp object</t>
  </si>
  <si>
    <t>މީހަކަށް ނުރައްކާތެރި ހާނިކައެއްވާ ގޮތަށް ތޫނު އެއްޗެއް ނުވަތަ ހަތިޔާރެއް ބޭނުންކޮށްގެން މާރާމާރީ ހިންގުން</t>
  </si>
  <si>
    <t>Partake in in Assault and Battery using a weapon or sharp object</t>
  </si>
  <si>
    <t>މީހަކަށް ނުރައްކާތެރި ހާނިކައެއްވާ ގޮތަށް ތޫނު އެއްޗެއް ނުތަވަ ހަތިޔާރެއް ބޭނުންކޮށްގެން މާރާމާރީ ހިންގުމުގައި ބައިވެރިވުން</t>
  </si>
  <si>
    <t>Assault and Battery with a Sharp object</t>
  </si>
  <si>
    <t>މީހަކަށް ނުރައްކާތެރި ހާނިކައެއްވާ ގޮތަށް ތޫނު އެއްޗެއް ބޭނުންކޮށްގެން މާރާމާރީ ހިންގުން</t>
  </si>
  <si>
    <t>Accomplice in Assault and Battery with a Sharp object</t>
  </si>
  <si>
    <t>މީހަކަށް ނުރައްކާތެރި ހާނިކައެއްވާ ގޮތަށް ތޫނު އެއްޗެއް ބޭނުންކޮށްގެން މާރާމާރީ ހިންގުމަށް އެހީތެރިވެދިނުން</t>
  </si>
  <si>
    <t xml:space="preserve">Procuring a Sexual Act through Coercion </t>
  </si>
  <si>
    <t>މީހަކަށް ބިރުދައްކައިގެން އޭނާއާއެކު ޖިންސީ އަމަލެއް ހިންގުމަށް މަޖުބޫރުކުރުވުން</t>
  </si>
  <si>
    <t xml:space="preserve">Threatening to commit an offence that could inflict bodily harm </t>
  </si>
  <si>
    <t>މީހަކަށް އަނިޔާއެއް ލިބިދާފަދަ ކުށެއް ކޮށްފާނެކަމުގެ ބިރުދެއްކުން</t>
  </si>
  <si>
    <t>Indecent exposure to a child</t>
  </si>
  <si>
    <t>މީހަކު، ކުޑަކުއްޖަކަށް އެމީހަކު ލައިގެންހުރި ހެދުމެއްގެ ބޭރުން ކުޑަކުއްޖަކަށް ފެންނާނެގޮތަކަށް ޖިންސީ ގުނަވަނެއް ހާމަކޮށްގެންހުރުން</t>
  </si>
  <si>
    <t>Aiding and abetting rape</t>
  </si>
  <si>
    <t>މީހަކު ރޭޕްކުރުމުގައި އެހީތެރިވެދިނުން</t>
  </si>
  <si>
    <t>Negligent Homicide</t>
  </si>
  <si>
    <t>މީހަކު މަރުވެދިއުމުގެ އިހުމާލުގެ ޢަމަލެއް ކުރުން</t>
  </si>
  <si>
    <t>Reckless Homicide</t>
  </si>
  <si>
    <t>މީހަކު މަރުވެދިއުމުގެ ފަރުވާކުޑަ ޢަމަލެއް ކުރުން</t>
  </si>
  <si>
    <t>Solicitation of Prostitution</t>
  </si>
  <si>
    <t>Escaping Detention</t>
  </si>
  <si>
    <t>މީހުން ބަންދުކުރާ މަރުކަޒަކުން ފިލުން</t>
  </si>
  <si>
    <t>Human Trafficking</t>
  </si>
  <si>
    <t>Battery</t>
  </si>
  <si>
    <t>މީހެއްގެ ހަށިގަނޑަށް ގެއްލުން ދިނުން</t>
  </si>
  <si>
    <t>Criminal Property Damage</t>
  </si>
  <si>
    <t xml:space="preserve">Administering a schedule 1 drug to a person without their knowledge </t>
  </si>
  <si>
    <t>މީހެއްގެ އެނގުމަކާއި ނުލައި ޖަދުވަލު 1 ގައިވާ މަސްތުވާއެއްޗެއް ވަސީލަތެއް މެދުވެރި ކޮށް މީހެއްގެ ހަށިގަނޑަށް ވާސިލު ކުރުން</t>
  </si>
  <si>
    <t>Criminal Property damage</t>
  </si>
  <si>
    <t xml:space="preserve">މުދަލަށް ގެއްލުން ދިނުން </t>
  </si>
  <si>
    <t xml:space="preserve">Criminal Property Damage and Partake in Criminal Property Damage </t>
  </si>
  <si>
    <t>މުދަލަށް ގެއްލުން ދިނުމާއި މުދަލަށް ގެއްލުން ދިނުމުގައި ބައިވެރިވުން</t>
  </si>
  <si>
    <t xml:space="preserve"> Aiding a Fugitive</t>
  </si>
  <si>
    <t>ފިލައިގެން އުޅޭ މީހަކަށް އެހީތެރިވުން</t>
  </si>
  <si>
    <t xml:space="preserve">Partake in robbery </t>
  </si>
  <si>
    <t>ފޭރުމުގައި ބައިވެރިވުން</t>
  </si>
  <si>
    <t xml:space="preserve">Attempted robbery </t>
  </si>
  <si>
    <t>ފޭރެން އުޅުން</t>
  </si>
  <si>
    <t>Obstructing the function of the State</t>
  </si>
  <si>
    <t>ދައުލަތުގެ މަސައްކަތަށް ހުރަށްއެޅުން</t>
  </si>
  <si>
    <t>Child Abandonment and Deriliction of Parental Duty</t>
  </si>
  <si>
    <t>ދަރިން ބެލެހެއްޓުމަށް އޮތް ވާޖިބާއި، ދަރިންނަށް އަޅާނުލާ ދޫކޮށްލުން</t>
  </si>
  <si>
    <t>Smuggling of Prohibited Objects to Maldives</t>
  </si>
  <si>
    <t>ދިވެހިރާއްޖެއަށް ގެނައުން މަނާތަކެތި ދިވެހިރާއްޖެއަށް އެތެރެކުރުން</t>
  </si>
  <si>
    <t>Unlawful Possession of Prohibited Objects in Maldives</t>
  </si>
  <si>
    <t>ދިވެހިރާއްޖެއަށް ގެނައުން މަނާތަކެތި ދިވެހިރާއްޖޭގައި ގެންގުޅުން</t>
  </si>
  <si>
    <t xml:space="preserve">Financing a prostitute in the Maldives </t>
  </si>
  <si>
    <t>ދިވެހިރާއްޖޭގައި ހަށި ވިއްކުމުގެ ބޭނުމުގައި މީހަކަށް ޚަރަދުކުރުން</t>
  </si>
  <si>
    <t>Solicitation for prostitution in the Maldives</t>
  </si>
  <si>
    <t>ދިވެހިރާއްޖޭގައި މީހަކު ލައްވާ ހަށި ވިއްކުވުން</t>
  </si>
  <si>
    <t>Sexual coercion by misrepresentation and deception</t>
  </si>
  <si>
    <t>ދިވެހިރާއްޖޭގައި، މީހަކަށް ޙަޤީޤަށް އޮޅުވާލައިގެން، ނުވަތަ ހަޤީޤަށް ފޮރުވައިގެން، އޭނާއާއެކު ނުވަތަ އެހެން މީހަކާއެކު، ޖިންސީ ޢަމަލުގެ ކުށެއް މީހަކު ލައްވާ ކުރުވުން</t>
  </si>
  <si>
    <t xml:space="preserve">Attempt to disrupt religious unity </t>
  </si>
  <si>
    <t>ދީނީ އެއްބައިވަންތަކަން ނަގާލުމަށް މަސައްކަތްކުރުން</t>
  </si>
  <si>
    <t xml:space="preserve">Unsworn Falsification  </t>
  </si>
  <si>
    <t xml:space="preserve">Making a false statement </t>
  </si>
  <si>
    <t>ދޮގު ބަޔާން ދިނުން</t>
  </si>
  <si>
    <t xml:space="preserve">Partake in assault and battery using a dangerous weapon or a sharp object </t>
  </si>
  <si>
    <t>ތޫނު އެއްޗެއް ނުވަތަ ނުރައްކާތެރި ހަތިޔާރެއް ބޭނުންކޮށްގެން މާރާމާރީ ހިންގުމުގައި ބައިވެރިވުން</t>
  </si>
  <si>
    <t>Assault and Battery using Sharp Objects</t>
  </si>
  <si>
    <t>ތޫނު އެއްޗެއް ބޭނުންކޮށްގެން މާރާމާރީ ހިންގުން</t>
  </si>
  <si>
    <t>Assault and battery using a weapon or a sharp object</t>
  </si>
  <si>
    <t>ތޫނު އެއްޗެއް ނުވަތަ ހަތިޔާރެއް ބޭނުންކޮށްގެން މާރާމާރީ ހިންގުން</t>
  </si>
  <si>
    <t>Attempted assault and battery using a weapon or a sharp object</t>
  </si>
  <si>
    <t>ތޫނު އެއްޗެއް ނުވަތަ ހަތިޔާރެއް ބޭނުންކޮށްގެން މާރާމާރީ ހިންގަން އުޅުން</t>
  </si>
  <si>
    <t>Partake in assault and battery using a weapon or a sharp object</t>
  </si>
  <si>
    <t>ތޫނު އެއްޗެއް ނުވަތަ ހަތިޔާރެއް ބޭނުންކޮށްގެން މާރާމާރީ ހިންގުމުގައި ބައިވެރިވުން</t>
  </si>
  <si>
    <t>Aiding and Abetting murder using a dangerous weapon or a sharp object</t>
  </si>
  <si>
    <t>ތޫނު އެއްޗެއް ނުވަތަ ނުރައްކާތެރި ހަތިޔާރެއް ބޭނުންކޮށްގެން ޤަސްދުގައި މީހަކު މެރުމުގައި އެހީތެރިވުން</t>
  </si>
  <si>
    <t>Accomplice in Murder using a sharp object</t>
  </si>
  <si>
    <t>ތޫނު އެއްޗެއް ބޭނުންކޮށްގެން ޤަސްދުގައި މީހަކު މަރާލުމުގައި ބައިވެރިވުން</t>
  </si>
  <si>
    <t>Murder Using Sharp Objects</t>
  </si>
  <si>
    <t>ތޫނު އެއްޗެއް ބޭނުންކޮށްގެން ޤަސްދުގައި މީހަކު މެރުން</t>
  </si>
  <si>
    <t xml:space="preserve">Battery </t>
  </si>
  <si>
    <t>ގައިގައި އަތްލުން</t>
  </si>
  <si>
    <t>Accomplice in Murder</t>
  </si>
  <si>
    <t>ޤަސްދުގައި މީހަކު މަރާލުމުގައި ބައިވެރިވުން</t>
  </si>
  <si>
    <t>ޤާނޫނު ހިންގުމަށް ހުރަސްއެޅުން</t>
  </si>
  <si>
    <t>Unsworn Falsification to Law Enforcement Authority</t>
  </si>
  <si>
    <t>ޤާނޫނު ތަންފީޒުކުރާ އިދާރާއަކަށް ދޮގު މަޢުލޫމާތު ދިނުން</t>
  </si>
  <si>
    <t>Obstructing a Law Enforcemnt Officer</t>
  </si>
  <si>
    <t>ޤާނޫނު ތަންފީޒްކުރާ މުވައްޒަފެއްގެ މަސައްކަތައް ގަސްދުގައި ހުރަސްއެޅުން</t>
  </si>
  <si>
    <t>Attempt to Obstruct  Justice</t>
  </si>
  <si>
    <t>ޤާނޫނުގެ ބާރު ހިންގުމަށް ދަތި ކުރަން އުޅުން</t>
  </si>
  <si>
    <t>Identity Fraud</t>
  </si>
  <si>
    <t>ޝަޙްޞު އޮޅުވާލުން</t>
  </si>
  <si>
    <t>Obstructing service of process</t>
  </si>
  <si>
    <t>ޝަރުޢީ ލިޔުމެއް ރައްދު ކުރަން ހުރަސް އެޅުން</t>
  </si>
  <si>
    <t>Dealing in diamorphine</t>
  </si>
  <si>
    <t>ޑައިމޯފިނުން މުޢާމަލާތް ކުރުން / ޑައިމޯފިން މުޢާމަލާތް ކުރުން</t>
  </si>
  <si>
    <t xml:space="preserve">Use of diamorphine </t>
  </si>
  <si>
    <t xml:space="preserve">Aiding and Abetting  trafficking of diamorphine </t>
  </si>
  <si>
    <t>ޑައިމޯފިން ޓްރެފިކް ކުރުމަށް އެހީތެރިވެ ދިނުން</t>
  </si>
  <si>
    <t xml:space="preserve">Trafficking in diamorphine </t>
  </si>
  <si>
    <t>ޑައިމޯފިން ޓްރެފިކްކުރުން / ޑައިމޯފިނުން ޓްރެފިކް ކުރުން</t>
  </si>
  <si>
    <t>Partake in Trafficking of Diamorphine</t>
  </si>
  <si>
    <t>ޑައިމޯފިން ޓްރެފިކްކުރުމުގައި ބައިވެރިވުން</t>
  </si>
  <si>
    <t xml:space="preserve">Pedddling in diamorphine </t>
  </si>
  <si>
    <t>ޑައިމޯފިން ޕެޑެލް ކުރުން</t>
  </si>
  <si>
    <t>Fornication</t>
  </si>
  <si>
    <t>ޒިނޭ ކުރުން / ޒިނޭ</t>
  </si>
  <si>
    <t>Terrorism</t>
  </si>
  <si>
    <t xml:space="preserve">Partake in an act of terrorism </t>
  </si>
  <si>
    <t>ޓެރަރިޒަމްގެ ޢަމަލެއް ހިންގުމުގައި ބައިވެރިވުން</t>
  </si>
  <si>
    <t>Attempting to carry out an Act of Terrorism</t>
  </si>
  <si>
    <t xml:space="preserve">ޓެރަރިޒަމްގެ ޢަމަލެއް ކުރަން އުޅުން </t>
  </si>
  <si>
    <t>Partake in an attempt to carry out an Act of Terrorism</t>
  </si>
  <si>
    <t>ޓެރަރިޒަމްގެ ޢަމަލެއް ކުރަން އުޅުމާއި ބައިވެރިވުން</t>
  </si>
  <si>
    <t>Conspiracy to commit an Act of Terrorism</t>
  </si>
  <si>
    <t>ޓެރަރިޒަމްގެ ޢަމަލެއް ކުރުމަށް ރޭވުން</t>
  </si>
  <si>
    <t>Encourage an act of terrorism</t>
  </si>
  <si>
    <t>ޓެރަރިޒަމްގެ ޢަމަލެއް ކުރުމަށް ހިތްވަރު ދިނުން</t>
  </si>
  <si>
    <t>Use of Schedule 1 Drugs</t>
  </si>
  <si>
    <t>ޖަދުވަލު 1 ގައިވާ މަސްތުވާ އެއްޗެއް ބޭނުންކުރުން</t>
  </si>
  <si>
    <t>Failiure to Report Knowledge of Trafficking Schedule 1 Drugs</t>
  </si>
  <si>
    <t>ޖަދުވަލު 1 ގައިވާ މަސްތުވާ އެއްޗެއް ޓްރެފިކް ކުރާކަން އެނގިހުރެ ނުއެންގުން</t>
  </si>
  <si>
    <t>Smuggling Schedule 1 Drugs to the Maldives</t>
  </si>
  <si>
    <t>ޖަދުވަލު 1 ގައިވާ މަސްތުވާއެއްޗެއް ދިވެހިރާއްޖެއަށް އެތެރެކުރުން</t>
  </si>
  <si>
    <t>Partake in smuggling Schedule 1 Drugs to the Maldives</t>
  </si>
  <si>
    <t>ޖަދުވަލު 1 ގައިވާ މަސްތުވާއެއްޗެއް ދިވެހިރާއްޖެއަށް އެތެރެކުރުމުގައި ބައިވެރިވުން</t>
  </si>
  <si>
    <t>Trafficking of schedule 1 drugs</t>
  </si>
  <si>
    <t>Trafficking of schedule 2 drugs</t>
  </si>
  <si>
    <t xml:space="preserve">Attempted escape from the penal custody of an employee of the place of detention </t>
  </si>
  <si>
    <t>ޖިނާއީ ބަންދެއްގައި ހައްޔަރުކޮށްފައިވާ މަރުކަޒެއްގެ މުވައްޒަފެއްގެ ބެލުމުގެ ދަށުގައި ވަނިކޮށް ފިލަން އުޅުން</t>
  </si>
  <si>
    <t>Escape from the penal custody of an employee of the place of detention</t>
  </si>
  <si>
    <t>ޖިނާއީ ބަންދެއްގައި ހައްޔަރުކޮށްފައިވާ މަރުކަޒެއްގެ މުވައްޒަފެއްގެ ބެލުމުގެ ދަށުގައި ވަނިކޮށް ފިލުން</t>
  </si>
  <si>
    <t xml:space="preserve">Criminal coercion </t>
  </si>
  <si>
    <t>ޖިނާޢީ މަޖުބޫރުކުރުވުން</t>
  </si>
  <si>
    <t>Sexaul assault of a minor</t>
  </si>
  <si>
    <t>Engaging in Sexual Conduct</t>
  </si>
  <si>
    <t>ޖިންސީ އަމަލެއް ހިންގުން</t>
  </si>
  <si>
    <t>Depiction of Sexual Conduct to Minor</t>
  </si>
  <si>
    <t>ޖިންސީ އަމަލެއް ކުޑަކުއްޖަކަށް ދެއްކުން</t>
  </si>
  <si>
    <t>Depiction of Sexual Intercourse to Minor</t>
  </si>
  <si>
    <t>ޖިންސީ ޢަމަލު ހިންގަމުންދާ މަންޒަރު ކުޑަކުއްޖަކަށް ދެއްކުން</t>
  </si>
  <si>
    <t>Depiction of pornographic material to Minor</t>
  </si>
  <si>
    <t>ޖިންސީ ޢަމަލެއް ހިންގަމުން ގެންދާ ފޮޓޯ އެއް ކުޑަ ކުއްޖަކަށް ދެއްކުން</t>
  </si>
  <si>
    <t>Entering into a house to carry out a sexual act</t>
  </si>
  <si>
    <t>ޖިންސީ ޢަމަލެއް ހިންގުމަށް ގެއަކަށް ވަނުން</t>
  </si>
  <si>
    <t>Coercing a person to watch or witness sexual activity</t>
  </si>
  <si>
    <t>ޖިންސީ ޢަމަލެއް ބަލަން މަޖުބޫރު ކުރުން</t>
  </si>
  <si>
    <t>Sexual assault</t>
  </si>
  <si>
    <t>Attempted Sexual Assault</t>
  </si>
  <si>
    <t xml:space="preserve">Restraining a person with the intent to cause sexual harm  </t>
  </si>
  <si>
    <t>ޖިންސީ ގޯނާ ކުރުމުގެ ބޭނުމުގައި ހިފެހެއްޓުން</t>
  </si>
  <si>
    <t>Criminal coercion</t>
  </si>
  <si>
    <t>ޖީނާއީ ކުށެއް ކޮށްފިކަމުގެ އިލްޒާމު އަޅުވަފާނެކަމުގެ ބިރުދެއްކުން</t>
  </si>
  <si>
    <t>ޖެހުން</t>
  </si>
  <si>
    <t>Check Bounce</t>
  </si>
  <si>
    <t>ޗެކުގައިވާ ޢަދަދަށް ފައިސާ ލިބޭނޭގޮތް ހަމަޖައްސައި ދެވިފައި ނުވުން</t>
  </si>
  <si>
    <t>Unlawful entry to the exclusive economic zone (EEZ)</t>
  </si>
  <si>
    <t>ހުއްދަ ނެތި ދިވެހިރާއްޖޭގެ އިޤްތިޞާދީ ސަރަޙައްދަށް ވަނުން</t>
  </si>
  <si>
    <t>Failure to report child sexual abuse</t>
  </si>
  <si>
    <t>ކުޑަކުއްޖެއްގެ ހަށިގަނޑުގައި ޖިންސީ ނިޔަތެއް އޮވެގެން ގަސްތުގައި އަތްލިކަން އެނގިހުރެ ފުލުހުންނަށް އެ މަޢުލޫމާތު ނުދިނުން</t>
  </si>
  <si>
    <t>Cannabis trafficking</t>
  </si>
  <si>
    <t>ކެނެބިހުން ޓްރެފިކްކުރުން</t>
  </si>
  <si>
    <t>Attempted battery</t>
  </si>
  <si>
    <t>އަނިޔާއެއް ދޭން އުޅުން</t>
  </si>
  <si>
    <t>Attempted suicide</t>
  </si>
  <si>
    <t>Unlawful use of property</t>
  </si>
  <si>
    <t>އެނގިހުރެ މުދަލަކުން ހުއްދަނޫން ބޭނުންކުރުން</t>
  </si>
  <si>
    <t>Sexual abuse of persons incapable of consent and self defense due to mental disability, or insanity.</t>
  </si>
  <si>
    <t>ވިސްނުމުގެ ބާރު ކެނޑިފައިވާ ނުވަތަ ހަމަ ބުއްދި ފިލާފައިވާ ނުވަތަ ޖިސްމާނީ ގޮތުން އަމިއްލައަށް ދިފާޢުވުމުގެ ބާރެއް ނެތް މީހެއްގެ މައްޗައް ވެރިވެގަނެ އޭނާއެކު ޖިންސީ އަމަލު ހިންގުން</t>
  </si>
  <si>
    <t>ވެރިވެގަނެ ޖިންސީ ޢަމަލެއް ހިންގުން</t>
  </si>
  <si>
    <t>Knowingly failure by parental authority to intervene where children under their guardianship exhibit a high risk of comission of homicide, assault, battery, or sexual offences.</t>
  </si>
  <si>
    <t>މަންމައަކަށް ނުވަތަ ބައްޕައަކަށް ނުވަތަ ބެލެނިވެރިއަކަށް ހުރެ، މި ޤާނޫނުގެ 110 ވަނަ ބާބާއި 120 ވަނަ ބާބާއި 130 ވަނަ ބާބުގައި ބަޔާންކޮށްފައިވާފަދަ ކުށްތަކުގެ ތެރެއިން ކުށެއް ކުރުމަކީ، އެކަށީގެންވާ ކަމެއްކަން އެނގިހުރެ އެފަދަ ކުށެއް ކުއްޖާއާމެދު ހިނގިޔަ ނުދިނުމަށް އަޅަންޖެހޭ އެކަށީގެންވާ ފިޔަވަޅުތައް އަޅާފައި ނުވުން</t>
  </si>
  <si>
    <t>Desecration of a corpse.</t>
  </si>
  <si>
    <t>Possession of dangerous objects in public without lawful excuse.</t>
  </si>
  <si>
    <t>މަޤްބޫލު ސަބަބެއް ނެތި ޢާއްމު ތަނެއްގައި ނުރައްކާތެރި އެއްޗެއް ގެންގުޅުން</t>
  </si>
  <si>
    <t>Production of child pornography.</t>
  </si>
  <si>
    <t>މީހަކު ކުޑަކުއްޖެއްގެ ޖިންސީ ގުނަވަނެއް ހާމަކޮށް ފެންނަ ގޮތަށް އޮރިޔާން ކާޑު ހެދުން</t>
  </si>
  <si>
    <t>Coercion of a person to engage in a sexual activity within the territory of Maldives.</t>
  </si>
  <si>
    <t xml:space="preserve">މީހަކު ދިވެހިރާއްޖޭގައި، މީހަކަށް ބިރުދައްކައިގެން، އޭނާއާ އެކު ޖިންސީ އަމަލެއް ހިންގުމަށް އެހެން މީހަކަށް މަޖުބޫރުކުރުވުން </t>
  </si>
  <si>
    <t>Indecent exposure directed at a minor.</t>
  </si>
  <si>
    <t>މީހަކު، ކުޑަކުއްޖަކަށް އެމީހެއްގެ ޖިންސީ ގުނަވަނެއްކަމަށް ބެލެވޭ އެއްވެސް ތަނެއް ދެއްކުން</t>
  </si>
  <si>
    <t>Child sexual abuse.</t>
  </si>
  <si>
    <t>މީހަކު، އޭނާގެ ޢާއިލާގެ ކުޑަކުއްޖަކާއެކު ޖިންސީ ޢަމަލެއް ހިންގުން</t>
  </si>
  <si>
    <t>Coercing a minor to watch, witness, or hear sexual activity.</t>
  </si>
  <si>
    <t>މީހަކު، ޖިންސީ ޢަމަލެއް ހިންގަމުންގެންދާ މަންޒަރެއް ނުވަތަ ފޮޓޯއެއް ނުވަތަ ފިލްމެއް ނުވަތަ ފިލްމެއްގެ މަންޒަރެއް ކުޑަކުއްޖަކަށް ދެއްކުން ނުވަތަ އެފަދަ ޢަމަލެއް ހިންގާ އަޑު ކުޑަކުއްޖަކަށް އިއްވުން</t>
  </si>
  <si>
    <t>Eavesdropping</t>
  </si>
  <si>
    <t>މީހުން ދައްކާ ވާހަކަ ސިއްރުން އަޑުއެހުމާއި ފާރަލުން</t>
  </si>
  <si>
    <t>Possession of pornographic materials in the territory of Maldives.</t>
  </si>
  <si>
    <t>ދިވެހި ރާއްޖޭގައި އޮރިޔާންކާޑު ގެންގުޅުން</t>
  </si>
  <si>
    <t>Import of pornographic materials in the territory of Maldives.</t>
  </si>
  <si>
    <t>ދިވެހިރާއްޖެއަށް އޮރިޔާންކާޑު އެތެރެކޮށް ގެންގުޅުން</t>
  </si>
  <si>
    <t>Creating a hazardous, physically offensive, or seriously alarming condition by an act that serves no legitimate purpose</t>
  </si>
  <si>
    <t>ޖާޢިޒު މަޤްސަދެއް ޙާސިލު ނުވާނެ އަމަލަކުން މާއްދީގޮތުން ހުތުރު ޙާލަތެއް އުފެއްދުން</t>
  </si>
  <si>
    <t>Sexual abuse</t>
  </si>
  <si>
    <t>ޖިންސީ އަނިޔާކުރުން</t>
  </si>
  <si>
    <t>Coercing a minor to watch a pornographic material.</t>
  </si>
  <si>
    <t>ޖިންސީ ޢަމަލެއް ހިންގަމުންގެންދާ މަންޒަރެއް ކުޑަކުއްޖަކަށް ދެއްކުން</t>
  </si>
  <si>
    <t>Public utterances of profanity</t>
  </si>
  <si>
    <t xml:space="preserve">ހަޑިހުތުރު އެއްޗެއް ކިޔުމާއި ހަޑިހުތުރު ބަސް ބޭނުންކުރުން </t>
  </si>
  <si>
    <t>Establishment of a brothel</t>
  </si>
  <si>
    <t>ނާސިގެ ހެދުން</t>
  </si>
  <si>
    <t>Unlawful imprisonment exceeding 1 day</t>
  </si>
  <si>
    <t>ކަނޑައެޅިގެން އެނގިހުރެ، އެއް ދުވަހަށް ވުރެ ދިގު މުއްދަތަކަށް މީހަކު ހިފެހެއްޓުން</t>
  </si>
  <si>
    <t>Failure to give warning of a known risk to a person in danger.</t>
  </si>
  <si>
    <t>ކުރިމަތިވެދާނެކަން އެނގޭ ނުރައްކަލެއްގެ އިންޒާރު، އެކަށީގެންވާ ސަބަބެއް ނެތި ނުރައްކަލެއްގައިވާ މީހާއަށް ނުދިނުން</t>
  </si>
  <si>
    <t>Engaging in a sexual activity in the presence of a child while in a position of trust</t>
  </si>
  <si>
    <t>ކުޑަކުއްޖަކު އިތުބާރުކުރަންޖެހޭ މަޤާމެއްގައި ހުރި މީހަކު، އެކުއްޖާގެ ހާސިރުގައި، އެކުއްޖާއަށް ދެއްކުމުގެ މަޤްސަދުގައި ޖިންސީ ޢަމަލެއް ހިންގުން</t>
  </si>
  <si>
    <t>Causing a child to watch a sexual act while in a position of trust</t>
  </si>
  <si>
    <t>ކުޑަކުއްޖަކު އިތުބާރުކުރަންޖެހޭ މަޤާމެއްގައި ހުރި މީހަކު، ޖިންސީ ޢަމަލެއް ބަޔަކު ހިންގާ މަންޒަރު އެ ކުޑަކުއްޖާއަށް ދެއްކުން</t>
  </si>
  <si>
    <t>Engange in a sexual act in the presence of a child</t>
  </si>
  <si>
    <t>ކުޑަކުއްޖެއްގެ ހާޟިރުގައި، ޖިންސީ ޢަމަލެއް ޤަސްދުގައި ހިންގުން</t>
  </si>
  <si>
    <t xml:space="preserve">Child Trafficking </t>
  </si>
  <si>
    <t>ކުޑަކުދިން ޓްރެފިކް ކުރުން</t>
  </si>
  <si>
    <t xml:space="preserve">Murder </t>
  </si>
  <si>
    <t>އެނގި ހުރެ މީހަކު މެރުން</t>
  </si>
  <si>
    <t>Disorderly Conduct in public</t>
  </si>
  <si>
    <t>ޢާއްމު ތަނެއްގައި ހުރި މީހަކު، އެ މީހެއްގެ ޢަމަލުތަކުގެ ސަބަބުން އެހެން މީހަކަށް ގޯނާވާނެކަން، ނުވަތަ އުނދަގޫވާނެކަން، ނުވަތަ ބިރު ހީވާނެކަން އެނގިހުރެ، ހަޑިހުތުރު އެއްޗެހި ކިޔުމާއި ހަޑިހުތުރު ބަސް ބޭނުން ކުރުމާއި ހަޑިހުތުރު ޢަމަލުތައް ކުރުން</t>
  </si>
  <si>
    <t>Disorderly conduct by persistently following a person in or about a public place</t>
  </si>
  <si>
    <t>ޢާއްމު ތަނެއްގައި ހުރި މީހަކު، އެ މީހެއްގެ ޢަމަލުތަކުގެ ސަބަބުން އެހެން މީހަކަށް ގޯނާވާނެކަން، ނުވަތަ އުނދަގޫވާނެކަން، ނުވަތަ ބިރު ހީވާނެކަން އެނގިހުރެ، ޢާއްމު ތަނެއްގައި ކަނޑައެޅިގެން ވަކި މީހެއްގެ ފަހަތުން ދިއުން</t>
  </si>
  <si>
    <t>Disorderly conduct in public by solicting sexual contact</t>
  </si>
  <si>
    <t>ޢާއްމު ތަނެއްގައި ހުރި މީހަކު، އެ މީހެއްގެ ޢަމަލުތަކުގެ ސަބަބުން އެހެން މީހަކަށް ގޯނާވާނެކަން، ނުވަތަ އުނދަގޫވާނެކަން، ނުވަތަ ބިރު ހީވާނެކަން އެނގިހުރެ، ޖިންސީ މުޢާމަލާތެއް ހިންގުމަށް އެދުން</t>
  </si>
  <si>
    <t>Child abandonment and Deriliction of Parental Duty</t>
  </si>
  <si>
    <t>މަންމައަކަށް ނުވަތަ ބައްޕައަކަށް ނުވަތަ ބެލެނިވެރިއަކަށް ހުރެ، ކުއްޖާގެ ޞިއްޙަތަށް ނުވަތަ ރައްކާތެރިކަމަށް ނުވަތަ މަޞްލަޙަތަށް އެކަށީގެންނުވާ ގޮތެއްގައި އުނިކަން އަތުވެދާނެ ފަދަ ޙާލަތެއްގައި، 14 އަހަރަށްވުރެ ދޮށީ މީހަކު ނުބަހައްޓައި 24 ގަޑިއިރަށް ނުވަތަ އެއަށްވުރެ ގިނަ އިރަށް 14 އަހަރު ނުފުރޭ ކުޑަކުއްޖަކު ދޫކޮށްލުން.</t>
  </si>
  <si>
    <t>Smuggling drugs into the country</t>
  </si>
  <si>
    <t>މަސްތުވާތަކެތި ރާއްޖެއަށް އެރެތެކުރުން</t>
  </si>
  <si>
    <t>Sexual act with a child of a person's family</t>
  </si>
  <si>
    <t>މީހަކު އޭނާގެ ޢާއިލާގެ ކުޑަކުއްޖަކާ އެކު ޖިންސީ ޢަމަލެއް ހިންގުން</t>
  </si>
  <si>
    <t xml:space="preserve">Participating in Reckless Homicide </t>
  </si>
  <si>
    <t>މީހަކު މަރުވެދިއުމުގެ ފަރުވާކުޑަ ޢަމަލެއް ކުރުމުގައި ބައިވެރިވުން</t>
  </si>
  <si>
    <t xml:space="preserve">Use of force or threat of force to compel the victim to submit to sexualt intercourse </t>
  </si>
  <si>
    <t>މީހަކު ދިވެހިރާއްޖޭގައި، މީހަކަށް ބިރުދައްކައިގެން، އޭނާއާ އެކު ޖިންސީ ޢަމަލެއް ހިންގުމަށް އެހެން މީހަކަށް މަޖުބޫރުކުރުވުން</t>
  </si>
  <si>
    <t>Forscing a child to watch a Sexual Act</t>
  </si>
  <si>
    <t>މީހަކު ޖިންސީ ޢަމަލެއް ހިންގަމުންގެންދާ މަންޒަރެއް ނުވަތަ ފޮޓޯއެއް ނުވަތަ ފިލްމެއްގެ މަންޒަރެއް ކުޑަކުއްޖަކަށް ދެއްކުން ނުވަތަ އެފަދަ ޢަމަލެއް  ހިންގާ އަޑު ކުޑަކުއްޖަކަށް އިއްވުން</t>
  </si>
  <si>
    <t>Unlawful Sexual conduct (by engaging in intercourse with person of the same sex)</t>
  </si>
  <si>
    <t>މީހަކު، ޖިންސީ ޢަމަލެއް އެނާއާ އެއްޖިންސުގެ މީހަކާއެކު ހިންގުން</t>
  </si>
  <si>
    <t>Complicit toHuman Trafficking</t>
  </si>
  <si>
    <t>މީހުން ޓްރެފިކް ކުރުމުގައި ބައިވެރިވުން</t>
  </si>
  <si>
    <t>Threatening to commit any offense likely to cause bodily injury and causing bodily injury</t>
  </si>
  <si>
    <t>މީހެއްގެ ފުރާނައަށް ނުވަތަ ހަށިގަނޑަށް ގެއްލުމެއް ދީފާނެކަމުގެ ބިރުދައްކާ އެފަދަ ކަމެއް ކުރުން</t>
  </si>
  <si>
    <t xml:space="preserve">Aggravated Assualt </t>
  </si>
  <si>
    <t>މީހެއްގެ ފުރާނައަށް ގެއްލުމެއް ދީފާނެކަމުގެ އިންޒާރުދިނުން</t>
  </si>
  <si>
    <t xml:space="preserve">Attempted Criminal Property Damage </t>
  </si>
  <si>
    <t>މުދަލަށް ގެއްލުންދޭން އުޅުން</t>
  </si>
  <si>
    <t>ދިވެހިރާއްޖޭގައި ހަށިވިއްކުން</t>
  </si>
  <si>
    <t>Posession of Pornography</t>
  </si>
  <si>
    <t>ދިވެހިރާއްޖޭގައި އޮރިޔާންކާޑު ގެންގުޅުން</t>
  </si>
  <si>
    <t>Participating in Solicitation of Prostitution</t>
  </si>
  <si>
    <t>ދިވެހިރާއްޖޭގައި މީހަކު ލައްވާ ހަށިވިއްކުވުމުގައި ބައިވެރިވުން</t>
  </si>
  <si>
    <t>Aiding in Solicitation of Prostitution</t>
  </si>
  <si>
    <t>ދިވެހިރާއްޖޭގައި މީހަކު ލައްވާ ހަށިވިއްކުވުމުގައި އެހީތެރިވެދިނުން</t>
  </si>
  <si>
    <t>Sexual Assault</t>
  </si>
  <si>
    <t>ގަދަކަމުން ބަދުއަޙްލާޤީ އަމަލުހިންގުން</t>
  </si>
  <si>
    <t xml:space="preserve">Joining/Enlisting Terrorist Groups </t>
  </si>
  <si>
    <t>ޓެރަރިސްޓް ޖަމާޢަތެއްގައި ބައިވެރިވުން</t>
  </si>
  <si>
    <t xml:space="preserve">Financing  of Terrorism </t>
  </si>
  <si>
    <t>ޓެރަރިޒަމަށް ފައިނޭންސް ކުރުން</t>
  </si>
  <si>
    <t xml:space="preserve">Note:  since the total number of cases in table  are categorized based on type of charge, the number of cases submitted to court (table 8.25) may differ since a single case submitted to court may have more than one charges associated. </t>
  </si>
  <si>
    <t>Source: Prosecutor General's office</t>
  </si>
  <si>
    <t>ޤާނޫނު ނަންބަރ 17/2011 އާއި ގުޅޭ</t>
  </si>
  <si>
    <t>*</t>
  </si>
  <si>
    <t>މަޢުލޫމާތު ދެއްވި ފަރާތް: ޕްރޮސިކިއުޓަރ ޖެނެރަލްގެ އޮފީސް</t>
  </si>
  <si>
    <r>
      <rPr>
        <b/>
        <sz val="10"/>
        <color theme="1"/>
        <rFont val="Faruma"/>
      </rPr>
      <t>ބެހިފައިވާ ގޮތް (އިން ސައްތަ)</t>
    </r>
    <r>
      <rPr>
        <b/>
        <sz val="10"/>
        <color theme="1"/>
        <rFont val="Calibri"/>
        <family val="2"/>
        <scheme val="minor"/>
      </rPr>
      <t xml:space="preserve">   share % </t>
    </r>
  </si>
  <si>
    <t xml:space="preserve">Total Number of cases </t>
  </si>
  <si>
    <t xml:space="preserve">ދަޢްވާ ހުށަހަޅަން އޮފީސްތަކުން ފޮނުއްވި ޖުމްލަ
</t>
  </si>
  <si>
    <t>Number of cases completed by PG office</t>
  </si>
  <si>
    <t xml:space="preserve">ޕްރޮސިކިއުޓަރ ޖެނެރަލްގެ އޮފީހުން ނިންމުނު މައްސަލައިގެ ޖުމްލަ
</t>
  </si>
  <si>
    <t>Submitted to courts</t>
  </si>
  <si>
    <t>ކޯޓަށް ހުށަހެޅުނު</t>
  </si>
  <si>
    <t>**</t>
  </si>
  <si>
    <t xml:space="preserve">send back to resend again </t>
  </si>
  <si>
    <t xml:space="preserve">       އަލުން ހުށަޙެޅުމަށްޓަކައި އަނބުރާ ފޮނުވާލެވުނު</t>
  </si>
  <si>
    <t>send back due to no evidence</t>
  </si>
  <si>
    <t xml:space="preserve">       ހެއްކާ ޤަރީނާ ލިބިފައިނުވާތީ އަނބުރާ ފޮނުވާލެވުނު</t>
  </si>
  <si>
    <t>send back due to other reasons</t>
  </si>
  <si>
    <t xml:space="preserve">       އެހެނިހެން ގޮތްގޮތުން އަނބުރާ ފޮނުވާލެވުނު</t>
  </si>
  <si>
    <t>Cases hold by PG Office</t>
  </si>
  <si>
    <t xml:space="preserve">       މިއޮފީހުގައި ހިފެހެއްޓިފައިހުރި މައްސަލަ</t>
  </si>
  <si>
    <t>given another chance</t>
  </si>
  <si>
    <t xml:space="preserve">       އިތުރު ފުރުސަތު / ނަސޭހަތުގެ އެއްބަސްވުމެއްވެވި ހިފެހެއްޓިފައި</t>
  </si>
  <si>
    <t>No address in Male'</t>
  </si>
  <si>
    <t xml:space="preserve">       މާލޭ އެޑްރެސްނެތިގެން</t>
  </si>
  <si>
    <t>Under Act Number: 1/2007 (Immigration Act of Maldives)
Sent back to take action</t>
  </si>
  <si>
    <t>ޤާނޫނު ނަންބަރު: 1/2007 (ދިވެހިރާއްޖޭގެ އިމިގްރޭޝަންގެ ޤާނޫނު) ގެ ދަށުން ފިޔަވަޅުއެޅުމަށްޓަކައި އަނބުރާ ފޮނުވާފައި</t>
  </si>
  <si>
    <t>Sent back as not in the public interest to further proceed with prosecution</t>
  </si>
  <si>
    <t>އިތުރަށް ކުރިއަށް ގެންދިއުމުގެ މަޞްލަޙަތު ނެތިގެން އަނބުރާ ފޮނުވާފައި</t>
  </si>
  <si>
    <t>Number of cases not sent to court</t>
  </si>
  <si>
    <t>ކޯޓަށް ހުށަނޭޅި ހުރި މައްސަލަ</t>
  </si>
  <si>
    <t>މި ހިސާބުތައް ނަގާފައިވަނީ އެހެނިހެން އަހަރުތަކޭ އެއްފަދައިން، ދައުވާ ކުރުމަށްޓަކައި ތަޙުޤީޤީ އިދާރާތަކުން ހުށަހެޅި މައްސަލަތަކުގެ އަދަދުން ބަލައިގެންނެވެ.</t>
  </si>
  <si>
    <t xml:space="preserve">2014 އަދި 2015 ވަނަ އަހަރުގައި ތަފާސް ހިސާބުތައް އެކުލަވާލާފައިވާ ގޮތާއި ތަފާތުކޮށް 2017 ވަނަ އަހަރުގެ ހިސާބުތައް ނެގުމުގައި، ބަލާފައިވާނީ ދައުވާ އުފުލުނު ޖުމްލަ މައްސަލަތަކުގެ އަދަދުގެ ބަދަލުގައި މައްސަލަތަކުގައި ހިމެނޭ ދައުވާ ލިބޭ މީހުންގެ އަދަދުން ބަލައިގެންނެވެ. </t>
  </si>
  <si>
    <t>Completion rate</t>
  </si>
  <si>
    <t>Submission rate to courts</t>
  </si>
  <si>
    <t xml:space="preserve">Completed </t>
  </si>
  <si>
    <t>Submitted to court</t>
  </si>
  <si>
    <t xml:space="preserve">Not sent to court </t>
  </si>
  <si>
    <r>
      <t xml:space="preserve">Year       </t>
    </r>
    <r>
      <rPr>
        <b/>
        <sz val="11"/>
        <rFont val="Faruma"/>
      </rPr>
      <t xml:space="preserve">  އަހަރު</t>
    </r>
  </si>
  <si>
    <t>Total prosecution personnel (Lawyers)</t>
  </si>
  <si>
    <t xml:space="preserve"> ޕްރޮސިކިއުޓަރުންގެ ޖުމްލަ އަދަދު </t>
  </si>
  <si>
    <t>Total  Expenditure (million MVR)</t>
  </si>
  <si>
    <t>ޖުމްލަ ޚަރަދުވި ވަރު (މިލިއަން ރުފިޔާ)</t>
  </si>
  <si>
    <t>ތާވަލު 8.46: ޢުމުރުފުރާގެ ގޮތުން ކުޑަކުދިންނަށް ކުރާ އަނިޔާއާއިބެހެގޮތުން ހުށަހެޅިފައިވާ މައްސަލަތައް،  2019</t>
  </si>
  <si>
    <t>Table 8.46: NUMBER OF REPORTED CHILD ABUSE CASES BY TYPE AND AGE OF CHILD, 2019</t>
  </si>
  <si>
    <t>ތާވަލު 8.46: ޢުމުރުފުރާގެ ގޮތުން ކުޑަކުދިންނަށް ކުރާ އަނިޔާއާއިބެހެގޮތުން ހުށަހެޅިފައިވާ މައްސަލަތައް،  2018</t>
  </si>
  <si>
    <t>Table 8.46: NUMBER OF REPORTED CHILD ABUSE CASES BY TYPE AND AGE OF CHILD, 2018</t>
  </si>
  <si>
    <t>ތާވަލު 8.43: ޢުމުރުފުރާގެ ގޮތުން ކުޑަކުދިންނަށް ކުރާ އަނިޔާއާއިބެހެގޮތުން ހުށަހެޅިފައިވާ މައްސަލަތައް،  2017</t>
  </si>
  <si>
    <t>Table 8.43: NUMBER OF REPORTED CHILD ABUSE CASES BY TYPE AND AGE OF CHILD, 2017</t>
  </si>
  <si>
    <t>މަޢުލޫމާތު ދެއްވީ: މިނިސްޓްރީ އޮފް ޖެންޑަރ އެންޑް ފެމިލީ</t>
  </si>
  <si>
    <t>Source: Ministry of Gender &amp; Family</t>
  </si>
  <si>
    <t>ތާވަލު 8.36: ކުޑަކުދިންނަށް ކުރާ އަނިޔާއާއިބެހެގޮތުން ހުށަހެޅިފައިވާ މައްސަލަތައް،  2016</t>
  </si>
  <si>
    <t>Table 8.36: NUMBER OF REPORTED CHILD ABUSE CASES BY TYPE AND AGE OF CHILD, 2016</t>
  </si>
  <si>
    <t>ތާވަލު 8.18: ކުޑަކުދިންނަށް ކުރާ އަނިޔާއާއިބެހެގޮތުން ހުށަހެޅިފައިވާ މައްސަލަތައް،  2015</t>
  </si>
  <si>
    <t>Table 8.18: NUMBER OF REPORTED CHILD ABUSE CASES BY TYPE AND AGE OF CHILD, 2015</t>
  </si>
  <si>
    <t>ތާވަލު 8.48: އަތޮޅުތަކުގައި ޤާއިމުކޮށްފައިވާ ކުޑަކުދިންގެ ސަރވިސް ސެންޓަރތަކަށް ރިޕޯޓުކުރެވިފައިވާ މައްސަލަތަކުގެ އަދަދު، 2016 - 2020</t>
  </si>
  <si>
    <t>Table 8.48: Number of cases reported to  Atoll Social Protection Service Centers by age group and sex, 2016 - 2020</t>
  </si>
  <si>
    <t>Number of Children</t>
  </si>
  <si>
    <t>ތާވަލު 8.49: މިނިސްޓްރީ އޮފް ޖެންޑަރ އެންޑް ފެމިލީއަށް ހުށައެޅިފައިވާ މައްސަލަތަކުގެ އަދަދު،  2014 - 2019</t>
  </si>
  <si>
    <t>Table 8.49: Number of cases reported  to ministry  by age group and sex, 2014 - 2019</t>
  </si>
  <si>
    <t xml:space="preserve">Note: 1_/ : Age group changed </t>
  </si>
  <si>
    <t>ނޯޓް: ޢުމުރުފުރާ ބަދަލުވެފައި</t>
  </si>
  <si>
    <t>Note: No cases was filed during 2020</t>
  </si>
  <si>
    <t>Table 8.39: Number of investigation completed cases, 2014 - 2020</t>
  </si>
  <si>
    <t xml:space="preserve">ތާވަލު 8.39: ކޮމިޝަނުން ބަލާ ނިންމި މައްސަލަތަކުގެ ބާވަތްތައް، 2015 - 2020 </t>
  </si>
  <si>
    <t>Ministry of Higher Education</t>
  </si>
  <si>
    <t>Table 8.45: NUMBER OF REPORTED CHILD ABUSE  CASES (UNDER 18) BY TYPE AND SEX,2017 - 2020</t>
  </si>
  <si>
    <t>Table 8.24: Reported cases on Domestic violence by type, 2021</t>
  </si>
  <si>
    <t>qnurukAyinaw qSawAhImibnaw egIruk AhImirif egIruk</t>
  </si>
  <si>
    <t>qnurukAyinaw qSakatqtAraf qnehinehew egAmitqtAg / IliwAW</t>
  </si>
  <si>
    <t>Table 8.25:  Sexual offence  by victims age and sex, 2021</t>
  </si>
  <si>
    <t>Bullying / Harassment</t>
  </si>
  <si>
    <t>Online Harassment</t>
  </si>
  <si>
    <t>16 - 17</t>
  </si>
  <si>
    <t>TABLE 8.31: REGISTERED LAWYERS IN SERVICE, BY QUALIFICATION AND SEX, 2014 - 2022</t>
  </si>
  <si>
    <t>ތާވަލު 8.31: ރަޖިސްޓްރީކުރެވިފައިވާ ޤާނޫނީ ވަކީލުންގެ އަދަދު އަދި ތަޢުލީމީ ފެންވަރު، 2014 - 2022</t>
  </si>
  <si>
    <t>ތާވަލު 8.61: އިންސާނީ ވަގުފާރީގެ ހުށައެޅުނު މައްސަލަތަކާއި ނިންމުނު މައްސަލަތއް، 2018 - 2022</t>
  </si>
  <si>
    <t>Table 8.61: Number of cases filed and concluded in Human Trafficking 2018 - 2022</t>
  </si>
  <si>
    <t>ބިން ވިއްކުން</t>
  </si>
  <si>
    <t>ލާޖެއްސުން/ ބިން ބަދަލުކުރުން</t>
  </si>
  <si>
    <t>ޗެކުން ލިބެންޖެހޭ ފައިސާ ހޯދުން</t>
  </si>
  <si>
    <t>ވަކި ޤަވާއިދަކުން ހިންގަންޖެހޭ ވިޔަފާރިއެއް ހުއްދަނެތި ހިންގުމާއި، ލައިސެންސްނެތި އިމްޕޯޓު ކުރުމާއި، ހުއްދަނަގަންޖެހޭ ކަމެއް ހުއްދަނުނަގައި ކުރުން</t>
  </si>
  <si>
    <t>މަޤުބޫލު ސަބަބެއްނެތި ޢާންމު ތަނެއްގައި ތޫނު އެއްޗެހި ގެންގުޅުން</t>
  </si>
  <si>
    <t>މުދަލުން ހުއްދަނޫން ބޭނުންކުރުން</t>
  </si>
  <si>
    <t>ތާވަލު 8.31: ކޮމިޝަނަށް ހުށަހެޅުނު މައްސަލަތައް 2019 -2021</t>
  </si>
  <si>
    <t>Number of Cases Received</t>
  </si>
  <si>
    <t xml:space="preserve">ކޮމިޝަނަށް ހުށަހެޅު މައްސަލަތަކުގެ އަދަދު </t>
  </si>
  <si>
    <t>ކޮމިޝަނުން ތަޙްޤީޤު ކުރުމަށް ނިންމި މައްސަލަތަކުގެ ޢަދަދު</t>
  </si>
  <si>
    <t xml:space="preserve">ކޮމިޝަނުން ތަޙްޤީޤުކޮށް ނިންމި މައްސަލަތަކުގެ އަދަދު </t>
  </si>
  <si>
    <t>% share 2021</t>
  </si>
  <si>
    <t>Note: Bar Council did not admit any new lawyer to the bar in the year 2021.</t>
  </si>
  <si>
    <t>Table 8.60: Number of person commited in Human Trafficking,  2020 - 2021</t>
  </si>
  <si>
    <t>ތާވަލު 8.60: އިންސާނީ ވަގުފާރީގެ މައްސލަތަކުގައި ޝާމިލުވާ ފަރާތްތައް ، 2020 - 2021</t>
  </si>
  <si>
    <t>TABLE 8.34: NUMBER OF CASES  SENT TO COURT TRIAL, 2017 - 2019</t>
  </si>
  <si>
    <t>ތާވަލު 8.34: ދައުލަތުގެ ފަރާތުން ޝަރީއަތަށް ހުށަހެޅުނު މައްސަލަތައް، 2017 - 2019</t>
  </si>
  <si>
    <t>TABLE 8.35: NUMBER OF CASES  SUBMITTED  AND COMPLETED, 2014 - 2021</t>
  </si>
  <si>
    <t xml:space="preserve">ތާވަލު: 8.35: ޕްރޮސިކިއުޓަރ ޖެނެރަލްގެ އޮފީހަށް ހުށަހެޅުނު އަދި ނިންމުނު މައްސަލަތައް، 2014 - 2021  </t>
  </si>
  <si>
    <t>TABLE 8.36: PROSECUTION  PERSONNEL  BY SEX AND FINANCIAL RESOURCES, 2013 - 2019</t>
  </si>
  <si>
    <t>ތާވަލު 8.36: ޕްރޮސިކިއުޓަރުންގެ އަދަދު އަދި ހިނގި ޚަރަދު، 2013 - 2019</t>
  </si>
  <si>
    <t>TABLE 8.26: NUMBER OF REPORTED CHILD ABUSE CASES BY TYPE , 2021</t>
  </si>
  <si>
    <t>Table 8.27: Child victims by type of cases and  sex,  2021</t>
  </si>
  <si>
    <t>Table 8.28 : NUMBER OF VICTIMS ON CHILD ABUSE CASES BY TYPE AND AGE OF CHILD, 2021</t>
  </si>
  <si>
    <t>Table 8.29: Number of cases against childen by type, 2020 - 2021</t>
  </si>
  <si>
    <t>Unauthorized Use of Property</t>
  </si>
  <si>
    <t>Operating a Regulated Business or Importing Without License</t>
  </si>
  <si>
    <t>Possession of an article with blade or sharply
pointed in a public place without lawful authority or
reasonable excuse</t>
  </si>
  <si>
    <t>Theft by Failure to Deliver
Funds Entrusted</t>
  </si>
  <si>
    <t>Sale of real estate (Land)</t>
  </si>
  <si>
    <t>Exchange of land for land</t>
  </si>
  <si>
    <t>Encashment of
cheques</t>
  </si>
  <si>
    <t>Table 8.30 : CASES DEALT BY JUDICIAL COURTS IN MALE' AND ISLANDS, 2010 - 2021</t>
  </si>
  <si>
    <t>2021 - 2010 ,udwdwAeg WycaiFwq unumcnin iawgukwtuTOkuSwr iaWaelWm : 8.30 ulwvWt</t>
  </si>
  <si>
    <t>Table  8.31:  CASES HANDLED BY THE HIGH COURT, 2019 -2021</t>
  </si>
  <si>
    <t>2021 - 2019 ,wlwscawm unuLehwSuh cSwTOkiawh : 8.31 ulwvWt</t>
  </si>
  <si>
    <t>Table 8.32: CASES FILED, CONCLUDED AND PENDING BY CASE TYPE, 2021</t>
  </si>
  <si>
    <t>ތާވަލު 8.32: ހުށަހެޅުނު، ނިމުނު އަދި ނުނިމި ހުރި މައްސަލަތައް، 2021</t>
  </si>
  <si>
    <t>Table 8.33: SUMMARY OF ALL NEW CASES FILED IN COURTS IN MALE' AND ATOLLS, 2020 - 2021</t>
  </si>
  <si>
    <t xml:space="preserve">ތާވަލް 8.33: މާލެއާއި ރަށްރަށުގެ ކޯޓުތަކަށް ހުށައެޅިފައިވާ މައްސަލަތައް، 2020 -2020 </t>
  </si>
  <si>
    <t>Table 8.34: Categories where most number of cirminal cases are filed,  2017 - 2021</t>
  </si>
  <si>
    <t>ތާވަލު 8.34: އެންމެ ގިނައިން ހުށަހެޅޭ ޖިނާއީ މައްސަލަތައް 2017 - 2021</t>
  </si>
  <si>
    <t>Table 8.35: Categories where most number of civil cases are filed, 2017 -  2021</t>
  </si>
  <si>
    <t>ތާވަލު 8.35: އެންމެ ގިނައިން ހުށަހެޅޭ މަދަނީ މައްސަލަތައް، 2017 - 2021</t>
  </si>
  <si>
    <t>Table 8.36: Gender distribution of cases filed in the Drug Court 2016 - 2021</t>
  </si>
  <si>
    <r>
      <t xml:space="preserve">ތާވަލް </t>
    </r>
    <r>
      <rPr>
        <b/>
        <sz val="11"/>
        <color theme="1"/>
        <rFont val="Calibri"/>
        <family val="2"/>
        <scheme val="minor"/>
      </rPr>
      <t>8.36:</t>
    </r>
    <r>
      <rPr>
        <b/>
        <sz val="11"/>
        <color theme="1"/>
        <rFont val="Faruma"/>
      </rPr>
      <t xml:space="preserve"> ޑްރަގް ކޯޓަށް ހުށަހެޅުނު މައްސަލަތަކުގައި ދަޢުވާ ލިބޭ މީހުންގެ އަދަދު- </t>
    </r>
    <r>
      <rPr>
        <b/>
        <sz val="11"/>
        <color theme="1"/>
        <rFont val="Calibri"/>
        <family val="2"/>
        <scheme val="minor"/>
      </rPr>
      <t>2016-2021</t>
    </r>
  </si>
  <si>
    <t>Table 8.37: Age distribution of cases filed in the Drug Court  2016-2021</t>
  </si>
  <si>
    <r>
      <t xml:space="preserve">ތާވަލް </t>
    </r>
    <r>
      <rPr>
        <b/>
        <sz val="11"/>
        <color theme="1"/>
        <rFont val="Calibri"/>
        <family val="2"/>
        <scheme val="minor"/>
      </rPr>
      <t>8.37</t>
    </r>
    <r>
      <rPr>
        <b/>
        <sz val="11"/>
        <color theme="1"/>
        <rFont val="Arial"/>
        <family val="2"/>
      </rPr>
      <t xml:space="preserve"> :</t>
    </r>
    <r>
      <rPr>
        <b/>
        <sz val="11"/>
        <color theme="1"/>
        <rFont val="Faruma"/>
      </rPr>
      <t xml:space="preserve"> ޑްރަގް ކޯޓަށް ހުށަހެޅުނު މައްސަލަތަކުގައި ދަޢުވާ ލިބޭ މީހުންގެ އުމުރުފުރާ ތަކާބެހޭ މަޢުލޫމާތު -</t>
    </r>
    <r>
      <rPr>
        <b/>
        <sz val="11"/>
        <color theme="1"/>
        <rFont val="Calibri"/>
        <family val="2"/>
        <scheme val="minor"/>
      </rPr>
      <t xml:space="preserve"> 2016-2021</t>
    </r>
  </si>
  <si>
    <t>TABLE 8.38:  NUMBER OF ASSIGNED MAGISTRATES , 2017 - 2021</t>
  </si>
  <si>
    <t>ތާވަލު 8.38: ކޯޓުތަކަށް ޢައްޔަނުކުރެވިފައިވާ ފަނޑިޔާރުންގެ އަދަދު، 2017 - 2021</t>
  </si>
  <si>
    <t>TABLE 8.39: JUDGES BY SEX AND FINANCIAL RESOURCES FOR COURTS , 2013 - 2021</t>
  </si>
  <si>
    <t>ތާވަލު 8.39: ކޯޓުތަކުގައި ތިބި ފަނޑިޔާރުންގެ އަދަދު އަދި ކޯޓުތަކަށް ހިނގި ޚަރަދު، 2013 - 2021</t>
  </si>
  <si>
    <t>Table 8.40: Number of reported cases ,  2019 - 2021</t>
  </si>
  <si>
    <t>Table 8.41: Number of reported cases  by Type,  2019 - 2021</t>
  </si>
  <si>
    <t>ތާވަލު 8.41: ކޮމިޝަނަށް ހުށަހެޅުނު މައްސަލަތަކުގެ ބާވަތްތައް، 2019 -2021</t>
  </si>
  <si>
    <t>Table  8.32 : PERSONS SENTENCED, BY AGE AND SEX, 2018 - 2020</t>
  </si>
  <si>
    <t>2020- 2018,cnirevcSuk unuLeawDnwkWyin cSokcmukuK cnutogegWrufurumua iaWncnutogeguscnij : 8.32 ulwvWt</t>
  </si>
  <si>
    <t>ތާވަލު 8.50: ފެމިލީ އެންޑް ޗިލްޑްރަން ސަރވިސް ސެންޓަރަށް ހުށަހެޅިފައިވާ މައްސަލަތަކުގެ އަދަދު އަދި ޖިންސު 2016 - 2020</t>
  </si>
  <si>
    <t>Table 8.50: Number of cases reported to Family and Children Service Centers by Atolls, 2016 - 2020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</si>
</sst>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General_)"/>
    <numFmt numFmtId="165" formatCode="0.0"/>
    <numFmt numFmtId="166" formatCode="_-* #,##0_-;\-* #,##0_-;_-* &quot;-&quot;??_-;_-@_-"/>
    <numFmt numFmtId="167" formatCode="#,##0.0"/>
    <numFmt numFmtId="169" formatCode="_(* #,##0.0_);_(* \(#,##0.0\);_(* &quot;-&quot;??_);_(@_)"/>
    <numFmt numFmtId="170" formatCode="_(* #,##0_);_(* \(#,##0\);_(* &quot;-&quot;??_);_(@_)"/>
    <numFmt numFmtId="172" formatCode="#,##0_);\-#,##0"/>
    <numFmt numFmtId="173" formatCode="0_);\(0\)"/>
  </numFmts>
  <fonts count="134">
    <font>
      <sz val="11"/>
      <color theme="1"/>
      <name val="Calibri"/>
      <family val="2"/>
      <scheme val="minor"/>
    </font>
    <font>
      <sz val="11"/>
      <color theme="1"/>
      <name val="Calibri"/>
      <family val="2"/>
      <scheme val="minor"/>
    </font>
    <font>
      <b/>
      <sz val="11"/>
      <color theme="1"/>
      <name val="Calibri"/>
      <family val="2"/>
      <scheme val="minor"/>
    </font>
    <font>
      <b/>
      <sz val="10"/>
      <color rgb="FF000000"/>
      <name val="Calibri"/>
      <family val="2"/>
      <scheme val="minor"/>
    </font>
    <font>
      <b/>
      <sz val="10"/>
      <name val="Faruma"/>
      <family val="3"/>
    </font>
    <font>
      <sz val="10"/>
      <name val="Faruma"/>
      <family val="3"/>
    </font>
    <font>
      <sz val="10"/>
      <color theme="1"/>
      <name val="Calibri"/>
      <family val="2"/>
      <scheme val="minor"/>
    </font>
    <font>
      <sz val="10"/>
      <color theme="1"/>
      <name val="Courier"/>
      <family val="3"/>
    </font>
    <font>
      <b/>
      <sz val="10"/>
      <name val="Calibri"/>
      <family val="2"/>
      <scheme val="minor"/>
    </font>
    <font>
      <sz val="10"/>
      <color rgb="FF000000"/>
      <name val="Calibri"/>
      <family val="2"/>
      <scheme val="minor"/>
    </font>
    <font>
      <sz val="10"/>
      <name val="Calibri"/>
      <family val="2"/>
      <scheme val="minor"/>
    </font>
    <font>
      <i/>
      <sz val="10"/>
      <color theme="1"/>
      <name val="Calibri"/>
      <family val="2"/>
      <scheme val="minor"/>
    </font>
    <font>
      <sz val="9"/>
      <name val="Courier"/>
      <family val="3"/>
    </font>
    <font>
      <i/>
      <sz val="10"/>
      <color rgb="FFFF0000"/>
      <name val="Calibri"/>
      <family val="2"/>
      <scheme val="minor"/>
    </font>
    <font>
      <sz val="10"/>
      <color rgb="FFFF0000"/>
      <name val="Calibri"/>
      <family val="2"/>
      <scheme val="minor"/>
    </font>
    <font>
      <sz val="9"/>
      <name val="Calibri"/>
      <family val="2"/>
      <scheme val="minor"/>
    </font>
    <font>
      <i/>
      <sz val="9"/>
      <name val="Calibri"/>
      <family val="2"/>
      <scheme val="minor"/>
    </font>
    <font>
      <sz val="9"/>
      <name val="A_Randhoo"/>
    </font>
    <font>
      <b/>
      <sz val="11"/>
      <name val="Faruma"/>
      <family val="3"/>
    </font>
    <font>
      <b/>
      <sz val="10"/>
      <color theme="1"/>
      <name val="Calibri"/>
      <family val="2"/>
      <scheme val="minor"/>
    </font>
    <font>
      <sz val="11"/>
      <color indexed="8"/>
      <name val="Calibri"/>
      <family val="2"/>
    </font>
    <font>
      <sz val="10"/>
      <name val="Courier"/>
      <family val="3"/>
    </font>
    <font>
      <b/>
      <sz val="10"/>
      <color rgb="FFFF0000"/>
      <name val="Calibri"/>
      <family val="2"/>
      <scheme val="minor"/>
    </font>
    <font>
      <i/>
      <sz val="10"/>
      <name val="Calibri"/>
      <family val="2"/>
      <scheme val="minor"/>
    </font>
    <font>
      <b/>
      <sz val="9"/>
      <color indexed="81"/>
      <name val="Tahoma"/>
      <family val="2"/>
    </font>
    <font>
      <sz val="9"/>
      <color indexed="81"/>
      <name val="Tahoma"/>
      <family val="2"/>
    </font>
    <font>
      <i/>
      <sz val="9"/>
      <color theme="1"/>
      <name val="Calibri"/>
      <family val="2"/>
      <scheme val="minor"/>
    </font>
    <font>
      <i/>
      <sz val="8"/>
      <name val="Arial"/>
      <family val="2"/>
    </font>
    <font>
      <sz val="11"/>
      <color theme="1"/>
      <name val="Arial"/>
      <family val="2"/>
    </font>
    <font>
      <b/>
      <sz val="11"/>
      <color theme="1"/>
      <name val="Faruma"/>
      <family val="3"/>
    </font>
    <font>
      <b/>
      <sz val="10"/>
      <color theme="1"/>
      <name val="Faruma"/>
      <family val="3"/>
    </font>
    <font>
      <sz val="10"/>
      <color theme="1"/>
      <name val="Faruma"/>
      <family val="3"/>
    </font>
    <font>
      <sz val="9"/>
      <color theme="1"/>
      <name val="Calibri"/>
      <family val="2"/>
      <scheme val="minor"/>
    </font>
    <font>
      <sz val="11"/>
      <name val="Calibri"/>
      <family val="2"/>
      <scheme val="minor"/>
    </font>
    <font>
      <b/>
      <sz val="9"/>
      <color theme="1"/>
      <name val="Calibri"/>
      <family val="2"/>
      <scheme val="minor"/>
    </font>
    <font>
      <b/>
      <sz val="12"/>
      <color theme="1"/>
      <name val="Faruma"/>
      <family val="3"/>
    </font>
    <font>
      <sz val="11"/>
      <color theme="1"/>
      <name val="Faruma"/>
      <family val="3"/>
    </font>
    <font>
      <sz val="11"/>
      <color rgb="FF000000"/>
      <name val="Faruma"/>
      <family val="3"/>
    </font>
    <font>
      <sz val="10"/>
      <name val="Arial"/>
      <family val="2"/>
    </font>
    <font>
      <b/>
      <sz val="11"/>
      <name val="Calibri"/>
      <family val="2"/>
      <scheme val="minor"/>
    </font>
    <font>
      <sz val="9"/>
      <color theme="1"/>
      <name val="Faruma"/>
      <family val="3"/>
    </font>
    <font>
      <i/>
      <sz val="9"/>
      <name val="Arial"/>
      <family val="2"/>
    </font>
    <font>
      <i/>
      <sz val="11"/>
      <name val="Calibri"/>
      <family val="2"/>
      <scheme val="minor"/>
    </font>
    <font>
      <sz val="11"/>
      <name val="Faruma"/>
      <family val="3"/>
    </font>
    <font>
      <i/>
      <sz val="11"/>
      <color theme="1"/>
      <name val="Calibri"/>
      <family val="2"/>
      <scheme val="minor"/>
    </font>
    <font>
      <b/>
      <sz val="15"/>
      <color theme="3"/>
      <name val="Arial Mäori"/>
      <family val="2"/>
    </font>
    <font>
      <sz val="9"/>
      <name val="A_Faseyha"/>
    </font>
    <font>
      <b/>
      <sz val="10"/>
      <name val="A_Faseyha"/>
    </font>
    <font>
      <sz val="10"/>
      <name val="A_Faseyha"/>
    </font>
    <font>
      <sz val="9"/>
      <color theme="1"/>
      <name val="A_Faseyha"/>
    </font>
    <font>
      <sz val="8"/>
      <name val="A_Faseyha"/>
    </font>
    <font>
      <sz val="11"/>
      <color theme="1"/>
      <name val="Faruma"/>
    </font>
    <font>
      <b/>
      <sz val="9"/>
      <name val="Calibri"/>
      <family val="2"/>
      <scheme val="minor"/>
    </font>
    <font>
      <b/>
      <sz val="9"/>
      <name val="Faruma"/>
    </font>
    <font>
      <sz val="9"/>
      <name val="Arial"/>
      <family val="2"/>
    </font>
    <font>
      <b/>
      <sz val="8"/>
      <name val="A_Faseyha"/>
    </font>
    <font>
      <sz val="9"/>
      <name val="Faruma"/>
    </font>
    <font>
      <b/>
      <sz val="9"/>
      <name val="Courier"/>
      <family val="3"/>
    </font>
    <font>
      <b/>
      <sz val="9"/>
      <name val="Arial"/>
      <family val="2"/>
    </font>
    <font>
      <b/>
      <sz val="11"/>
      <color theme="1"/>
      <name val="Faruma"/>
    </font>
    <font>
      <sz val="10"/>
      <color theme="1"/>
      <name val="Faruma"/>
    </font>
    <font>
      <b/>
      <sz val="10"/>
      <name val="Faruma"/>
    </font>
    <font>
      <sz val="10"/>
      <name val="Faruma"/>
    </font>
    <font>
      <sz val="48"/>
      <color rgb="FFFF0000"/>
      <name val="Calibri"/>
      <family val="2"/>
      <scheme val="minor"/>
    </font>
    <font>
      <b/>
      <sz val="12"/>
      <name val="Faruma"/>
    </font>
    <font>
      <sz val="11"/>
      <name val="Faruma"/>
    </font>
    <font>
      <sz val="11"/>
      <name val="Courier"/>
      <family val="3"/>
    </font>
    <font>
      <b/>
      <sz val="11"/>
      <color theme="1"/>
      <name val="Arial"/>
      <family val="2"/>
    </font>
    <font>
      <b/>
      <sz val="10"/>
      <color rgb="FF000000"/>
      <name val="Faruma"/>
    </font>
    <font>
      <sz val="10"/>
      <color rgb="FF000000"/>
      <name val="Faruma"/>
    </font>
    <font>
      <sz val="9"/>
      <color theme="1"/>
      <name val="Faruma"/>
    </font>
    <font>
      <b/>
      <sz val="10"/>
      <color theme="1"/>
      <name val="Faruma"/>
    </font>
    <font>
      <b/>
      <sz val="11"/>
      <name val="A_Randhoo"/>
    </font>
    <font>
      <b/>
      <sz val="10"/>
      <name val="Arial"/>
      <family val="2"/>
    </font>
    <font>
      <b/>
      <sz val="11"/>
      <name val="Arial"/>
      <family val="2"/>
    </font>
    <font>
      <b/>
      <sz val="11"/>
      <name val="Courier"/>
      <family val="3"/>
    </font>
    <font>
      <b/>
      <sz val="11"/>
      <color theme="1"/>
      <name val="Courier"/>
      <family val="3"/>
    </font>
    <font>
      <b/>
      <sz val="11"/>
      <name val="Faruma"/>
    </font>
    <font>
      <sz val="11"/>
      <name val="Arial"/>
      <family val="2"/>
    </font>
    <font>
      <sz val="11"/>
      <name val="A_Randhoo"/>
    </font>
    <font>
      <sz val="11"/>
      <name val="A_Reethi"/>
    </font>
    <font>
      <sz val="10"/>
      <name val="A_Randhoo"/>
    </font>
    <font>
      <sz val="11"/>
      <color theme="1"/>
      <name val="Courier"/>
      <family val="3"/>
    </font>
    <font>
      <b/>
      <sz val="10.5"/>
      <color theme="1"/>
      <name val="Faruma"/>
    </font>
    <font>
      <sz val="10.5"/>
      <color theme="1"/>
      <name val="Faruma"/>
    </font>
    <font>
      <sz val="9"/>
      <color indexed="63"/>
      <name val="Calibri"/>
      <family val="2"/>
    </font>
    <font>
      <b/>
      <sz val="12"/>
      <color theme="1"/>
      <name val="Calibri"/>
      <family val="2"/>
      <scheme val="minor"/>
    </font>
    <font>
      <b/>
      <sz val="11"/>
      <color theme="1" tint="4.9989318521683403E-2"/>
      <name val="Calibri"/>
      <family val="2"/>
      <scheme val="minor"/>
    </font>
    <font>
      <sz val="11"/>
      <color theme="1" tint="4.9989318521683403E-2"/>
      <name val="Calibri"/>
      <family val="2"/>
      <scheme val="minor"/>
    </font>
    <font>
      <b/>
      <sz val="14"/>
      <color theme="1"/>
      <name val="Calibri"/>
      <family val="2"/>
      <scheme val="minor"/>
    </font>
    <font>
      <sz val="14"/>
      <color theme="1"/>
      <name val="Calibri"/>
      <family val="2"/>
      <scheme val="minor"/>
    </font>
    <font>
      <sz val="10"/>
      <color rgb="FFFF0000"/>
      <name val="Faruma"/>
    </font>
    <font>
      <b/>
      <sz val="12"/>
      <name val="A_Viligili"/>
    </font>
    <font>
      <b/>
      <sz val="9"/>
      <color theme="1"/>
      <name val="A_Viligili"/>
    </font>
    <font>
      <sz val="9"/>
      <name val="Akuru-Bodu Bold"/>
      <family val="2"/>
      <charset val="2"/>
    </font>
    <font>
      <b/>
      <sz val="11"/>
      <name val="A_Faseyha"/>
    </font>
    <font>
      <b/>
      <sz val="9"/>
      <name val="A_Viligili"/>
    </font>
    <font>
      <b/>
      <sz val="10"/>
      <color theme="1"/>
      <name val="A_Randhoo"/>
    </font>
    <font>
      <b/>
      <sz val="10"/>
      <name val="A_Viligili"/>
    </font>
    <font>
      <sz val="10"/>
      <name val="A_Viligili"/>
    </font>
    <font>
      <sz val="10"/>
      <color indexed="8"/>
      <name val="Calibri"/>
      <family val="2"/>
      <scheme val="minor"/>
    </font>
    <font>
      <b/>
      <sz val="9"/>
      <color theme="0"/>
      <name val="Arial"/>
      <family val="2"/>
    </font>
    <font>
      <sz val="11"/>
      <color rgb="FF000000"/>
      <name val="Faruma"/>
    </font>
    <font>
      <b/>
      <sz val="11"/>
      <color rgb="FFFF0000"/>
      <name val="Calibri"/>
      <family val="2"/>
      <scheme val="minor"/>
    </font>
    <font>
      <sz val="10"/>
      <name val="MS Sans Serif"/>
      <family val="2"/>
    </font>
    <font>
      <sz val="12"/>
      <color theme="1"/>
      <name val="Faruma"/>
      <family val="3"/>
    </font>
    <font>
      <sz val="12"/>
      <color theme="1"/>
      <name val="Calibri"/>
      <family val="2"/>
      <scheme val="minor"/>
    </font>
    <font>
      <b/>
      <sz val="10.5"/>
      <color theme="1"/>
      <name val="Faruma"/>
      <family val="3"/>
    </font>
    <font>
      <sz val="11"/>
      <color theme="5" tint="-0.499984740745262"/>
      <name val="Faruma"/>
      <family val="3"/>
    </font>
    <font>
      <b/>
      <sz val="12"/>
      <name val="Calibri"/>
      <family val="2"/>
      <scheme val="minor"/>
    </font>
    <font>
      <sz val="12"/>
      <name val="Calibri"/>
      <family val="2"/>
      <scheme val="minor"/>
    </font>
    <font>
      <sz val="8"/>
      <name val="Faruma"/>
    </font>
    <font>
      <b/>
      <sz val="12"/>
      <color rgb="FF58585A"/>
      <name val="Calibri"/>
      <family val="2"/>
      <scheme val="minor"/>
    </font>
    <font>
      <sz val="16"/>
      <color rgb="FF000000"/>
      <name val="A_Haleem"/>
      <family val="2"/>
    </font>
    <font>
      <b/>
      <sz val="12"/>
      <color theme="1"/>
      <name val="Faruma"/>
    </font>
    <font>
      <b/>
      <sz val="11"/>
      <color theme="1"/>
      <name val="Times New Roman"/>
      <family val="1"/>
      <charset val="204"/>
    </font>
    <font>
      <sz val="10.5"/>
      <name val="Calibri"/>
      <family val="2"/>
      <scheme val="minor"/>
    </font>
    <font>
      <sz val="10.5"/>
      <color theme="1"/>
      <name val="Calibri"/>
      <family val="2"/>
      <scheme val="minor"/>
    </font>
    <font>
      <sz val="11"/>
      <color rgb="FF4C3A00"/>
      <name val="Calibri"/>
      <family val="2"/>
      <scheme val="minor"/>
    </font>
    <font>
      <i/>
      <sz val="10.5"/>
      <color theme="1"/>
      <name val="Calibri"/>
      <family val="2"/>
      <scheme val="minor"/>
    </font>
    <font>
      <sz val="10.5"/>
      <name val="Faruma"/>
    </font>
    <font>
      <b/>
      <sz val="11"/>
      <color indexed="8"/>
      <name val="Faruma"/>
    </font>
    <font>
      <b/>
      <sz val="11"/>
      <color indexed="8"/>
      <name val="Calibri"/>
      <family val="2"/>
      <scheme val="minor"/>
    </font>
    <font>
      <b/>
      <sz val="12"/>
      <color indexed="8"/>
      <name val="Faruma"/>
    </font>
    <font>
      <sz val="11"/>
      <color indexed="8"/>
      <name val="Faruma"/>
    </font>
    <font>
      <b/>
      <sz val="11"/>
      <color rgb="FF000000"/>
      <name val="Faruma"/>
    </font>
    <font>
      <sz val="10"/>
      <name val="A_Reethi"/>
    </font>
    <font>
      <b/>
      <sz val="10"/>
      <color rgb="FFFF0000"/>
      <name val="Faruma"/>
    </font>
    <font>
      <sz val="10"/>
      <color rgb="FFFF0000"/>
      <name val="A_Reethi"/>
    </font>
    <font>
      <i/>
      <sz val="9"/>
      <color rgb="FFFF0000"/>
      <name val="Calibri"/>
      <family val="2"/>
      <scheme val="minor"/>
    </font>
    <font>
      <sz val="9"/>
      <color rgb="FFFF0000"/>
      <name val="Calibri"/>
      <family val="2"/>
      <scheme val="minor"/>
    </font>
    <font>
      <b/>
      <sz val="12"/>
      <color rgb="FF4F2241"/>
      <name val="Calibri"/>
      <family val="2"/>
      <scheme val="minor"/>
    </font>
    <font>
      <sz val="12"/>
      <color theme="1" tint="4.9989318521683403E-2"/>
      <name val="Calibri"/>
      <family val="2"/>
      <scheme val="minor"/>
    </font>
    <font>
      <sz val="11"/>
      <color theme="1"/>
      <name val="Cambria"/>
      <family val="1"/>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68">
    <border>
      <left/>
      <right/>
      <top/>
      <bottom/>
      <diagonal/>
    </border>
    <border>
      <left/>
      <right/>
      <top/>
      <bottom style="thin">
        <color indexed="9"/>
      </bottom>
      <diagonal/>
    </border>
    <border>
      <left/>
      <right/>
      <top/>
      <bottom style="thin">
        <color indexed="64"/>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right/>
      <top/>
      <bottom style="thin">
        <color theme="0"/>
      </bottom>
      <diagonal/>
    </border>
    <border>
      <left/>
      <right style="hair">
        <color indexed="64"/>
      </right>
      <top/>
      <bottom/>
      <diagonal/>
    </border>
    <border>
      <left style="hair">
        <color indexed="64"/>
      </left>
      <right/>
      <top/>
      <bottom/>
      <diagonal/>
    </border>
    <border>
      <left style="thin">
        <color indexed="9"/>
      </left>
      <right/>
      <top/>
      <bottom style="thin">
        <color indexed="9"/>
      </bottom>
      <diagonal/>
    </border>
    <border>
      <left/>
      <right/>
      <top style="thin">
        <color indexed="64"/>
      </top>
      <bottom style="hair">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theme="0"/>
      </top>
      <bottom style="thin">
        <color indexed="64"/>
      </bottom>
      <diagonal/>
    </border>
    <border>
      <left/>
      <right style="thin">
        <color theme="0"/>
      </right>
      <top style="thin">
        <color indexed="64"/>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indexed="64"/>
      </top>
      <bottom style="hair">
        <color theme="1"/>
      </bottom>
      <diagonal/>
    </border>
    <border>
      <left style="thin">
        <color theme="0"/>
      </left>
      <right/>
      <top/>
      <bottom/>
      <diagonal/>
    </border>
    <border>
      <left style="thin">
        <color theme="0"/>
      </left>
      <right/>
      <top/>
      <bottom style="thin">
        <color indexed="64"/>
      </bottom>
      <diagonal/>
    </border>
    <border>
      <left/>
      <right style="thin">
        <color theme="0"/>
      </right>
      <top style="thin">
        <color theme="0"/>
      </top>
      <bottom style="thin">
        <color theme="0"/>
      </bottom>
      <diagonal/>
    </border>
    <border>
      <left style="hair">
        <color indexed="64"/>
      </left>
      <right style="thin">
        <color theme="0"/>
      </right>
      <top/>
      <bottom style="thin">
        <color indexed="64"/>
      </bottom>
      <diagonal/>
    </border>
    <border>
      <left style="thin">
        <color theme="0"/>
      </left>
      <right/>
      <top/>
      <bottom style="thin">
        <color theme="0"/>
      </bottom>
      <diagonal/>
    </border>
    <border>
      <left/>
      <right style="thin">
        <color theme="0"/>
      </right>
      <top style="thin">
        <color theme="0"/>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top style="thin">
        <color theme="0"/>
      </top>
      <bottom/>
      <diagonal/>
    </border>
    <border>
      <left/>
      <right/>
      <top style="thin">
        <color theme="0"/>
      </top>
      <bottom style="thin">
        <color theme="0"/>
      </bottom>
      <diagonal/>
    </border>
    <border>
      <left/>
      <right/>
      <top/>
      <bottom style="hair">
        <color indexed="64"/>
      </bottom>
      <diagonal/>
    </border>
    <border>
      <left style="thin">
        <color theme="0"/>
      </left>
      <right style="thin">
        <color theme="0"/>
      </right>
      <top style="thin">
        <color indexed="64"/>
      </top>
      <bottom/>
      <diagonal/>
    </border>
    <border>
      <left style="hair">
        <color indexed="64"/>
      </left>
      <right/>
      <top style="thin">
        <color indexed="64"/>
      </top>
      <bottom style="hair">
        <color theme="1"/>
      </bottom>
      <diagonal/>
    </border>
    <border>
      <left style="thin">
        <color theme="0"/>
      </left>
      <right style="thin">
        <color theme="0"/>
      </right>
      <top/>
      <bottom/>
      <diagonal/>
    </border>
    <border>
      <left style="thin">
        <color theme="0"/>
      </left>
      <right style="thin">
        <color theme="0"/>
      </right>
      <top/>
      <bottom style="thin">
        <color indexed="64"/>
      </bottom>
      <diagonal/>
    </border>
    <border>
      <left/>
      <right style="thin">
        <color theme="0"/>
      </right>
      <top/>
      <bottom style="thin">
        <color indexed="64"/>
      </bottom>
      <diagonal/>
    </border>
    <border>
      <left/>
      <right style="hair">
        <color theme="1"/>
      </right>
      <top/>
      <bottom style="thin">
        <color indexed="64"/>
      </bottom>
      <diagonal/>
    </border>
    <border>
      <left/>
      <right/>
      <top/>
      <bottom style="thick">
        <color theme="4"/>
      </bottom>
      <diagonal/>
    </border>
    <border>
      <left/>
      <right/>
      <top style="thin">
        <color indexed="64"/>
      </top>
      <bottom style="dotted">
        <color indexed="64"/>
      </bottom>
      <diagonal/>
    </border>
    <border>
      <left/>
      <right/>
      <top style="thin">
        <color indexed="64"/>
      </top>
      <bottom/>
      <diagonal/>
    </border>
    <border>
      <left/>
      <right/>
      <top style="thin">
        <color indexed="9"/>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9"/>
      </left>
      <right style="thin">
        <color indexed="9"/>
      </right>
      <top style="thin">
        <color indexed="9"/>
      </top>
      <bottom/>
      <diagonal/>
    </border>
    <border>
      <left style="thin">
        <color indexed="9"/>
      </left>
      <right/>
      <top style="thin">
        <color indexed="9"/>
      </top>
      <bottom/>
      <diagonal/>
    </border>
    <border>
      <left style="thin">
        <color indexed="9"/>
      </left>
      <right/>
      <top/>
      <bottom style="thin">
        <color indexed="64"/>
      </bottom>
      <diagonal/>
    </border>
    <border>
      <left/>
      <right style="thin">
        <color indexed="9"/>
      </right>
      <top/>
      <bottom style="thin">
        <color indexed="64"/>
      </bottom>
      <diagonal/>
    </border>
    <border>
      <left style="thin">
        <color indexed="9"/>
      </left>
      <right style="thin">
        <color indexed="9"/>
      </right>
      <top style="thin">
        <color indexed="64"/>
      </top>
      <bottom style="thin">
        <color indexed="64"/>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thin">
        <color indexed="9"/>
      </bottom>
      <diagonal/>
    </border>
    <border>
      <left/>
      <right style="thin">
        <color indexed="9"/>
      </right>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hair">
        <color theme="1"/>
      </bottom>
      <diagonal/>
    </border>
    <border>
      <left/>
      <right/>
      <top/>
      <bottom style="hair">
        <color theme="1"/>
      </bottom>
      <diagonal/>
    </border>
    <border>
      <left/>
      <right style="thin">
        <color indexed="9"/>
      </right>
      <top style="thin">
        <color indexed="9"/>
      </top>
      <bottom style="hair">
        <color theme="1"/>
      </bottom>
      <diagonal/>
    </border>
    <border>
      <left/>
      <right style="thin">
        <color indexed="9"/>
      </right>
      <top style="thin">
        <color indexed="9"/>
      </top>
      <bottom/>
      <diagonal/>
    </border>
    <border>
      <left style="thin">
        <color indexed="9"/>
      </left>
      <right style="thin">
        <color indexed="9"/>
      </right>
      <top style="thin">
        <color indexed="9"/>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bottom style="hair">
        <color theme="1"/>
      </bottom>
      <diagonal/>
    </border>
    <border>
      <left style="hair">
        <color indexed="64"/>
      </left>
      <right/>
      <top/>
      <bottom style="hair">
        <color theme="1"/>
      </bottom>
      <diagonal/>
    </border>
    <border>
      <left/>
      <right style="thin">
        <color theme="0"/>
      </right>
      <top style="thin">
        <color indexed="64"/>
      </top>
      <bottom/>
      <diagonal/>
    </border>
    <border>
      <left style="thin">
        <color theme="0"/>
      </left>
      <right/>
      <top style="thin">
        <color indexed="64"/>
      </top>
      <bottom style="hair">
        <color theme="1" tint="4.9989318521683403E-2"/>
      </bottom>
      <diagonal/>
    </border>
    <border>
      <left/>
      <right/>
      <top style="thin">
        <color indexed="64"/>
      </top>
      <bottom style="hair">
        <color theme="1" tint="4.9989318521683403E-2"/>
      </bottom>
      <diagonal/>
    </border>
    <border>
      <left/>
      <right style="hair">
        <color indexed="64"/>
      </right>
      <top style="thin">
        <color indexed="64"/>
      </top>
      <bottom style="hair">
        <color theme="1" tint="4.9989318521683403E-2"/>
      </bottom>
      <diagonal/>
    </border>
    <border>
      <left style="hair">
        <color indexed="64"/>
      </left>
      <right/>
      <top style="thin">
        <color indexed="64"/>
      </top>
      <bottom style="hair">
        <color theme="1" tint="4.9989318521683403E-2"/>
      </bottom>
      <diagonal/>
    </border>
    <border>
      <left/>
      <right style="thin">
        <color theme="0"/>
      </right>
      <top/>
      <bottom/>
      <diagonal/>
    </border>
    <border>
      <left/>
      <right style="hair">
        <color indexed="64"/>
      </right>
      <top/>
      <bottom style="thin">
        <color theme="0"/>
      </bottom>
      <diagonal/>
    </border>
    <border>
      <left style="hair">
        <color indexed="64"/>
      </left>
      <right style="thin">
        <color theme="0"/>
      </right>
      <top/>
      <bottom style="thin">
        <color theme="0"/>
      </bottom>
      <diagonal/>
    </border>
    <border>
      <left style="thin">
        <color theme="0"/>
      </left>
      <right style="hair">
        <color indexed="64"/>
      </right>
      <top/>
      <bottom style="thin">
        <color theme="0"/>
      </bottom>
      <diagonal/>
    </border>
    <border>
      <left style="thin">
        <color theme="0"/>
      </left>
      <right/>
      <top style="thin">
        <color theme="0"/>
      </top>
      <bottom style="thin">
        <color indexed="9"/>
      </bottom>
      <diagonal/>
    </border>
    <border>
      <left/>
      <right/>
      <top style="thin">
        <color theme="0"/>
      </top>
      <bottom style="thin">
        <color indexed="9"/>
      </bottom>
      <diagonal/>
    </border>
    <border>
      <left/>
      <right style="thin">
        <color theme="0"/>
      </right>
      <top style="thin">
        <color theme="0"/>
      </top>
      <bottom style="thin">
        <color indexed="9"/>
      </bottom>
      <diagonal/>
    </border>
    <border>
      <left/>
      <right style="hair">
        <color indexed="64"/>
      </right>
      <top/>
      <bottom style="thin">
        <color indexed="9"/>
      </bottom>
      <diagonal/>
    </border>
    <border>
      <left style="hair">
        <color indexed="64"/>
      </left>
      <right style="thin">
        <color indexed="9"/>
      </right>
      <top/>
      <bottom style="thin">
        <color indexed="9"/>
      </bottom>
      <diagonal/>
    </border>
    <border>
      <left/>
      <right style="thin">
        <color indexed="9"/>
      </right>
      <top/>
      <bottom/>
      <diagonal/>
    </border>
    <border>
      <left/>
      <right style="hair">
        <color indexed="64"/>
      </right>
      <top style="thin">
        <color indexed="9"/>
      </top>
      <bottom style="thin">
        <color indexed="9"/>
      </bottom>
      <diagonal/>
    </border>
    <border>
      <left style="hair">
        <color indexed="64"/>
      </left>
      <right style="thin">
        <color indexed="9"/>
      </right>
      <top style="thin">
        <color indexed="9"/>
      </top>
      <bottom style="thin">
        <color indexed="9"/>
      </bottom>
      <diagonal/>
    </border>
    <border>
      <left/>
      <right/>
      <top style="thin">
        <color indexed="9"/>
      </top>
      <bottom style="thin">
        <color indexed="9"/>
      </bottom>
      <diagonal/>
    </border>
    <border>
      <left style="thin">
        <color indexed="9"/>
      </left>
      <right style="hair">
        <color indexed="64"/>
      </right>
      <top style="thin">
        <color indexed="9"/>
      </top>
      <bottom style="thin">
        <color indexed="9"/>
      </bottom>
      <diagonal/>
    </border>
    <border>
      <left style="thin">
        <color indexed="9"/>
      </left>
      <right style="hair">
        <color indexed="64"/>
      </right>
      <top style="thin">
        <color indexed="9"/>
      </top>
      <bottom style="thin">
        <color indexed="64"/>
      </bottom>
      <diagonal/>
    </border>
    <border>
      <left style="hair">
        <color indexed="64"/>
      </left>
      <right style="thin">
        <color indexed="9"/>
      </right>
      <top style="thin">
        <color indexed="9"/>
      </top>
      <bottom style="thin">
        <color indexed="64"/>
      </bottom>
      <diagonal/>
    </border>
    <border>
      <left/>
      <right style="thin">
        <color indexed="9"/>
      </right>
      <top style="thin">
        <color indexed="9"/>
      </top>
      <bottom style="thin">
        <color indexed="64"/>
      </bottom>
      <diagonal/>
    </border>
    <border>
      <left style="thin">
        <color indexed="9"/>
      </left>
      <right/>
      <top style="thin">
        <color indexed="9"/>
      </top>
      <bottom style="thin">
        <color indexed="64"/>
      </bottom>
      <diagonal/>
    </border>
    <border>
      <left style="thin">
        <color indexed="9"/>
      </left>
      <right/>
      <top/>
      <bottom/>
      <diagonal/>
    </border>
    <border>
      <left/>
      <right style="thin">
        <color theme="0"/>
      </right>
      <top style="thin">
        <color theme="0"/>
      </top>
      <bottom style="thin">
        <color indexed="64"/>
      </bottom>
      <diagonal/>
    </border>
    <border>
      <left style="thin">
        <color theme="0"/>
      </left>
      <right style="thin">
        <color theme="0"/>
      </right>
      <top style="thin">
        <color indexed="64"/>
      </top>
      <bottom style="thin">
        <color theme="0"/>
      </bottom>
      <diagonal/>
    </border>
    <border>
      <left style="thin">
        <color indexed="9"/>
      </left>
      <right style="thin">
        <color indexed="9"/>
      </right>
      <top style="thin">
        <color indexed="64"/>
      </top>
      <bottom style="thin">
        <color indexed="9"/>
      </bottom>
      <diagonal/>
    </border>
    <border>
      <left/>
      <right/>
      <top/>
      <bottom style="dotted">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hair">
        <color theme="1"/>
      </right>
      <top style="thin">
        <color indexed="64"/>
      </top>
      <bottom style="thin">
        <color theme="0"/>
      </bottom>
      <diagonal/>
    </border>
    <border>
      <left style="thin">
        <color theme="0"/>
      </left>
      <right/>
      <top style="thin">
        <color indexed="64"/>
      </top>
      <bottom style="thin">
        <color theme="0"/>
      </bottom>
      <diagonal/>
    </border>
    <border>
      <left style="hair">
        <color theme="1"/>
      </left>
      <right style="thin">
        <color theme="0"/>
      </right>
      <top style="thin">
        <color indexed="64"/>
      </top>
      <bottom style="thin">
        <color theme="0"/>
      </bottom>
      <diagonal/>
    </border>
    <border>
      <left style="hair">
        <color indexed="64"/>
      </left>
      <right style="thin">
        <color theme="0"/>
      </right>
      <top style="thin">
        <color indexed="64"/>
      </top>
      <bottom style="thin">
        <color theme="0"/>
      </bottom>
      <diagonal/>
    </border>
    <border>
      <left style="thin">
        <color theme="0"/>
      </left>
      <right style="hair">
        <color indexed="64"/>
      </right>
      <top style="thin">
        <color indexed="64"/>
      </top>
      <bottom style="thin">
        <color theme="0"/>
      </bottom>
      <diagonal/>
    </border>
    <border>
      <left style="thin">
        <color theme="0"/>
      </left>
      <right style="thin">
        <color theme="0"/>
      </right>
      <top style="thin">
        <color theme="0"/>
      </top>
      <bottom style="dotted">
        <color theme="1"/>
      </bottom>
      <diagonal/>
    </border>
    <border>
      <left style="thin">
        <color theme="0"/>
      </left>
      <right style="hair">
        <color theme="1"/>
      </right>
      <top style="thin">
        <color theme="0"/>
      </top>
      <bottom style="dotted">
        <color theme="1"/>
      </bottom>
      <diagonal/>
    </border>
    <border>
      <left/>
      <right style="thin">
        <color theme="0"/>
      </right>
      <top style="thin">
        <color theme="0"/>
      </top>
      <bottom style="dotted">
        <color theme="1"/>
      </bottom>
      <diagonal/>
    </border>
    <border>
      <left style="thin">
        <color theme="0"/>
      </left>
      <right/>
      <top style="thin">
        <color theme="0"/>
      </top>
      <bottom style="dotted">
        <color theme="1"/>
      </bottom>
      <diagonal/>
    </border>
    <border>
      <left style="hair">
        <color theme="1"/>
      </left>
      <right style="thin">
        <color theme="0"/>
      </right>
      <top style="thin">
        <color theme="0"/>
      </top>
      <bottom style="dotted">
        <color theme="1"/>
      </bottom>
      <diagonal/>
    </border>
    <border>
      <left style="hair">
        <color indexed="64"/>
      </left>
      <right style="thin">
        <color theme="0"/>
      </right>
      <top style="thin">
        <color theme="0"/>
      </top>
      <bottom style="dotted">
        <color theme="1"/>
      </bottom>
      <diagonal/>
    </border>
    <border>
      <left style="thin">
        <color theme="0"/>
      </left>
      <right style="hair">
        <color indexed="64"/>
      </right>
      <top style="thin">
        <color theme="0"/>
      </top>
      <bottom style="dotted">
        <color theme="1"/>
      </bottom>
      <diagonal/>
    </border>
    <border>
      <left style="hair">
        <color theme="1"/>
      </left>
      <right/>
      <top/>
      <bottom style="thin">
        <color indexed="64"/>
      </bottom>
      <diagonal/>
    </border>
    <border>
      <left style="hair">
        <color theme="1"/>
      </left>
      <right/>
      <top style="dotted">
        <color theme="1"/>
      </top>
      <bottom style="thin">
        <color indexed="64"/>
      </bottom>
      <diagonal/>
    </border>
    <border>
      <left/>
      <right/>
      <top style="dotted">
        <color theme="1"/>
      </top>
      <bottom style="thin">
        <color indexed="64"/>
      </bottom>
      <diagonal/>
    </border>
    <border>
      <left style="hair">
        <color indexed="64"/>
      </left>
      <right/>
      <top style="dotted">
        <color theme="1"/>
      </top>
      <bottom style="thin">
        <color indexed="64"/>
      </bottom>
      <diagonal/>
    </border>
    <border>
      <left/>
      <right style="hair">
        <color theme="1"/>
      </right>
      <top style="dotted">
        <color theme="1"/>
      </top>
      <bottom style="thin">
        <color indexed="64"/>
      </bottom>
      <diagonal/>
    </border>
    <border>
      <left style="thin">
        <color theme="0"/>
      </left>
      <right style="hair">
        <color theme="1"/>
      </right>
      <top/>
      <bottom style="thin">
        <color theme="0"/>
      </bottom>
      <diagonal/>
    </border>
    <border>
      <left style="hair">
        <color theme="1"/>
      </left>
      <right style="thin">
        <color theme="0"/>
      </right>
      <top/>
      <bottom style="thin">
        <color theme="0"/>
      </bottom>
      <diagonal/>
    </border>
    <border>
      <left style="hair">
        <color theme="1"/>
      </left>
      <right style="thin">
        <color theme="0"/>
      </right>
      <top style="thin">
        <color theme="0"/>
      </top>
      <bottom style="thin">
        <color theme="0"/>
      </bottom>
      <diagonal/>
    </border>
    <border>
      <left style="hair">
        <color theme="1"/>
      </left>
      <right/>
      <top style="thin">
        <color theme="0"/>
      </top>
      <bottom style="thin">
        <color theme="0"/>
      </bottom>
      <diagonal/>
    </border>
    <border>
      <left style="hair">
        <color theme="1"/>
      </left>
      <right style="hair">
        <color theme="1"/>
      </right>
      <top style="thin">
        <color theme="0"/>
      </top>
      <bottom style="thin">
        <color theme="0"/>
      </bottom>
      <diagonal/>
    </border>
    <border>
      <left style="hair">
        <color theme="1"/>
      </left>
      <right/>
      <top/>
      <bottom style="thin">
        <color theme="0"/>
      </bottom>
      <diagonal/>
    </border>
    <border>
      <left style="hair">
        <color theme="1"/>
      </left>
      <right style="hair">
        <color indexed="64"/>
      </right>
      <top/>
      <bottom style="thin">
        <color theme="0"/>
      </bottom>
      <diagonal/>
    </border>
    <border>
      <left style="thin">
        <color theme="0"/>
      </left>
      <right style="hair">
        <color theme="1"/>
      </right>
      <top style="thin">
        <color theme="0"/>
      </top>
      <bottom style="thin">
        <color theme="0"/>
      </bottom>
      <diagonal/>
    </border>
    <border>
      <left style="thin">
        <color theme="0"/>
      </left>
      <right style="hair">
        <color theme="1"/>
      </right>
      <top style="thin">
        <color theme="0"/>
      </top>
      <bottom style="thin">
        <color indexed="64"/>
      </bottom>
      <diagonal/>
    </border>
    <border>
      <left style="hair">
        <color theme="1"/>
      </left>
      <right style="thin">
        <color theme="0"/>
      </right>
      <top style="thin">
        <color theme="0"/>
      </top>
      <bottom style="thin">
        <color indexed="64"/>
      </bottom>
      <diagonal/>
    </border>
    <border>
      <left style="hair">
        <color theme="1"/>
      </left>
      <right/>
      <top style="thin">
        <color theme="0"/>
      </top>
      <bottom style="thin">
        <color indexed="64"/>
      </bottom>
      <diagonal/>
    </border>
    <border>
      <left style="hair">
        <color theme="1"/>
      </left>
      <right style="hair">
        <color theme="1"/>
      </right>
      <top style="thin">
        <color theme="0"/>
      </top>
      <bottom style="thin">
        <color indexed="64"/>
      </bottom>
      <diagonal/>
    </border>
    <border>
      <left/>
      <right style="hair">
        <color indexed="64"/>
      </right>
      <top style="thin">
        <color theme="0"/>
      </top>
      <bottom style="thin">
        <color indexed="64"/>
      </bottom>
      <diagonal/>
    </border>
    <border>
      <left style="hair">
        <color indexed="64"/>
      </left>
      <right style="thin">
        <color theme="0"/>
      </right>
      <top style="thin">
        <color theme="0"/>
      </top>
      <bottom style="thin">
        <color indexed="64"/>
      </bottom>
      <diagonal/>
    </border>
    <border>
      <left style="hair">
        <color theme="1"/>
      </left>
      <right style="hair">
        <color indexed="64"/>
      </right>
      <top style="thin">
        <color theme="0"/>
      </top>
      <bottom style="thin">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thin">
        <color indexed="64"/>
      </top>
      <bottom style="hair">
        <color indexed="64"/>
      </bottom>
      <diagonal/>
    </border>
    <border>
      <left style="hair">
        <color indexed="64"/>
      </left>
      <right/>
      <top style="thin">
        <color theme="0"/>
      </top>
      <bottom style="thin">
        <color indexed="64"/>
      </bottom>
      <diagonal/>
    </border>
    <border>
      <left style="thin">
        <color indexed="64"/>
      </left>
      <right/>
      <top/>
      <bottom style="dotted">
        <color indexed="64"/>
      </bottom>
      <diagonal/>
    </border>
    <border>
      <left style="thin">
        <color indexed="64"/>
      </left>
      <right style="thin">
        <color indexed="9"/>
      </right>
      <top/>
      <bottom/>
      <diagonal/>
    </border>
    <border>
      <left style="thin">
        <color indexed="9"/>
      </left>
      <right style="thin">
        <color indexed="9"/>
      </right>
      <top/>
      <bottom style="thin">
        <color indexed="64"/>
      </bottom>
      <diagonal/>
    </border>
    <border>
      <left style="thin">
        <color indexed="64"/>
      </left>
      <right style="thin">
        <color indexed="9"/>
      </right>
      <top/>
      <bottom style="thin">
        <color indexed="64"/>
      </bottom>
      <diagonal/>
    </border>
    <border>
      <left style="thin">
        <color indexed="9"/>
      </left>
      <right style="thin">
        <color indexed="9"/>
      </right>
      <top/>
      <bottom/>
      <diagonal/>
    </border>
    <border>
      <left style="thin">
        <color auto="1"/>
      </left>
      <right/>
      <top style="thin">
        <color auto="1"/>
      </top>
      <bottom style="thin">
        <color indexed="64"/>
      </bottom>
      <diagonal/>
    </border>
    <border>
      <left style="thin">
        <color auto="1"/>
      </left>
      <right/>
      <top/>
      <bottom style="hair">
        <color auto="1"/>
      </bottom>
      <diagonal/>
    </border>
    <border>
      <left style="thin">
        <color rgb="FFD0D7E5"/>
      </left>
      <right style="thin">
        <color rgb="FFD0D7E5"/>
      </right>
      <top style="thin">
        <color rgb="FFD0D7E5"/>
      </top>
      <bottom style="thin">
        <color rgb="FFD0D7E5"/>
      </bottom>
      <diagonal/>
    </border>
    <border>
      <left/>
      <right/>
      <top style="dotted">
        <color indexed="64"/>
      </top>
      <bottom style="thin">
        <color indexed="64"/>
      </bottom>
      <diagonal/>
    </border>
    <border>
      <left/>
      <right style="hair">
        <color indexed="64"/>
      </right>
      <top style="thin">
        <color indexed="64"/>
      </top>
      <bottom style="thin">
        <color indexed="64"/>
      </bottom>
      <diagonal/>
    </border>
    <border>
      <left/>
      <right style="thin">
        <color auto="1"/>
      </right>
      <top/>
      <bottom/>
      <diagonal/>
    </border>
    <border>
      <left style="hair">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hair">
        <color indexed="64"/>
      </left>
      <right/>
      <top style="thin">
        <color indexed="64"/>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top style="thin">
        <color indexed="9"/>
      </top>
      <bottom/>
      <diagonal/>
    </border>
    <border>
      <left style="hair">
        <color indexed="64"/>
      </left>
      <right/>
      <top/>
      <bottom style="thin">
        <color theme="0"/>
      </bottom>
      <diagonal/>
    </border>
    <border>
      <left/>
      <right/>
      <top style="thin">
        <color indexed="9"/>
      </top>
      <bottom/>
      <diagonal/>
    </border>
    <border>
      <left/>
      <right style="thin">
        <color indexed="64"/>
      </right>
      <top style="thin">
        <color indexed="64"/>
      </top>
      <bottom/>
      <diagonal/>
    </border>
    <border>
      <left/>
      <right/>
      <top style="thin">
        <color indexed="64"/>
      </top>
      <bottom/>
      <diagonal/>
    </border>
    <border>
      <left/>
      <right style="thin">
        <color indexed="9"/>
      </right>
      <top style="thin">
        <color indexed="9"/>
      </top>
      <bottom style="thin">
        <color indexed="9"/>
      </bottom>
      <diagonal/>
    </border>
    <border>
      <left/>
      <right style="thin">
        <color indexed="9"/>
      </right>
      <top style="thin">
        <color indexed="9"/>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thin">
        <color indexed="64"/>
      </left>
      <right/>
      <top style="thin">
        <color indexed="64"/>
      </top>
      <bottom/>
      <diagonal/>
    </border>
    <border>
      <left/>
      <right style="hair">
        <color indexed="64"/>
      </right>
      <top style="hair">
        <color indexed="64"/>
      </top>
      <bottom/>
      <diagonal/>
    </border>
  </borders>
  <cellStyleXfs count="12">
    <xf numFmtId="0" fontId="0" fillId="0" borderId="0"/>
    <xf numFmtId="43" fontId="1"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167" fontId="21" fillId="0" borderId="0"/>
    <xf numFmtId="0" fontId="38" fillId="0" borderId="0"/>
    <xf numFmtId="0" fontId="38" fillId="0" borderId="0"/>
    <xf numFmtId="0" fontId="45" fillId="0" borderId="40" applyNumberFormat="0" applyFill="0" applyAlignment="0" applyProtection="0"/>
    <xf numFmtId="0" fontId="38" fillId="0" borderId="0"/>
    <xf numFmtId="0" fontId="38" fillId="0" borderId="0"/>
    <xf numFmtId="0" fontId="21" fillId="0" borderId="0"/>
    <xf numFmtId="0" fontId="104" fillId="0" borderId="0"/>
  </cellStyleXfs>
  <cellXfs count="1326">
    <xf numFmtId="0" fontId="0" fillId="0" borderId="0" xfId="0"/>
    <xf numFmtId="164" fontId="0" fillId="2" borderId="0" xfId="0" applyNumberFormat="1" applyFill="1"/>
    <xf numFmtId="164" fontId="9" fillId="2" borderId="0" xfId="0" applyNumberFormat="1" applyFont="1" applyFill="1" applyAlignment="1">
      <alignment vertical="center"/>
    </xf>
    <xf numFmtId="164" fontId="7" fillId="2" borderId="0" xfId="0" applyNumberFormat="1" applyFont="1" applyFill="1"/>
    <xf numFmtId="165" fontId="0" fillId="2" borderId="0" xfId="0" applyNumberFormat="1" applyFill="1"/>
    <xf numFmtId="3" fontId="10" fillId="2" borderId="0" xfId="1" applyNumberFormat="1" applyFont="1" applyFill="1" applyBorder="1" applyAlignment="1">
      <alignment horizontal="right" vertical="center"/>
    </xf>
    <xf numFmtId="164" fontId="14" fillId="2" borderId="0" xfId="0" applyNumberFormat="1" applyFont="1" applyFill="1" applyAlignment="1">
      <alignment vertical="center"/>
    </xf>
    <xf numFmtId="164" fontId="12" fillId="2" borderId="0" xfId="0" applyNumberFormat="1" applyFont="1" applyFill="1"/>
    <xf numFmtId="164" fontId="16" fillId="2" borderId="4" xfId="0" applyNumberFormat="1" applyFont="1" applyFill="1" applyBorder="1" applyAlignment="1">
      <alignment vertical="center"/>
    </xf>
    <xf numFmtId="164" fontId="6" fillId="2" borderId="0" xfId="0" applyNumberFormat="1" applyFont="1" applyFill="1" applyAlignment="1">
      <alignment vertical="center"/>
    </xf>
    <xf numFmtId="0" fontId="0" fillId="2" borderId="0" xfId="0" applyFill="1" applyAlignment="1">
      <alignment horizontal="center" vertical="center"/>
    </xf>
    <xf numFmtId="164" fontId="9" fillId="2" borderId="0" xfId="0" applyNumberFormat="1" applyFont="1" applyFill="1" applyAlignment="1">
      <alignment horizontal="left" vertical="center" indent="1"/>
    </xf>
    <xf numFmtId="164" fontId="0" fillId="2" borderId="0" xfId="0" applyNumberFormat="1" applyFill="1" applyAlignment="1">
      <alignment vertical="center"/>
    </xf>
    <xf numFmtId="164" fontId="9" fillId="2" borderId="2" xfId="0" applyNumberFormat="1" applyFont="1" applyFill="1" applyBorder="1" applyAlignment="1">
      <alignment vertical="center"/>
    </xf>
    <xf numFmtId="164" fontId="0" fillId="2" borderId="14" xfId="0" applyNumberFormat="1" applyFill="1" applyBorder="1"/>
    <xf numFmtId="164" fontId="6" fillId="2" borderId="14" xfId="0" applyNumberFormat="1" applyFont="1" applyFill="1" applyBorder="1"/>
    <xf numFmtId="0" fontId="0" fillId="2" borderId="0" xfId="0" applyFill="1"/>
    <xf numFmtId="0" fontId="2" fillId="2" borderId="0" xfId="0" applyFont="1" applyFill="1" applyAlignment="1">
      <alignment horizontal="center" vertical="center"/>
    </xf>
    <xf numFmtId="0" fontId="2" fillId="2" borderId="0" xfId="0" applyFont="1" applyFill="1" applyAlignment="1">
      <alignment horizontal="right" vertical="center"/>
    </xf>
    <xf numFmtId="3" fontId="8" fillId="2" borderId="0" xfId="0" applyNumberFormat="1" applyFont="1" applyFill="1" applyAlignment="1">
      <alignment horizontal="right" vertical="center"/>
    </xf>
    <xf numFmtId="3" fontId="10" fillId="2" borderId="0" xfId="0" applyNumberFormat="1" applyFont="1" applyFill="1" applyAlignment="1">
      <alignment horizontal="right" vertical="center"/>
    </xf>
    <xf numFmtId="164" fontId="17" fillId="2" borderId="4" xfId="0" applyNumberFormat="1" applyFont="1" applyFill="1" applyBorder="1" applyAlignment="1">
      <alignment horizontal="right" vertical="center"/>
    </xf>
    <xf numFmtId="164" fontId="2" fillId="2" borderId="0" xfId="0" applyNumberFormat="1" applyFont="1" applyFill="1"/>
    <xf numFmtId="1" fontId="0" fillId="2" borderId="0" xfId="0" applyNumberFormat="1" applyFill="1"/>
    <xf numFmtId="0" fontId="2" fillId="2" borderId="0" xfId="0" applyFont="1" applyFill="1" applyAlignment="1">
      <alignment vertical="center"/>
    </xf>
    <xf numFmtId="0" fontId="2" fillId="2" borderId="0" xfId="0" applyFont="1" applyFill="1"/>
    <xf numFmtId="0" fontId="2" fillId="2" borderId="2" xfId="0" applyFont="1" applyFill="1" applyBorder="1" applyAlignment="1">
      <alignment horizontal="right" vertical="center"/>
    </xf>
    <xf numFmtId="3" fontId="19" fillId="2" borderId="0" xfId="0" applyNumberFormat="1" applyFont="1" applyFill="1" applyAlignment="1">
      <alignment horizontal="right" vertical="center"/>
    </xf>
    <xf numFmtId="3" fontId="6" fillId="2" borderId="0" xfId="0" applyNumberFormat="1" applyFont="1" applyFill="1" applyAlignment="1">
      <alignment horizontal="right" vertical="center"/>
    </xf>
    <xf numFmtId="3" fontId="6" fillId="2" borderId="2" xfId="1" applyNumberFormat="1" applyFont="1" applyFill="1" applyBorder="1" applyAlignment="1">
      <alignment horizontal="right" vertical="center"/>
    </xf>
    <xf numFmtId="3" fontId="6" fillId="2" borderId="2" xfId="0" applyNumberFormat="1" applyFont="1" applyFill="1" applyBorder="1" applyAlignment="1">
      <alignment horizontal="right" vertical="center"/>
    </xf>
    <xf numFmtId="0" fontId="11" fillId="2" borderId="0" xfId="0" applyFont="1" applyFill="1"/>
    <xf numFmtId="0" fontId="26" fillId="2" borderId="0" xfId="0" applyFont="1" applyFill="1" applyAlignment="1">
      <alignment vertical="center"/>
    </xf>
    <xf numFmtId="164" fontId="33" fillId="2" borderId="0" xfId="0" applyNumberFormat="1" applyFont="1" applyFill="1"/>
    <xf numFmtId="164" fontId="8" fillId="2" borderId="0" xfId="0" applyNumberFormat="1" applyFont="1" applyFill="1" applyAlignment="1">
      <alignment vertical="center"/>
    </xf>
    <xf numFmtId="3" fontId="8" fillId="2" borderId="0" xfId="1" applyNumberFormat="1" applyFont="1" applyFill="1" applyBorder="1" applyAlignment="1">
      <alignment horizontal="right" vertical="center"/>
    </xf>
    <xf numFmtId="164" fontId="6" fillId="2" borderId="0" xfId="0" applyNumberFormat="1" applyFont="1" applyFill="1" applyAlignment="1">
      <alignment horizontal="left" vertical="center" indent="1"/>
    </xf>
    <xf numFmtId="0" fontId="36" fillId="2" borderId="0" xfId="0" applyFont="1" applyFill="1"/>
    <xf numFmtId="0" fontId="10" fillId="2" borderId="0" xfId="0" applyFont="1" applyFill="1"/>
    <xf numFmtId="0" fontId="6" fillId="2" borderId="0" xfId="0" applyFont="1" applyFill="1"/>
    <xf numFmtId="0" fontId="10" fillId="2" borderId="0" xfId="0" applyFont="1" applyFill="1" applyAlignment="1">
      <alignment horizontal="center" vertical="center"/>
    </xf>
    <xf numFmtId="3" fontId="0" fillId="2" borderId="0" xfId="0" applyNumberFormat="1" applyFill="1" applyAlignment="1">
      <alignment horizontal="center" vertical="center"/>
    </xf>
    <xf numFmtId="0" fontId="0" fillId="2" borderId="0" xfId="0" applyFill="1" applyAlignment="1">
      <alignment horizontal="right"/>
    </xf>
    <xf numFmtId="0" fontId="0" fillId="2" borderId="2" xfId="0" applyFill="1" applyBorder="1"/>
    <xf numFmtId="0" fontId="10" fillId="2" borderId="2" xfId="0" applyFont="1" applyFill="1" applyBorder="1" applyAlignment="1">
      <alignment horizontal="center" vertical="center"/>
    </xf>
    <xf numFmtId="0" fontId="11" fillId="2" borderId="0" xfId="0" applyFont="1" applyFill="1" applyAlignment="1">
      <alignment vertical="top"/>
    </xf>
    <xf numFmtId="3" fontId="0" fillId="2" borderId="0" xfId="0" applyNumberFormat="1" applyFill="1"/>
    <xf numFmtId="0" fontId="0" fillId="2" borderId="0" xfId="0" applyFill="1" applyAlignment="1">
      <alignment vertical="center"/>
    </xf>
    <xf numFmtId="3" fontId="0" fillId="2" borderId="0" xfId="0" applyNumberFormat="1" applyFill="1" applyAlignment="1">
      <alignment vertical="center"/>
    </xf>
    <xf numFmtId="0" fontId="33" fillId="2" borderId="0" xfId="0" applyFont="1" applyFill="1"/>
    <xf numFmtId="0" fontId="29" fillId="2" borderId="0" xfId="0" applyFont="1" applyFill="1" applyAlignment="1">
      <alignment vertical="center"/>
    </xf>
    <xf numFmtId="0" fontId="11" fillId="2" borderId="0" xfId="0" applyFont="1" applyFill="1" applyAlignment="1">
      <alignment vertical="center"/>
    </xf>
    <xf numFmtId="0" fontId="2" fillId="2" borderId="0" xfId="0" applyFont="1" applyFill="1" applyAlignment="1">
      <alignment horizontal="left" vertical="center"/>
    </xf>
    <xf numFmtId="0" fontId="0" fillId="2" borderId="0" xfId="0" applyFill="1" applyAlignment="1">
      <alignment horizontal="left" vertical="center"/>
    </xf>
    <xf numFmtId="3" fontId="33" fillId="2" borderId="0" xfId="1" applyNumberFormat="1" applyFont="1" applyFill="1" applyBorder="1" applyAlignment="1">
      <alignment horizontal="right" vertical="center"/>
    </xf>
    <xf numFmtId="164" fontId="0" fillId="2" borderId="0" xfId="0" applyNumberFormat="1" applyFill="1" applyAlignment="1">
      <alignment horizontal="center"/>
    </xf>
    <xf numFmtId="3" fontId="33" fillId="2" borderId="2" xfId="1" applyNumberFormat="1" applyFont="1" applyFill="1" applyBorder="1" applyAlignment="1">
      <alignment horizontal="right" vertical="center"/>
    </xf>
    <xf numFmtId="164" fontId="16" fillId="2" borderId="3" xfId="0" applyNumberFormat="1" applyFont="1" applyFill="1" applyBorder="1" applyAlignment="1">
      <alignment vertical="center"/>
    </xf>
    <xf numFmtId="0" fontId="2" fillId="2" borderId="0" xfId="0" applyFont="1" applyFill="1" applyAlignment="1">
      <alignment horizontal="center"/>
    </xf>
    <xf numFmtId="0" fontId="39" fillId="2" borderId="0" xfId="0" applyFont="1" applyFill="1" applyAlignment="1">
      <alignment horizontal="left" vertical="center"/>
    </xf>
    <xf numFmtId="170" fontId="39" fillId="2" borderId="0" xfId="1" applyNumberFormat="1" applyFont="1" applyFill="1" applyBorder="1" applyAlignment="1">
      <alignment horizontal="right" vertical="center"/>
    </xf>
    <xf numFmtId="164" fontId="39" fillId="2" borderId="0" xfId="0" applyNumberFormat="1" applyFont="1" applyFill="1"/>
    <xf numFmtId="0" fontId="42" fillId="2" borderId="0" xfId="0" applyFont="1" applyFill="1" applyAlignment="1">
      <alignment horizontal="left" vertical="center" indent="2"/>
    </xf>
    <xf numFmtId="170" fontId="33" fillId="2" borderId="0" xfId="1" applyNumberFormat="1" applyFont="1" applyFill="1" applyBorder="1" applyAlignment="1">
      <alignment horizontal="right" vertical="center"/>
    </xf>
    <xf numFmtId="0" fontId="33" fillId="2" borderId="2" xfId="0" applyFont="1" applyFill="1" applyBorder="1" applyAlignment="1">
      <alignment horizontal="left" vertical="center"/>
    </xf>
    <xf numFmtId="0" fontId="15" fillId="2" borderId="0" xfId="0" applyFont="1" applyFill="1" applyAlignment="1">
      <alignment vertical="center"/>
    </xf>
    <xf numFmtId="164" fontId="15" fillId="2" borderId="0" xfId="0" applyNumberFormat="1" applyFont="1" applyFill="1" applyAlignment="1">
      <alignment vertical="center"/>
    </xf>
    <xf numFmtId="167" fontId="33" fillId="2" borderId="0" xfId="0" applyNumberFormat="1" applyFont="1" applyFill="1"/>
    <xf numFmtId="3" fontId="33" fillId="2" borderId="0" xfId="0" applyNumberFormat="1" applyFont="1" applyFill="1"/>
    <xf numFmtId="0" fontId="0" fillId="2" borderId="0" xfId="0" applyFill="1" applyAlignment="1">
      <alignment wrapText="1"/>
    </xf>
    <xf numFmtId="3" fontId="0" fillId="2" borderId="0" xfId="0" applyNumberFormat="1" applyFill="1" applyAlignment="1">
      <alignment horizontal="right" vertical="center"/>
    </xf>
    <xf numFmtId="3" fontId="0" fillId="2" borderId="2" xfId="0" applyNumberFormat="1" applyFill="1" applyBorder="1" applyAlignment="1">
      <alignment horizontal="right" vertical="center"/>
    </xf>
    <xf numFmtId="164" fontId="6" fillId="2" borderId="0" xfId="0" applyNumberFormat="1" applyFont="1" applyFill="1" applyAlignment="1">
      <alignment horizontal="right" vertical="center"/>
    </xf>
    <xf numFmtId="166" fontId="9" fillId="2" borderId="0" xfId="2" applyFont="1" applyFill="1" applyBorder="1" applyAlignment="1">
      <alignment horizontal="right" vertical="center"/>
    </xf>
    <xf numFmtId="0" fontId="2" fillId="2" borderId="2" xfId="0" applyFont="1" applyFill="1" applyBorder="1"/>
    <xf numFmtId="0" fontId="0" fillId="2" borderId="0" xfId="0" applyFill="1" applyAlignment="1">
      <alignment horizontal="center"/>
    </xf>
    <xf numFmtId="164" fontId="10" fillId="2" borderId="0" xfId="0" applyNumberFormat="1" applyFont="1" applyFill="1"/>
    <xf numFmtId="0" fontId="8" fillId="2" borderId="2" xfId="5" applyFont="1" applyFill="1" applyBorder="1" applyAlignment="1">
      <alignment horizontal="right" vertical="center"/>
    </xf>
    <xf numFmtId="49" fontId="8" fillId="2" borderId="2" xfId="5" applyNumberFormat="1" applyFont="1" applyFill="1" applyBorder="1" applyAlignment="1">
      <alignment horizontal="right" vertical="center"/>
    </xf>
    <xf numFmtId="3" fontId="8" fillId="2" borderId="0" xfId="1" applyNumberFormat="1" applyFont="1" applyFill="1" applyAlignment="1">
      <alignment vertical="center" wrapText="1"/>
    </xf>
    <xf numFmtId="3" fontId="8" fillId="2" borderId="2" xfId="1" applyNumberFormat="1" applyFont="1" applyFill="1" applyBorder="1" applyAlignment="1">
      <alignment vertical="center" wrapText="1"/>
    </xf>
    <xf numFmtId="3" fontId="10" fillId="2" borderId="0" xfId="1" applyNumberFormat="1" applyFont="1" applyFill="1" applyBorder="1" applyAlignment="1">
      <alignment vertical="center" wrapText="1"/>
    </xf>
    <xf numFmtId="0" fontId="2" fillId="2" borderId="2" xfId="0" applyFont="1" applyFill="1" applyBorder="1" applyAlignment="1">
      <alignment horizontal="right" vertical="center" wrapText="1"/>
    </xf>
    <xf numFmtId="0" fontId="30" fillId="2" borderId="0" xfId="0" applyFont="1" applyFill="1" applyAlignment="1">
      <alignment horizontal="right" vertical="center"/>
    </xf>
    <xf numFmtId="0" fontId="8" fillId="2" borderId="0" xfId="0" applyFont="1" applyFill="1" applyAlignment="1">
      <alignment horizontal="center" vertical="center"/>
    </xf>
    <xf numFmtId="164" fontId="46" fillId="2" borderId="4" xfId="0" applyNumberFormat="1" applyFont="1" applyFill="1" applyBorder="1" applyAlignment="1">
      <alignment horizontal="right" vertical="center"/>
    </xf>
    <xf numFmtId="164" fontId="50" fillId="2" borderId="4" xfId="0" applyNumberFormat="1" applyFont="1" applyFill="1" applyBorder="1" applyAlignment="1">
      <alignment horizontal="right" vertical="center"/>
    </xf>
    <xf numFmtId="0" fontId="2" fillId="2" borderId="44" xfId="0" applyFont="1" applyFill="1" applyBorder="1" applyAlignment="1">
      <alignment horizontal="left" vertical="center"/>
    </xf>
    <xf numFmtId="0" fontId="2" fillId="2" borderId="42" xfId="0" applyFont="1" applyFill="1" applyBorder="1"/>
    <xf numFmtId="0" fontId="2" fillId="2" borderId="44" xfId="0" applyFont="1" applyFill="1" applyBorder="1" applyAlignment="1">
      <alignment horizontal="right" vertical="center"/>
    </xf>
    <xf numFmtId="164" fontId="8" fillId="2" borderId="0" xfId="0" applyNumberFormat="1" applyFont="1" applyFill="1" applyAlignment="1">
      <alignment horizontal="center" vertical="center" wrapText="1"/>
    </xf>
    <xf numFmtId="164" fontId="8"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44" xfId="0" applyFont="1" applyFill="1" applyBorder="1" applyAlignment="1">
      <alignment horizontal="center" vertical="center"/>
    </xf>
    <xf numFmtId="164" fontId="8" fillId="2" borderId="0" xfId="0" applyNumberFormat="1" applyFont="1" applyFill="1" applyAlignment="1">
      <alignment vertical="center" wrapText="1"/>
    </xf>
    <xf numFmtId="0" fontId="2" fillId="2" borderId="44" xfId="0" applyFont="1" applyFill="1" applyBorder="1"/>
    <xf numFmtId="0" fontId="6" fillId="2" borderId="0" xfId="0" applyFont="1" applyFill="1" applyAlignment="1">
      <alignment horizontal="center" vertical="center"/>
    </xf>
    <xf numFmtId="0" fontId="2" fillId="2" borderId="0" xfId="0" applyFont="1" applyFill="1" applyAlignment="1">
      <alignment horizontal="center" vertical="center" wrapText="1"/>
    </xf>
    <xf numFmtId="164" fontId="39" fillId="2" borderId="0" xfId="0" applyNumberFormat="1" applyFont="1" applyFill="1" applyAlignment="1">
      <alignment horizontal="center"/>
    </xf>
    <xf numFmtId="0" fontId="2" fillId="2" borderId="2" xfId="0" applyFont="1" applyFill="1" applyBorder="1" applyAlignment="1">
      <alignment vertical="center"/>
    </xf>
    <xf numFmtId="164" fontId="8" fillId="2" borderId="2" xfId="0" applyNumberFormat="1" applyFont="1" applyFill="1" applyBorder="1" applyAlignment="1">
      <alignment horizontal="right" vertical="center" wrapText="1"/>
    </xf>
    <xf numFmtId="164" fontId="0" fillId="2" borderId="47" xfId="0" applyNumberFormat="1" applyFill="1" applyBorder="1" applyAlignment="1">
      <alignment vertical="center"/>
    </xf>
    <xf numFmtId="164" fontId="0" fillId="2" borderId="46" xfId="0" applyNumberFormat="1" applyFill="1" applyBorder="1" applyAlignment="1">
      <alignment vertical="center"/>
    </xf>
    <xf numFmtId="164" fontId="15" fillId="2" borderId="0" xfId="0" applyNumberFormat="1" applyFont="1" applyFill="1" applyAlignment="1">
      <alignment vertical="top"/>
    </xf>
    <xf numFmtId="164" fontId="10" fillId="2" borderId="0" xfId="0" applyNumberFormat="1" applyFont="1" applyFill="1" applyAlignment="1">
      <alignment vertical="top"/>
    </xf>
    <xf numFmtId="164" fontId="39" fillId="2" borderId="48" xfId="0" applyNumberFormat="1" applyFont="1" applyFill="1" applyBorder="1" applyAlignment="1">
      <alignment horizontal="center" vertical="center"/>
    </xf>
    <xf numFmtId="164" fontId="39" fillId="2" borderId="2" xfId="0" applyNumberFormat="1" applyFont="1" applyFill="1" applyBorder="1" applyAlignment="1">
      <alignment horizontal="center" vertical="center"/>
    </xf>
    <xf numFmtId="164" fontId="39" fillId="2" borderId="49" xfId="0" applyNumberFormat="1" applyFont="1" applyFill="1" applyBorder="1" applyAlignment="1">
      <alignment horizontal="center" vertical="center"/>
    </xf>
    <xf numFmtId="164" fontId="15" fillId="2" borderId="12" xfId="0" applyNumberFormat="1" applyFont="1" applyFill="1" applyBorder="1" applyAlignment="1">
      <alignment vertical="top"/>
    </xf>
    <xf numFmtId="164" fontId="10" fillId="2" borderId="4" xfId="0" applyNumberFormat="1" applyFont="1" applyFill="1" applyBorder="1" applyAlignment="1">
      <alignment vertical="top"/>
    </xf>
    <xf numFmtId="164" fontId="52" fillId="2" borderId="50" xfId="0" applyNumberFormat="1" applyFont="1" applyFill="1" applyBorder="1" applyAlignment="1">
      <alignment horizontal="left" vertical="center"/>
    </xf>
    <xf numFmtId="164" fontId="52" fillId="2" borderId="50" xfId="0" applyNumberFormat="1" applyFont="1" applyFill="1" applyBorder="1" applyAlignment="1">
      <alignment horizontal="right" vertical="center"/>
    </xf>
    <xf numFmtId="164" fontId="53" fillId="2" borderId="50" xfId="0" applyNumberFormat="1" applyFont="1" applyFill="1" applyBorder="1" applyAlignment="1">
      <alignment horizontal="right" vertical="center"/>
    </xf>
    <xf numFmtId="164" fontId="54" fillId="2" borderId="51" xfId="0" applyNumberFormat="1" applyFont="1" applyFill="1" applyBorder="1" applyAlignment="1">
      <alignment vertical="center"/>
    </xf>
    <xf numFmtId="164" fontId="54" fillId="2" borderId="0" xfId="0" applyNumberFormat="1" applyFont="1" applyFill="1" applyAlignment="1">
      <alignment vertical="center"/>
    </xf>
    <xf numFmtId="164" fontId="12" fillId="2" borderId="0" xfId="0" applyNumberFormat="1" applyFont="1" applyFill="1" applyAlignment="1">
      <alignment vertical="center"/>
    </xf>
    <xf numFmtId="164" fontId="12" fillId="2" borderId="52" xfId="0" applyNumberFormat="1" applyFont="1" applyFill="1" applyBorder="1" applyAlignment="1">
      <alignment vertical="center"/>
    </xf>
    <xf numFmtId="164" fontId="52" fillId="2" borderId="4" xfId="0" applyNumberFormat="1" applyFont="1" applyFill="1" applyBorder="1" applyAlignment="1">
      <alignment horizontal="left" vertical="center"/>
    </xf>
    <xf numFmtId="3" fontId="52" fillId="2" borderId="4" xfId="0" applyNumberFormat="1" applyFont="1" applyFill="1" applyBorder="1" applyAlignment="1">
      <alignment vertical="center"/>
    </xf>
    <xf numFmtId="164" fontId="55" fillId="2" borderId="53" xfId="0" applyNumberFormat="1" applyFont="1" applyFill="1" applyBorder="1" applyAlignment="1">
      <alignment horizontal="right" vertical="center"/>
    </xf>
    <xf numFmtId="164" fontId="12" fillId="2" borderId="51" xfId="0" applyNumberFormat="1" applyFont="1" applyFill="1" applyBorder="1"/>
    <xf numFmtId="3" fontId="52" fillId="2" borderId="0" xfId="0" applyNumberFormat="1" applyFont="1" applyFill="1" applyAlignment="1">
      <alignment vertical="center"/>
    </xf>
    <xf numFmtId="3" fontId="15" fillId="2" borderId="0" xfId="0" applyNumberFormat="1" applyFont="1" applyFill="1" applyAlignment="1">
      <alignment vertical="center"/>
    </xf>
    <xf numFmtId="3" fontId="15" fillId="2" borderId="56" xfId="0" applyNumberFormat="1" applyFont="1" applyFill="1" applyBorder="1" applyAlignment="1">
      <alignment vertical="center"/>
    </xf>
    <xf numFmtId="3" fontId="52" fillId="2" borderId="4" xfId="0" applyNumberFormat="1" applyFont="1" applyFill="1" applyBorder="1" applyAlignment="1">
      <alignment horizontal="right" vertical="center"/>
    </xf>
    <xf numFmtId="167" fontId="15" fillId="2" borderId="4" xfId="0" applyNumberFormat="1" applyFont="1" applyFill="1" applyBorder="1" applyAlignment="1">
      <alignment horizontal="right" vertical="center"/>
    </xf>
    <xf numFmtId="167" fontId="15" fillId="2" borderId="52" xfId="0" applyNumberFormat="1" applyFont="1" applyFill="1" applyBorder="1" applyAlignment="1">
      <alignment horizontal="right" vertical="center"/>
    </xf>
    <xf numFmtId="165" fontId="15" fillId="2" borderId="52" xfId="0" applyNumberFormat="1" applyFont="1" applyFill="1" applyBorder="1" applyAlignment="1">
      <alignment horizontal="right" vertical="center"/>
    </xf>
    <xf numFmtId="165" fontId="15" fillId="2" borderId="46" xfId="0" applyNumberFormat="1" applyFont="1" applyFill="1" applyBorder="1" applyAlignment="1">
      <alignment horizontal="right" vertical="center"/>
    </xf>
    <xf numFmtId="164" fontId="12" fillId="2" borderId="47" xfId="0" applyNumberFormat="1" applyFont="1" applyFill="1" applyBorder="1"/>
    <xf numFmtId="164" fontId="12" fillId="2" borderId="46" xfId="0" applyNumberFormat="1" applyFont="1" applyFill="1" applyBorder="1" applyAlignment="1">
      <alignment vertical="center"/>
    </xf>
    <xf numFmtId="165" fontId="15" fillId="2" borderId="55" xfId="0" applyNumberFormat="1" applyFont="1" applyFill="1" applyBorder="1" applyAlignment="1">
      <alignment horizontal="right" vertical="center"/>
    </xf>
    <xf numFmtId="165" fontId="52" fillId="2" borderId="4" xfId="0" applyNumberFormat="1" applyFont="1" applyFill="1" applyBorder="1" applyAlignment="1">
      <alignment horizontal="right" vertical="center"/>
    </xf>
    <xf numFmtId="164" fontId="57" fillId="2" borderId="51" xfId="0" applyNumberFormat="1" applyFont="1" applyFill="1" applyBorder="1"/>
    <xf numFmtId="164" fontId="58" fillId="2" borderId="0" xfId="0" applyNumberFormat="1" applyFont="1" applyFill="1" applyAlignment="1">
      <alignment vertical="center"/>
    </xf>
    <xf numFmtId="167" fontId="52" fillId="2" borderId="0" xfId="0" applyNumberFormat="1" applyFont="1" applyFill="1" applyAlignment="1">
      <alignment horizontal="right" vertical="center"/>
    </xf>
    <xf numFmtId="164" fontId="57" fillId="2" borderId="0" xfId="0" applyNumberFormat="1" applyFont="1" applyFill="1" applyAlignment="1">
      <alignment vertical="center"/>
    </xf>
    <xf numFmtId="164" fontId="57" fillId="2" borderId="52" xfId="0" applyNumberFormat="1" applyFont="1" applyFill="1" applyBorder="1" applyAlignment="1">
      <alignment vertical="center"/>
    </xf>
    <xf numFmtId="167" fontId="15" fillId="2" borderId="0" xfId="0" applyNumberFormat="1" applyFont="1" applyFill="1" applyAlignment="1">
      <alignment horizontal="right" vertical="center"/>
    </xf>
    <xf numFmtId="165" fontId="15" fillId="2" borderId="59" xfId="0" applyNumberFormat="1" applyFont="1" applyFill="1" applyBorder="1" applyAlignment="1">
      <alignment horizontal="right" vertical="center"/>
    </xf>
    <xf numFmtId="164" fontId="15" fillId="2" borderId="4" xfId="0" applyNumberFormat="1" applyFont="1" applyFill="1" applyBorder="1" applyAlignment="1">
      <alignment horizontal="fill" vertical="center"/>
    </xf>
    <xf numFmtId="164" fontId="54" fillId="2" borderId="52" xfId="0" applyNumberFormat="1" applyFont="1" applyFill="1" applyBorder="1" applyAlignment="1">
      <alignment vertical="center"/>
    </xf>
    <xf numFmtId="164" fontId="0" fillId="2" borderId="52" xfId="0" applyNumberFormat="1" applyFill="1" applyBorder="1" applyAlignment="1">
      <alignment vertical="center"/>
    </xf>
    <xf numFmtId="164" fontId="58" fillId="2" borderId="0" xfId="0" applyNumberFormat="1" applyFont="1" applyFill="1" applyAlignment="1">
      <alignment horizontal="left" vertical="center"/>
    </xf>
    <xf numFmtId="164" fontId="58" fillId="2" borderId="0" xfId="0" applyNumberFormat="1" applyFont="1" applyFill="1" applyAlignment="1">
      <alignment horizontal="right" vertical="center"/>
    </xf>
    <xf numFmtId="3" fontId="58" fillId="2" borderId="0" xfId="0" applyNumberFormat="1" applyFont="1" applyFill="1" applyAlignment="1">
      <alignment vertical="center"/>
    </xf>
    <xf numFmtId="164" fontId="54" fillId="2" borderId="0" xfId="0" applyNumberFormat="1" applyFont="1" applyFill="1" applyAlignment="1">
      <alignment horizontal="left" vertical="center"/>
    </xf>
    <xf numFmtId="3" fontId="54" fillId="2" borderId="0" xfId="0" applyNumberFormat="1" applyFont="1" applyFill="1" applyAlignment="1">
      <alignment vertical="center"/>
    </xf>
    <xf numFmtId="164" fontId="54" fillId="2" borderId="47" xfId="0" applyNumberFormat="1" applyFont="1" applyFill="1" applyBorder="1" applyAlignment="1">
      <alignment vertical="center"/>
    </xf>
    <xf numFmtId="164" fontId="54" fillId="2" borderId="46" xfId="0" applyNumberFormat="1" applyFont="1" applyFill="1" applyBorder="1" applyAlignment="1">
      <alignment vertical="center"/>
    </xf>
    <xf numFmtId="164" fontId="15" fillId="2" borderId="0" xfId="0" applyNumberFormat="1" applyFont="1" applyFill="1" applyAlignment="1">
      <alignment horizontal="right" vertical="center"/>
    </xf>
    <xf numFmtId="164" fontId="52" fillId="2" borderId="0" xfId="0" applyNumberFormat="1" applyFont="1" applyFill="1" applyAlignment="1">
      <alignment horizontal="right" vertical="center"/>
    </xf>
    <xf numFmtId="164" fontId="15" fillId="2" borderId="0" xfId="0" applyNumberFormat="1" applyFont="1" applyFill="1" applyAlignment="1">
      <alignment horizontal="left" vertical="center"/>
    </xf>
    <xf numFmtId="164" fontId="0" fillId="2" borderId="51" xfId="0" applyNumberFormat="1" applyFill="1" applyBorder="1" applyAlignment="1">
      <alignment vertical="center"/>
    </xf>
    <xf numFmtId="166" fontId="8" fillId="2" borderId="13" xfId="1" applyNumberFormat="1" applyFont="1" applyFill="1" applyBorder="1" applyAlignment="1">
      <alignment horizontal="center" vertical="center" wrapText="1"/>
    </xf>
    <xf numFmtId="166" fontId="8" fillId="2" borderId="61" xfId="1" applyNumberFormat="1" applyFont="1" applyFill="1" applyBorder="1" applyAlignment="1">
      <alignment horizontal="center" vertical="center" wrapText="1"/>
    </xf>
    <xf numFmtId="166" fontId="8" fillId="2" borderId="2" xfId="1" applyNumberFormat="1" applyFont="1" applyFill="1" applyBorder="1" applyAlignment="1">
      <alignment horizontal="right" vertical="center" wrapText="1"/>
    </xf>
    <xf numFmtId="166" fontId="8" fillId="2" borderId="2" xfId="1" applyNumberFormat="1" applyFont="1" applyFill="1" applyBorder="1" applyAlignment="1">
      <alignment horizontal="center" vertical="center" wrapText="1"/>
    </xf>
    <xf numFmtId="166" fontId="8" fillId="2" borderId="7" xfId="1" applyNumberFormat="1" applyFont="1" applyFill="1" applyBorder="1" applyAlignment="1">
      <alignment horizontal="right" vertical="center" wrapText="1"/>
    </xf>
    <xf numFmtId="0" fontId="8" fillId="2" borderId="0" xfId="0" applyFont="1" applyFill="1" applyAlignment="1">
      <alignment horizontal="left" vertical="center" wrapText="1"/>
    </xf>
    <xf numFmtId="3" fontId="8" fillId="2" borderId="0" xfId="1" applyNumberFormat="1" applyFont="1" applyFill="1" applyBorder="1" applyAlignment="1" applyProtection="1"/>
    <xf numFmtId="3" fontId="8" fillId="2" borderId="11" xfId="1" applyNumberFormat="1" applyFont="1" applyFill="1" applyBorder="1" applyAlignment="1" applyProtection="1"/>
    <xf numFmtId="3" fontId="8" fillId="2" borderId="10" xfId="1" applyNumberFormat="1" applyFont="1" applyFill="1" applyBorder="1" applyAlignment="1" applyProtection="1"/>
    <xf numFmtId="3" fontId="8" fillId="2" borderId="0" xfId="1" applyNumberFormat="1" applyFont="1" applyFill="1" applyBorder="1" applyAlignment="1"/>
    <xf numFmtId="3" fontId="8" fillId="2" borderId="11" xfId="1" applyNumberFormat="1" applyFont="1" applyFill="1" applyBorder="1" applyAlignment="1"/>
    <xf numFmtId="3" fontId="8" fillId="2" borderId="10" xfId="1" applyNumberFormat="1" applyFont="1" applyFill="1" applyBorder="1" applyAlignment="1"/>
    <xf numFmtId="170" fontId="0" fillId="2" borderId="0" xfId="1" applyNumberFormat="1" applyFont="1" applyFill="1"/>
    <xf numFmtId="0" fontId="10" fillId="2" borderId="0" xfId="0" applyFont="1" applyFill="1" applyAlignment="1">
      <alignment horizontal="left" vertical="center" wrapText="1"/>
    </xf>
    <xf numFmtId="0" fontId="10" fillId="2" borderId="56" xfId="0" applyFont="1" applyFill="1" applyBorder="1" applyAlignment="1">
      <alignment horizontal="center" vertical="center"/>
    </xf>
    <xf numFmtId="0" fontId="10" fillId="2" borderId="56" xfId="0" applyFont="1" applyFill="1" applyBorder="1" applyAlignment="1">
      <alignment horizontal="left" vertical="center" wrapText="1"/>
    </xf>
    <xf numFmtId="166" fontId="8" fillId="2" borderId="0" xfId="1" applyNumberFormat="1" applyFont="1" applyFill="1" applyBorder="1" applyAlignment="1">
      <alignment horizontal="center" vertical="center" wrapText="1"/>
    </xf>
    <xf numFmtId="0" fontId="8" fillId="2" borderId="0" xfId="0" applyFont="1" applyFill="1" applyAlignment="1">
      <alignment vertical="center"/>
    </xf>
    <xf numFmtId="166" fontId="8" fillId="2" borderId="0" xfId="1" applyNumberFormat="1" applyFont="1" applyFill="1" applyBorder="1" applyAlignment="1">
      <alignment horizontal="right" vertical="center" wrapText="1"/>
    </xf>
    <xf numFmtId="166" fontId="22" fillId="2" borderId="0" xfId="1" applyNumberFormat="1" applyFont="1" applyFill="1" applyBorder="1" applyAlignment="1">
      <alignment horizontal="right" vertical="center" wrapText="1"/>
    </xf>
    <xf numFmtId="3" fontId="10" fillId="2" borderId="0" xfId="1" applyNumberFormat="1" applyFont="1" applyFill="1" applyBorder="1" applyAlignment="1"/>
    <xf numFmtId="0" fontId="10" fillId="2" borderId="0" xfId="0" applyFont="1" applyFill="1" applyAlignment="1">
      <alignment vertical="center"/>
    </xf>
    <xf numFmtId="49" fontId="10" fillId="2" borderId="0" xfId="0" applyNumberFormat="1" applyFont="1" applyFill="1" applyAlignment="1">
      <alignment horizontal="center" vertical="center"/>
    </xf>
    <xf numFmtId="49" fontId="10" fillId="2" borderId="56" xfId="0" applyNumberFormat="1" applyFont="1" applyFill="1" applyBorder="1" applyAlignment="1">
      <alignment horizontal="center" vertical="center"/>
    </xf>
    <xf numFmtId="0" fontId="10" fillId="2" borderId="33" xfId="0" applyFont="1" applyFill="1" applyBorder="1" applyAlignment="1">
      <alignment horizontal="center" vertical="center"/>
    </xf>
    <xf numFmtId="0" fontId="10" fillId="2" borderId="33" xfId="0" applyFont="1" applyFill="1" applyBorder="1" applyAlignment="1">
      <alignment horizontal="left" vertical="center" wrapText="1"/>
    </xf>
    <xf numFmtId="0" fontId="10" fillId="2" borderId="2" xfId="0" applyFont="1" applyFill="1" applyBorder="1" applyAlignment="1">
      <alignment horizontal="left" vertical="center" wrapText="1"/>
    </xf>
    <xf numFmtId="164" fontId="23" fillId="2" borderId="3" xfId="0" applyNumberFormat="1" applyFont="1" applyFill="1" applyBorder="1" applyAlignment="1">
      <alignment vertical="center"/>
    </xf>
    <xf numFmtId="164" fontId="51" fillId="2" borderId="0" xfId="0" applyNumberFormat="1" applyFont="1" applyFill="1"/>
    <xf numFmtId="164" fontId="59" fillId="2" borderId="0" xfId="0" applyNumberFormat="1" applyFont="1" applyFill="1"/>
    <xf numFmtId="164" fontId="60" fillId="2" borderId="0" xfId="0" applyNumberFormat="1" applyFont="1" applyFill="1"/>
    <xf numFmtId="3" fontId="10" fillId="2" borderId="0" xfId="1" applyNumberFormat="1" applyFont="1" applyFill="1" applyBorder="1" applyAlignment="1" applyProtection="1"/>
    <xf numFmtId="3" fontId="10" fillId="2" borderId="11" xfId="1" applyNumberFormat="1" applyFont="1" applyFill="1" applyBorder="1" applyAlignment="1"/>
    <xf numFmtId="3" fontId="10" fillId="2" borderId="56" xfId="1" applyNumberFormat="1" applyFont="1" applyFill="1" applyBorder="1" applyAlignment="1"/>
    <xf numFmtId="3" fontId="8" fillId="2" borderId="62" xfId="1" applyNumberFormat="1" applyFont="1" applyFill="1" applyBorder="1" applyAlignment="1"/>
    <xf numFmtId="3" fontId="8" fillId="2" borderId="56" xfId="1" applyNumberFormat="1" applyFont="1" applyFill="1" applyBorder="1" applyAlignment="1"/>
    <xf numFmtId="3" fontId="10" fillId="2" borderId="10" xfId="1" applyNumberFormat="1" applyFont="1" applyFill="1" applyBorder="1" applyAlignment="1"/>
    <xf numFmtId="3" fontId="10" fillId="2" borderId="63" xfId="1" applyNumberFormat="1" applyFont="1" applyFill="1" applyBorder="1" applyAlignment="1"/>
    <xf numFmtId="3" fontId="10" fillId="2" borderId="62" xfId="1" applyNumberFormat="1" applyFont="1" applyFill="1" applyBorder="1" applyAlignment="1"/>
    <xf numFmtId="3" fontId="10" fillId="2" borderId="2" xfId="1" applyNumberFormat="1" applyFont="1" applyFill="1" applyBorder="1" applyAlignment="1"/>
    <xf numFmtId="3" fontId="10" fillId="2" borderId="8" xfId="1" applyNumberFormat="1" applyFont="1" applyFill="1" applyBorder="1" applyAlignment="1"/>
    <xf numFmtId="3" fontId="10" fillId="2" borderId="7" xfId="1" applyNumberFormat="1" applyFont="1" applyFill="1" applyBorder="1" applyAlignment="1"/>
    <xf numFmtId="164" fontId="10" fillId="2" borderId="0" xfId="0" applyNumberFormat="1" applyFont="1" applyFill="1" applyAlignment="1">
      <alignment vertical="center"/>
    </xf>
    <xf numFmtId="164" fontId="8" fillId="2" borderId="67" xfId="0" applyNumberFormat="1" applyFont="1" applyFill="1" applyBorder="1" applyAlignment="1">
      <alignment horizontal="center" vertical="center"/>
    </xf>
    <xf numFmtId="164" fontId="10" fillId="2" borderId="19" xfId="0" applyNumberFormat="1" applyFont="1" applyFill="1" applyBorder="1" applyAlignment="1">
      <alignment vertical="center"/>
    </xf>
    <xf numFmtId="164" fontId="10" fillId="2" borderId="3" xfId="0" applyNumberFormat="1" applyFont="1" applyFill="1" applyBorder="1" applyAlignment="1">
      <alignment vertical="center"/>
    </xf>
    <xf numFmtId="164" fontId="8" fillId="2" borderId="3" xfId="0" applyNumberFormat="1" applyFont="1" applyFill="1" applyBorder="1" applyAlignment="1">
      <alignment horizontal="right" vertical="center" wrapText="1"/>
    </xf>
    <xf numFmtId="164" fontId="8" fillId="2" borderId="70" xfId="0" applyNumberFormat="1" applyFont="1" applyFill="1" applyBorder="1" applyAlignment="1">
      <alignment horizontal="right" vertical="center" wrapText="1"/>
    </xf>
    <xf numFmtId="164" fontId="8" fillId="2" borderId="71" xfId="0" applyNumberFormat="1" applyFont="1" applyFill="1" applyBorder="1" applyAlignment="1">
      <alignment horizontal="right" vertical="center" wrapText="1"/>
    </xf>
    <xf numFmtId="164" fontId="8" fillId="2" borderId="72" xfId="0" applyNumberFormat="1" applyFont="1" applyFill="1" applyBorder="1" applyAlignment="1">
      <alignment horizontal="right" vertical="center" wrapText="1"/>
    </xf>
    <xf numFmtId="164" fontId="8" fillId="2" borderId="19" xfId="0" applyNumberFormat="1" applyFont="1" applyFill="1" applyBorder="1" applyAlignment="1">
      <alignment horizontal="right" vertical="center" wrapText="1"/>
    </xf>
    <xf numFmtId="164" fontId="8" fillId="2" borderId="27" xfId="0" applyNumberFormat="1" applyFont="1" applyFill="1" applyBorder="1" applyAlignment="1">
      <alignment horizontal="right" vertical="center" wrapText="1"/>
    </xf>
    <xf numFmtId="164" fontId="8" fillId="2" borderId="11" xfId="0" applyNumberFormat="1" applyFont="1" applyFill="1" applyBorder="1" applyAlignment="1">
      <alignment horizontal="right" vertical="center" wrapText="1"/>
    </xf>
    <xf numFmtId="164" fontId="8" fillId="2" borderId="0" xfId="0" applyNumberFormat="1" applyFont="1" applyFill="1" applyAlignment="1">
      <alignment horizontal="right" vertical="center" wrapText="1"/>
    </xf>
    <xf numFmtId="164" fontId="10" fillId="2" borderId="25" xfId="0" applyNumberFormat="1" applyFont="1" applyFill="1" applyBorder="1" applyAlignment="1">
      <alignment vertical="center"/>
    </xf>
    <xf numFmtId="164" fontId="10" fillId="2" borderId="14" xfId="0" applyNumberFormat="1" applyFont="1" applyFill="1" applyBorder="1" applyAlignment="1">
      <alignment vertical="center"/>
    </xf>
    <xf numFmtId="164" fontId="61" fillId="2" borderId="37" xfId="0" applyNumberFormat="1" applyFont="1" applyFill="1" applyBorder="1" applyAlignment="1">
      <alignment horizontal="right" vertical="center"/>
    </xf>
    <xf numFmtId="164" fontId="61" fillId="2" borderId="17" xfId="0" applyNumberFormat="1" applyFont="1" applyFill="1" applyBorder="1" applyAlignment="1">
      <alignment horizontal="right" vertical="center"/>
    </xf>
    <xf numFmtId="164" fontId="61" fillId="2" borderId="7" xfId="0" applyNumberFormat="1" applyFont="1" applyFill="1" applyBorder="1" applyAlignment="1">
      <alignment horizontal="right" vertical="center"/>
    </xf>
    <xf numFmtId="164" fontId="61" fillId="2" borderId="26" xfId="0" applyNumberFormat="1" applyFont="1" applyFill="1" applyBorder="1" applyAlignment="1">
      <alignment horizontal="right" vertical="center"/>
    </xf>
    <xf numFmtId="164" fontId="61" fillId="2" borderId="38" xfId="0" applyNumberFormat="1" applyFont="1" applyFill="1" applyBorder="1" applyAlignment="1">
      <alignment horizontal="right" vertical="center"/>
    </xf>
    <xf numFmtId="164" fontId="61" fillId="2" borderId="8" xfId="0" applyNumberFormat="1" applyFont="1" applyFill="1" applyBorder="1" applyAlignment="1">
      <alignment horizontal="right" vertical="center"/>
    </xf>
    <xf numFmtId="164" fontId="61" fillId="2" borderId="2" xfId="0" applyNumberFormat="1" applyFont="1" applyFill="1" applyBorder="1" applyAlignment="1">
      <alignment horizontal="right" vertical="center"/>
    </xf>
    <xf numFmtId="164" fontId="10" fillId="2" borderId="14" xfId="0" applyNumberFormat="1" applyFont="1" applyFill="1" applyBorder="1" applyAlignment="1">
      <alignment horizontal="center"/>
    </xf>
    <xf numFmtId="164" fontId="8" fillId="2" borderId="4" xfId="0" applyNumberFormat="1" applyFont="1" applyFill="1" applyBorder="1" applyAlignment="1">
      <alignment horizontal="left" vertical="center" indent="1"/>
    </xf>
    <xf numFmtId="3" fontId="8" fillId="2" borderId="53" xfId="1" applyNumberFormat="1" applyFont="1" applyFill="1" applyBorder="1" applyAlignment="1">
      <alignment horizontal="right" vertical="center"/>
    </xf>
    <xf numFmtId="3" fontId="8" fillId="2" borderId="76" xfId="1" applyNumberFormat="1" applyFont="1" applyFill="1" applyBorder="1" applyAlignment="1">
      <alignment horizontal="right" vertical="center"/>
    </xf>
    <xf numFmtId="3" fontId="8" fillId="2" borderId="77" xfId="1" applyNumberFormat="1" applyFont="1" applyFill="1" applyBorder="1" applyAlignment="1">
      <alignment horizontal="right" vertical="center"/>
    </xf>
    <xf numFmtId="3" fontId="8" fillId="2" borderId="1" xfId="1" applyNumberFormat="1" applyFont="1" applyFill="1" applyBorder="1" applyAlignment="1">
      <alignment horizontal="right" vertical="center"/>
    </xf>
    <xf numFmtId="3" fontId="8" fillId="2" borderId="11" xfId="1" applyNumberFormat="1" applyFont="1" applyFill="1" applyBorder="1" applyAlignment="1">
      <alignment horizontal="right" vertical="center"/>
    </xf>
    <xf numFmtId="164" fontId="10" fillId="2" borderId="4" xfId="0" applyNumberFormat="1" applyFont="1" applyFill="1" applyBorder="1" applyAlignment="1">
      <alignment horizontal="left" vertical="center"/>
    </xf>
    <xf numFmtId="164" fontId="8" fillId="2" borderId="4" xfId="0" applyNumberFormat="1" applyFont="1" applyFill="1" applyBorder="1" applyAlignment="1">
      <alignment horizontal="left" vertical="center"/>
    </xf>
    <xf numFmtId="164" fontId="10" fillId="2" borderId="52" xfId="0" applyNumberFormat="1" applyFont="1" applyFill="1" applyBorder="1" applyAlignment="1">
      <alignment horizontal="left" vertical="center"/>
    </xf>
    <xf numFmtId="3" fontId="8" fillId="2" borderId="54" xfId="1" applyNumberFormat="1" applyFont="1" applyFill="1" applyBorder="1" applyAlignment="1">
      <alignment horizontal="right" vertical="center"/>
    </xf>
    <xf numFmtId="3" fontId="8" fillId="2" borderId="79" xfId="1" applyNumberFormat="1" applyFont="1" applyFill="1" applyBorder="1" applyAlignment="1">
      <alignment horizontal="right" vertical="center"/>
    </xf>
    <xf numFmtId="3" fontId="8" fillId="2" borderId="80" xfId="1" applyNumberFormat="1" applyFont="1" applyFill="1" applyBorder="1" applyAlignment="1">
      <alignment horizontal="right" vertical="center"/>
    </xf>
    <xf numFmtId="3" fontId="8" fillId="2" borderId="81" xfId="1" applyNumberFormat="1" applyFont="1" applyFill="1" applyBorder="1" applyAlignment="1">
      <alignment horizontal="right" vertical="center"/>
    </xf>
    <xf numFmtId="164" fontId="10" fillId="2" borderId="52" xfId="0" applyNumberFormat="1" applyFont="1" applyFill="1" applyBorder="1" applyAlignment="1">
      <alignment horizontal="left" vertical="center" indent="2"/>
    </xf>
    <xf numFmtId="3" fontId="10" fillId="2" borderId="52" xfId="1" applyNumberFormat="1" applyFont="1" applyFill="1" applyBorder="1" applyAlignment="1">
      <alignment horizontal="right" vertical="center"/>
    </xf>
    <xf numFmtId="3" fontId="10" fillId="2" borderId="82" xfId="1" applyNumberFormat="1" applyFont="1" applyFill="1" applyBorder="1" applyAlignment="1">
      <alignment horizontal="right" vertical="center"/>
    </xf>
    <xf numFmtId="3" fontId="10" fillId="2" borderId="80" xfId="1" applyNumberFormat="1" applyFont="1" applyFill="1" applyBorder="1" applyAlignment="1">
      <alignment horizontal="right" vertical="center"/>
    </xf>
    <xf numFmtId="3" fontId="10" fillId="2" borderId="54" xfId="1" applyNumberFormat="1" applyFont="1" applyFill="1" applyBorder="1" applyAlignment="1">
      <alignment horizontal="right" vertical="center"/>
    </xf>
    <xf numFmtId="3" fontId="10" fillId="2" borderId="51" xfId="1" applyNumberFormat="1" applyFont="1" applyFill="1" applyBorder="1" applyAlignment="1">
      <alignment horizontal="right" vertical="center"/>
    </xf>
    <xf numFmtId="3" fontId="10" fillId="2" borderId="11" xfId="1" applyNumberFormat="1" applyFont="1" applyFill="1" applyBorder="1" applyAlignment="1">
      <alignment horizontal="right" vertical="center"/>
    </xf>
    <xf numFmtId="164" fontId="8" fillId="2" borderId="52" xfId="0" applyNumberFormat="1" applyFont="1" applyFill="1" applyBorder="1" applyAlignment="1">
      <alignment horizontal="left" vertical="center"/>
    </xf>
    <xf numFmtId="164" fontId="8" fillId="2" borderId="52" xfId="0" applyNumberFormat="1" applyFont="1" applyFill="1" applyBorder="1" applyAlignment="1">
      <alignment horizontal="left" vertical="center" indent="1"/>
    </xf>
    <xf numFmtId="164" fontId="10" fillId="2" borderId="59" xfId="0" applyNumberFormat="1" applyFont="1" applyFill="1" applyBorder="1" applyAlignment="1">
      <alignment horizontal="left" vertical="center" indent="2"/>
    </xf>
    <xf numFmtId="3" fontId="10" fillId="2" borderId="59" xfId="1" applyNumberFormat="1" applyFont="1" applyFill="1" applyBorder="1" applyAlignment="1">
      <alignment horizontal="right" vertical="center"/>
    </xf>
    <xf numFmtId="3" fontId="10" fillId="2" borderId="83" xfId="1" applyNumberFormat="1" applyFont="1" applyFill="1" applyBorder="1" applyAlignment="1">
      <alignment horizontal="right" vertical="center"/>
    </xf>
    <xf numFmtId="3" fontId="10" fillId="2" borderId="84" xfId="1" applyNumberFormat="1" applyFont="1" applyFill="1" applyBorder="1" applyAlignment="1">
      <alignment horizontal="right" vertical="center"/>
    </xf>
    <xf numFmtId="3" fontId="10" fillId="2" borderId="85" xfId="1" applyNumberFormat="1" applyFont="1" applyFill="1" applyBorder="1" applyAlignment="1">
      <alignment horizontal="right" vertical="center"/>
    </xf>
    <xf numFmtId="3" fontId="10" fillId="2" borderId="86" xfId="1" applyNumberFormat="1" applyFont="1" applyFill="1" applyBorder="1" applyAlignment="1">
      <alignment horizontal="right" vertical="center"/>
    </xf>
    <xf numFmtId="3" fontId="10" fillId="2" borderId="8" xfId="1" applyNumberFormat="1" applyFont="1" applyFill="1" applyBorder="1" applyAlignment="1">
      <alignment horizontal="right" vertical="center"/>
    </xf>
    <xf numFmtId="3" fontId="10" fillId="2" borderId="2" xfId="1" applyNumberFormat="1" applyFont="1" applyFill="1" applyBorder="1" applyAlignment="1">
      <alignment horizontal="right" vertical="center"/>
    </xf>
    <xf numFmtId="164" fontId="23" fillId="2" borderId="4" xfId="0" applyNumberFormat="1" applyFont="1" applyFill="1" applyBorder="1" applyAlignment="1">
      <alignment vertical="center"/>
    </xf>
    <xf numFmtId="164" fontId="10" fillId="2" borderId="4" xfId="0" applyNumberFormat="1" applyFont="1" applyFill="1" applyBorder="1" applyAlignment="1">
      <alignment horizontal="right" vertical="center"/>
    </xf>
    <xf numFmtId="164" fontId="10" fillId="2" borderId="52" xfId="0" applyNumberFormat="1" applyFont="1" applyFill="1" applyBorder="1" applyAlignment="1">
      <alignment vertical="center"/>
    </xf>
    <xf numFmtId="164" fontId="10" fillId="2" borderId="52" xfId="0" applyNumberFormat="1" applyFont="1" applyFill="1" applyBorder="1" applyAlignment="1">
      <alignment horizontal="right" vertical="center"/>
    </xf>
    <xf numFmtId="164" fontId="62" fillId="2" borderId="52" xfId="0" applyNumberFormat="1" applyFont="1" applyFill="1" applyBorder="1" applyAlignment="1">
      <alignment vertical="center"/>
    </xf>
    <xf numFmtId="164" fontId="10" fillId="2" borderId="46" xfId="0" applyNumberFormat="1" applyFont="1" applyFill="1" applyBorder="1" applyAlignment="1">
      <alignment vertical="center"/>
    </xf>
    <xf numFmtId="164" fontId="10" fillId="2" borderId="46" xfId="0" applyNumberFormat="1" applyFont="1" applyFill="1" applyBorder="1" applyAlignment="1">
      <alignment horizontal="left" vertical="center"/>
    </xf>
    <xf numFmtId="3" fontId="10" fillId="2" borderId="58" xfId="1" applyNumberFormat="1" applyFont="1" applyFill="1" applyBorder="1" applyAlignment="1">
      <alignment horizontal="right" vertical="center"/>
    </xf>
    <xf numFmtId="3" fontId="10" fillId="2" borderId="46" xfId="1" applyNumberFormat="1" applyFont="1" applyFill="1" applyBorder="1" applyAlignment="1">
      <alignment horizontal="right" vertical="center"/>
    </xf>
    <xf numFmtId="164" fontId="10" fillId="2" borderId="51" xfId="0" applyNumberFormat="1" applyFont="1" applyFill="1" applyBorder="1" applyAlignment="1">
      <alignment vertical="center"/>
    </xf>
    <xf numFmtId="164" fontId="10" fillId="2" borderId="0" xfId="0" applyNumberFormat="1" applyFont="1" applyFill="1" applyAlignment="1">
      <alignment horizontal="left" vertical="center"/>
    </xf>
    <xf numFmtId="164" fontId="10" fillId="2" borderId="54" xfId="0" applyNumberFormat="1" applyFont="1" applyFill="1" applyBorder="1" applyAlignment="1">
      <alignment vertical="center"/>
    </xf>
    <xf numFmtId="164" fontId="8" fillId="2" borderId="0" xfId="0" applyNumberFormat="1" applyFont="1" applyFill="1" applyAlignment="1">
      <alignment horizontal="left" vertical="center"/>
    </xf>
    <xf numFmtId="164" fontId="10" fillId="2" borderId="4" xfId="0" applyNumberFormat="1" applyFont="1" applyFill="1" applyBorder="1" applyAlignment="1">
      <alignment vertical="center"/>
    </xf>
    <xf numFmtId="164" fontId="63" fillId="2" borderId="47" xfId="0" applyNumberFormat="1" applyFont="1" applyFill="1" applyBorder="1" applyAlignment="1">
      <alignment vertical="center"/>
    </xf>
    <xf numFmtId="164" fontId="63" fillId="2" borderId="43" xfId="0" applyNumberFormat="1" applyFont="1" applyFill="1" applyBorder="1" applyAlignment="1">
      <alignment vertical="center"/>
    </xf>
    <xf numFmtId="164" fontId="63" fillId="2" borderId="58" xfId="0" applyNumberFormat="1" applyFont="1" applyFill="1" applyBorder="1" applyAlignment="1">
      <alignment vertical="center"/>
    </xf>
    <xf numFmtId="164" fontId="63" fillId="2" borderId="87" xfId="0" applyNumberFormat="1" applyFont="1" applyFill="1" applyBorder="1" applyAlignment="1">
      <alignment vertical="center"/>
    </xf>
    <xf numFmtId="164" fontId="63" fillId="2" borderId="0" xfId="0" applyNumberFormat="1" applyFont="1" applyFill="1" applyAlignment="1">
      <alignment vertical="center"/>
    </xf>
    <xf numFmtId="164" fontId="63" fillId="2" borderId="78" xfId="0" applyNumberFormat="1" applyFont="1" applyFill="1" applyBorder="1" applyAlignment="1">
      <alignment vertical="center"/>
    </xf>
    <xf numFmtId="164" fontId="10" fillId="2" borderId="0" xfId="0" applyNumberFormat="1" applyFont="1" applyFill="1" applyAlignment="1">
      <alignment horizontal="right" vertical="center"/>
    </xf>
    <xf numFmtId="164" fontId="62" fillId="2" borderId="0" xfId="0" applyNumberFormat="1" applyFont="1" applyFill="1" applyAlignment="1">
      <alignment vertical="center"/>
    </xf>
    <xf numFmtId="164" fontId="62" fillId="2" borderId="4" xfId="0" applyNumberFormat="1" applyFont="1" applyFill="1" applyBorder="1" applyAlignment="1">
      <alignment vertical="center"/>
    </xf>
    <xf numFmtId="164" fontId="0" fillId="2" borderId="14" xfId="0" applyNumberFormat="1" applyFill="1" applyBorder="1" applyAlignment="1">
      <alignment vertical="center"/>
    </xf>
    <xf numFmtId="164" fontId="52" fillId="2" borderId="16" xfId="0" applyNumberFormat="1" applyFont="1" applyFill="1" applyBorder="1" applyAlignment="1">
      <alignment horizontal="left" vertical="center"/>
    </xf>
    <xf numFmtId="164" fontId="8" fillId="2" borderId="16" xfId="0" applyNumberFormat="1" applyFont="1" applyFill="1" applyBorder="1" applyAlignment="1">
      <alignment horizontal="center" vertical="center"/>
    </xf>
    <xf numFmtId="164" fontId="64" fillId="2" borderId="16" xfId="0" applyNumberFormat="1" applyFont="1" applyFill="1" applyBorder="1" applyAlignment="1">
      <alignment vertical="center"/>
    </xf>
    <xf numFmtId="164" fontId="12" fillId="2" borderId="14" xfId="0" applyNumberFormat="1" applyFont="1" applyFill="1" applyBorder="1" applyAlignment="1">
      <alignment vertical="center"/>
    </xf>
    <xf numFmtId="164" fontId="52" fillId="2" borderId="3" xfId="0" applyNumberFormat="1" applyFont="1" applyFill="1" applyBorder="1" applyAlignment="1">
      <alignment horizontal="left" vertical="center"/>
    </xf>
    <xf numFmtId="166" fontId="8" fillId="2" borderId="3" xfId="1" applyNumberFormat="1" applyFont="1" applyFill="1" applyBorder="1" applyAlignment="1" applyProtection="1">
      <alignment horizontal="center" vertical="center"/>
    </xf>
    <xf numFmtId="164" fontId="53" fillId="2" borderId="3" xfId="0" applyNumberFormat="1" applyFont="1" applyFill="1" applyBorder="1" applyAlignment="1">
      <alignment vertical="center"/>
    </xf>
    <xf numFmtId="164" fontId="33" fillId="2" borderId="14" xfId="0" applyNumberFormat="1" applyFont="1" applyFill="1" applyBorder="1" applyAlignment="1">
      <alignment horizontal="left" vertical="center" wrapText="1" indent="1"/>
    </xf>
    <xf numFmtId="3" fontId="33" fillId="2" borderId="14" xfId="1" applyNumberFormat="1" applyFont="1" applyFill="1" applyBorder="1" applyAlignment="1" applyProtection="1">
      <alignment horizontal="center" vertical="center"/>
    </xf>
    <xf numFmtId="164" fontId="65" fillId="2" borderId="14" xfId="0" applyNumberFormat="1" applyFont="1" applyFill="1" applyBorder="1" applyAlignment="1">
      <alignment horizontal="right" vertical="center" indent="1"/>
    </xf>
    <xf numFmtId="164" fontId="33" fillId="2" borderId="14" xfId="0" applyNumberFormat="1" applyFont="1" applyFill="1" applyBorder="1" applyAlignment="1">
      <alignment horizontal="left" vertical="center" indent="1"/>
    </xf>
    <xf numFmtId="164" fontId="65" fillId="2" borderId="14" xfId="0" applyNumberFormat="1" applyFont="1" applyFill="1" applyBorder="1" applyAlignment="1">
      <alignment horizontal="right" vertical="center" wrapText="1" indent="1"/>
    </xf>
    <xf numFmtId="164" fontId="65" fillId="2" borderId="0" xfId="0" applyNumberFormat="1" applyFont="1" applyFill="1" applyAlignment="1">
      <alignment horizontal="right" vertical="center" indent="1"/>
    </xf>
    <xf numFmtId="164" fontId="16" fillId="2" borderId="89" xfId="0" applyNumberFormat="1" applyFont="1" applyFill="1" applyBorder="1" applyAlignment="1">
      <alignment vertical="center"/>
    </xf>
    <xf numFmtId="164" fontId="12" fillId="2" borderId="89" xfId="0" applyNumberFormat="1" applyFont="1" applyFill="1" applyBorder="1" applyAlignment="1">
      <alignment vertical="center"/>
    </xf>
    <xf numFmtId="164" fontId="46" fillId="2" borderId="90" xfId="0" applyNumberFormat="1" applyFont="1" applyFill="1" applyBorder="1" applyAlignment="1">
      <alignment horizontal="right" vertical="center"/>
    </xf>
    <xf numFmtId="164" fontId="8" fillId="2" borderId="16" xfId="0" applyNumberFormat="1" applyFont="1" applyFill="1" applyBorder="1" applyAlignment="1">
      <alignment horizontal="right" vertical="center"/>
    </xf>
    <xf numFmtId="164" fontId="53" fillId="2" borderId="16" xfId="0" applyNumberFormat="1" applyFont="1" applyFill="1" applyBorder="1" applyAlignment="1">
      <alignment vertical="center"/>
    </xf>
    <xf numFmtId="3" fontId="8" fillId="2" borderId="14" xfId="1" applyNumberFormat="1" applyFont="1" applyFill="1" applyBorder="1" applyAlignment="1" applyProtection="1">
      <alignment horizontal="right" vertical="center"/>
    </xf>
    <xf numFmtId="164" fontId="10" fillId="2" borderId="14" xfId="0" applyNumberFormat="1" applyFont="1" applyFill="1" applyBorder="1" applyAlignment="1">
      <alignment horizontal="left" vertical="center" wrapText="1" indent="1"/>
    </xf>
    <xf numFmtId="3" fontId="10" fillId="2" borderId="14" xfId="1" applyNumberFormat="1" applyFont="1" applyFill="1" applyBorder="1" applyAlignment="1" applyProtection="1">
      <alignment horizontal="right" vertical="center"/>
    </xf>
    <xf numFmtId="164" fontId="62" fillId="2" borderId="14" xfId="0" applyNumberFormat="1" applyFont="1" applyFill="1" applyBorder="1" applyAlignment="1">
      <alignment horizontal="right" vertical="center" indent="1"/>
    </xf>
    <xf numFmtId="164" fontId="10" fillId="2" borderId="14" xfId="0" applyNumberFormat="1" applyFont="1" applyFill="1" applyBorder="1" applyAlignment="1">
      <alignment horizontal="left" vertical="center" indent="1"/>
    </xf>
    <xf numFmtId="164" fontId="62" fillId="2" borderId="14" xfId="0" applyNumberFormat="1" applyFont="1" applyFill="1" applyBorder="1" applyAlignment="1">
      <alignment horizontal="right" vertical="center" wrapText="1" indent="1"/>
    </xf>
    <xf numFmtId="164" fontId="62" fillId="2" borderId="0" xfId="0" applyNumberFormat="1" applyFont="1" applyFill="1" applyAlignment="1">
      <alignment horizontal="right" vertical="center" indent="1"/>
    </xf>
    <xf numFmtId="164" fontId="10" fillId="2" borderId="15" xfId="0" applyNumberFormat="1" applyFont="1" applyFill="1" applyBorder="1" applyAlignment="1">
      <alignment horizontal="left" vertical="center" indent="1"/>
    </xf>
    <xf numFmtId="164" fontId="62" fillId="2" borderId="15" xfId="0" applyNumberFormat="1" applyFont="1" applyFill="1" applyBorder="1" applyAlignment="1">
      <alignment horizontal="right" vertical="center" indent="1"/>
    </xf>
    <xf numFmtId="164" fontId="10" fillId="2" borderId="0" xfId="0" applyNumberFormat="1" applyFont="1" applyFill="1" applyAlignment="1">
      <alignment horizontal="left" vertical="center" wrapText="1" indent="1"/>
    </xf>
    <xf numFmtId="164" fontId="62" fillId="2" borderId="0" xfId="0" applyNumberFormat="1" applyFont="1" applyFill="1" applyAlignment="1">
      <alignment horizontal="right" vertical="center" wrapText="1" indent="1"/>
    </xf>
    <xf numFmtId="164" fontId="10" fillId="2" borderId="36" xfId="0" applyNumberFormat="1" applyFont="1" applyFill="1" applyBorder="1" applyAlignment="1">
      <alignment horizontal="left" vertical="center" wrapText="1" indent="1"/>
    </xf>
    <xf numFmtId="3" fontId="10" fillId="2" borderId="15" xfId="1" applyNumberFormat="1" applyFont="1" applyFill="1" applyBorder="1" applyAlignment="1" applyProtection="1">
      <alignment horizontal="right" vertical="center"/>
    </xf>
    <xf numFmtId="164" fontId="62" fillId="2" borderId="36" xfId="0" applyNumberFormat="1" applyFont="1" applyFill="1" applyBorder="1" applyAlignment="1">
      <alignment horizontal="right" vertical="center" wrapText="1" indent="1"/>
    </xf>
    <xf numFmtId="0" fontId="59" fillId="2" borderId="0" xfId="0" applyFont="1" applyFill="1" applyAlignment="1">
      <alignment horizontal="center"/>
    </xf>
    <xf numFmtId="0" fontId="2" fillId="2" borderId="44" xfId="0" applyFont="1" applyFill="1" applyBorder="1" applyAlignment="1">
      <alignment horizontal="right" vertical="center" wrapText="1"/>
    </xf>
    <xf numFmtId="0" fontId="51" fillId="2" borderId="44" xfId="0" applyFont="1" applyFill="1" applyBorder="1" applyAlignment="1">
      <alignment horizontal="right" vertical="center"/>
    </xf>
    <xf numFmtId="3" fontId="2" fillId="2" borderId="42" xfId="0" applyNumberFormat="1" applyFont="1" applyFill="1" applyBorder="1" applyAlignment="1">
      <alignment horizontal="right" vertical="center"/>
    </xf>
    <xf numFmtId="0" fontId="59" fillId="2" borderId="0" xfId="0" applyFont="1" applyFill="1"/>
    <xf numFmtId="0" fontId="0" fillId="2" borderId="0" xfId="0" applyFill="1" applyAlignment="1">
      <alignment horizontal="left" vertical="center" indent="2"/>
    </xf>
    <xf numFmtId="3" fontId="2" fillId="2" borderId="0" xfId="0" applyNumberFormat="1" applyFont="1" applyFill="1" applyAlignment="1">
      <alignment horizontal="right" vertical="center"/>
    </xf>
    <xf numFmtId="0" fontId="51" fillId="2" borderId="0" xfId="0" applyFont="1" applyFill="1" applyAlignment="1">
      <alignment horizontal="right" vertical="center" indent="2" readingOrder="2"/>
    </xf>
    <xf numFmtId="0" fontId="0" fillId="2" borderId="91" xfId="0" applyFill="1" applyBorder="1" applyAlignment="1">
      <alignment horizontal="left" vertical="center" indent="2"/>
    </xf>
    <xf numFmtId="0" fontId="51" fillId="2" borderId="91" xfId="0" applyFont="1" applyFill="1" applyBorder="1" applyAlignment="1">
      <alignment horizontal="right" vertical="center" indent="2" readingOrder="2"/>
    </xf>
    <xf numFmtId="0" fontId="59" fillId="2" borderId="0" xfId="0" applyFont="1" applyFill="1" applyAlignment="1">
      <alignment vertical="center" readingOrder="2"/>
    </xf>
    <xf numFmtId="3" fontId="0" fillId="2" borderId="91" xfId="0" applyNumberFormat="1" applyFill="1" applyBorder="1" applyAlignment="1">
      <alignment horizontal="right" vertical="center"/>
    </xf>
    <xf numFmtId="0" fontId="0" fillId="2" borderId="2" xfId="0" applyFill="1" applyBorder="1" applyAlignment="1">
      <alignment horizontal="left" vertical="center" indent="2"/>
    </xf>
    <xf numFmtId="0" fontId="51" fillId="2" borderId="2" xfId="0" applyFont="1" applyFill="1" applyBorder="1" applyAlignment="1">
      <alignment horizontal="right" vertical="center" indent="2" readingOrder="2"/>
    </xf>
    <xf numFmtId="164" fontId="48" fillId="2" borderId="4" xfId="0" applyNumberFormat="1" applyFont="1" applyFill="1" applyBorder="1" applyAlignment="1">
      <alignment horizontal="right" vertical="center"/>
    </xf>
    <xf numFmtId="164" fontId="66" fillId="2" borderId="3" xfId="0" applyNumberFormat="1" applyFont="1" applyFill="1" applyBorder="1" applyAlignment="1">
      <alignment vertical="center"/>
    </xf>
    <xf numFmtId="170" fontId="0" fillId="2" borderId="0" xfId="1" applyNumberFormat="1" applyFont="1" applyFill="1" applyAlignment="1"/>
    <xf numFmtId="0" fontId="38" fillId="2" borderId="0" xfId="0" applyFont="1" applyFill="1"/>
    <xf numFmtId="0" fontId="59" fillId="2" borderId="44" xfId="0" applyFont="1" applyFill="1" applyBorder="1" applyAlignment="1">
      <alignment horizontal="right" vertical="center"/>
    </xf>
    <xf numFmtId="0" fontId="59" fillId="2" borderId="42" xfId="0" applyFont="1" applyFill="1" applyBorder="1"/>
    <xf numFmtId="0" fontId="0" fillId="2" borderId="0" xfId="0" applyFill="1" applyAlignment="1">
      <alignment horizontal="right" vertical="center" indent="2" readingOrder="2"/>
    </xf>
    <xf numFmtId="0" fontId="0" fillId="2" borderId="0" xfId="0" applyFill="1" applyAlignment="1">
      <alignment horizontal="right" vertical="center" indent="2"/>
    </xf>
    <xf numFmtId="0" fontId="68" fillId="2" borderId="9" xfId="0" applyFont="1" applyFill="1" applyBorder="1" applyAlignment="1">
      <alignment vertical="top"/>
    </xf>
    <xf numFmtId="0" fontId="69" fillId="2" borderId="0" xfId="0" applyFont="1" applyFill="1" applyAlignment="1">
      <alignment horizontal="right" vertical="top" indent="1"/>
    </xf>
    <xf numFmtId="169" fontId="33" fillId="2" borderId="2" xfId="1" applyNumberFormat="1" applyFont="1" applyFill="1" applyBorder="1" applyAlignment="1">
      <alignment vertical="center"/>
    </xf>
    <xf numFmtId="0" fontId="37" fillId="2" borderId="2" xfId="0" applyFont="1" applyFill="1" applyBorder="1" applyAlignment="1">
      <alignment vertical="center"/>
    </xf>
    <xf numFmtId="167" fontId="15" fillId="2" borderId="0" xfId="0" applyNumberFormat="1" applyFont="1" applyFill="1"/>
    <xf numFmtId="0" fontId="70" fillId="2" borderId="0" xfId="0" applyFont="1" applyFill="1"/>
    <xf numFmtId="164" fontId="15" fillId="2" borderId="0" xfId="0" applyNumberFormat="1" applyFont="1" applyFill="1"/>
    <xf numFmtId="0" fontId="26" fillId="2" borderId="0" xfId="0" applyFont="1" applyFill="1" applyAlignment="1">
      <alignment horizontal="left" vertical="top" indent="4"/>
    </xf>
    <xf numFmtId="0" fontId="70" fillId="2" borderId="0" xfId="0" applyFont="1" applyFill="1" applyAlignment="1">
      <alignment vertical="center"/>
    </xf>
    <xf numFmtId="164" fontId="33" fillId="2" borderId="44" xfId="0" applyNumberFormat="1" applyFont="1" applyFill="1" applyBorder="1"/>
    <xf numFmtId="1" fontId="33" fillId="2" borderId="0" xfId="0" applyNumberFormat="1" applyFont="1" applyFill="1"/>
    <xf numFmtId="169" fontId="33" fillId="2" borderId="0" xfId="1" applyNumberFormat="1" applyFont="1" applyFill="1"/>
    <xf numFmtId="164" fontId="6" fillId="2" borderId="25" xfId="0" applyNumberFormat="1" applyFont="1" applyFill="1" applyBorder="1"/>
    <xf numFmtId="164" fontId="2" fillId="2" borderId="89" xfId="0" applyNumberFormat="1" applyFont="1" applyFill="1" applyBorder="1" applyAlignment="1">
      <alignment horizontal="right" vertical="center"/>
    </xf>
    <xf numFmtId="164" fontId="2" fillId="2" borderId="97" xfId="0" applyNumberFormat="1" applyFont="1" applyFill="1" applyBorder="1" applyAlignment="1">
      <alignment horizontal="right" vertical="center"/>
    </xf>
    <xf numFmtId="164" fontId="2" fillId="2" borderId="18" xfId="0" applyNumberFormat="1" applyFont="1" applyFill="1" applyBorder="1" applyAlignment="1">
      <alignment horizontal="right" vertical="center"/>
    </xf>
    <xf numFmtId="164" fontId="2" fillId="2" borderId="98" xfId="0" applyNumberFormat="1" applyFont="1" applyFill="1" applyBorder="1" applyAlignment="1">
      <alignment horizontal="right" vertical="center"/>
    </xf>
    <xf numFmtId="164" fontId="19" fillId="2" borderId="99" xfId="0" applyNumberFormat="1" applyFont="1" applyFill="1" applyBorder="1" applyAlignment="1">
      <alignment horizontal="right" vertical="center" wrapText="1"/>
    </xf>
    <xf numFmtId="164" fontId="19" fillId="2" borderId="89" xfId="0" applyNumberFormat="1" applyFont="1" applyFill="1" applyBorder="1" applyAlignment="1">
      <alignment horizontal="right" vertical="center" wrapText="1"/>
    </xf>
    <xf numFmtId="164" fontId="19" fillId="2" borderId="98" xfId="0" applyNumberFormat="1" applyFont="1" applyFill="1" applyBorder="1" applyAlignment="1">
      <alignment horizontal="right" vertical="center" wrapText="1"/>
    </xf>
    <xf numFmtId="164" fontId="19" fillId="2" borderId="100" xfId="0" applyNumberFormat="1" applyFont="1" applyFill="1" applyBorder="1" applyAlignment="1">
      <alignment horizontal="right" vertical="center" wrapText="1"/>
    </xf>
    <xf numFmtId="164" fontId="19" fillId="2" borderId="101" xfId="0" applyNumberFormat="1" applyFont="1" applyFill="1" applyBorder="1" applyAlignment="1">
      <alignment horizontal="right" vertical="center" wrapText="1"/>
    </xf>
    <xf numFmtId="164" fontId="19" fillId="2" borderId="18" xfId="0" applyNumberFormat="1" applyFont="1" applyFill="1" applyBorder="1" applyAlignment="1">
      <alignment horizontal="right" vertical="center" wrapText="1"/>
    </xf>
    <xf numFmtId="164" fontId="71" fillId="2" borderId="102" xfId="0" applyNumberFormat="1" applyFont="1" applyFill="1" applyBorder="1" applyAlignment="1">
      <alignment horizontal="right" vertical="center"/>
    </xf>
    <xf numFmtId="164" fontId="71" fillId="2" borderId="103" xfId="0" applyNumberFormat="1" applyFont="1" applyFill="1" applyBorder="1" applyAlignment="1">
      <alignment horizontal="right" vertical="center"/>
    </xf>
    <xf numFmtId="164" fontId="71" fillId="2" borderId="104" xfId="0" applyNumberFormat="1" applyFont="1" applyFill="1" applyBorder="1" applyAlignment="1">
      <alignment horizontal="right" vertical="center"/>
    </xf>
    <xf numFmtId="164" fontId="71" fillId="2" borderId="105" xfId="0" applyNumberFormat="1" applyFont="1" applyFill="1" applyBorder="1" applyAlignment="1">
      <alignment horizontal="right" vertical="center"/>
    </xf>
    <xf numFmtId="164" fontId="71" fillId="2" borderId="106" xfId="0" applyNumberFormat="1" applyFont="1" applyFill="1" applyBorder="1" applyAlignment="1">
      <alignment horizontal="right" vertical="center"/>
    </xf>
    <xf numFmtId="164" fontId="71" fillId="2" borderId="107" xfId="0" applyNumberFormat="1" applyFont="1" applyFill="1" applyBorder="1" applyAlignment="1">
      <alignment horizontal="right" vertical="center"/>
    </xf>
    <xf numFmtId="164" fontId="71" fillId="2" borderId="108" xfId="0" applyNumberFormat="1" applyFont="1" applyFill="1" applyBorder="1" applyAlignment="1">
      <alignment horizontal="right" vertical="center"/>
    </xf>
    <xf numFmtId="164" fontId="2" fillId="2" borderId="36" xfId="0" applyNumberFormat="1" applyFont="1" applyFill="1" applyBorder="1" applyAlignment="1">
      <alignment horizontal="left" vertical="center"/>
    </xf>
    <xf numFmtId="0" fontId="2" fillId="2" borderId="3" xfId="0" applyFont="1" applyFill="1" applyBorder="1" applyAlignment="1">
      <alignment horizontal="right" vertical="center"/>
    </xf>
    <xf numFmtId="0" fontId="2" fillId="2" borderId="114" xfId="0" applyFont="1" applyFill="1" applyBorder="1" applyAlignment="1">
      <alignment horizontal="right" vertical="center"/>
    </xf>
    <xf numFmtId="0" fontId="2" fillId="2" borderId="19" xfId="0" applyFont="1" applyFill="1" applyBorder="1" applyAlignment="1">
      <alignment horizontal="right" vertical="center"/>
    </xf>
    <xf numFmtId="0" fontId="2" fillId="2" borderId="27" xfId="0" applyFont="1" applyFill="1" applyBorder="1" applyAlignment="1">
      <alignment horizontal="right" vertical="center"/>
    </xf>
    <xf numFmtId="3" fontId="2" fillId="2" borderId="115" xfId="0" applyNumberFormat="1" applyFont="1" applyFill="1" applyBorder="1" applyAlignment="1">
      <alignment horizontal="right" vertical="center"/>
    </xf>
    <xf numFmtId="3" fontId="2" fillId="2" borderId="3" xfId="0" applyNumberFormat="1" applyFont="1" applyFill="1" applyBorder="1" applyAlignment="1">
      <alignment horizontal="right" vertical="center"/>
    </xf>
    <xf numFmtId="3" fontId="2" fillId="2" borderId="27" xfId="0" applyNumberFormat="1" applyFont="1" applyFill="1" applyBorder="1" applyAlignment="1">
      <alignment horizontal="right" vertical="center"/>
    </xf>
    <xf numFmtId="3" fontId="2" fillId="2" borderId="99" xfId="0" applyNumberFormat="1" applyFont="1" applyFill="1" applyBorder="1" applyAlignment="1">
      <alignment horizontal="right" vertical="center"/>
    </xf>
    <xf numFmtId="3" fontId="2" fillId="2" borderId="89" xfId="0" applyNumberFormat="1" applyFont="1" applyFill="1" applyBorder="1" applyAlignment="1">
      <alignment horizontal="right" vertical="center"/>
    </xf>
    <xf numFmtId="3" fontId="2" fillId="2" borderId="97" xfId="0" applyNumberFormat="1" applyFont="1" applyFill="1" applyBorder="1" applyAlignment="1">
      <alignment horizontal="right" vertical="center"/>
    </xf>
    <xf numFmtId="3" fontId="2" fillId="2" borderId="19" xfId="0" applyNumberFormat="1" applyFont="1" applyFill="1" applyBorder="1" applyAlignment="1">
      <alignment horizontal="right" vertical="center"/>
    </xf>
    <xf numFmtId="3" fontId="2" fillId="2" borderId="72" xfId="0" applyNumberFormat="1" applyFont="1" applyFill="1" applyBorder="1" applyAlignment="1">
      <alignment horizontal="right" vertical="center"/>
    </xf>
    <xf numFmtId="3" fontId="2" fillId="2" borderId="71" xfId="0" applyNumberFormat="1" applyFont="1" applyFill="1" applyBorder="1" applyAlignment="1">
      <alignment horizontal="right" vertical="center"/>
    </xf>
    <xf numFmtId="164" fontId="59" fillId="2" borderId="3" xfId="0" applyNumberFormat="1" applyFont="1" applyFill="1" applyBorder="1" applyAlignment="1">
      <alignment vertical="center"/>
    </xf>
    <xf numFmtId="0" fontId="0" fillId="2" borderId="14" xfId="0" applyFill="1" applyBorder="1" applyAlignment="1">
      <alignment horizontal="right" vertical="center"/>
    </xf>
    <xf numFmtId="0" fontId="0" fillId="2" borderId="3" xfId="0" applyFill="1" applyBorder="1" applyAlignment="1" applyProtection="1">
      <alignment horizontal="right" vertical="center"/>
      <protection locked="0"/>
    </xf>
    <xf numFmtId="0" fontId="0" fillId="2" borderId="114" xfId="0" applyFill="1" applyBorder="1" applyAlignment="1" applyProtection="1">
      <alignment horizontal="right" vertical="center"/>
      <protection locked="0"/>
    </xf>
    <xf numFmtId="0" fontId="0" fillId="2" borderId="25" xfId="0" applyFill="1" applyBorder="1" applyAlignment="1">
      <alignment horizontal="right" vertical="center"/>
    </xf>
    <xf numFmtId="0" fontId="0" fillId="2" borderId="27" xfId="0" applyFill="1" applyBorder="1" applyAlignment="1" applyProtection="1">
      <alignment horizontal="right" vertical="center"/>
      <protection locked="0"/>
    </xf>
    <xf numFmtId="3" fontId="0" fillId="2" borderId="116" xfId="0" applyNumberFormat="1" applyFill="1" applyBorder="1" applyAlignment="1">
      <alignment horizontal="right" vertical="center"/>
    </xf>
    <xf numFmtId="3" fontId="0" fillId="2" borderId="117" xfId="0" applyNumberFormat="1" applyFill="1" applyBorder="1" applyAlignment="1">
      <alignment horizontal="right" vertical="center"/>
    </xf>
    <xf numFmtId="0" fontId="2" fillId="2" borderId="115" xfId="0" applyFont="1" applyFill="1" applyBorder="1" applyAlignment="1">
      <alignment horizontal="right" vertical="center"/>
    </xf>
    <xf numFmtId="0" fontId="0" fillId="2" borderId="116" xfId="0" applyFill="1" applyBorder="1" applyAlignment="1">
      <alignment horizontal="right" vertical="center"/>
    </xf>
    <xf numFmtId="0" fontId="0" fillId="2" borderId="118" xfId="0" applyFill="1" applyBorder="1" applyAlignment="1">
      <alignment horizontal="right" vertical="center"/>
    </xf>
    <xf numFmtId="0" fontId="0" fillId="2" borderId="115" xfId="0" applyFill="1" applyBorder="1" applyAlignment="1">
      <alignment horizontal="right" vertical="center"/>
    </xf>
    <xf numFmtId="3" fontId="0" fillId="2" borderId="19" xfId="0" applyNumberFormat="1" applyFill="1" applyBorder="1" applyAlignment="1">
      <alignment horizontal="right" vertical="center"/>
    </xf>
    <xf numFmtId="3" fontId="0" fillId="2" borderId="70" xfId="0" applyNumberFormat="1" applyFill="1" applyBorder="1" applyAlignment="1">
      <alignment horizontal="right" vertical="center"/>
    </xf>
    <xf numFmtId="3" fontId="0" fillId="2" borderId="115" xfId="0" applyNumberFormat="1" applyFill="1" applyBorder="1" applyAlignment="1">
      <alignment horizontal="right" vertical="center"/>
    </xf>
    <xf numFmtId="3" fontId="0" fillId="2" borderId="119" xfId="0" applyNumberFormat="1" applyFill="1" applyBorder="1" applyAlignment="1">
      <alignment horizontal="right" vertical="center"/>
    </xf>
    <xf numFmtId="164" fontId="51" fillId="2" borderId="14" xfId="0" applyNumberFormat="1" applyFont="1" applyFill="1" applyBorder="1" applyAlignment="1">
      <alignment vertical="center"/>
    </xf>
    <xf numFmtId="164" fontId="0" fillId="2" borderId="3" xfId="0" applyNumberFormat="1" applyFill="1" applyBorder="1" applyAlignment="1">
      <alignment vertical="center"/>
    </xf>
    <xf numFmtId="0" fontId="0" fillId="2" borderId="14" xfId="0" applyFill="1" applyBorder="1" applyAlignment="1" applyProtection="1">
      <alignment horizontal="right" vertical="center"/>
      <protection locked="0"/>
    </xf>
    <xf numFmtId="0" fontId="0" fillId="2" borderId="121" xfId="0" applyFill="1" applyBorder="1" applyAlignment="1" applyProtection="1">
      <alignment horizontal="right" vertical="center"/>
      <protection locked="0"/>
    </xf>
    <xf numFmtId="0" fontId="0" fillId="2" borderId="20" xfId="0" applyFill="1" applyBorder="1" applyAlignment="1" applyProtection="1">
      <alignment horizontal="right" vertical="center"/>
      <protection locked="0"/>
    </xf>
    <xf numFmtId="3" fontId="0" fillId="2" borderId="14" xfId="0" applyNumberFormat="1" applyFill="1" applyBorder="1" applyAlignment="1" applyProtection="1">
      <alignment horizontal="right" vertical="center"/>
      <protection locked="0"/>
    </xf>
    <xf numFmtId="3" fontId="0" fillId="2" borderId="20" xfId="0" applyNumberFormat="1" applyFill="1" applyBorder="1" applyAlignment="1" applyProtection="1">
      <alignment horizontal="right" vertical="center"/>
      <protection locked="0"/>
    </xf>
    <xf numFmtId="164" fontId="0" fillId="2" borderId="17" xfId="0" applyNumberFormat="1" applyFill="1" applyBorder="1" applyAlignment="1">
      <alignment vertical="center"/>
    </xf>
    <xf numFmtId="0" fontId="0" fillId="2" borderId="17" xfId="0" applyFill="1" applyBorder="1" applyAlignment="1">
      <alignment horizontal="right" vertical="center"/>
    </xf>
    <xf numFmtId="0" fontId="0" fillId="2" borderId="17" xfId="0" applyFill="1" applyBorder="1" applyAlignment="1" applyProtection="1">
      <alignment horizontal="right" vertical="center"/>
      <protection locked="0"/>
    </xf>
    <xf numFmtId="0" fontId="0" fillId="2" borderId="122" xfId="0" applyFill="1" applyBorder="1" applyAlignment="1" applyProtection="1">
      <alignment horizontal="right" vertical="center"/>
      <protection locked="0"/>
    </xf>
    <xf numFmtId="0" fontId="0" fillId="2" borderId="88" xfId="0" applyFill="1" applyBorder="1" applyAlignment="1">
      <alignment horizontal="right" vertical="center"/>
    </xf>
    <xf numFmtId="0" fontId="0" fillId="2" borderId="29" xfId="0" applyFill="1" applyBorder="1" applyAlignment="1" applyProtection="1">
      <alignment horizontal="right" vertical="center"/>
      <protection locked="0"/>
    </xf>
    <xf numFmtId="3" fontId="0" fillId="2" borderId="123" xfId="0" applyNumberFormat="1" applyFill="1" applyBorder="1" applyAlignment="1">
      <alignment horizontal="right" vertical="center"/>
    </xf>
    <xf numFmtId="3" fontId="0" fillId="2" borderId="124" xfId="0" applyNumberFormat="1" applyFill="1" applyBorder="1" applyAlignment="1">
      <alignment horizontal="right" vertical="center"/>
    </xf>
    <xf numFmtId="0" fontId="2" fillId="2" borderId="123" xfId="0" applyFont="1" applyFill="1" applyBorder="1" applyAlignment="1">
      <alignment horizontal="right" vertical="center"/>
    </xf>
    <xf numFmtId="0" fontId="0" fillId="2" borderId="123" xfId="0" applyFill="1" applyBorder="1" applyAlignment="1">
      <alignment horizontal="right" vertical="center"/>
    </xf>
    <xf numFmtId="0" fontId="0" fillId="2" borderId="125" xfId="0" applyFill="1" applyBorder="1" applyAlignment="1">
      <alignment horizontal="right" vertical="center"/>
    </xf>
    <xf numFmtId="3" fontId="0" fillId="2" borderId="88" xfId="0" applyNumberFormat="1" applyFill="1" applyBorder="1" applyAlignment="1">
      <alignment horizontal="right" vertical="center"/>
    </xf>
    <xf numFmtId="3" fontId="0" fillId="2" borderId="126" xfId="0" applyNumberFormat="1" applyFill="1" applyBorder="1" applyAlignment="1">
      <alignment horizontal="right" vertical="center"/>
    </xf>
    <xf numFmtId="3" fontId="2" fillId="2" borderId="127" xfId="0" applyNumberFormat="1" applyFont="1" applyFill="1" applyBorder="1" applyAlignment="1">
      <alignment horizontal="right" vertical="center"/>
    </xf>
    <xf numFmtId="164" fontId="51" fillId="2" borderId="17" xfId="0" applyNumberFormat="1" applyFont="1" applyFill="1" applyBorder="1" applyAlignment="1">
      <alignment vertical="center"/>
    </xf>
    <xf numFmtId="164" fontId="54" fillId="2" borderId="3" xfId="0" applyNumberFormat="1" applyFont="1" applyFill="1" applyBorder="1" applyAlignment="1">
      <alignment horizontal="fill" vertical="center"/>
    </xf>
    <xf numFmtId="164" fontId="12" fillId="2" borderId="3" xfId="0" applyNumberFormat="1" applyFont="1" applyFill="1" applyBorder="1" applyAlignment="1">
      <alignment vertical="center"/>
    </xf>
    <xf numFmtId="0" fontId="32" fillId="2" borderId="3" xfId="0" applyFont="1" applyFill="1" applyBorder="1" applyAlignment="1">
      <alignment horizontal="center" vertical="center"/>
    </xf>
    <xf numFmtId="164" fontId="32" fillId="2" borderId="3" xfId="0" applyNumberFormat="1" applyFont="1" applyFill="1" applyBorder="1" applyAlignment="1">
      <alignment vertical="center"/>
    </xf>
    <xf numFmtId="164" fontId="60" fillId="2" borderId="14" xfId="0" applyNumberFormat="1" applyFont="1" applyFill="1" applyBorder="1" applyAlignment="1">
      <alignment horizontal="right" readingOrder="2"/>
    </xf>
    <xf numFmtId="164" fontId="6" fillId="2" borderId="14" xfId="0" applyNumberFormat="1" applyFont="1" applyFill="1" applyBorder="1" applyAlignment="1">
      <alignment horizontal="center"/>
    </xf>
    <xf numFmtId="164" fontId="6" fillId="2" borderId="0" xfId="0" applyNumberFormat="1" applyFont="1" applyFill="1"/>
    <xf numFmtId="164" fontId="6" fillId="2" borderId="25" xfId="0" applyNumberFormat="1" applyFont="1" applyFill="1" applyBorder="1" applyAlignment="1">
      <alignment horizontal="left"/>
    </xf>
    <xf numFmtId="164" fontId="6" fillId="2" borderId="0" xfId="0" applyNumberFormat="1" applyFont="1" applyFill="1" applyAlignment="1">
      <alignment horizontal="center"/>
    </xf>
    <xf numFmtId="164" fontId="6" fillId="2" borderId="69" xfId="0" applyNumberFormat="1" applyFont="1" applyFill="1" applyBorder="1"/>
    <xf numFmtId="164" fontId="32" fillId="2" borderId="14" xfId="0" applyNumberFormat="1" applyFont="1" applyFill="1" applyBorder="1" applyAlignment="1">
      <alignment vertical="center"/>
    </xf>
    <xf numFmtId="164" fontId="74" fillId="2" borderId="0" xfId="0" applyNumberFormat="1" applyFont="1" applyFill="1" applyAlignment="1">
      <alignment horizontal="center" vertical="center"/>
    </xf>
    <xf numFmtId="164" fontId="67" fillId="2" borderId="0" xfId="0" applyNumberFormat="1" applyFont="1" applyFill="1" applyAlignment="1">
      <alignment horizontal="center" vertical="center"/>
    </xf>
    <xf numFmtId="164" fontId="75" fillId="2" borderId="0" xfId="0" applyNumberFormat="1" applyFont="1" applyFill="1" applyAlignment="1">
      <alignment vertical="center"/>
    </xf>
    <xf numFmtId="164" fontId="66" fillId="2" borderId="0" xfId="0" applyNumberFormat="1" applyFont="1" applyFill="1" applyAlignment="1">
      <alignment horizontal="center" vertical="center"/>
    </xf>
    <xf numFmtId="164" fontId="78" fillId="2" borderId="8" xfId="0" applyNumberFormat="1" applyFont="1" applyFill="1" applyBorder="1" applyAlignment="1">
      <alignment horizontal="center" textRotation="90" wrapText="1"/>
    </xf>
    <xf numFmtId="164" fontId="79" fillId="2" borderId="2" xfId="0" applyNumberFormat="1" applyFont="1" applyFill="1" applyBorder="1" applyAlignment="1">
      <alignment horizontal="right" textRotation="90"/>
    </xf>
    <xf numFmtId="164" fontId="78" fillId="2" borderId="2" xfId="0" applyNumberFormat="1" applyFont="1" applyFill="1" applyBorder="1" applyAlignment="1">
      <alignment horizontal="left" textRotation="90" wrapText="1"/>
    </xf>
    <xf numFmtId="164" fontId="78" fillId="2" borderId="2" xfId="0" applyNumberFormat="1" applyFont="1" applyFill="1" applyBorder="1" applyAlignment="1">
      <alignment horizontal="center" textRotation="90" wrapText="1"/>
    </xf>
    <xf numFmtId="164" fontId="79" fillId="2" borderId="2" xfId="0" applyNumberFormat="1" applyFont="1" applyFill="1" applyBorder="1" applyAlignment="1">
      <alignment horizontal="center" textRotation="90"/>
    </xf>
    <xf numFmtId="164" fontId="78" fillId="2" borderId="7" xfId="0" applyNumberFormat="1" applyFont="1" applyFill="1" applyBorder="1" applyAlignment="1">
      <alignment horizontal="center" textRotation="90" wrapText="1"/>
    </xf>
    <xf numFmtId="0" fontId="51" fillId="2" borderId="130" xfId="0" applyFont="1" applyFill="1" applyBorder="1" applyAlignment="1">
      <alignment horizontal="center" textRotation="90" readingOrder="2"/>
    </xf>
    <xf numFmtId="0" fontId="51" fillId="2" borderId="131" xfId="0" applyFont="1" applyFill="1" applyBorder="1" applyAlignment="1">
      <alignment horizontal="left" textRotation="90" readingOrder="2"/>
    </xf>
    <xf numFmtId="0" fontId="28" fillId="2" borderId="131" xfId="0" applyFont="1" applyFill="1" applyBorder="1" applyAlignment="1">
      <alignment horizontal="left" textRotation="90" readingOrder="2"/>
    </xf>
    <xf numFmtId="0" fontId="51" fillId="2" borderId="131" xfId="0" applyFont="1" applyFill="1" applyBorder="1" applyAlignment="1">
      <alignment textRotation="90" readingOrder="2"/>
    </xf>
    <xf numFmtId="0" fontId="51" fillId="2" borderId="131" xfId="0" applyFont="1" applyFill="1" applyBorder="1" applyAlignment="1">
      <alignment horizontal="center" textRotation="90" readingOrder="2"/>
    </xf>
    <xf numFmtId="0" fontId="51" fillId="2" borderId="132" xfId="0" applyFont="1" applyFill="1" applyBorder="1" applyAlignment="1">
      <alignment horizontal="center" textRotation="90" wrapText="1" readingOrder="2"/>
    </xf>
    <xf numFmtId="0" fontId="65" fillId="2" borderId="130" xfId="0" applyFont="1" applyFill="1" applyBorder="1" applyAlignment="1">
      <alignment horizontal="right" textRotation="90" readingOrder="2"/>
    </xf>
    <xf numFmtId="0" fontId="65" fillId="2" borderId="131" xfId="0" applyFont="1" applyFill="1" applyBorder="1" applyAlignment="1">
      <alignment horizontal="right" textRotation="90" readingOrder="2"/>
    </xf>
    <xf numFmtId="0" fontId="78" fillId="2" borderId="131" xfId="0" applyFont="1" applyFill="1" applyBorder="1" applyAlignment="1">
      <alignment horizontal="right" textRotation="90" readingOrder="2"/>
    </xf>
    <xf numFmtId="0" fontId="65" fillId="2" borderId="133" xfId="0" applyFont="1" applyFill="1" applyBorder="1" applyAlignment="1">
      <alignment horizontal="right" textRotation="90" wrapText="1" readingOrder="2"/>
    </xf>
    <xf numFmtId="0" fontId="65" fillId="2" borderId="130" xfId="0" applyFont="1" applyFill="1" applyBorder="1" applyAlignment="1">
      <alignment horizontal="center" textRotation="90" readingOrder="2"/>
    </xf>
    <xf numFmtId="0" fontId="65" fillId="2" borderId="131" xfId="0" applyFont="1" applyFill="1" applyBorder="1" applyAlignment="1">
      <alignment horizontal="center" textRotation="90" readingOrder="2"/>
    </xf>
    <xf numFmtId="0" fontId="65" fillId="2" borderId="131" xfId="0" applyFont="1" applyFill="1" applyBorder="1" applyAlignment="1">
      <alignment textRotation="90" readingOrder="2"/>
    </xf>
    <xf numFmtId="0" fontId="51" fillId="2" borderId="130" xfId="0" applyFont="1" applyFill="1" applyBorder="1" applyAlignment="1">
      <alignment horizontal="right" textRotation="90" readingOrder="2"/>
    </xf>
    <xf numFmtId="0" fontId="51" fillId="2" borderId="131" xfId="0" applyFont="1" applyFill="1" applyBorder="1" applyAlignment="1">
      <alignment horizontal="right" textRotation="90" readingOrder="2"/>
    </xf>
    <xf numFmtId="0" fontId="28" fillId="2" borderId="131" xfId="0" applyFont="1" applyFill="1" applyBorder="1" applyAlignment="1">
      <alignment horizontal="right" textRotation="90" readingOrder="2"/>
    </xf>
    <xf numFmtId="0" fontId="51" fillId="2" borderId="133" xfId="0" applyFont="1" applyFill="1" applyBorder="1" applyAlignment="1">
      <alignment horizontal="right" textRotation="90" wrapText="1" readingOrder="2"/>
    </xf>
    <xf numFmtId="0" fontId="51" fillId="2" borderId="131" xfId="0" applyFont="1" applyFill="1" applyBorder="1" applyAlignment="1">
      <alignment horizontal="right" textRotation="90" wrapText="1" readingOrder="2"/>
    </xf>
    <xf numFmtId="0" fontId="51" fillId="2" borderId="134" xfId="0" applyFont="1" applyFill="1" applyBorder="1" applyAlignment="1">
      <alignment horizontal="right" textRotation="90" readingOrder="2"/>
    </xf>
    <xf numFmtId="0" fontId="51" fillId="2" borderId="135" xfId="0" applyFont="1" applyFill="1" applyBorder="1" applyAlignment="1">
      <alignment horizontal="right" textRotation="90" readingOrder="2"/>
    </xf>
    <xf numFmtId="0" fontId="28" fillId="2" borderId="135" xfId="0" applyFont="1" applyFill="1" applyBorder="1" applyAlignment="1">
      <alignment horizontal="right" textRotation="90" readingOrder="2"/>
    </xf>
    <xf numFmtId="0" fontId="51" fillId="2" borderId="136" xfId="0" applyFont="1" applyFill="1" applyBorder="1" applyAlignment="1">
      <alignment horizontal="right" textRotation="90" wrapText="1" readingOrder="2"/>
    </xf>
    <xf numFmtId="164" fontId="39" fillId="2" borderId="0" xfId="0" applyNumberFormat="1" applyFont="1" applyFill="1" applyAlignment="1">
      <alignment horizontal="left" vertical="center"/>
    </xf>
    <xf numFmtId="3" fontId="39" fillId="2" borderId="11" xfId="1" applyNumberFormat="1" applyFont="1" applyFill="1" applyBorder="1" applyAlignment="1" applyProtection="1">
      <alignment horizontal="left" vertical="center" wrapText="1"/>
    </xf>
    <xf numFmtId="3" fontId="39" fillId="2" borderId="0" xfId="1" applyNumberFormat="1" applyFont="1" applyFill="1" applyBorder="1" applyAlignment="1" applyProtection="1">
      <alignment horizontal="left" vertical="center" wrapText="1"/>
    </xf>
    <xf numFmtId="164" fontId="75" fillId="2" borderId="0" xfId="0" applyNumberFormat="1" applyFont="1" applyFill="1"/>
    <xf numFmtId="164" fontId="33" fillId="2" borderId="0" xfId="0" applyNumberFormat="1" applyFont="1" applyFill="1" applyAlignment="1">
      <alignment horizontal="left" vertical="center" indent="1"/>
    </xf>
    <xf numFmtId="3" fontId="33" fillId="2" borderId="11" xfId="1" applyNumberFormat="1" applyFont="1" applyFill="1" applyBorder="1" applyAlignment="1">
      <alignment horizontal="left" vertical="center"/>
    </xf>
    <xf numFmtId="3" fontId="33" fillId="2" borderId="0" xfId="1" applyNumberFormat="1" applyFont="1" applyFill="1" applyBorder="1" applyAlignment="1">
      <alignment horizontal="left" vertical="center"/>
    </xf>
    <xf numFmtId="3" fontId="33" fillId="2" borderId="10" xfId="1" applyNumberFormat="1" applyFont="1" applyFill="1" applyBorder="1" applyAlignment="1">
      <alignment horizontal="left" vertical="center"/>
    </xf>
    <xf numFmtId="3" fontId="33" fillId="2" borderId="94" xfId="1" applyNumberFormat="1" applyFont="1" applyFill="1" applyBorder="1" applyAlignment="1">
      <alignment horizontal="right" vertical="center"/>
    </xf>
    <xf numFmtId="3" fontId="33" fillId="2" borderId="0" xfId="1" applyNumberFormat="1" applyFont="1" applyFill="1" applyBorder="1" applyAlignment="1" applyProtection="1">
      <alignment horizontal="right" vertical="center" wrapText="1"/>
    </xf>
    <xf numFmtId="3" fontId="33" fillId="2" borderId="94" xfId="1" applyNumberFormat="1" applyFont="1" applyFill="1" applyBorder="1" applyAlignment="1">
      <alignment horizontal="center" vertical="center"/>
    </xf>
    <xf numFmtId="3" fontId="33" fillId="2" borderId="0" xfId="1" applyNumberFormat="1" applyFont="1" applyFill="1" applyBorder="1" applyAlignment="1" applyProtection="1">
      <alignment horizontal="center" vertical="center" wrapText="1"/>
    </xf>
    <xf numFmtId="3" fontId="0" fillId="2" borderId="94" xfId="1" applyNumberFormat="1" applyFont="1" applyFill="1" applyBorder="1" applyAlignment="1">
      <alignment horizontal="center" vertical="center"/>
    </xf>
    <xf numFmtId="3" fontId="0" fillId="2" borderId="0" xfId="1" applyNumberFormat="1" applyFont="1" applyFill="1" applyBorder="1" applyAlignment="1" applyProtection="1">
      <alignment horizontal="center" vertical="center" wrapText="1"/>
    </xf>
    <xf numFmtId="3" fontId="0" fillId="2" borderId="0" xfId="1" applyNumberFormat="1" applyFont="1" applyFill="1" applyBorder="1" applyAlignment="1">
      <alignment horizontal="center" vertical="center"/>
    </xf>
    <xf numFmtId="3" fontId="1" fillId="2" borderId="94" xfId="1" applyNumberFormat="1" applyFont="1" applyFill="1" applyBorder="1" applyAlignment="1">
      <alignment horizontal="center" vertical="center"/>
    </xf>
    <xf numFmtId="3" fontId="1" fillId="2" borderId="0" xfId="1" applyNumberFormat="1" applyFont="1" applyFill="1" applyBorder="1" applyAlignment="1" applyProtection="1">
      <alignment horizontal="center" vertical="center" wrapText="1"/>
    </xf>
    <xf numFmtId="164" fontId="66" fillId="2" borderId="0" xfId="0" applyNumberFormat="1" applyFont="1" applyFill="1"/>
    <xf numFmtId="164" fontId="33" fillId="2" borderId="0" xfId="0" applyNumberFormat="1" applyFont="1" applyFill="1" applyAlignment="1">
      <alignment horizontal="left" vertical="center" wrapText="1" indent="1"/>
    </xf>
    <xf numFmtId="164" fontId="79" fillId="2" borderId="0" xfId="0" applyNumberFormat="1" applyFont="1" applyFill="1" applyAlignment="1">
      <alignment horizontal="right" vertical="center"/>
    </xf>
    <xf numFmtId="3" fontId="0" fillId="2" borderId="94" xfId="1" applyNumberFormat="1" applyFont="1" applyFill="1" applyBorder="1" applyAlignment="1">
      <alignment horizontal="left" vertical="center" indent="1"/>
    </xf>
    <xf numFmtId="3" fontId="33" fillId="2" borderId="8" xfId="1" applyNumberFormat="1" applyFont="1" applyFill="1" applyBorder="1" applyAlignment="1">
      <alignment horizontal="left" vertical="center"/>
    </xf>
    <xf numFmtId="3" fontId="33" fillId="2" borderId="2" xfId="1" applyNumberFormat="1" applyFont="1" applyFill="1" applyBorder="1" applyAlignment="1">
      <alignment horizontal="left" vertical="center"/>
    </xf>
    <xf numFmtId="3" fontId="33" fillId="2" borderId="96" xfId="1" applyNumberFormat="1" applyFont="1" applyFill="1" applyBorder="1" applyAlignment="1">
      <alignment horizontal="left" vertical="center"/>
    </xf>
    <xf numFmtId="3" fontId="33" fillId="2" borderId="95" xfId="1" applyNumberFormat="1" applyFont="1" applyFill="1" applyBorder="1" applyAlignment="1">
      <alignment horizontal="right" vertical="center"/>
    </xf>
    <xf numFmtId="3" fontId="33" fillId="2" borderId="2" xfId="1" applyNumberFormat="1" applyFont="1" applyFill="1" applyBorder="1" applyAlignment="1" applyProtection="1">
      <alignment horizontal="right" vertical="center" wrapText="1"/>
    </xf>
    <xf numFmtId="3" fontId="33" fillId="2" borderId="96" xfId="1" applyNumberFormat="1" applyFont="1" applyFill="1" applyBorder="1" applyAlignment="1" applyProtection="1">
      <alignment horizontal="right" vertical="center" wrapText="1"/>
    </xf>
    <xf numFmtId="3" fontId="33" fillId="2" borderId="95" xfId="1" applyNumberFormat="1" applyFont="1" applyFill="1" applyBorder="1" applyAlignment="1">
      <alignment horizontal="center" vertical="center"/>
    </xf>
    <xf numFmtId="3" fontId="33" fillId="2" borderId="2" xfId="1" applyNumberFormat="1" applyFont="1" applyFill="1" applyBorder="1" applyAlignment="1" applyProtection="1">
      <alignment horizontal="center" vertical="center" wrapText="1"/>
    </xf>
    <xf numFmtId="3" fontId="33" fillId="2" borderId="96" xfId="1" applyNumberFormat="1" applyFont="1" applyFill="1" applyBorder="1" applyAlignment="1" applyProtection="1">
      <alignment horizontal="center" vertical="center" wrapText="1"/>
    </xf>
    <xf numFmtId="3" fontId="0" fillId="2" borderId="95" xfId="1" applyNumberFormat="1" applyFont="1" applyFill="1" applyBorder="1" applyAlignment="1">
      <alignment horizontal="center" vertical="center"/>
    </xf>
    <xf numFmtId="3" fontId="0" fillId="2" borderId="2" xfId="1" applyNumberFormat="1" applyFont="1" applyFill="1" applyBorder="1" applyAlignment="1" applyProtection="1">
      <alignment horizontal="center" vertical="center" wrapText="1"/>
    </xf>
    <xf numFmtId="3" fontId="0" fillId="2" borderId="96" xfId="1" applyNumberFormat="1" applyFont="1" applyFill="1" applyBorder="1" applyAlignment="1" applyProtection="1">
      <alignment horizontal="center" vertical="center" wrapText="1"/>
    </xf>
    <xf numFmtId="3" fontId="33" fillId="2" borderId="0" xfId="1" applyNumberFormat="1" applyFont="1" applyFill="1" applyBorder="1" applyAlignment="1">
      <alignment horizontal="center" vertical="center"/>
    </xf>
    <xf numFmtId="3" fontId="0" fillId="2" borderId="95" xfId="1" applyNumberFormat="1" applyFont="1" applyFill="1" applyBorder="1" applyAlignment="1">
      <alignment horizontal="left" vertical="center" indent="1"/>
    </xf>
    <xf numFmtId="3" fontId="33" fillId="2" borderId="2" xfId="1" applyNumberFormat="1" applyFont="1" applyFill="1" applyBorder="1" applyAlignment="1">
      <alignment horizontal="center" vertical="center"/>
    </xf>
    <xf numFmtId="3" fontId="0" fillId="2" borderId="2" xfId="1" applyNumberFormat="1" applyFont="1" applyFill="1" applyBorder="1" applyAlignment="1">
      <alignment horizontal="center" vertical="center"/>
    </xf>
    <xf numFmtId="3" fontId="1" fillId="2" borderId="95" xfId="1" applyNumberFormat="1" applyFont="1" applyFill="1" applyBorder="1" applyAlignment="1">
      <alignment horizontal="center" vertical="center"/>
    </xf>
    <xf numFmtId="3" fontId="1" fillId="2" borderId="2" xfId="1" applyNumberFormat="1" applyFont="1" applyFill="1" applyBorder="1" applyAlignment="1" applyProtection="1">
      <alignment horizontal="center" vertical="center" wrapText="1"/>
    </xf>
    <xf numFmtId="3" fontId="1" fillId="2" borderId="96" xfId="1" applyNumberFormat="1" applyFont="1" applyFill="1" applyBorder="1" applyAlignment="1" applyProtection="1">
      <alignment horizontal="center" vertical="center" wrapText="1"/>
    </xf>
    <xf numFmtId="164" fontId="23" fillId="2" borderId="0" xfId="0" applyNumberFormat="1" applyFont="1" applyFill="1" applyAlignment="1">
      <alignment vertical="center"/>
    </xf>
    <xf numFmtId="164" fontId="38" fillId="2" borderId="0" xfId="0" applyNumberFormat="1" applyFont="1" applyFill="1" applyAlignment="1">
      <alignment vertical="center"/>
    </xf>
    <xf numFmtId="164" fontId="21" fillId="2" borderId="0" xfId="0" applyNumberFormat="1" applyFont="1" applyFill="1"/>
    <xf numFmtId="164" fontId="21" fillId="2" borderId="0" xfId="0" applyNumberFormat="1" applyFont="1" applyFill="1" applyAlignment="1">
      <alignment horizontal="center"/>
    </xf>
    <xf numFmtId="164" fontId="7" fillId="2" borderId="0" xfId="0" applyNumberFormat="1" applyFont="1" applyFill="1" applyAlignment="1">
      <alignment horizontal="center"/>
    </xf>
    <xf numFmtId="164" fontId="81" fillId="2" borderId="4" xfId="0" applyNumberFormat="1" applyFont="1" applyFill="1" applyBorder="1" applyAlignment="1">
      <alignment horizontal="right" vertical="center"/>
    </xf>
    <xf numFmtId="164" fontId="66" fillId="2" borderId="0" xfId="0" applyNumberFormat="1" applyFont="1" applyFill="1" applyAlignment="1">
      <alignment horizontal="center"/>
    </xf>
    <xf numFmtId="164" fontId="82" fillId="2" borderId="0" xfId="0" applyNumberFormat="1" applyFont="1" applyFill="1"/>
    <xf numFmtId="164" fontId="82" fillId="2" borderId="0" xfId="0" applyNumberFormat="1" applyFont="1" applyFill="1" applyAlignment="1">
      <alignment horizontal="center"/>
    </xf>
    <xf numFmtId="0" fontId="51" fillId="2" borderId="0" xfId="0" applyFont="1" applyFill="1" applyAlignment="1">
      <alignment horizontal="right" vertical="center" indent="2"/>
    </xf>
    <xf numFmtId="0" fontId="49" fillId="2" borderId="0" xfId="0" applyFont="1" applyFill="1" applyAlignment="1">
      <alignment horizontal="right" vertical="center" indent="2"/>
    </xf>
    <xf numFmtId="0" fontId="59" fillId="2" borderId="0" xfId="0" applyFont="1" applyFill="1" applyAlignment="1">
      <alignment horizontal="right" vertical="center"/>
    </xf>
    <xf numFmtId="0" fontId="0" fillId="2" borderId="0" xfId="0" applyFill="1" applyAlignment="1">
      <alignment horizontal="right" vertical="center" readingOrder="2"/>
    </xf>
    <xf numFmtId="0" fontId="0" fillId="2" borderId="0" xfId="0" applyFill="1" applyAlignment="1">
      <alignment horizontal="right" vertical="center"/>
    </xf>
    <xf numFmtId="0" fontId="51" fillId="2" borderId="2" xfId="0" applyFont="1" applyFill="1" applyBorder="1" applyAlignment="1">
      <alignment horizontal="right" vertical="center" indent="2"/>
    </xf>
    <xf numFmtId="0" fontId="11" fillId="2" borderId="0" xfId="0" applyFont="1" applyFill="1" applyAlignment="1">
      <alignment horizontal="left" vertical="center" indent="2"/>
    </xf>
    <xf numFmtId="0" fontId="59" fillId="2" borderId="0" xfId="0" applyFont="1" applyFill="1" applyAlignment="1">
      <alignment vertical="center"/>
    </xf>
    <xf numFmtId="0" fontId="2" fillId="2" borderId="2" xfId="0" applyFont="1" applyFill="1" applyBorder="1" applyAlignment="1">
      <alignment horizontal="center" vertical="center" wrapText="1"/>
    </xf>
    <xf numFmtId="0" fontId="83" fillId="2" borderId="0" xfId="0" applyFont="1" applyFill="1" applyAlignment="1">
      <alignment horizontal="right" vertical="center"/>
    </xf>
    <xf numFmtId="0" fontId="83" fillId="2" borderId="0" xfId="0" applyFont="1" applyFill="1"/>
    <xf numFmtId="0" fontId="84" fillId="2" borderId="0" xfId="0" applyFont="1" applyFill="1" applyAlignment="1">
      <alignment wrapText="1"/>
    </xf>
    <xf numFmtId="0" fontId="83" fillId="2" borderId="0" xfId="0" applyFont="1" applyFill="1" applyAlignment="1">
      <alignment wrapText="1"/>
    </xf>
    <xf numFmtId="3" fontId="85" fillId="2" borderId="0" xfId="6" applyNumberFormat="1" applyFont="1" applyFill="1"/>
    <xf numFmtId="1" fontId="2" fillId="2" borderId="0" xfId="0" applyNumberFormat="1" applyFont="1" applyFill="1" applyAlignment="1">
      <alignment horizontal="center" vertical="center" wrapText="1"/>
    </xf>
    <xf numFmtId="0" fontId="0" fillId="2" borderId="2" xfId="0" applyFill="1" applyBorder="1" applyAlignment="1">
      <alignment horizontal="center"/>
    </xf>
    <xf numFmtId="0" fontId="84" fillId="2" borderId="2" xfId="0" applyFont="1" applyFill="1" applyBorder="1" applyAlignment="1">
      <alignment wrapText="1"/>
    </xf>
    <xf numFmtId="0" fontId="44" fillId="2" borderId="0" xfId="0" applyFont="1" applyFill="1"/>
    <xf numFmtId="0" fontId="60" fillId="2" borderId="0" xfId="0" applyFont="1" applyFill="1"/>
    <xf numFmtId="0" fontId="51" fillId="2" borderId="0" xfId="0" applyFont="1" applyFill="1"/>
    <xf numFmtId="0" fontId="86" fillId="2" borderId="2" xfId="0" applyFont="1" applyFill="1" applyBorder="1" applyAlignment="1">
      <alignment horizontal="center"/>
    </xf>
    <xf numFmtId="0" fontId="87" fillId="2" borderId="0" xfId="0" applyFont="1" applyFill="1" applyAlignment="1">
      <alignment vertical="center"/>
    </xf>
    <xf numFmtId="0" fontId="0" fillId="3" borderId="0" xfId="0" applyFill="1" applyAlignment="1">
      <alignment horizontal="left" vertical="center" indent="1"/>
    </xf>
    <xf numFmtId="0" fontId="0" fillId="3" borderId="2" xfId="0" applyFill="1" applyBorder="1" applyAlignment="1">
      <alignment horizontal="left" vertical="center" indent="1"/>
    </xf>
    <xf numFmtId="0" fontId="2" fillId="2" borderId="8" xfId="0" applyFont="1" applyFill="1" applyBorder="1" applyAlignment="1">
      <alignment horizontal="center" vertical="center"/>
    </xf>
    <xf numFmtId="0" fontId="2" fillId="2" borderId="95" xfId="0" applyFont="1" applyFill="1" applyBorder="1" applyAlignment="1">
      <alignment horizontal="center" vertical="center"/>
    </xf>
    <xf numFmtId="0" fontId="0" fillId="2" borderId="11" xfId="0" applyFill="1" applyBorder="1" applyAlignment="1">
      <alignment horizontal="center" vertical="center"/>
    </xf>
    <xf numFmtId="0" fontId="0" fillId="2" borderId="94" xfId="0" applyFill="1" applyBorder="1" applyAlignment="1">
      <alignment horizontal="center" vertical="center"/>
    </xf>
    <xf numFmtId="0" fontId="0" fillId="2" borderId="10" xfId="0"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0" fillId="2" borderId="95" xfId="0" applyFill="1" applyBorder="1" applyAlignment="1">
      <alignment horizontal="center" vertical="center"/>
    </xf>
    <xf numFmtId="0" fontId="0" fillId="2" borderId="7" xfId="0" applyFill="1" applyBorder="1" applyAlignment="1">
      <alignment horizontal="center" vertical="center"/>
    </xf>
    <xf numFmtId="0" fontId="89" fillId="2" borderId="44" xfId="0" applyFont="1" applyFill="1" applyBorder="1"/>
    <xf numFmtId="0" fontId="90" fillId="2" borderId="0" xfId="0" applyFont="1" applyFill="1" applyAlignment="1">
      <alignment horizontal="left" vertical="center" indent="1"/>
    </xf>
    <xf numFmtId="0" fontId="90" fillId="2" borderId="0" xfId="0" applyFont="1" applyFill="1"/>
    <xf numFmtId="0" fontId="90" fillId="2" borderId="2" xfId="0" applyFont="1" applyFill="1" applyBorder="1" applyAlignment="1">
      <alignment horizontal="left" vertical="center" indent="1"/>
    </xf>
    <xf numFmtId="0" fontId="90" fillId="2" borderId="2" xfId="0" applyFont="1" applyFill="1" applyBorder="1"/>
    <xf numFmtId="3" fontId="2" fillId="2" borderId="9" xfId="0" applyNumberFormat="1" applyFont="1" applyFill="1" applyBorder="1" applyAlignment="1">
      <alignment horizontal="right" vertical="center"/>
    </xf>
    <xf numFmtId="164" fontId="56" fillId="2" borderId="4" xfId="0" applyNumberFormat="1" applyFont="1" applyFill="1" applyBorder="1" applyAlignment="1">
      <alignment horizontal="right" vertical="center"/>
    </xf>
    <xf numFmtId="3" fontId="0" fillId="2" borderId="71" xfId="0" applyNumberFormat="1" applyFill="1" applyBorder="1" applyAlignment="1">
      <alignment horizontal="right" vertical="center"/>
    </xf>
    <xf numFmtId="164" fontId="0" fillId="2" borderId="52" xfId="0" applyNumberFormat="1" applyFill="1" applyBorder="1"/>
    <xf numFmtId="164" fontId="0" fillId="2" borderId="54" xfId="0" applyNumberFormat="1" applyFill="1" applyBorder="1"/>
    <xf numFmtId="164" fontId="93" fillId="2" borderId="78" xfId="0" applyNumberFormat="1" applyFont="1" applyFill="1" applyBorder="1" applyAlignment="1">
      <alignment horizontal="right" vertical="center"/>
    </xf>
    <xf numFmtId="164" fontId="93" fillId="2" borderId="140" xfId="0" applyNumberFormat="1" applyFont="1" applyFill="1" applyBorder="1" applyAlignment="1">
      <alignment horizontal="right" vertical="center"/>
    </xf>
    <xf numFmtId="164" fontId="93" fillId="2" borderId="0" xfId="0" applyNumberFormat="1" applyFont="1" applyFill="1" applyAlignment="1">
      <alignment horizontal="right" vertical="center"/>
    </xf>
    <xf numFmtId="164" fontId="8" fillId="2" borderId="142" xfId="0" applyNumberFormat="1" applyFont="1" applyFill="1" applyBorder="1" applyAlignment="1">
      <alignment horizontal="right" vertical="center"/>
    </xf>
    <xf numFmtId="164" fontId="8" fillId="2" borderId="141" xfId="0" applyNumberFormat="1" applyFont="1" applyFill="1" applyBorder="1" applyAlignment="1">
      <alignment horizontal="right" vertical="center"/>
    </xf>
    <xf numFmtId="164" fontId="8" fillId="2" borderId="48" xfId="0" applyNumberFormat="1" applyFont="1" applyFill="1" applyBorder="1" applyAlignment="1">
      <alignment horizontal="right" vertical="center"/>
    </xf>
    <xf numFmtId="164" fontId="10" fillId="2" borderId="54" xfId="0" applyNumberFormat="1" applyFont="1" applyFill="1" applyBorder="1"/>
    <xf numFmtId="164" fontId="10" fillId="2" borderId="52" xfId="0" applyNumberFormat="1" applyFont="1" applyFill="1" applyBorder="1"/>
    <xf numFmtId="37" fontId="39" fillId="2" borderId="140" xfId="0" applyNumberFormat="1" applyFont="1" applyFill="1" applyBorder="1" applyAlignment="1">
      <alignment horizontal="right" vertical="center"/>
    </xf>
    <xf numFmtId="37" fontId="39" fillId="2" borderId="143" xfId="0" applyNumberFormat="1" applyFont="1" applyFill="1" applyBorder="1" applyAlignment="1">
      <alignment horizontal="right" vertical="center"/>
    </xf>
    <xf numFmtId="37" fontId="39" fillId="2" borderId="87" xfId="0" applyNumberFormat="1" applyFont="1" applyFill="1" applyBorder="1" applyAlignment="1">
      <alignment horizontal="right" vertical="center"/>
    </xf>
    <xf numFmtId="164" fontId="33" fillId="2" borderId="143" xfId="0" applyNumberFormat="1" applyFont="1" applyFill="1" applyBorder="1" applyAlignment="1">
      <alignment horizontal="right" vertical="center"/>
    </xf>
    <xf numFmtId="164" fontId="33" fillId="2" borderId="87" xfId="0" applyNumberFormat="1" applyFont="1" applyFill="1" applyBorder="1" applyAlignment="1">
      <alignment horizontal="right" vertical="center"/>
    </xf>
    <xf numFmtId="37" fontId="39" fillId="2" borderId="142" xfId="0" applyNumberFormat="1" applyFont="1" applyFill="1" applyBorder="1" applyAlignment="1">
      <alignment horizontal="right" vertical="center"/>
    </xf>
    <xf numFmtId="164" fontId="33" fillId="2" borderId="141" xfId="0" applyNumberFormat="1" applyFont="1" applyFill="1" applyBorder="1" applyAlignment="1">
      <alignment horizontal="right" vertical="center"/>
    </xf>
    <xf numFmtId="164" fontId="33" fillId="2" borderId="48" xfId="0" applyNumberFormat="1" applyFont="1" applyFill="1" applyBorder="1" applyAlignment="1">
      <alignment horizontal="right" vertical="center"/>
    </xf>
    <xf numFmtId="164" fontId="27" fillId="2" borderId="53" xfId="0" applyNumberFormat="1" applyFont="1" applyFill="1" applyBorder="1" applyAlignment="1">
      <alignment horizontal="left" vertical="center"/>
    </xf>
    <xf numFmtId="164" fontId="54" fillId="2" borderId="4" xfId="0" applyNumberFormat="1" applyFont="1" applyFill="1" applyBorder="1"/>
    <xf numFmtId="164" fontId="94" fillId="2" borderId="4" xfId="0" applyNumberFormat="1" applyFont="1" applyFill="1" applyBorder="1" applyAlignment="1">
      <alignment horizontal="right"/>
    </xf>
    <xf numFmtId="164" fontId="56" fillId="2" borderId="0" xfId="0" applyNumberFormat="1" applyFont="1" applyFill="1" applyAlignment="1">
      <alignment horizontal="right" vertical="center"/>
    </xf>
    <xf numFmtId="164" fontId="54" fillId="2" borderId="54" xfId="0" applyNumberFormat="1" applyFont="1" applyFill="1" applyBorder="1" applyAlignment="1">
      <alignment horizontal="left" vertical="center"/>
    </xf>
    <xf numFmtId="164" fontId="54" fillId="2" borderId="54" xfId="0" applyNumberFormat="1" applyFont="1" applyFill="1" applyBorder="1" applyAlignment="1">
      <alignment horizontal="left" vertical="center" wrapText="1"/>
    </xf>
    <xf numFmtId="164" fontId="8" fillId="2" borderId="0" xfId="0" applyNumberFormat="1" applyFont="1" applyFill="1" applyAlignment="1">
      <alignment horizontal="center" vertical="top"/>
    </xf>
    <xf numFmtId="164" fontId="8" fillId="2" borderId="42" xfId="0" applyNumberFormat="1" applyFont="1" applyFill="1" applyBorder="1" applyAlignment="1">
      <alignment horizontal="center" vertical="center"/>
    </xf>
    <xf numFmtId="164" fontId="8" fillId="2" borderId="0" xfId="0" applyNumberFormat="1" applyFont="1" applyFill="1" applyAlignment="1">
      <alignment horizontal="center" vertical="center"/>
    </xf>
    <xf numFmtId="164" fontId="8" fillId="2" borderId="94" xfId="0" applyNumberFormat="1" applyFont="1" applyFill="1" applyBorder="1" applyAlignment="1">
      <alignment horizontal="center" vertical="center"/>
    </xf>
    <xf numFmtId="164" fontId="8" fillId="2" borderId="0" xfId="0" applyNumberFormat="1" applyFont="1" applyFill="1" applyAlignment="1">
      <alignment horizontal="right" vertical="center"/>
    </xf>
    <xf numFmtId="164" fontId="97" fillId="2" borderId="0" xfId="0" applyNumberFormat="1" applyFont="1" applyFill="1" applyAlignment="1">
      <alignment horizontal="center" vertical="center"/>
    </xf>
    <xf numFmtId="164" fontId="96" fillId="2" borderId="2" xfId="0" applyNumberFormat="1" applyFont="1" applyFill="1" applyBorder="1" applyAlignment="1">
      <alignment horizontal="right" vertical="center"/>
    </xf>
    <xf numFmtId="164" fontId="34" fillId="2" borderId="2" xfId="0" applyNumberFormat="1" applyFont="1" applyFill="1" applyBorder="1" applyAlignment="1">
      <alignment horizontal="center" vertical="center"/>
    </xf>
    <xf numFmtId="164" fontId="34" fillId="2" borderId="2" xfId="0" applyNumberFormat="1" applyFont="1" applyFill="1" applyBorder="1" applyAlignment="1">
      <alignment horizontal="right" vertical="center"/>
    </xf>
    <xf numFmtId="164" fontId="96" fillId="2" borderId="95" xfId="0" applyNumberFormat="1" applyFont="1" applyFill="1" applyBorder="1" applyAlignment="1">
      <alignment horizontal="right" vertical="center"/>
    </xf>
    <xf numFmtId="164" fontId="52" fillId="2" borderId="0" xfId="0" applyNumberFormat="1" applyFont="1" applyFill="1" applyAlignment="1">
      <alignment horizontal="right"/>
    </xf>
    <xf numFmtId="164" fontId="8" fillId="2" borderId="42" xfId="0" applyNumberFormat="1" applyFont="1" applyFill="1" applyBorder="1" applyAlignment="1">
      <alignment horizontal="left" vertical="center"/>
    </xf>
    <xf numFmtId="3" fontId="8" fillId="2" borderId="42" xfId="0" applyNumberFormat="1" applyFont="1" applyFill="1" applyBorder="1" applyAlignment="1">
      <alignment horizontal="right" vertical="center"/>
    </xf>
    <xf numFmtId="3" fontId="19" fillId="2" borderId="42" xfId="0" applyNumberFormat="1" applyFont="1" applyFill="1" applyBorder="1" applyAlignment="1">
      <alignment horizontal="right" vertical="center"/>
    </xf>
    <xf numFmtId="3" fontId="8" fillId="2" borderId="92" xfId="0" applyNumberFormat="1" applyFont="1" applyFill="1" applyBorder="1" applyAlignment="1">
      <alignment horizontal="right" vertical="center"/>
    </xf>
    <xf numFmtId="164" fontId="98" fillId="2" borderId="42" xfId="0" applyNumberFormat="1" applyFont="1" applyFill="1" applyBorder="1" applyAlignment="1">
      <alignment horizontal="right" vertical="center"/>
    </xf>
    <xf numFmtId="164" fontId="8" fillId="2" borderId="0" xfId="0" applyNumberFormat="1" applyFont="1" applyFill="1" applyAlignment="1">
      <alignment horizontal="right"/>
    </xf>
    <xf numFmtId="164" fontId="10" fillId="2" borderId="0" xfId="0" applyNumberFormat="1" applyFont="1" applyFill="1" applyAlignment="1">
      <alignment horizontal="left" vertical="center" indent="1"/>
    </xf>
    <xf numFmtId="3" fontId="8" fillId="2" borderId="94" xfId="0" applyNumberFormat="1" applyFont="1" applyFill="1" applyBorder="1" applyAlignment="1">
      <alignment horizontal="right" vertical="center"/>
    </xf>
    <xf numFmtId="164" fontId="99" fillId="2" borderId="0" xfId="0" applyNumberFormat="1" applyFont="1" applyFill="1" applyAlignment="1">
      <alignment horizontal="right" vertical="center" indent="1"/>
    </xf>
    <xf numFmtId="164" fontId="10" fillId="2" borderId="33" xfId="0" applyNumberFormat="1" applyFont="1" applyFill="1" applyBorder="1" applyAlignment="1">
      <alignment horizontal="left" vertical="center" indent="1"/>
    </xf>
    <xf numFmtId="3" fontId="19" fillId="2" borderId="33" xfId="0" applyNumberFormat="1" applyFont="1" applyFill="1" applyBorder="1" applyAlignment="1">
      <alignment horizontal="right" vertical="center"/>
    </xf>
    <xf numFmtId="3" fontId="10" fillId="2" borderId="33" xfId="0" applyNumberFormat="1" applyFont="1" applyFill="1" applyBorder="1" applyAlignment="1">
      <alignment horizontal="right" vertical="center"/>
    </xf>
    <xf numFmtId="3" fontId="6" fillId="2" borderId="33" xfId="0" applyNumberFormat="1" applyFont="1" applyFill="1" applyBorder="1" applyAlignment="1">
      <alignment horizontal="right" vertical="center"/>
    </xf>
    <xf numFmtId="3" fontId="8" fillId="2" borderId="145" xfId="0" applyNumberFormat="1" applyFont="1" applyFill="1" applyBorder="1" applyAlignment="1">
      <alignment horizontal="right" vertical="center"/>
    </xf>
    <xf numFmtId="164" fontId="99" fillId="2" borderId="33" xfId="0" applyNumberFormat="1" applyFont="1" applyFill="1" applyBorder="1" applyAlignment="1">
      <alignment horizontal="right" vertical="center" indent="1"/>
    </xf>
    <xf numFmtId="164" fontId="19" fillId="2" borderId="0" xfId="0" applyNumberFormat="1" applyFont="1" applyFill="1" applyAlignment="1">
      <alignment horizontal="left" vertical="center"/>
    </xf>
    <xf numFmtId="3" fontId="19" fillId="2" borderId="94" xfId="0" applyNumberFormat="1" applyFont="1" applyFill="1" applyBorder="1" applyAlignment="1">
      <alignment horizontal="right" vertical="center"/>
    </xf>
    <xf numFmtId="164" fontId="98" fillId="2" borderId="0" xfId="0" applyNumberFormat="1" applyFont="1" applyFill="1" applyAlignment="1">
      <alignment horizontal="right" vertical="center"/>
    </xf>
    <xf numFmtId="164" fontId="19" fillId="2" borderId="0" xfId="0" applyNumberFormat="1" applyFont="1" applyFill="1" applyAlignment="1">
      <alignment horizontal="right" vertical="center"/>
    </xf>
    <xf numFmtId="1" fontId="19" fillId="2" borderId="0" xfId="0" applyNumberFormat="1" applyFont="1" applyFill="1" applyAlignment="1">
      <alignment horizontal="right" vertical="center"/>
    </xf>
    <xf numFmtId="3" fontId="6" fillId="2" borderId="0" xfId="10" applyNumberFormat="1" applyFont="1" applyFill="1" applyAlignment="1">
      <alignment horizontal="right" vertical="center"/>
    </xf>
    <xf numFmtId="165" fontId="6" fillId="2" borderId="0" xfId="0" applyNumberFormat="1" applyFont="1" applyFill="1" applyAlignment="1">
      <alignment horizontal="right" vertical="center"/>
    </xf>
    <xf numFmtId="1" fontId="6" fillId="2" borderId="0" xfId="0" applyNumberFormat="1" applyFont="1" applyFill="1" applyAlignment="1">
      <alignment horizontal="right" vertical="center"/>
    </xf>
    <xf numFmtId="1" fontId="6" fillId="2" borderId="0" xfId="10" applyNumberFormat="1" applyFont="1" applyFill="1" applyAlignment="1">
      <alignment horizontal="right" vertical="center"/>
    </xf>
    <xf numFmtId="164" fontId="6" fillId="2" borderId="33" xfId="0" applyNumberFormat="1" applyFont="1" applyFill="1" applyBorder="1" applyAlignment="1">
      <alignment horizontal="left" vertical="center" indent="1"/>
    </xf>
    <xf numFmtId="3" fontId="6" fillId="2" borderId="33" xfId="10" applyNumberFormat="1" applyFont="1" applyFill="1" applyBorder="1" applyAlignment="1">
      <alignment horizontal="right" vertical="center"/>
    </xf>
    <xf numFmtId="3" fontId="19" fillId="2" borderId="145" xfId="0" applyNumberFormat="1" applyFont="1" applyFill="1" applyBorder="1" applyAlignment="1">
      <alignment horizontal="right" vertical="center"/>
    </xf>
    <xf numFmtId="3" fontId="10" fillId="2" borderId="0" xfId="10" applyNumberFormat="1" applyFont="1" applyFill="1" applyAlignment="1">
      <alignment horizontal="right" vertical="center"/>
    </xf>
    <xf numFmtId="3" fontId="100" fillId="2" borderId="0" xfId="0" applyNumberFormat="1" applyFont="1" applyFill="1" applyAlignment="1">
      <alignment horizontal="right" vertical="center"/>
    </xf>
    <xf numFmtId="165" fontId="10" fillId="2" borderId="0" xfId="0" applyNumberFormat="1" applyFont="1" applyFill="1" applyAlignment="1">
      <alignment horizontal="right" vertical="center"/>
    </xf>
    <xf numFmtId="1" fontId="10" fillId="2" borderId="0" xfId="0" applyNumberFormat="1" applyFont="1" applyFill="1" applyAlignment="1">
      <alignment horizontal="right" vertical="center"/>
    </xf>
    <xf numFmtId="1" fontId="10" fillId="2" borderId="0" xfId="10" applyNumberFormat="1" applyFont="1" applyFill="1" applyAlignment="1">
      <alignment horizontal="right" vertical="center"/>
    </xf>
    <xf numFmtId="3" fontId="6" fillId="2" borderId="0" xfId="10" quotePrefix="1" applyNumberFormat="1" applyFont="1" applyFill="1" applyAlignment="1">
      <alignment horizontal="right" vertical="center"/>
    </xf>
    <xf numFmtId="1" fontId="10" fillId="2" borderId="0" xfId="10" quotePrefix="1" applyNumberFormat="1" applyFont="1" applyFill="1" applyAlignment="1">
      <alignment horizontal="right" vertical="center"/>
    </xf>
    <xf numFmtId="164" fontId="10" fillId="2" borderId="2" xfId="0" applyNumberFormat="1" applyFont="1" applyFill="1" applyBorder="1" applyAlignment="1">
      <alignment horizontal="left" vertical="center" indent="1"/>
    </xf>
    <xf numFmtId="3" fontId="10" fillId="2" borderId="2" xfId="10" applyNumberFormat="1" applyFont="1" applyFill="1" applyBorder="1" applyAlignment="1">
      <alignment horizontal="right" vertical="center"/>
    </xf>
    <xf numFmtId="3" fontId="6" fillId="2" borderId="2" xfId="10" applyNumberFormat="1" applyFont="1" applyFill="1" applyBorder="1" applyAlignment="1">
      <alignment horizontal="right" vertical="center"/>
    </xf>
    <xf numFmtId="3" fontId="8" fillId="2" borderId="95" xfId="0" applyNumberFormat="1" applyFont="1" applyFill="1" applyBorder="1" applyAlignment="1">
      <alignment horizontal="right" vertical="center"/>
    </xf>
    <xf numFmtId="164" fontId="99" fillId="2" borderId="2" xfId="0" applyNumberFormat="1" applyFont="1" applyFill="1" applyBorder="1" applyAlignment="1">
      <alignment horizontal="right" vertical="center" indent="1"/>
    </xf>
    <xf numFmtId="164" fontId="41" fillId="2" borderId="53" xfId="0" applyNumberFormat="1" applyFont="1" applyFill="1" applyBorder="1" applyAlignment="1">
      <alignment horizontal="left" vertical="center"/>
    </xf>
    <xf numFmtId="164" fontId="11" fillId="2" borderId="0" xfId="0" applyNumberFormat="1" applyFont="1" applyFill="1" applyAlignment="1">
      <alignment horizontal="left"/>
    </xf>
    <xf numFmtId="164" fontId="62" fillId="2" borderId="0" xfId="0" applyNumberFormat="1" applyFont="1" applyFill="1" applyAlignment="1">
      <alignment horizontal="right" vertical="center"/>
    </xf>
    <xf numFmtId="1" fontId="10" fillId="2" borderId="0" xfId="0" applyNumberFormat="1" applyFont="1" applyFill="1" applyAlignment="1">
      <alignment vertical="center"/>
    </xf>
    <xf numFmtId="0" fontId="73" fillId="2" borderId="0" xfId="0" applyFont="1" applyFill="1" applyAlignment="1">
      <alignment horizontal="center" vertical="center"/>
    </xf>
    <xf numFmtId="0" fontId="58" fillId="2" borderId="0" xfId="0" applyFont="1" applyFill="1" applyAlignment="1">
      <alignment horizontal="left" vertical="center"/>
    </xf>
    <xf numFmtId="0" fontId="101" fillId="2" borderId="0" xfId="0" applyFont="1" applyFill="1" applyAlignment="1">
      <alignment horizontal="center" vertical="center"/>
    </xf>
    <xf numFmtId="0" fontId="54" fillId="2" borderId="0" xfId="0" applyFont="1" applyFill="1" applyAlignment="1">
      <alignment horizontal="left" vertical="center"/>
    </xf>
    <xf numFmtId="0" fontId="41" fillId="2" borderId="0" xfId="0" applyFont="1" applyFill="1" applyAlignment="1">
      <alignment horizontal="left"/>
    </xf>
    <xf numFmtId="0" fontId="71" fillId="2" borderId="44" xfId="0" applyFont="1" applyFill="1" applyBorder="1" applyAlignment="1">
      <alignment wrapText="1"/>
    </xf>
    <xf numFmtId="0" fontId="51" fillId="2" borderId="0" xfId="0" applyFont="1" applyFill="1" applyAlignment="1">
      <alignment horizontal="right" vertical="center"/>
    </xf>
    <xf numFmtId="0" fontId="33" fillId="2" borderId="0" xfId="0" applyFont="1" applyFill="1" applyAlignment="1">
      <alignment horizontal="left" vertical="center" wrapText="1"/>
    </xf>
    <xf numFmtId="0" fontId="51" fillId="3" borderId="0" xfId="0" applyFont="1" applyFill="1"/>
    <xf numFmtId="0" fontId="102" fillId="2" borderId="0" xfId="0" applyFont="1" applyFill="1" applyAlignment="1">
      <alignment vertical="center" wrapText="1"/>
    </xf>
    <xf numFmtId="0" fontId="102" fillId="0" borderId="146" xfId="0" applyFont="1" applyBorder="1" applyAlignment="1">
      <alignment vertical="center" wrapText="1"/>
    </xf>
    <xf numFmtId="0" fontId="0" fillId="2" borderId="2" xfId="0" applyFill="1" applyBorder="1" applyAlignment="1">
      <alignment vertical="center"/>
    </xf>
    <xf numFmtId="0" fontId="103" fillId="2" borderId="0" xfId="0" applyFont="1" applyFill="1"/>
    <xf numFmtId="0" fontId="102" fillId="2" borderId="2" xfId="0" applyFont="1" applyFill="1" applyBorder="1" applyAlignment="1">
      <alignment vertical="center" wrapText="1"/>
    </xf>
    <xf numFmtId="0" fontId="34" fillId="2" borderId="44" xfId="0" applyFont="1" applyFill="1" applyBorder="1" applyAlignment="1">
      <alignment horizontal="right" vertical="center"/>
    </xf>
    <xf numFmtId="0" fontId="59" fillId="2" borderId="44" xfId="0" applyFont="1" applyFill="1" applyBorder="1" applyAlignment="1">
      <alignment wrapText="1"/>
    </xf>
    <xf numFmtId="170" fontId="2" fillId="2" borderId="0" xfId="1" applyNumberFormat="1" applyFont="1" applyFill="1" applyBorder="1" applyAlignment="1">
      <alignment horizontal="right" vertical="center"/>
    </xf>
    <xf numFmtId="0" fontId="59" fillId="2" borderId="0" xfId="0" applyFont="1" applyFill="1" applyAlignment="1">
      <alignment wrapText="1"/>
    </xf>
    <xf numFmtId="0" fontId="59" fillId="2" borderId="0" xfId="0" applyFont="1" applyFill="1" applyAlignment="1">
      <alignment horizontal="right"/>
    </xf>
    <xf numFmtId="0" fontId="0" fillId="3" borderId="0" xfId="0" applyFill="1" applyAlignment="1">
      <alignment horizontal="right"/>
    </xf>
    <xf numFmtId="0" fontId="51" fillId="2" borderId="0" xfId="0" applyFont="1" applyFill="1" applyAlignment="1">
      <alignment wrapText="1"/>
    </xf>
    <xf numFmtId="0" fontId="51" fillId="3" borderId="0" xfId="0" applyFont="1" applyFill="1" applyAlignment="1">
      <alignment vertical="center" wrapText="1"/>
    </xf>
    <xf numFmtId="0" fontId="0" fillId="3" borderId="0" xfId="0" applyFill="1" applyAlignment="1">
      <alignment horizontal="right" vertical="center"/>
    </xf>
    <xf numFmtId="0" fontId="51" fillId="3" borderId="2" xfId="0" applyFont="1" applyFill="1" applyBorder="1" applyAlignment="1">
      <alignment vertical="center" wrapText="1"/>
    </xf>
    <xf numFmtId="0" fontId="0" fillId="3" borderId="2" xfId="0" applyFill="1" applyBorder="1" applyAlignment="1">
      <alignment horizontal="right"/>
    </xf>
    <xf numFmtId="164" fontId="41" fillId="2" borderId="0" xfId="0" applyNumberFormat="1" applyFont="1" applyFill="1" applyAlignment="1">
      <alignment horizontal="left" vertical="center"/>
    </xf>
    <xf numFmtId="170" fontId="2" fillId="2" borderId="0" xfId="0" applyNumberFormat="1" applyFont="1" applyFill="1" applyAlignment="1">
      <alignment horizontal="right" vertical="center"/>
    </xf>
    <xf numFmtId="0" fontId="0" fillId="2" borderId="44" xfId="0" applyFill="1" applyBorder="1" applyAlignment="1">
      <alignment wrapText="1"/>
    </xf>
    <xf numFmtId="0" fontId="0" fillId="2" borderId="2" xfId="0" applyFill="1" applyBorder="1" applyAlignment="1">
      <alignment horizontal="right"/>
    </xf>
    <xf numFmtId="0" fontId="2" fillId="2" borderId="7" xfId="0" applyFont="1" applyFill="1" applyBorder="1" applyAlignment="1">
      <alignment vertical="center"/>
    </xf>
    <xf numFmtId="0" fontId="0" fillId="2" borderId="0" xfId="0" applyFill="1" applyAlignment="1">
      <alignment horizontal="left" vertical="center" indent="1"/>
    </xf>
    <xf numFmtId="0" fontId="0" fillId="2" borderId="2" xfId="0" applyFill="1" applyBorder="1" applyAlignment="1">
      <alignment horizontal="left" vertical="center" indent="1"/>
    </xf>
    <xf numFmtId="0" fontId="0" fillId="2" borderId="10" xfId="0" applyFill="1" applyBorder="1"/>
    <xf numFmtId="0" fontId="0" fillId="2" borderId="7" xfId="0" applyFill="1" applyBorder="1"/>
    <xf numFmtId="0" fontId="1" fillId="2" borderId="0" xfId="0" applyFont="1" applyFill="1"/>
    <xf numFmtId="0" fontId="39" fillId="2" borderId="0" xfId="7" applyFont="1" applyFill="1" applyBorder="1" applyAlignment="1">
      <alignment horizontal="left"/>
    </xf>
    <xf numFmtId="0" fontId="39" fillId="2" borderId="42" xfId="11" applyFont="1" applyFill="1" applyBorder="1" applyAlignment="1">
      <alignment horizontal="center" vertical="center"/>
    </xf>
    <xf numFmtId="0" fontId="39" fillId="2" borderId="0" xfId="11" applyFont="1" applyFill="1" applyAlignment="1">
      <alignment horizontal="right" vertical="center"/>
    </xf>
    <xf numFmtId="0" fontId="39" fillId="2" borderId="147" xfId="11" applyFont="1" applyFill="1" applyBorder="1" applyAlignment="1">
      <alignment horizontal="right" vertical="center"/>
    </xf>
    <xf numFmtId="49" fontId="19" fillId="2" borderId="42" xfId="0" applyNumberFormat="1" applyFont="1" applyFill="1" applyBorder="1" applyAlignment="1">
      <alignment horizontal="left" vertical="center"/>
    </xf>
    <xf numFmtId="37" fontId="2" fillId="2" borderId="42" xfId="1" applyNumberFormat="1" applyFont="1" applyFill="1" applyBorder="1" applyAlignment="1">
      <alignment horizontal="right" vertical="center"/>
    </xf>
    <xf numFmtId="0" fontId="30" fillId="2" borderId="42" xfId="0" applyFont="1" applyFill="1" applyBorder="1" applyAlignment="1">
      <alignment horizontal="right" vertical="center"/>
    </xf>
    <xf numFmtId="49" fontId="19" fillId="2" borderId="0" xfId="0" applyNumberFormat="1" applyFont="1" applyFill="1" applyAlignment="1">
      <alignment horizontal="left" vertical="center"/>
    </xf>
    <xf numFmtId="37" fontId="2" fillId="2" borderId="0" xfId="1" applyNumberFormat="1" applyFont="1" applyFill="1" applyBorder="1" applyAlignment="1">
      <alignment horizontal="right" vertical="center"/>
    </xf>
    <xf numFmtId="0" fontId="35" fillId="2" borderId="0" xfId="0" applyFont="1" applyFill="1" applyAlignment="1">
      <alignment vertical="center" wrapText="1" readingOrder="2"/>
    </xf>
    <xf numFmtId="164" fontId="2" fillId="2" borderId="0" xfId="0" applyNumberFormat="1" applyFont="1" applyFill="1" applyAlignment="1">
      <alignment horizontal="right" vertical="center"/>
    </xf>
    <xf numFmtId="1" fontId="2" fillId="2" borderId="0" xfId="0" applyNumberFormat="1" applyFont="1" applyFill="1"/>
    <xf numFmtId="49" fontId="6" fillId="2" borderId="0" xfId="0" applyNumberFormat="1" applyFont="1" applyFill="1" applyAlignment="1">
      <alignment horizontal="left" vertical="center" indent="1"/>
    </xf>
    <xf numFmtId="37" fontId="1" fillId="2" borderId="0" xfId="1" applyNumberFormat="1" applyFont="1" applyFill="1" applyBorder="1" applyAlignment="1">
      <alignment horizontal="right" vertical="center"/>
    </xf>
    <xf numFmtId="0" fontId="0" fillId="2" borderId="0" xfId="0" applyFill="1" applyAlignment="1">
      <alignment vertical="center" wrapText="1" readingOrder="2"/>
    </xf>
    <xf numFmtId="0" fontId="31" fillId="2" borderId="14" xfId="8" applyFont="1" applyFill="1" applyBorder="1" applyAlignment="1">
      <alignment horizontal="right" vertical="center" indent="1"/>
    </xf>
    <xf numFmtId="0" fontId="35" fillId="2" borderId="0" xfId="0" applyFont="1" applyFill="1" applyAlignment="1">
      <alignment horizontal="right" vertical="center" wrapText="1" readingOrder="2"/>
    </xf>
    <xf numFmtId="0" fontId="0" fillId="2" borderId="0" xfId="0" applyFill="1" applyAlignment="1">
      <alignment horizontal="right" vertical="center" wrapText="1" readingOrder="2"/>
    </xf>
    <xf numFmtId="0" fontId="105" fillId="2" borderId="0" xfId="0" applyFont="1" applyFill="1" applyAlignment="1">
      <alignment horizontal="right" vertical="center" wrapText="1" readingOrder="2"/>
    </xf>
    <xf numFmtId="0" fontId="103" fillId="2" borderId="0" xfId="0" applyFont="1" applyFill="1" applyAlignment="1">
      <alignment vertical="center"/>
    </xf>
    <xf numFmtId="0" fontId="106" fillId="2" borderId="0" xfId="0" applyFont="1" applyFill="1"/>
    <xf numFmtId="0" fontId="31" fillId="2" borderId="15" xfId="8" applyFont="1" applyFill="1" applyBorder="1" applyAlignment="1">
      <alignment horizontal="right" vertical="center" indent="1"/>
    </xf>
    <xf numFmtId="0" fontId="31" fillId="2" borderId="3" xfId="8" applyFont="1" applyFill="1" applyBorder="1" applyAlignment="1">
      <alignment horizontal="right" vertical="center" indent="1"/>
    </xf>
    <xf numFmtId="0" fontId="31" fillId="2" borderId="0" xfId="8" applyFont="1" applyFill="1" applyAlignment="1">
      <alignment horizontal="right" vertical="center" indent="1"/>
    </xf>
    <xf numFmtId="0" fontId="31" fillId="2" borderId="36" xfId="8" applyFont="1" applyFill="1" applyBorder="1" applyAlignment="1">
      <alignment horizontal="right" vertical="center" indent="1"/>
    </xf>
    <xf numFmtId="49" fontId="6" fillId="2" borderId="2" xfId="0" applyNumberFormat="1" applyFont="1" applyFill="1" applyBorder="1" applyAlignment="1">
      <alignment horizontal="left" vertical="center" indent="1"/>
    </xf>
    <xf numFmtId="37" fontId="1" fillId="2" borderId="2" xfId="1" applyNumberFormat="1" applyFont="1" applyFill="1" applyBorder="1" applyAlignment="1">
      <alignment horizontal="right" vertical="center"/>
    </xf>
    <xf numFmtId="3" fontId="5" fillId="2" borderId="2" xfId="6" applyNumberFormat="1" applyFont="1" applyFill="1" applyBorder="1" applyAlignment="1" applyProtection="1">
      <alignment horizontal="right" vertical="center" indent="1"/>
      <protection hidden="1"/>
    </xf>
    <xf numFmtId="0" fontId="26" fillId="2" borderId="0" xfId="0" applyFont="1" applyFill="1"/>
    <xf numFmtId="0" fontId="31" fillId="2" borderId="0" xfId="0" applyFont="1" applyFill="1"/>
    <xf numFmtId="0" fontId="29" fillId="2" borderId="44" xfId="0" applyFont="1" applyFill="1" applyBorder="1"/>
    <xf numFmtId="0" fontId="36" fillId="2" borderId="0" xfId="0" applyFont="1" applyFill="1" applyAlignment="1">
      <alignment horizontal="right" vertical="center" indent="1"/>
    </xf>
    <xf numFmtId="0" fontId="36" fillId="2" borderId="2" xfId="0" applyFont="1" applyFill="1" applyBorder="1" applyAlignment="1">
      <alignment horizontal="right" vertical="center" indent="1"/>
    </xf>
    <xf numFmtId="3" fontId="2" fillId="2" borderId="0" xfId="0" applyNumberFormat="1" applyFont="1" applyFill="1" applyAlignment="1">
      <alignment vertical="center"/>
    </xf>
    <xf numFmtId="0" fontId="6" fillId="2" borderId="0" xfId="0" applyFont="1" applyFill="1" applyAlignment="1">
      <alignment horizontal="left" vertical="center" wrapText="1" indent="1"/>
    </xf>
    <xf numFmtId="0" fontId="36" fillId="2" borderId="0" xfId="0" applyFont="1" applyFill="1" applyAlignment="1">
      <alignment wrapText="1"/>
    </xf>
    <xf numFmtId="0" fontId="36" fillId="2" borderId="0" xfId="0" applyFont="1" applyFill="1" applyAlignment="1">
      <alignment vertical="center"/>
    </xf>
    <xf numFmtId="0" fontId="6" fillId="2" borderId="2" xfId="0" applyFont="1" applyFill="1" applyBorder="1" applyAlignment="1">
      <alignment horizontal="left" vertical="center" wrapText="1" indent="1"/>
    </xf>
    <xf numFmtId="0" fontId="36" fillId="2" borderId="2" xfId="0" applyFont="1" applyFill="1" applyBorder="1" applyAlignment="1">
      <alignment horizontal="right" vertical="center" wrapText="1"/>
    </xf>
    <xf numFmtId="0" fontId="36" fillId="2" borderId="0" xfId="0" applyFont="1" applyFill="1" applyAlignment="1">
      <alignment vertical="top" wrapText="1" readingOrder="2"/>
    </xf>
    <xf numFmtId="0" fontId="0" fillId="2" borderId="0" xfId="0" applyFill="1" applyAlignment="1">
      <alignment horizontal="center" wrapText="1"/>
    </xf>
    <xf numFmtId="0" fontId="2" fillId="2" borderId="42" xfId="0" applyFont="1" applyFill="1" applyBorder="1" applyAlignment="1">
      <alignment horizontal="left" vertical="center"/>
    </xf>
    <xf numFmtId="0" fontId="2" fillId="2" borderId="42" xfId="0" applyFont="1" applyFill="1" applyBorder="1" applyAlignment="1">
      <alignment horizontal="center" vertical="top"/>
    </xf>
    <xf numFmtId="0" fontId="0" fillId="2" borderId="0" xfId="0" applyFill="1" applyAlignment="1">
      <alignment horizontal="center" vertical="center" readingOrder="2"/>
    </xf>
    <xf numFmtId="0" fontId="33" fillId="2" borderId="0" xfId="0" applyFont="1" applyFill="1" applyAlignment="1">
      <alignment horizontal="center" vertical="center" readingOrder="2"/>
    </xf>
    <xf numFmtId="0" fontId="0" fillId="2" borderId="2" xfId="0" applyFill="1" applyBorder="1" applyAlignment="1">
      <alignment horizontal="center" vertical="center" readingOrder="2"/>
    </xf>
    <xf numFmtId="0" fontId="33" fillId="2" borderId="2" xfId="0" applyFont="1" applyFill="1" applyBorder="1" applyAlignment="1">
      <alignment horizontal="center" vertical="center" readingOrder="2"/>
    </xf>
    <xf numFmtId="0" fontId="43" fillId="2" borderId="0" xfId="0" applyFont="1" applyFill="1" applyAlignment="1">
      <alignment vertical="top" wrapText="1" readingOrder="2"/>
    </xf>
    <xf numFmtId="0" fontId="43" fillId="2" borderId="0" xfId="0" applyFont="1" applyFill="1" applyAlignment="1">
      <alignment vertical="center" wrapText="1" readingOrder="2"/>
    </xf>
    <xf numFmtId="0" fontId="2" fillId="2" borderId="0" xfId="0" applyFont="1" applyFill="1" applyAlignment="1">
      <alignment vertical="top"/>
    </xf>
    <xf numFmtId="3" fontId="39" fillId="2" borderId="0" xfId="0" applyNumberFormat="1" applyFont="1" applyFill="1"/>
    <xf numFmtId="3" fontId="2" fillId="2" borderId="0" xfId="0" applyNumberFormat="1" applyFont="1" applyFill="1"/>
    <xf numFmtId="0" fontId="29" fillId="2" borderId="0" xfId="0" applyFont="1" applyFill="1"/>
    <xf numFmtId="0" fontId="36" fillId="2" borderId="0" xfId="0" applyFont="1" applyFill="1" applyAlignment="1">
      <alignment horizontal="right"/>
    </xf>
    <xf numFmtId="0" fontId="43" fillId="2" borderId="0" xfId="0" applyFont="1" applyFill="1"/>
    <xf numFmtId="0" fontId="0" fillId="2" borderId="2" xfId="0" applyFill="1" applyBorder="1" applyAlignment="1">
      <alignment horizontal="left" vertical="center"/>
    </xf>
    <xf numFmtId="0" fontId="36" fillId="2" borderId="2" xfId="0" applyFont="1" applyFill="1" applyBorder="1"/>
    <xf numFmtId="0" fontId="26" fillId="2" borderId="42" xfId="0" applyFont="1" applyFill="1" applyBorder="1" applyAlignment="1">
      <alignment vertical="center" wrapText="1"/>
    </xf>
    <xf numFmtId="0" fontId="26" fillId="2" borderId="42" xfId="0" applyFont="1" applyFill="1" applyBorder="1" applyAlignment="1">
      <alignment horizontal="right" vertical="center" wrapText="1"/>
    </xf>
    <xf numFmtId="0" fontId="40" fillId="2" borderId="0" xfId="0" applyFont="1" applyFill="1"/>
    <xf numFmtId="0" fontId="26" fillId="2" borderId="0" xfId="0" applyFont="1" applyFill="1" applyAlignment="1">
      <alignment vertical="center" wrapText="1"/>
    </xf>
    <xf numFmtId="0" fontId="29" fillId="2" borderId="44" xfId="0" applyFont="1" applyFill="1" applyBorder="1" applyAlignment="1">
      <alignment vertical="center"/>
    </xf>
    <xf numFmtId="0" fontId="0" fillId="2" borderId="0" xfId="0" applyFill="1" applyAlignment="1">
      <alignment horizontal="left" vertical="center" wrapText="1"/>
    </xf>
    <xf numFmtId="3" fontId="33" fillId="2" borderId="0" xfId="0" applyNumberFormat="1" applyFont="1" applyFill="1" applyAlignment="1">
      <alignment horizontal="center" vertical="center"/>
    </xf>
    <xf numFmtId="0" fontId="36" fillId="2" borderId="42" xfId="0" applyFont="1" applyFill="1" applyBorder="1" applyAlignment="1">
      <alignment vertical="center" wrapText="1"/>
    </xf>
    <xf numFmtId="0" fontId="36" fillId="2" borderId="0" xfId="0" applyFont="1" applyFill="1" applyAlignment="1">
      <alignment vertical="center" wrapText="1"/>
    </xf>
    <xf numFmtId="0" fontId="103" fillId="2" borderId="23" xfId="0" applyFont="1" applyFill="1" applyBorder="1" applyAlignment="1">
      <alignment vertical="center" wrapText="1"/>
    </xf>
    <xf numFmtId="0" fontId="103" fillId="2" borderId="0" xfId="0" applyFont="1" applyFill="1" applyAlignment="1">
      <alignment vertical="center" wrapText="1"/>
    </xf>
    <xf numFmtId="3" fontId="0" fillId="2" borderId="2" xfId="0" applyNumberFormat="1" applyFill="1" applyBorder="1" applyAlignment="1">
      <alignment horizontal="center" vertical="center"/>
    </xf>
    <xf numFmtId="0" fontId="36" fillId="2" borderId="2" xfId="0" applyFont="1" applyFill="1" applyBorder="1" applyAlignment="1">
      <alignment vertical="center" wrapText="1"/>
    </xf>
    <xf numFmtId="0" fontId="11" fillId="2" borderId="0" xfId="0" applyFont="1" applyFill="1" applyAlignment="1">
      <alignment horizontal="left" vertical="top"/>
    </xf>
    <xf numFmtId="0" fontId="26" fillId="2" borderId="0" xfId="0" applyFont="1" applyFill="1" applyAlignment="1">
      <alignment horizontal="left" vertical="center"/>
    </xf>
    <xf numFmtId="170" fontId="0" fillId="2" borderId="0" xfId="0" applyNumberFormat="1" applyFill="1"/>
    <xf numFmtId="0" fontId="29" fillId="2" borderId="44" xfId="0" applyFont="1" applyFill="1" applyBorder="1" applyAlignment="1">
      <alignment horizontal="center" vertical="center"/>
    </xf>
    <xf numFmtId="164" fontId="14" fillId="2" borderId="0" xfId="0" applyNumberFormat="1" applyFont="1" applyFill="1"/>
    <xf numFmtId="164" fontId="8" fillId="2" borderId="44" xfId="0" applyNumberFormat="1" applyFont="1" applyFill="1" applyBorder="1" applyAlignment="1">
      <alignment horizontal="left" vertical="center" wrapText="1"/>
    </xf>
    <xf numFmtId="164" fontId="8" fillId="2" borderId="44" xfId="0" applyNumberFormat="1" applyFont="1" applyFill="1" applyBorder="1" applyAlignment="1">
      <alignment horizontal="right" vertical="center" wrapText="1"/>
    </xf>
    <xf numFmtId="164" fontId="61" fillId="2" borderId="44" xfId="0" applyNumberFormat="1" applyFont="1" applyFill="1" applyBorder="1" applyAlignment="1">
      <alignment horizontal="right" vertical="center" wrapText="1" readingOrder="2"/>
    </xf>
    <xf numFmtId="166" fontId="39" fillId="2" borderId="42" xfId="1" applyNumberFormat="1" applyFont="1" applyFill="1" applyBorder="1" applyAlignment="1">
      <alignment vertical="center" wrapText="1"/>
    </xf>
    <xf numFmtId="166" fontId="8" fillId="2" borderId="42" xfId="1" applyNumberFormat="1" applyFont="1" applyFill="1" applyBorder="1" applyAlignment="1">
      <alignment horizontal="right" vertical="center" wrapText="1"/>
    </xf>
    <xf numFmtId="166" fontId="19" fillId="2" borderId="42" xfId="1" applyNumberFormat="1" applyFont="1" applyFill="1" applyBorder="1" applyAlignment="1">
      <alignment horizontal="right" vertical="center" wrapText="1"/>
    </xf>
    <xf numFmtId="166" fontId="61" fillId="2" borderId="42" xfId="1" applyNumberFormat="1" applyFont="1" applyFill="1" applyBorder="1" applyAlignment="1">
      <alignment vertical="center" wrapText="1" readingOrder="2"/>
    </xf>
    <xf numFmtId="166" fontId="109" fillId="2" borderId="0" xfId="1" applyNumberFormat="1" applyFont="1" applyFill="1"/>
    <xf numFmtId="166" fontId="33" fillId="2" borderId="0" xfId="1" applyNumberFormat="1" applyFont="1" applyFill="1" applyAlignment="1">
      <alignment vertical="center" wrapText="1"/>
    </xf>
    <xf numFmtId="166" fontId="10" fillId="2" borderId="0" xfId="1" applyNumberFormat="1" applyFont="1" applyFill="1" applyAlignment="1">
      <alignment horizontal="right" vertical="center" wrapText="1"/>
    </xf>
    <xf numFmtId="166" fontId="10" fillId="2" borderId="0" xfId="1" applyNumberFormat="1" applyFont="1" applyFill="1" applyBorder="1" applyAlignment="1">
      <alignment horizontal="right" vertical="center" wrapText="1"/>
    </xf>
    <xf numFmtId="166" fontId="62" fillId="2" borderId="0" xfId="1" applyNumberFormat="1" applyFont="1" applyFill="1" applyAlignment="1">
      <alignment vertical="center" wrapText="1" readingOrder="2"/>
    </xf>
    <xf numFmtId="166" fontId="110" fillId="2" borderId="0" xfId="1" applyNumberFormat="1" applyFont="1" applyFill="1"/>
    <xf numFmtId="166" fontId="33" fillId="2" borderId="2" xfId="1" applyNumberFormat="1" applyFont="1" applyFill="1" applyBorder="1" applyAlignment="1">
      <alignment vertical="center" wrapText="1"/>
    </xf>
    <xf numFmtId="166" fontId="10" fillId="2" borderId="2" xfId="1" applyNumberFormat="1" applyFont="1" applyFill="1" applyBorder="1" applyAlignment="1">
      <alignment horizontal="right" vertical="center" wrapText="1"/>
    </xf>
    <xf numFmtId="166" fontId="62" fillId="2" borderId="2" xfId="1" applyNumberFormat="1" applyFont="1" applyFill="1" applyBorder="1" applyAlignment="1">
      <alignment vertical="center" wrapText="1" readingOrder="2"/>
    </xf>
    <xf numFmtId="164" fontId="62" fillId="2" borderId="0" xfId="0" applyNumberFormat="1" applyFont="1" applyFill="1" applyAlignment="1">
      <alignment vertical="top" wrapText="1" readingOrder="2"/>
    </xf>
    <xf numFmtId="164" fontId="61" fillId="2" borderId="0" xfId="0" applyNumberFormat="1" applyFont="1" applyFill="1" applyAlignment="1">
      <alignment horizontal="right" vertical="center" wrapText="1"/>
    </xf>
    <xf numFmtId="164" fontId="61" fillId="2" borderId="2" xfId="0" applyNumberFormat="1" applyFont="1" applyFill="1" applyBorder="1" applyAlignment="1">
      <alignment horizontal="right" vertical="center" wrapText="1"/>
    </xf>
    <xf numFmtId="164" fontId="23" fillId="2" borderId="42" xfId="0" applyNumberFormat="1" applyFont="1" applyFill="1" applyBorder="1" applyAlignment="1">
      <alignment horizontal="left" vertical="center" wrapText="1"/>
    </xf>
    <xf numFmtId="164" fontId="62" fillId="2" borderId="0" xfId="0" applyNumberFormat="1" applyFont="1" applyFill="1" applyAlignment="1">
      <alignment vertical="top" readingOrder="2"/>
    </xf>
    <xf numFmtId="164" fontId="16" fillId="2" borderId="0" xfId="0" applyNumberFormat="1" applyFont="1" applyFill="1" applyAlignment="1">
      <alignment vertical="top"/>
    </xf>
    <xf numFmtId="164" fontId="8" fillId="2" borderId="42" xfId="0" applyNumberFormat="1" applyFont="1" applyFill="1" applyBorder="1" applyAlignment="1">
      <alignment horizontal="right" vertical="center" wrapText="1"/>
    </xf>
    <xf numFmtId="0" fontId="51" fillId="2" borderId="2" xfId="0" applyFont="1" applyFill="1" applyBorder="1"/>
    <xf numFmtId="164" fontId="62" fillId="2" borderId="0" xfId="0" applyNumberFormat="1" applyFont="1" applyFill="1" applyAlignment="1">
      <alignment vertical="center" readingOrder="2"/>
    </xf>
    <xf numFmtId="164" fontId="8" fillId="2" borderId="44" xfId="0" applyNumberFormat="1" applyFont="1" applyFill="1" applyBorder="1" applyAlignment="1">
      <alignment horizontal="center"/>
    </xf>
    <xf numFmtId="164" fontId="8" fillId="2" borderId="95" xfId="0" applyNumberFormat="1" applyFont="1" applyFill="1" applyBorder="1" applyAlignment="1">
      <alignment horizontal="center" vertical="center" wrapText="1"/>
    </xf>
    <xf numFmtId="164" fontId="8" fillId="2" borderId="0" xfId="0" applyNumberFormat="1" applyFont="1" applyFill="1" applyAlignment="1">
      <alignment horizontal="left" vertical="center" wrapText="1"/>
    </xf>
    <xf numFmtId="3" fontId="8" fillId="2" borderId="0" xfId="0" applyNumberFormat="1" applyFont="1" applyFill="1" applyAlignment="1">
      <alignment horizontal="right" vertical="center" wrapText="1"/>
    </xf>
    <xf numFmtId="3" fontId="8" fillId="2" borderId="94" xfId="0" applyNumberFormat="1" applyFont="1" applyFill="1" applyBorder="1" applyAlignment="1">
      <alignment horizontal="right" vertical="center" wrapText="1"/>
    </xf>
    <xf numFmtId="164" fontId="10" fillId="2" borderId="0" xfId="0" applyNumberFormat="1" applyFont="1" applyFill="1" applyAlignment="1">
      <alignment horizontal="left" indent="1"/>
    </xf>
    <xf numFmtId="3" fontId="10" fillId="2" borderId="0" xfId="0" applyNumberFormat="1" applyFont="1" applyFill="1"/>
    <xf numFmtId="3" fontId="10" fillId="2" borderId="94" xfId="0" applyNumberFormat="1" applyFont="1" applyFill="1" applyBorder="1"/>
    <xf numFmtId="164" fontId="62" fillId="2" borderId="0" xfId="0" applyNumberFormat="1" applyFont="1" applyFill="1" applyAlignment="1">
      <alignment horizontal="right" vertical="center" indent="2"/>
    </xf>
    <xf numFmtId="164" fontId="10" fillId="2" borderId="2" xfId="0" applyNumberFormat="1" applyFont="1" applyFill="1" applyBorder="1" applyAlignment="1">
      <alignment horizontal="left" indent="1"/>
    </xf>
    <xf numFmtId="164" fontId="10" fillId="2" borderId="2" xfId="0" applyNumberFormat="1" applyFont="1" applyFill="1" applyBorder="1"/>
    <xf numFmtId="3" fontId="10" fillId="2" borderId="2" xfId="0" applyNumberFormat="1" applyFont="1" applyFill="1" applyBorder="1"/>
    <xf numFmtId="3" fontId="10" fillId="2" borderId="95" xfId="0" applyNumberFormat="1" applyFont="1" applyFill="1" applyBorder="1"/>
    <xf numFmtId="164" fontId="62" fillId="2" borderId="2" xfId="0" applyNumberFormat="1" applyFont="1" applyFill="1" applyBorder="1" applyAlignment="1">
      <alignment horizontal="right" vertical="center" indent="2"/>
    </xf>
    <xf numFmtId="164" fontId="16" fillId="2" borderId="42" xfId="0" applyNumberFormat="1" applyFont="1" applyFill="1" applyBorder="1" applyAlignment="1">
      <alignment vertical="top"/>
    </xf>
    <xf numFmtId="164" fontId="15" fillId="2" borderId="42" xfId="0" applyNumberFormat="1" applyFont="1" applyFill="1" applyBorder="1" applyAlignment="1">
      <alignment vertical="top"/>
    </xf>
    <xf numFmtId="164" fontId="62" fillId="2" borderId="42" xfId="0" applyNumberFormat="1" applyFont="1" applyFill="1" applyBorder="1" applyAlignment="1">
      <alignment vertical="center" wrapText="1" readingOrder="2"/>
    </xf>
    <xf numFmtId="0" fontId="2" fillId="2" borderId="0" xfId="0" applyFont="1" applyFill="1" applyAlignment="1">
      <alignment horizontal="center" wrapText="1"/>
    </xf>
    <xf numFmtId="0" fontId="2" fillId="2" borderId="131" xfId="0" applyFont="1" applyFill="1" applyBorder="1" applyAlignment="1">
      <alignment horizontal="right" vertical="center" wrapText="1"/>
    </xf>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59" fillId="2" borderId="0" xfId="0" applyFont="1" applyFill="1" applyAlignment="1">
      <alignment horizontal="right" vertical="center" wrapText="1"/>
    </xf>
    <xf numFmtId="0" fontId="106" fillId="2" borderId="0" xfId="0" applyFont="1" applyFill="1" applyAlignment="1">
      <alignment horizontal="right" vertical="center"/>
    </xf>
    <xf numFmtId="0" fontId="106" fillId="2" borderId="2" xfId="0" applyFont="1" applyFill="1" applyBorder="1" applyAlignment="1">
      <alignment horizontal="right" vertical="center"/>
    </xf>
    <xf numFmtId="0" fontId="103" fillId="2" borderId="0" xfId="0" applyFont="1" applyFill="1" applyAlignment="1">
      <alignment horizontal="right" vertical="center" wrapText="1"/>
    </xf>
    <xf numFmtId="164" fontId="77" fillId="2" borderId="0" xfId="0" applyNumberFormat="1" applyFont="1" applyFill="1"/>
    <xf numFmtId="0" fontId="19" fillId="2" borderId="42" xfId="0" applyFont="1" applyFill="1" applyBorder="1" applyAlignment="1">
      <alignment horizontal="right" vertical="center"/>
    </xf>
    <xf numFmtId="0" fontId="19" fillId="2" borderId="93" xfId="0" applyFont="1" applyFill="1" applyBorder="1" applyAlignment="1">
      <alignment horizontal="right" vertical="center"/>
    </xf>
    <xf numFmtId="0" fontId="19" fillId="2" borderId="5" xfId="0" applyFont="1" applyFill="1" applyBorder="1" applyAlignment="1">
      <alignment horizontal="right" vertical="center"/>
    </xf>
    <xf numFmtId="164" fontId="61" fillId="2" borderId="96" xfId="0" applyNumberFormat="1" applyFont="1" applyFill="1" applyBorder="1" applyAlignment="1">
      <alignment horizontal="right" vertical="center" wrapText="1"/>
    </xf>
    <xf numFmtId="164" fontId="61" fillId="2" borderId="7" xfId="0" applyNumberFormat="1" applyFont="1" applyFill="1" applyBorder="1" applyAlignment="1">
      <alignment horizontal="right" vertical="center" wrapText="1"/>
    </xf>
    <xf numFmtId="164" fontId="8" fillId="2" borderId="149" xfId="0" applyNumberFormat="1" applyFont="1" applyFill="1" applyBorder="1" applyAlignment="1">
      <alignment horizontal="right" vertical="center" wrapText="1"/>
    </xf>
    <xf numFmtId="164" fontId="8" fillId="2" borderId="10" xfId="0" applyNumberFormat="1" applyFont="1" applyFill="1" applyBorder="1" applyAlignment="1">
      <alignment horizontal="right" vertical="center" wrapText="1"/>
    </xf>
    <xf numFmtId="0" fontId="0" fillId="2" borderId="149" xfId="0" applyFill="1" applyBorder="1" applyAlignment="1">
      <alignment vertical="center"/>
    </xf>
    <xf numFmtId="0" fontId="0" fillId="2" borderId="10" xfId="0" applyFill="1" applyBorder="1" applyAlignment="1">
      <alignment vertical="center"/>
    </xf>
    <xf numFmtId="0" fontId="0" fillId="2" borderId="96" xfId="0" applyFill="1" applyBorder="1" applyAlignment="1">
      <alignment vertical="center"/>
    </xf>
    <xf numFmtId="0" fontId="0" fillId="2" borderId="7" xfId="0" applyFill="1" applyBorder="1" applyAlignment="1">
      <alignment vertical="center"/>
    </xf>
    <xf numFmtId="164" fontId="111" fillId="2" borderId="0" xfId="0" applyNumberFormat="1" applyFont="1" applyFill="1" applyAlignment="1">
      <alignment vertical="top" readingOrder="2"/>
    </xf>
    <xf numFmtId="0" fontId="112" fillId="2" borderId="0" xfId="0" applyFont="1" applyFill="1"/>
    <xf numFmtId="0" fontId="0" fillId="2" borderId="0" xfId="0" applyFill="1" applyAlignment="1">
      <alignment vertical="center" wrapText="1"/>
    </xf>
    <xf numFmtId="0" fontId="2" fillId="2" borderId="44" xfId="0" applyFont="1" applyFill="1" applyBorder="1" applyAlignment="1">
      <alignment horizontal="center" vertical="center" wrapText="1"/>
    </xf>
    <xf numFmtId="0" fontId="2" fillId="2" borderId="44" xfId="0" applyFont="1" applyFill="1" applyBorder="1" applyAlignment="1">
      <alignment horizontal="left" vertical="center" wrapText="1"/>
    </xf>
    <xf numFmtId="173" fontId="2" fillId="2" borderId="44" xfId="1" applyNumberFormat="1" applyFont="1" applyFill="1" applyBorder="1" applyAlignment="1">
      <alignment horizontal="center" vertical="center" wrapText="1"/>
    </xf>
    <xf numFmtId="0" fontId="59" fillId="2" borderId="44" xfId="0" applyFont="1" applyFill="1" applyBorder="1" applyAlignment="1">
      <alignment vertical="center" wrapText="1"/>
    </xf>
    <xf numFmtId="0" fontId="115" fillId="2" borderId="0" xfId="0" applyFont="1" applyFill="1" applyAlignment="1">
      <alignment horizontal="center" vertical="center" wrapText="1"/>
    </xf>
    <xf numFmtId="172" fontId="2" fillId="2" borderId="0" xfId="0" applyNumberFormat="1" applyFont="1" applyFill="1" applyAlignment="1">
      <alignment horizontal="center" vertical="center" wrapText="1"/>
    </xf>
    <xf numFmtId="172" fontId="2" fillId="2" borderId="0" xfId="0" applyNumberFormat="1" applyFont="1" applyFill="1" applyAlignment="1">
      <alignment horizontal="left" vertical="center" wrapText="1"/>
    </xf>
    <xf numFmtId="0" fontId="33" fillId="2" borderId="0" xfId="0" applyFont="1" applyFill="1" applyAlignment="1">
      <alignment horizontal="center" vertical="center"/>
    </xf>
    <xf numFmtId="0" fontId="110" fillId="2" borderId="0" xfId="0" applyFont="1" applyFill="1" applyAlignment="1">
      <alignment horizontal="center" vertical="center"/>
    </xf>
    <xf numFmtId="0" fontId="110" fillId="3" borderId="0" xfId="0" applyFont="1" applyFill="1" applyAlignment="1">
      <alignment horizontal="center" vertical="center"/>
    </xf>
    <xf numFmtId="0" fontId="65" fillId="2" borderId="0" xfId="0" applyFont="1" applyFill="1" applyAlignment="1">
      <alignment horizontal="right" vertical="center" wrapText="1"/>
    </xf>
    <xf numFmtId="0" fontId="65" fillId="2" borderId="0" xfId="0" applyFont="1" applyFill="1" applyAlignment="1">
      <alignment horizontal="center" vertical="center" wrapText="1"/>
    </xf>
    <xf numFmtId="0" fontId="33" fillId="3" borderId="0" xfId="0" applyFont="1" applyFill="1" applyAlignment="1">
      <alignment horizontal="center" vertical="center"/>
    </xf>
    <xf numFmtId="0" fontId="116" fillId="2" borderId="0" xfId="0" applyFont="1" applyFill="1" applyAlignment="1">
      <alignment horizontal="left" vertical="center" wrapText="1"/>
    </xf>
    <xf numFmtId="0" fontId="114" fillId="2" borderId="0" xfId="0" applyFont="1" applyFill="1" applyAlignment="1">
      <alignment horizontal="center" vertical="center"/>
    </xf>
    <xf numFmtId="0" fontId="117" fillId="2" borderId="0" xfId="0" applyFont="1" applyFill="1" applyAlignment="1">
      <alignment vertical="center" wrapText="1"/>
    </xf>
    <xf numFmtId="0" fontId="65" fillId="2" borderId="0" xfId="0" applyFont="1" applyFill="1" applyAlignment="1">
      <alignment horizontal="right" vertical="center"/>
    </xf>
    <xf numFmtId="0" fontId="33" fillId="2" borderId="0" xfId="0" applyFont="1" applyFill="1" applyAlignment="1">
      <alignment vertical="center" wrapText="1"/>
    </xf>
    <xf numFmtId="0" fontId="118" fillId="2" borderId="0" xfId="0" applyFont="1" applyFill="1" applyAlignment="1">
      <alignment horizontal="left" vertical="center" wrapText="1"/>
    </xf>
    <xf numFmtId="0" fontId="33" fillId="2" borderId="2" xfId="0" applyFont="1" applyFill="1" applyBorder="1" applyAlignment="1">
      <alignment horizontal="center" vertical="center"/>
    </xf>
    <xf numFmtId="0" fontId="33" fillId="2" borderId="2" xfId="0" applyFont="1" applyFill="1" applyBorder="1" applyAlignment="1">
      <alignment horizontal="left" vertical="center" wrapText="1"/>
    </xf>
    <xf numFmtId="0" fontId="110" fillId="2" borderId="2" xfId="0" applyFont="1" applyFill="1" applyBorder="1" applyAlignment="1">
      <alignment horizontal="center" vertical="center"/>
    </xf>
    <xf numFmtId="0" fontId="110" fillId="3" borderId="2" xfId="0" applyFont="1" applyFill="1" applyBorder="1" applyAlignment="1">
      <alignment horizontal="center" vertical="center"/>
    </xf>
    <xf numFmtId="0" fontId="65" fillId="2" borderId="2" xfId="0" applyFont="1" applyFill="1" applyBorder="1" applyAlignment="1">
      <alignment horizontal="right" vertical="center" wrapText="1"/>
    </xf>
    <xf numFmtId="0" fontId="65" fillId="2" borderId="2" xfId="0" applyFont="1" applyFill="1" applyBorder="1" applyAlignment="1">
      <alignment horizontal="center" vertical="center" wrapText="1"/>
    </xf>
    <xf numFmtId="172" fontId="6" fillId="2" borderId="0" xfId="0" applyNumberFormat="1" applyFont="1" applyFill="1" applyAlignment="1">
      <alignment horizontal="center" vertical="center" wrapText="1"/>
    </xf>
    <xf numFmtId="0" fontId="32" fillId="2" borderId="0" xfId="0" applyFont="1" applyFill="1" applyAlignment="1">
      <alignment vertical="center" wrapText="1"/>
    </xf>
    <xf numFmtId="0" fontId="11" fillId="2" borderId="0" xfId="0" applyFont="1" applyFill="1" applyAlignment="1">
      <alignment horizontal="left" vertical="center"/>
    </xf>
    <xf numFmtId="0" fontId="119" fillId="2" borderId="0" xfId="0" applyFont="1" applyFill="1" applyAlignment="1">
      <alignment horizontal="left" vertical="center" wrapText="1"/>
    </xf>
    <xf numFmtId="0" fontId="26" fillId="2" borderId="0" xfId="0" applyFont="1" applyFill="1" applyAlignment="1">
      <alignment horizontal="left" vertical="center" wrapText="1"/>
    </xf>
    <xf numFmtId="0" fontId="120" fillId="2" borderId="0" xfId="0" applyFont="1" applyFill="1" applyAlignment="1">
      <alignment vertical="center" wrapText="1"/>
    </xf>
    <xf numFmtId="0" fontId="11" fillId="2" borderId="0" xfId="0" applyFont="1" applyFill="1" applyAlignment="1">
      <alignment vertical="center" wrapText="1"/>
    </xf>
    <xf numFmtId="0" fontId="32" fillId="2" borderId="0" xfId="0" applyFont="1" applyFill="1" applyAlignment="1">
      <alignment horizontal="center" vertical="center" wrapText="1"/>
    </xf>
    <xf numFmtId="0" fontId="84" fillId="2" borderId="0" xfId="0" applyFont="1" applyFill="1" applyAlignment="1">
      <alignment vertical="center" wrapText="1"/>
    </xf>
    <xf numFmtId="0" fontId="117" fillId="2" borderId="0" xfId="0" applyFont="1" applyFill="1" applyAlignment="1">
      <alignment wrapText="1"/>
    </xf>
    <xf numFmtId="170" fontId="39" fillId="2" borderId="0" xfId="1" applyNumberFormat="1" applyFont="1" applyFill="1" applyBorder="1" applyAlignment="1">
      <alignment horizontal="right" vertical="center" wrapText="1"/>
    </xf>
    <xf numFmtId="170" fontId="39" fillId="2" borderId="42" xfId="1" applyNumberFormat="1" applyFont="1" applyFill="1" applyBorder="1" applyAlignment="1">
      <alignment horizontal="center" vertical="center" wrapText="1"/>
    </xf>
    <xf numFmtId="172" fontId="121" fillId="2" borderId="0" xfId="0" applyNumberFormat="1" applyFont="1" applyFill="1" applyAlignment="1">
      <alignment horizontal="right" vertical="center"/>
    </xf>
    <xf numFmtId="170" fontId="39" fillId="2" borderId="0" xfId="1" applyNumberFormat="1" applyFont="1" applyFill="1" applyBorder="1" applyAlignment="1">
      <alignment horizontal="center" vertical="center" wrapText="1"/>
    </xf>
    <xf numFmtId="172" fontId="121" fillId="2" borderId="0" xfId="0" applyNumberFormat="1" applyFont="1" applyFill="1" applyAlignment="1">
      <alignment horizontal="right" vertical="top" wrapText="1"/>
    </xf>
    <xf numFmtId="0" fontId="44" fillId="2" borderId="0" xfId="0" applyFont="1" applyFill="1" applyAlignment="1">
      <alignment horizontal="left" indent="2"/>
    </xf>
    <xf numFmtId="170" fontId="33" fillId="2" borderId="0" xfId="1" applyNumberFormat="1" applyFont="1" applyFill="1" applyBorder="1" applyAlignment="1">
      <alignment horizontal="right" vertical="center" wrapText="1"/>
    </xf>
    <xf numFmtId="170" fontId="33" fillId="2" borderId="0" xfId="1" applyNumberFormat="1" applyFont="1" applyFill="1" applyBorder="1" applyAlignment="1">
      <alignment horizontal="center" vertical="center" wrapText="1"/>
    </xf>
    <xf numFmtId="172" fontId="124" fillId="2" borderId="0" xfId="0" applyNumberFormat="1" applyFont="1" applyFill="1" applyAlignment="1">
      <alignment horizontal="right" vertical="top" wrapText="1"/>
    </xf>
    <xf numFmtId="0" fontId="44" fillId="2" borderId="0" xfId="0" applyFont="1" applyFill="1" applyAlignment="1">
      <alignment horizontal="left" wrapText="1" indent="2"/>
    </xf>
    <xf numFmtId="170" fontId="39" fillId="2" borderId="2" xfId="1" applyNumberFormat="1" applyFont="1" applyFill="1" applyBorder="1" applyAlignment="1">
      <alignment horizontal="right" vertical="center" wrapText="1"/>
    </xf>
    <xf numFmtId="170" fontId="39" fillId="2" borderId="2" xfId="1" applyNumberFormat="1" applyFont="1" applyFill="1" applyBorder="1" applyAlignment="1">
      <alignment horizontal="center" vertical="center" wrapText="1"/>
    </xf>
    <xf numFmtId="172" fontId="121" fillId="2" borderId="2" xfId="0" applyNumberFormat="1" applyFont="1" applyFill="1" applyBorder="1" applyAlignment="1">
      <alignment horizontal="right" vertical="top" wrapText="1"/>
    </xf>
    <xf numFmtId="0" fontId="16" fillId="2" borderId="0" xfId="0" applyFont="1" applyFill="1" applyAlignment="1">
      <alignment vertical="top"/>
    </xf>
    <xf numFmtId="170" fontId="0" fillId="2" borderId="0" xfId="0" applyNumberFormat="1" applyFill="1" applyAlignment="1">
      <alignment horizontal="center"/>
    </xf>
    <xf numFmtId="0" fontId="56" fillId="2" borderId="0" xfId="0" applyFont="1" applyFill="1" applyAlignment="1">
      <alignment vertical="top" wrapText="1"/>
    </xf>
    <xf numFmtId="0" fontId="23" fillId="2" borderId="0" xfId="0" applyFont="1" applyFill="1" applyAlignment="1">
      <alignment vertical="top"/>
    </xf>
    <xf numFmtId="0" fontId="62" fillId="2" borderId="0" xfId="0" applyFont="1" applyFill="1" applyAlignment="1">
      <alignment vertical="top" wrapText="1"/>
    </xf>
    <xf numFmtId="170" fontId="33" fillId="2" borderId="11" xfId="1" applyNumberFormat="1" applyFont="1" applyFill="1" applyBorder="1" applyAlignment="1">
      <alignment horizontal="right" vertical="center" wrapText="1" indent="4"/>
    </xf>
    <xf numFmtId="170" fontId="33" fillId="2" borderId="0" xfId="1" applyNumberFormat="1" applyFont="1" applyFill="1" applyBorder="1" applyAlignment="1">
      <alignment horizontal="right" vertical="center" wrapText="1" indent="4"/>
    </xf>
    <xf numFmtId="0" fontId="8" fillId="2" borderId="0" xfId="0" applyFont="1" applyFill="1"/>
    <xf numFmtId="0" fontId="39" fillId="2" borderId="0" xfId="0" applyFont="1" applyFill="1" applyAlignment="1">
      <alignment vertical="center"/>
    </xf>
    <xf numFmtId="0" fontId="39" fillId="2" borderId="0" xfId="0" applyFont="1" applyFill="1" applyAlignment="1">
      <alignment horizontal="right" vertical="center"/>
    </xf>
    <xf numFmtId="0" fontId="125" fillId="2" borderId="9" xfId="0" applyFont="1" applyFill="1" applyBorder="1" applyAlignment="1">
      <alignment vertical="center"/>
    </xf>
    <xf numFmtId="0" fontId="42" fillId="2" borderId="0" xfId="0" applyFont="1" applyFill="1" applyAlignment="1">
      <alignment horizontal="left" vertical="center" indent="3"/>
    </xf>
    <xf numFmtId="0" fontId="33" fillId="2" borderId="0" xfId="0" applyFont="1" applyFill="1" applyAlignment="1">
      <alignment horizontal="right" vertical="center"/>
    </xf>
    <xf numFmtId="0" fontId="33" fillId="3" borderId="0" xfId="0" applyFont="1" applyFill="1" applyAlignment="1">
      <alignment horizontal="right" vertical="center"/>
    </xf>
    <xf numFmtId="0" fontId="102" fillId="2" borderId="9" xfId="0" applyFont="1" applyFill="1" applyBorder="1" applyAlignment="1">
      <alignment horizontal="right" vertical="center" indent="2"/>
    </xf>
    <xf numFmtId="0" fontId="39" fillId="2" borderId="2" xfId="0" applyFont="1" applyFill="1" applyBorder="1" applyAlignment="1">
      <alignment horizontal="left" vertical="center"/>
    </xf>
    <xf numFmtId="165" fontId="33" fillId="2" borderId="2" xfId="0" applyNumberFormat="1" applyFont="1" applyFill="1" applyBorder="1" applyAlignment="1">
      <alignment horizontal="right" vertical="center"/>
    </xf>
    <xf numFmtId="2" fontId="33" fillId="2" borderId="2" xfId="0" applyNumberFormat="1" applyFont="1" applyFill="1" applyBorder="1" applyAlignment="1">
      <alignment horizontal="right" vertical="center"/>
    </xf>
    <xf numFmtId="2" fontId="33" fillId="3" borderId="2" xfId="0" applyNumberFormat="1" applyFont="1" applyFill="1" applyBorder="1" applyAlignment="1">
      <alignment horizontal="right" vertical="center"/>
    </xf>
    <xf numFmtId="0" fontId="125" fillId="2" borderId="2" xfId="0" applyFont="1" applyFill="1" applyBorder="1" applyAlignment="1">
      <alignment vertical="center"/>
    </xf>
    <xf numFmtId="0" fontId="56" fillId="2" borderId="0" xfId="0" applyFont="1" applyFill="1" applyAlignment="1">
      <alignment horizontal="right" vertical="center"/>
    </xf>
    <xf numFmtId="43" fontId="10" fillId="2" borderId="0" xfId="0" applyNumberFormat="1" applyFont="1" applyFill="1"/>
    <xf numFmtId="166" fontId="8" fillId="2" borderId="42" xfId="1" applyNumberFormat="1" applyFont="1" applyFill="1" applyBorder="1" applyAlignment="1">
      <alignment vertical="center" wrapText="1"/>
    </xf>
    <xf numFmtId="3" fontId="8" fillId="2" borderId="42" xfId="1" applyNumberFormat="1" applyFont="1" applyFill="1" applyBorder="1" applyAlignment="1">
      <alignment vertical="center" wrapText="1"/>
    </xf>
    <xf numFmtId="166" fontId="10" fillId="2" borderId="0" xfId="1" applyNumberFormat="1" applyFont="1" applyFill="1" applyAlignment="1">
      <alignment horizontal="left" vertical="center" wrapText="1" indent="1"/>
    </xf>
    <xf numFmtId="166" fontId="62" fillId="2" borderId="0" xfId="1" applyNumberFormat="1" applyFont="1" applyFill="1" applyAlignment="1">
      <alignment horizontal="right" vertical="center" wrapText="1" indent="1" readingOrder="2"/>
    </xf>
    <xf numFmtId="3" fontId="8" fillId="2" borderId="0" xfId="1" applyNumberFormat="1" applyFont="1" applyFill="1" applyBorder="1" applyAlignment="1">
      <alignment vertical="center" wrapText="1"/>
    </xf>
    <xf numFmtId="166" fontId="10" fillId="2" borderId="2" xfId="1" applyNumberFormat="1" applyFont="1" applyFill="1" applyBorder="1" applyAlignment="1">
      <alignment horizontal="left" vertical="center" wrapText="1" indent="1"/>
    </xf>
    <xf numFmtId="166" fontId="126" fillId="2" borderId="2" xfId="1" applyNumberFormat="1" applyFont="1" applyFill="1" applyBorder="1" applyAlignment="1">
      <alignment horizontal="right" vertical="center" wrapText="1" indent="1" readingOrder="2"/>
    </xf>
    <xf numFmtId="166" fontId="126" fillId="2" borderId="0" xfId="1" applyNumberFormat="1" applyFont="1" applyFill="1" applyBorder="1" applyAlignment="1">
      <alignment vertical="center" wrapText="1" readingOrder="2"/>
    </xf>
    <xf numFmtId="3" fontId="10" fillId="2" borderId="0" xfId="1" applyNumberFormat="1" applyFont="1" applyFill="1" applyAlignment="1">
      <alignment vertical="center" wrapText="1"/>
    </xf>
    <xf numFmtId="3" fontId="10" fillId="2" borderId="2" xfId="1" applyNumberFormat="1" applyFont="1" applyFill="1" applyBorder="1" applyAlignment="1">
      <alignment vertical="center" wrapText="1"/>
    </xf>
    <xf numFmtId="164" fontId="22" fillId="2" borderId="2" xfId="0" applyNumberFormat="1" applyFont="1" applyFill="1" applyBorder="1" applyAlignment="1">
      <alignment horizontal="center" vertical="center" wrapText="1"/>
    </xf>
    <xf numFmtId="164" fontId="22" fillId="2" borderId="42" xfId="0" applyNumberFormat="1" applyFont="1" applyFill="1" applyBorder="1" applyAlignment="1">
      <alignment horizontal="right" vertical="center" wrapText="1"/>
    </xf>
    <xf numFmtId="164" fontId="22" fillId="2" borderId="2" xfId="0" applyNumberFormat="1" applyFont="1" applyFill="1" applyBorder="1" applyAlignment="1">
      <alignment horizontal="right" vertical="center" wrapText="1"/>
    </xf>
    <xf numFmtId="0" fontId="22" fillId="2" borderId="2" xfId="5" applyFont="1" applyFill="1" applyBorder="1" applyAlignment="1">
      <alignment horizontal="right" vertical="center"/>
    </xf>
    <xf numFmtId="49" fontId="22" fillId="2" borderId="2" xfId="5" applyNumberFormat="1" applyFont="1" applyFill="1" applyBorder="1" applyAlignment="1">
      <alignment horizontal="right" vertical="center"/>
    </xf>
    <xf numFmtId="166" fontId="22" fillId="2" borderId="42" xfId="1" applyNumberFormat="1" applyFont="1" applyFill="1" applyBorder="1" applyAlignment="1">
      <alignment vertical="center" wrapText="1"/>
    </xf>
    <xf numFmtId="3" fontId="22" fillId="2" borderId="42" xfId="1" applyNumberFormat="1" applyFont="1" applyFill="1" applyBorder="1" applyAlignment="1">
      <alignment vertical="center" wrapText="1"/>
    </xf>
    <xf numFmtId="166" fontId="127" fillId="2" borderId="42" xfId="1" applyNumberFormat="1" applyFont="1" applyFill="1" applyBorder="1" applyAlignment="1">
      <alignment vertical="center" wrapText="1" readingOrder="2"/>
    </xf>
    <xf numFmtId="164" fontId="22" fillId="2" borderId="0" xfId="0" applyNumberFormat="1" applyFont="1" applyFill="1" applyAlignment="1">
      <alignment vertical="center"/>
    </xf>
    <xf numFmtId="166" fontId="14" fillId="2" borderId="0" xfId="1" applyNumberFormat="1" applyFont="1" applyFill="1" applyAlignment="1">
      <alignment horizontal="left" vertical="center" wrapText="1" indent="1"/>
    </xf>
    <xf numFmtId="3" fontId="22" fillId="2" borderId="0" xfId="1" applyNumberFormat="1" applyFont="1" applyFill="1" applyAlignment="1">
      <alignment vertical="center" wrapText="1"/>
    </xf>
    <xf numFmtId="3" fontId="14" fillId="2" borderId="0" xfId="1" applyNumberFormat="1" applyFont="1" applyFill="1" applyAlignment="1">
      <alignment vertical="center" wrapText="1"/>
    </xf>
    <xf numFmtId="166" fontId="91" fillId="2" borderId="0" xfId="1" applyNumberFormat="1" applyFont="1" applyFill="1" applyAlignment="1">
      <alignment horizontal="right" vertical="center" wrapText="1" indent="1" readingOrder="2"/>
    </xf>
    <xf numFmtId="3" fontId="22" fillId="2" borderId="0" xfId="1" applyNumberFormat="1" applyFont="1" applyFill="1" applyBorder="1" applyAlignment="1">
      <alignment vertical="center" wrapText="1"/>
    </xf>
    <xf numFmtId="3" fontId="14" fillId="2" borderId="0" xfId="1" applyNumberFormat="1" applyFont="1" applyFill="1" applyBorder="1" applyAlignment="1">
      <alignment vertical="center" wrapText="1"/>
    </xf>
    <xf numFmtId="166" fontId="14" fillId="2" borderId="2" xfId="1" applyNumberFormat="1" applyFont="1" applyFill="1" applyBorder="1" applyAlignment="1">
      <alignment horizontal="left" vertical="center" wrapText="1" indent="1"/>
    </xf>
    <xf numFmtId="3" fontId="22" fillId="2" borderId="2" xfId="1" applyNumberFormat="1" applyFont="1" applyFill="1" applyBorder="1" applyAlignment="1">
      <alignment vertical="center" wrapText="1"/>
    </xf>
    <xf numFmtId="3" fontId="14" fillId="2" borderId="2" xfId="1" applyNumberFormat="1" applyFont="1" applyFill="1" applyBorder="1" applyAlignment="1">
      <alignment vertical="center" wrapText="1"/>
    </xf>
    <xf numFmtId="166" fontId="128" fillId="2" borderId="2" xfId="1" applyNumberFormat="1" applyFont="1" applyFill="1" applyBorder="1" applyAlignment="1">
      <alignment horizontal="right" vertical="center" wrapText="1" indent="1" readingOrder="2"/>
    </xf>
    <xf numFmtId="164" fontId="91" fillId="2" borderId="0" xfId="0" applyNumberFormat="1" applyFont="1" applyFill="1" applyAlignment="1">
      <alignment vertical="top" readingOrder="2"/>
    </xf>
    <xf numFmtId="164" fontId="127" fillId="2" borderId="0" xfId="0" applyNumberFormat="1" applyFont="1" applyFill="1" applyAlignment="1">
      <alignment vertical="top" readingOrder="2"/>
    </xf>
    <xf numFmtId="164" fontId="129" fillId="2" borderId="0" xfId="0" applyNumberFormat="1" applyFont="1" applyFill="1" applyAlignment="1">
      <alignment vertical="top"/>
    </xf>
    <xf numFmtId="166" fontId="128" fillId="2" borderId="0" xfId="1" applyNumberFormat="1" applyFont="1" applyFill="1" applyBorder="1" applyAlignment="1">
      <alignment vertical="center" wrapText="1" readingOrder="2"/>
    </xf>
    <xf numFmtId="166" fontId="14" fillId="2" borderId="0" xfId="1" applyNumberFormat="1" applyFont="1" applyFill="1" applyBorder="1" applyAlignment="1">
      <alignment horizontal="left" vertical="center" wrapText="1" indent="1"/>
    </xf>
    <xf numFmtId="166" fontId="91" fillId="2" borderId="0" xfId="1" applyNumberFormat="1" applyFont="1" applyFill="1" applyBorder="1" applyAlignment="1">
      <alignment horizontal="right" vertical="center" wrapText="1" indent="1" readingOrder="2"/>
    </xf>
    <xf numFmtId="166" fontId="91" fillId="2" borderId="2" xfId="1" applyNumberFormat="1" applyFont="1" applyFill="1" applyBorder="1" applyAlignment="1">
      <alignment horizontal="right" vertical="center" wrapText="1" indent="1" readingOrder="2"/>
    </xf>
    <xf numFmtId="164" fontId="130" fillId="2" borderId="0" xfId="0" applyNumberFormat="1" applyFont="1" applyFill="1" applyAlignment="1">
      <alignment vertical="top"/>
    </xf>
    <xf numFmtId="164" fontId="128" fillId="2" borderId="0" xfId="0" applyNumberFormat="1" applyFont="1" applyFill="1" applyAlignment="1">
      <alignment horizontal="right" vertical="top" wrapText="1" readingOrder="2"/>
    </xf>
    <xf numFmtId="164" fontId="64" fillId="2" borderId="0" xfId="0" applyNumberFormat="1" applyFont="1" applyFill="1" applyAlignment="1">
      <alignment horizontal="center"/>
    </xf>
    <xf numFmtId="164" fontId="109" fillId="2" borderId="0" xfId="0" applyNumberFormat="1" applyFont="1" applyFill="1" applyAlignment="1">
      <alignment horizontal="center" vertical="center" wrapText="1"/>
    </xf>
    <xf numFmtId="164" fontId="8" fillId="2" borderId="8" xfId="0" applyNumberFormat="1" applyFont="1" applyFill="1" applyBorder="1" applyAlignment="1">
      <alignment horizontal="center" vertical="center" wrapText="1"/>
    </xf>
    <xf numFmtId="164" fontId="39" fillId="2" borderId="42" xfId="0" applyNumberFormat="1" applyFont="1" applyFill="1" applyBorder="1" applyAlignment="1">
      <alignment horizontal="left" vertical="center" indent="1"/>
    </xf>
    <xf numFmtId="3" fontId="39" fillId="2" borderId="6" xfId="0" applyNumberFormat="1" applyFont="1" applyFill="1" applyBorder="1"/>
    <xf numFmtId="3" fontId="39" fillId="2" borderId="42" xfId="0" applyNumberFormat="1" applyFont="1" applyFill="1" applyBorder="1"/>
    <xf numFmtId="0" fontId="33" fillId="2" borderId="0" xfId="5" applyFont="1" applyFill="1" applyAlignment="1">
      <alignment horizontal="left" vertical="center" indent="2"/>
    </xf>
    <xf numFmtId="3" fontId="33" fillId="2" borderId="11" xfId="0" applyNumberFormat="1" applyFont="1" applyFill="1" applyBorder="1"/>
    <xf numFmtId="49" fontId="33" fillId="2" borderId="0" xfId="5" applyNumberFormat="1" applyFont="1" applyFill="1" applyAlignment="1">
      <alignment horizontal="left" vertical="center" indent="2"/>
    </xf>
    <xf numFmtId="0" fontId="131" fillId="2" borderId="0" xfId="0" applyFont="1" applyFill="1" applyAlignment="1">
      <alignment vertical="center"/>
    </xf>
    <xf numFmtId="49" fontId="33" fillId="2" borderId="2" xfId="5" applyNumberFormat="1" applyFont="1" applyFill="1" applyBorder="1" applyAlignment="1">
      <alignment horizontal="left" vertical="center" indent="2"/>
    </xf>
    <xf numFmtId="3" fontId="33" fillId="2" borderId="8" xfId="0" applyNumberFormat="1" applyFont="1" applyFill="1" applyBorder="1"/>
    <xf numFmtId="3" fontId="33" fillId="2" borderId="2" xfId="0" applyNumberFormat="1" applyFont="1" applyFill="1" applyBorder="1"/>
    <xf numFmtId="164" fontId="56" fillId="2" borderId="54" xfId="0" applyNumberFormat="1" applyFont="1" applyFill="1" applyBorder="1" applyAlignment="1">
      <alignment horizontal="right" vertical="center" indent="1"/>
    </xf>
    <xf numFmtId="164" fontId="56" fillId="2" borderId="57" xfId="0" applyNumberFormat="1" applyFont="1" applyFill="1" applyBorder="1" applyAlignment="1">
      <alignment horizontal="right" vertical="center" indent="1"/>
    </xf>
    <xf numFmtId="164" fontId="56" fillId="2" borderId="58" xfId="0" applyNumberFormat="1" applyFont="1" applyFill="1" applyBorder="1" applyAlignment="1">
      <alignment horizontal="right" vertical="center" indent="1"/>
    </xf>
    <xf numFmtId="164" fontId="56" fillId="2" borderId="33" xfId="0" applyNumberFormat="1" applyFont="1" applyFill="1" applyBorder="1" applyAlignment="1">
      <alignment horizontal="right" vertical="center" indent="1"/>
    </xf>
    <xf numFmtId="164" fontId="56" fillId="2" borderId="2" xfId="0" applyNumberFormat="1" applyFont="1" applyFill="1" applyBorder="1" applyAlignment="1">
      <alignment horizontal="right" vertical="center" indent="1"/>
    </xf>
    <xf numFmtId="164" fontId="15" fillId="2" borderId="52" xfId="0" applyNumberFormat="1" applyFont="1" applyFill="1" applyBorder="1" applyAlignment="1">
      <alignment horizontal="left" vertical="center" indent="1"/>
    </xf>
    <xf numFmtId="164" fontId="15" fillId="2" borderId="55" xfId="0" applyNumberFormat="1" applyFont="1" applyFill="1" applyBorder="1" applyAlignment="1">
      <alignment horizontal="left" vertical="center" indent="1"/>
    </xf>
    <xf numFmtId="164" fontId="15" fillId="2" borderId="4" xfId="0" applyNumberFormat="1" applyFont="1" applyFill="1" applyBorder="1" applyAlignment="1">
      <alignment horizontal="left" vertical="center" indent="1"/>
    </xf>
    <xf numFmtId="164" fontId="15" fillId="2" borderId="46" xfId="0" applyNumberFormat="1" applyFont="1" applyFill="1" applyBorder="1" applyAlignment="1">
      <alignment horizontal="left" vertical="center" indent="1"/>
    </xf>
    <xf numFmtId="164" fontId="15" fillId="2" borderId="33" xfId="0" applyNumberFormat="1" applyFont="1" applyFill="1" applyBorder="1" applyAlignment="1">
      <alignment horizontal="left" vertical="center" indent="1"/>
    </xf>
    <xf numFmtId="164" fontId="15" fillId="2" borderId="59" xfId="0" applyNumberFormat="1" applyFont="1" applyFill="1" applyBorder="1" applyAlignment="1">
      <alignment horizontal="left" vertical="center" indent="1"/>
    </xf>
    <xf numFmtId="3" fontId="1" fillId="2" borderId="0" xfId="1" applyNumberFormat="1" applyFont="1" applyFill="1" applyBorder="1" applyAlignment="1">
      <alignment horizontal="center" vertical="center"/>
    </xf>
    <xf numFmtId="3" fontId="1" fillId="2" borderId="2" xfId="1" applyNumberFormat="1" applyFont="1" applyFill="1" applyBorder="1" applyAlignment="1">
      <alignment horizontal="center" vertical="center"/>
    </xf>
    <xf numFmtId="164" fontId="33" fillId="2" borderId="0" xfId="0" applyNumberFormat="1" applyFont="1" applyFill="1" applyAlignment="1">
      <alignment horizontal="left" vertical="center" wrapText="1"/>
    </xf>
    <xf numFmtId="164" fontId="66" fillId="2" borderId="0" xfId="0" applyNumberFormat="1" applyFont="1" applyFill="1" applyAlignment="1">
      <alignment vertical="center"/>
    </xf>
    <xf numFmtId="164" fontId="39" fillId="2" borderId="0" xfId="0" applyNumberFormat="1" applyFont="1" applyFill="1" applyAlignment="1">
      <alignment vertical="center"/>
    </xf>
    <xf numFmtId="166" fontId="8" fillId="2" borderId="0" xfId="1" applyNumberFormat="1" applyFont="1" applyFill="1" applyBorder="1" applyAlignment="1">
      <alignment vertical="center" wrapText="1"/>
    </xf>
    <xf numFmtId="3" fontId="10" fillId="2" borderId="52" xfId="1" applyNumberFormat="1" applyFont="1" applyFill="1" applyBorder="1" applyAlignment="1">
      <alignment horizontal="center" vertical="center"/>
    </xf>
    <xf numFmtId="3" fontId="10" fillId="2" borderId="0" xfId="1" applyNumberFormat="1" applyFont="1" applyFill="1" applyBorder="1" applyAlignment="1">
      <alignment horizontal="center" vertical="center"/>
    </xf>
    <xf numFmtId="1" fontId="0" fillId="2" borderId="0" xfId="1" applyNumberFormat="1" applyFont="1" applyFill="1" applyAlignment="1"/>
    <xf numFmtId="0" fontId="51" fillId="2" borderId="0" xfId="0" applyFont="1" applyFill="1" applyAlignment="1">
      <alignment horizontal="right" vertical="center" indent="1"/>
    </xf>
    <xf numFmtId="0" fontId="51" fillId="2" borderId="2" xfId="0" applyFont="1" applyFill="1" applyBorder="1" applyAlignment="1">
      <alignment horizontal="right" vertical="center" indent="1"/>
    </xf>
    <xf numFmtId="0" fontId="88" fillId="2" borderId="0" xfId="0" applyFont="1" applyFill="1" applyAlignment="1">
      <alignment vertical="center"/>
    </xf>
    <xf numFmtId="0" fontId="88" fillId="2" borderId="2" xfId="0" applyFont="1" applyFill="1" applyBorder="1" applyAlignment="1">
      <alignment vertical="center"/>
    </xf>
    <xf numFmtId="3" fontId="0" fillId="2" borderId="120" xfId="0" applyNumberFormat="1" applyFill="1" applyBorder="1" applyAlignment="1">
      <alignment horizontal="right" vertical="center"/>
    </xf>
    <xf numFmtId="3" fontId="0" fillId="2" borderId="9" xfId="0" applyNumberFormat="1" applyFill="1" applyBorder="1" applyAlignment="1">
      <alignment horizontal="right" vertical="center"/>
    </xf>
    <xf numFmtId="3" fontId="0" fillId="2" borderId="127" xfId="0" applyNumberFormat="1" applyFill="1" applyBorder="1" applyAlignment="1">
      <alignment horizontal="right" vertical="center"/>
    </xf>
    <xf numFmtId="3" fontId="0" fillId="2" borderId="128" xfId="0" applyNumberFormat="1" applyFill="1" applyBorder="1" applyAlignment="1">
      <alignment horizontal="right" vertical="center"/>
    </xf>
    <xf numFmtId="3" fontId="0" fillId="2" borderId="138" xfId="0" applyNumberFormat="1" applyFill="1" applyBorder="1" applyAlignment="1">
      <alignment horizontal="right" vertical="center"/>
    </xf>
    <xf numFmtId="3" fontId="0" fillId="2" borderId="30" xfId="0" applyNumberFormat="1" applyFill="1" applyBorder="1" applyAlignment="1">
      <alignment horizontal="right" vertical="center"/>
    </xf>
    <xf numFmtId="164" fontId="10" fillId="2" borderId="0" xfId="0" applyNumberFormat="1" applyFont="1" applyFill="1" applyAlignment="1">
      <alignment horizontal="right" vertical="center" indent="1"/>
    </xf>
    <xf numFmtId="164" fontId="93" fillId="2" borderId="2" xfId="0" applyNumberFormat="1" applyFont="1" applyFill="1" applyBorder="1" applyAlignment="1">
      <alignment horizontal="right" vertical="center" indent="1"/>
    </xf>
    <xf numFmtId="164" fontId="10" fillId="2" borderId="2" xfId="0" applyNumberFormat="1" applyFont="1" applyFill="1" applyBorder="1" applyAlignment="1">
      <alignment horizontal="left" vertical="center" wrapText="1" indent="1"/>
    </xf>
    <xf numFmtId="0" fontId="2" fillId="2" borderId="0" xfId="0" applyFont="1" applyFill="1" applyAlignment="1">
      <alignment vertical="center" wrapText="1" readingOrder="2"/>
    </xf>
    <xf numFmtId="166" fontId="9" fillId="2" borderId="0" xfId="2" applyFont="1" applyFill="1" applyBorder="1" applyAlignment="1">
      <alignment vertical="center"/>
    </xf>
    <xf numFmtId="166" fontId="6" fillId="2" borderId="0" xfId="2" applyFont="1" applyFill="1" applyBorder="1" applyAlignment="1">
      <alignment vertical="center"/>
    </xf>
    <xf numFmtId="3" fontId="0" fillId="2" borderId="2" xfId="0" applyNumberFormat="1" applyFill="1" applyBorder="1" applyAlignment="1">
      <alignment vertical="center"/>
    </xf>
    <xf numFmtId="0" fontId="105" fillId="2" borderId="0" xfId="0" applyFont="1" applyFill="1" applyAlignment="1">
      <alignment horizontal="left" vertical="top" wrapText="1" readingOrder="2"/>
    </xf>
    <xf numFmtId="0" fontId="105" fillId="2" borderId="0" xfId="0" applyFont="1" applyFill="1" applyAlignment="1">
      <alignment vertical="top" wrapText="1" readingOrder="2"/>
    </xf>
    <xf numFmtId="0" fontId="33" fillId="2" borderId="0" xfId="0" applyFont="1" applyFill="1" applyAlignment="1">
      <alignment horizontal="left" wrapText="1"/>
    </xf>
    <xf numFmtId="0" fontId="43" fillId="2" borderId="42" xfId="0" applyFont="1" applyFill="1" applyBorder="1" applyAlignment="1">
      <alignment horizontal="right" vertical="center" wrapText="1" readingOrder="2"/>
    </xf>
    <xf numFmtId="0" fontId="43" fillId="2" borderId="0" xfId="0" applyFont="1" applyFill="1" applyAlignment="1">
      <alignment horizontal="right" vertical="center" readingOrder="2"/>
    </xf>
    <xf numFmtId="0" fontId="43" fillId="2" borderId="0" xfId="0" applyFont="1" applyFill="1" applyAlignment="1">
      <alignment horizontal="right" vertical="center" wrapText="1" readingOrder="2"/>
    </xf>
    <xf numFmtId="0" fontId="33" fillId="2" borderId="2" xfId="0" applyFont="1" applyFill="1" applyBorder="1" applyAlignment="1">
      <alignment horizontal="left" wrapText="1"/>
    </xf>
    <xf numFmtId="0" fontId="43" fillId="2" borderId="2" xfId="0" applyFont="1" applyFill="1" applyBorder="1" applyAlignment="1">
      <alignment horizontal="right" vertical="center" readingOrder="2"/>
    </xf>
    <xf numFmtId="0" fontId="31" fillId="2" borderId="0" xfId="0" applyFont="1" applyFill="1" applyAlignment="1">
      <alignment vertical="center"/>
    </xf>
    <xf numFmtId="170" fontId="33" fillId="3" borderId="0" xfId="1" applyNumberFormat="1" applyFont="1" applyFill="1" applyBorder="1" applyAlignment="1">
      <alignment horizontal="right" vertical="center"/>
    </xf>
    <xf numFmtId="0" fontId="2" fillId="2" borderId="152" xfId="0" applyFont="1" applyFill="1" applyBorder="1" applyAlignment="1">
      <alignment horizontal="right" vertical="center"/>
    </xf>
    <xf numFmtId="0" fontId="2" fillId="2" borderId="10" xfId="0" applyFont="1" applyFill="1" applyBorder="1"/>
    <xf numFmtId="164" fontId="113" fillId="2" borderId="0" xfId="0" applyNumberFormat="1" applyFont="1" applyFill="1" applyAlignment="1">
      <alignment horizontal="right" vertical="center"/>
    </xf>
    <xf numFmtId="164" fontId="113" fillId="2" borderId="2" xfId="0" applyNumberFormat="1" applyFont="1" applyFill="1" applyBorder="1" applyAlignment="1">
      <alignment horizontal="right" vertical="center"/>
    </xf>
    <xf numFmtId="0" fontId="2" fillId="2" borderId="152" xfId="0" applyFont="1" applyFill="1" applyBorder="1" applyAlignment="1">
      <alignment horizontal="left" vertical="center"/>
    </xf>
    <xf numFmtId="166" fontId="8" fillId="2" borderId="151" xfId="1" applyNumberFormat="1" applyFont="1" applyFill="1" applyBorder="1" applyAlignment="1">
      <alignment vertical="center" wrapText="1"/>
    </xf>
    <xf numFmtId="3" fontId="8" fillId="2" borderId="151" xfId="1" applyNumberFormat="1" applyFont="1" applyFill="1" applyBorder="1" applyAlignment="1">
      <alignment vertical="center" wrapText="1"/>
    </xf>
    <xf numFmtId="3" fontId="8" fillId="2" borderId="151" xfId="1" applyNumberFormat="1" applyFont="1" applyFill="1" applyBorder="1" applyAlignment="1">
      <alignment vertical="center"/>
    </xf>
    <xf numFmtId="164" fontId="3" fillId="2" borderId="152" xfId="0" applyNumberFormat="1" applyFont="1" applyFill="1" applyBorder="1" applyAlignment="1">
      <alignment vertical="center"/>
    </xf>
    <xf numFmtId="0" fontId="2" fillId="2" borderId="152" xfId="0" applyFont="1" applyFill="1" applyBorder="1"/>
    <xf numFmtId="164" fontId="54" fillId="2" borderId="155" xfId="0" applyNumberFormat="1" applyFont="1" applyFill="1" applyBorder="1" applyAlignment="1">
      <alignment vertical="center"/>
    </xf>
    <xf numFmtId="164" fontId="54" fillId="2" borderId="156" xfId="0" applyNumberFormat="1" applyFont="1" applyFill="1" applyBorder="1" applyAlignment="1">
      <alignment vertical="center"/>
    </xf>
    <xf numFmtId="164" fontId="54" fillId="2" borderId="157" xfId="0" applyNumberFormat="1" applyFont="1" applyFill="1" applyBorder="1" applyAlignment="1">
      <alignment vertical="center"/>
    </xf>
    <xf numFmtId="164" fontId="0" fillId="2" borderId="155" xfId="0" applyNumberFormat="1" applyFill="1" applyBorder="1" applyAlignment="1">
      <alignment vertical="center"/>
    </xf>
    <xf numFmtId="164" fontId="12" fillId="2" borderId="151" xfId="0" applyNumberFormat="1" applyFont="1" applyFill="1" applyBorder="1" applyAlignment="1">
      <alignment vertical="center"/>
    </xf>
    <xf numFmtId="169" fontId="33" fillId="3" borderId="2" xfId="1" applyNumberFormat="1" applyFont="1" applyFill="1" applyBorder="1" applyAlignment="1">
      <alignment vertical="center"/>
    </xf>
    <xf numFmtId="0" fontId="88" fillId="2" borderId="0" xfId="0" applyFont="1" applyFill="1"/>
    <xf numFmtId="0" fontId="88" fillId="2" borderId="2" xfId="0" applyFont="1" applyFill="1" applyBorder="1"/>
    <xf numFmtId="3" fontId="2" fillId="2" borderId="158" xfId="0" applyNumberFormat="1" applyFont="1" applyFill="1" applyBorder="1" applyAlignment="1">
      <alignment horizontal="right" vertical="center"/>
    </xf>
    <xf numFmtId="3" fontId="0" fillId="2" borderId="158" xfId="0" applyNumberFormat="1" applyFill="1" applyBorder="1" applyAlignment="1">
      <alignment horizontal="right" vertical="center"/>
    </xf>
    <xf numFmtId="3" fontId="0" fillId="3" borderId="9" xfId="0" applyNumberFormat="1" applyFill="1" applyBorder="1" applyAlignment="1">
      <alignment horizontal="right" vertical="center"/>
    </xf>
    <xf numFmtId="3" fontId="0" fillId="3" borderId="70" xfId="0" applyNumberFormat="1" applyFill="1" applyBorder="1" applyAlignment="1">
      <alignment horizontal="right" vertical="center"/>
    </xf>
    <xf numFmtId="3" fontId="0" fillId="3" borderId="30" xfId="0" applyNumberFormat="1" applyFill="1" applyBorder="1" applyAlignment="1">
      <alignment horizontal="right" vertical="center"/>
    </xf>
    <xf numFmtId="3" fontId="0" fillId="3" borderId="126" xfId="0" applyNumberFormat="1" applyFill="1" applyBorder="1" applyAlignment="1">
      <alignment horizontal="right" vertical="center"/>
    </xf>
    <xf numFmtId="164" fontId="60" fillId="2" borderId="3" xfId="0" applyNumberFormat="1" applyFont="1" applyFill="1" applyBorder="1" applyAlignment="1">
      <alignment horizontal="right" readingOrder="2"/>
    </xf>
    <xf numFmtId="0" fontId="0" fillId="3" borderId="0" xfId="0" applyFill="1" applyAlignment="1">
      <alignment horizontal="center" vertical="center"/>
    </xf>
    <xf numFmtId="0" fontId="0" fillId="3" borderId="10" xfId="0" applyFill="1" applyBorder="1" applyAlignment="1">
      <alignment horizontal="center" vertical="center"/>
    </xf>
    <xf numFmtId="0" fontId="0" fillId="3" borderId="2" xfId="0" applyFill="1" applyBorder="1" applyAlignment="1">
      <alignment horizontal="center" vertical="center"/>
    </xf>
    <xf numFmtId="0" fontId="0" fillId="3" borderId="7" xfId="0" applyFill="1" applyBorder="1" applyAlignment="1">
      <alignment horizontal="center" vertical="center"/>
    </xf>
    <xf numFmtId="0" fontId="90" fillId="3" borderId="0" xfId="0" applyFont="1" applyFill="1"/>
    <xf numFmtId="0" fontId="90" fillId="3" borderId="2" xfId="0" applyFont="1" applyFill="1" applyBorder="1"/>
    <xf numFmtId="170" fontId="39" fillId="3" borderId="151" xfId="1" applyNumberFormat="1" applyFont="1" applyFill="1" applyBorder="1" applyAlignment="1">
      <alignment horizontal="center" vertical="center" wrapText="1"/>
    </xf>
    <xf numFmtId="170" fontId="39" fillId="3" borderId="0" xfId="1" applyNumberFormat="1" applyFont="1" applyFill="1" applyBorder="1" applyAlignment="1">
      <alignment horizontal="center" vertical="center" wrapText="1"/>
    </xf>
    <xf numFmtId="170" fontId="33" fillId="3" borderId="0" xfId="1" applyNumberFormat="1" applyFont="1" applyFill="1" applyBorder="1" applyAlignment="1">
      <alignment horizontal="center" vertical="center" wrapText="1"/>
    </xf>
    <xf numFmtId="170" fontId="39" fillId="3" borderId="2" xfId="1" applyNumberFormat="1" applyFont="1" applyFill="1" applyBorder="1" applyAlignment="1">
      <alignment horizontal="center" vertical="center" wrapText="1"/>
    </xf>
    <xf numFmtId="0" fontId="19" fillId="2" borderId="153" xfId="0" applyFont="1" applyFill="1" applyBorder="1" applyAlignment="1">
      <alignment horizontal="center" vertical="center" wrapText="1"/>
    </xf>
    <xf numFmtId="3" fontId="0" fillId="2" borderId="11" xfId="0" applyNumberFormat="1" applyFill="1" applyBorder="1" applyAlignment="1">
      <alignment horizontal="center" vertical="center"/>
    </xf>
    <xf numFmtId="164" fontId="58" fillId="2" borderId="151" xfId="0" applyNumberFormat="1" applyFont="1" applyFill="1" applyBorder="1" applyAlignment="1">
      <alignment horizontal="center" vertical="center"/>
    </xf>
    <xf numFmtId="164" fontId="58" fillId="2" borderId="0" xfId="0" applyNumberFormat="1" applyFont="1" applyFill="1" applyAlignment="1">
      <alignment horizontal="center" vertical="center"/>
    </xf>
    <xf numFmtId="164" fontId="8" fillId="2" borderId="2" xfId="0" applyNumberFormat="1" applyFont="1" applyFill="1" applyBorder="1" applyAlignment="1">
      <alignment horizontal="right" vertical="center"/>
    </xf>
    <xf numFmtId="37" fontId="39" fillId="2" borderId="0" xfId="0" applyNumberFormat="1" applyFont="1" applyFill="1" applyAlignment="1">
      <alignment horizontal="right" vertical="center"/>
    </xf>
    <xf numFmtId="164" fontId="33" fillId="2" borderId="0" xfId="0" applyNumberFormat="1" applyFont="1" applyFill="1" applyAlignment="1">
      <alignment horizontal="right" vertical="center"/>
    </xf>
    <xf numFmtId="164" fontId="33" fillId="2" borderId="2" xfId="0" applyNumberFormat="1" applyFont="1" applyFill="1" applyBorder="1" applyAlignment="1">
      <alignment horizontal="right" vertical="center"/>
    </xf>
    <xf numFmtId="164" fontId="54" fillId="2" borderId="0" xfId="0" applyNumberFormat="1" applyFont="1" applyFill="1"/>
    <xf numFmtId="164" fontId="0" fillId="2" borderId="155" xfId="0" applyNumberFormat="1" applyFill="1" applyBorder="1"/>
    <xf numFmtId="164" fontId="33" fillId="3" borderId="143" xfId="0" applyNumberFormat="1" applyFont="1" applyFill="1" applyBorder="1" applyAlignment="1">
      <alignment horizontal="right" vertical="center"/>
    </xf>
    <xf numFmtId="164" fontId="33" fillId="3" borderId="87" xfId="0" applyNumberFormat="1" applyFont="1" applyFill="1" applyBorder="1" applyAlignment="1">
      <alignment horizontal="right" vertical="center"/>
    </xf>
    <xf numFmtId="164" fontId="33" fillId="3" borderId="141" xfId="0" applyNumberFormat="1" applyFont="1" applyFill="1" applyBorder="1" applyAlignment="1">
      <alignment horizontal="right" vertical="center"/>
    </xf>
    <xf numFmtId="164" fontId="33" fillId="3" borderId="48" xfId="0" applyNumberFormat="1" applyFont="1" applyFill="1" applyBorder="1" applyAlignment="1">
      <alignment horizontal="right" vertical="center"/>
    </xf>
    <xf numFmtId="164" fontId="61" fillId="2" borderId="53" xfId="0" applyNumberFormat="1" applyFont="1" applyFill="1" applyBorder="1" applyAlignment="1">
      <alignment horizontal="right" vertical="center"/>
    </xf>
    <xf numFmtId="164" fontId="61" fillId="2" borderId="162" xfId="0" applyNumberFormat="1" applyFont="1" applyFill="1" applyBorder="1" applyAlignment="1">
      <alignment horizontal="right" vertical="center"/>
    </xf>
    <xf numFmtId="164" fontId="62" fillId="2" borderId="162" xfId="0" applyNumberFormat="1" applyFont="1" applyFill="1" applyBorder="1" applyAlignment="1">
      <alignment horizontal="right" vertical="center" indent="1"/>
    </xf>
    <xf numFmtId="164" fontId="62" fillId="2" borderId="162" xfId="0" applyNumberFormat="1" applyFont="1" applyFill="1" applyBorder="1" applyAlignment="1">
      <alignment horizontal="right" vertical="center" indent="2"/>
    </xf>
    <xf numFmtId="164" fontId="62" fillId="2" borderId="163" xfId="0" applyNumberFormat="1" applyFont="1" applyFill="1" applyBorder="1" applyAlignment="1">
      <alignment horizontal="right" vertical="center" indent="2"/>
    </xf>
    <xf numFmtId="3" fontId="33" fillId="2" borderId="17" xfId="1" applyNumberFormat="1" applyFont="1" applyFill="1" applyBorder="1" applyAlignment="1" applyProtection="1">
      <alignment horizontal="center" vertical="center"/>
    </xf>
    <xf numFmtId="164" fontId="5" fillId="2" borderId="15" xfId="0" applyNumberFormat="1" applyFont="1" applyFill="1" applyBorder="1" applyAlignment="1">
      <alignment horizontal="right" vertical="center" indent="1"/>
    </xf>
    <xf numFmtId="164" fontId="65" fillId="2" borderId="17" xfId="0" applyNumberFormat="1" applyFont="1" applyFill="1" applyBorder="1" applyAlignment="1">
      <alignment horizontal="right" vertical="center" wrapText="1" indent="1"/>
    </xf>
    <xf numFmtId="3" fontId="10" fillId="0" borderId="14" xfId="1" applyNumberFormat="1" applyFont="1" applyFill="1" applyBorder="1" applyAlignment="1" applyProtection="1">
      <alignment horizontal="right" vertical="center"/>
    </xf>
    <xf numFmtId="3" fontId="10" fillId="0" borderId="15" xfId="1" applyNumberFormat="1" applyFont="1" applyFill="1" applyBorder="1" applyAlignment="1" applyProtection="1">
      <alignment horizontal="right" vertical="center"/>
    </xf>
    <xf numFmtId="166" fontId="62" fillId="2" borderId="0" xfId="1" applyNumberFormat="1" applyFont="1" applyFill="1" applyBorder="1" applyAlignment="1">
      <alignment vertical="center" wrapText="1" readingOrder="2"/>
    </xf>
    <xf numFmtId="166" fontId="8" fillId="2" borderId="130" xfId="1" applyNumberFormat="1" applyFont="1" applyFill="1" applyBorder="1" applyAlignment="1">
      <alignment horizontal="right" vertical="center" wrapText="1"/>
    </xf>
    <xf numFmtId="3" fontId="10" fillId="2" borderId="11" xfId="1" applyNumberFormat="1" applyFont="1" applyFill="1" applyBorder="1" applyAlignment="1" applyProtection="1"/>
    <xf numFmtId="0" fontId="59" fillId="2" borderId="152" xfId="0" applyFont="1" applyFill="1" applyBorder="1"/>
    <xf numFmtId="0" fontId="133" fillId="0" borderId="0" xfId="0" applyFont="1" applyAlignment="1">
      <alignment vertical="center"/>
    </xf>
    <xf numFmtId="3" fontId="15" fillId="2" borderId="33" xfId="0" applyNumberFormat="1" applyFont="1" applyFill="1" applyBorder="1" applyAlignment="1">
      <alignment vertical="center"/>
    </xf>
    <xf numFmtId="3" fontId="10" fillId="2" borderId="0" xfId="1" applyNumberFormat="1" applyFont="1" applyFill="1" applyBorder="1" applyAlignment="1">
      <alignment vertical="center"/>
    </xf>
    <xf numFmtId="3" fontId="10" fillId="2" borderId="2" xfId="1" applyNumberFormat="1" applyFont="1" applyFill="1" applyBorder="1" applyAlignment="1">
      <alignment vertical="center"/>
    </xf>
    <xf numFmtId="164" fontId="10" fillId="2" borderId="2" xfId="0" applyNumberFormat="1" applyFont="1" applyFill="1" applyBorder="1" applyAlignment="1">
      <alignment vertical="center"/>
    </xf>
    <xf numFmtId="166" fontId="126" fillId="2" borderId="0" xfId="1" applyNumberFormat="1" applyFont="1" applyFill="1" applyBorder="1" applyAlignment="1">
      <alignment vertical="center" readingOrder="2"/>
    </xf>
    <xf numFmtId="164" fontId="4" fillId="2" borderId="0" xfId="0" applyNumberFormat="1" applyFont="1" applyFill="1" applyAlignment="1">
      <alignment vertical="center" readingOrder="2"/>
    </xf>
    <xf numFmtId="166" fontId="4" fillId="2" borderId="0" xfId="1" applyNumberFormat="1" applyFont="1" applyFill="1" applyBorder="1" applyAlignment="1">
      <alignment vertical="center" readingOrder="2"/>
    </xf>
    <xf numFmtId="166" fontId="5" fillId="2" borderId="0" xfId="1" applyNumberFormat="1" applyFont="1" applyFill="1" applyBorder="1" applyAlignment="1">
      <alignment horizontal="right" vertical="center" readingOrder="2"/>
    </xf>
    <xf numFmtId="166" fontId="126" fillId="2" borderId="0" xfId="1" applyNumberFormat="1" applyFont="1" applyFill="1" applyBorder="1" applyAlignment="1">
      <alignment horizontal="right" vertical="center" readingOrder="2"/>
    </xf>
    <xf numFmtId="0" fontId="51" fillId="2" borderId="135" xfId="0" applyFont="1" applyFill="1" applyBorder="1" applyAlignment="1">
      <alignment horizontal="right" textRotation="90" wrapText="1" readingOrder="2"/>
    </xf>
    <xf numFmtId="0" fontId="51" fillId="2" borderId="167" xfId="0" applyFont="1" applyFill="1" applyBorder="1" applyAlignment="1">
      <alignment horizontal="right" textRotation="90" wrapText="1" readingOrder="2"/>
    </xf>
    <xf numFmtId="3" fontId="39" fillId="2" borderId="161" xfId="1" applyNumberFormat="1" applyFont="1" applyFill="1" applyBorder="1" applyAlignment="1" applyProtection="1">
      <alignment horizontal="left" vertical="center" wrapText="1"/>
    </xf>
    <xf numFmtId="3" fontId="39" fillId="2" borderId="164" xfId="1" applyNumberFormat="1" applyFont="1" applyFill="1" applyBorder="1" applyAlignment="1" applyProtection="1">
      <alignment horizontal="left" vertical="center" wrapText="1"/>
    </xf>
    <xf numFmtId="3" fontId="39" fillId="2" borderId="166" xfId="1" applyNumberFormat="1" applyFont="1" applyFill="1" applyBorder="1" applyAlignment="1" applyProtection="1">
      <alignment horizontal="right" vertical="center" wrapText="1"/>
    </xf>
    <xf numFmtId="3" fontId="39" fillId="2" borderId="161" xfId="1" applyNumberFormat="1" applyFont="1" applyFill="1" applyBorder="1" applyAlignment="1" applyProtection="1">
      <alignment horizontal="right" vertical="center" wrapText="1"/>
    </xf>
    <xf numFmtId="3" fontId="39" fillId="2" borderId="166" xfId="1" applyNumberFormat="1" applyFont="1" applyFill="1" applyBorder="1" applyAlignment="1" applyProtection="1">
      <alignment horizontal="center" vertical="center" wrapText="1"/>
    </xf>
    <xf numFmtId="3" fontId="39" fillId="2" borderId="161" xfId="1" applyNumberFormat="1" applyFont="1" applyFill="1" applyBorder="1" applyAlignment="1" applyProtection="1">
      <alignment horizontal="center" vertical="center" wrapText="1"/>
    </xf>
    <xf numFmtId="3" fontId="2" fillId="2" borderId="166" xfId="1" applyNumberFormat="1" applyFont="1" applyFill="1" applyBorder="1" applyAlignment="1" applyProtection="1">
      <alignment horizontal="center" vertical="center" wrapText="1"/>
    </xf>
    <xf numFmtId="3" fontId="2" fillId="2" borderId="161" xfId="1" applyNumberFormat="1" applyFont="1" applyFill="1" applyBorder="1" applyAlignment="1" applyProtection="1">
      <alignment horizontal="center" vertical="center" wrapText="1"/>
    </xf>
    <xf numFmtId="3" fontId="2" fillId="2" borderId="160" xfId="1" applyNumberFormat="1" applyFont="1" applyFill="1" applyBorder="1" applyAlignment="1" applyProtection="1">
      <alignment horizontal="center" vertical="center" wrapText="1"/>
    </xf>
    <xf numFmtId="3" fontId="1" fillId="2" borderId="166" xfId="1" applyNumberFormat="1" applyFont="1" applyFill="1" applyBorder="1" applyAlignment="1">
      <alignment horizontal="center" vertical="center"/>
    </xf>
    <xf numFmtId="3" fontId="1" fillId="2" borderId="161" xfId="1" applyNumberFormat="1" applyFont="1" applyFill="1" applyBorder="1" applyAlignment="1">
      <alignment horizontal="center" vertical="center"/>
    </xf>
    <xf numFmtId="3" fontId="1" fillId="2" borderId="164" xfId="1" applyNumberFormat="1" applyFont="1" applyFill="1" applyBorder="1" applyAlignment="1">
      <alignment horizontal="center" vertical="center"/>
    </xf>
    <xf numFmtId="3" fontId="1" fillId="2" borderId="165" xfId="1" applyNumberFormat="1" applyFont="1" applyFill="1" applyBorder="1" applyAlignment="1">
      <alignment horizontal="center" vertical="center"/>
    </xf>
    <xf numFmtId="164" fontId="77" fillId="2" borderId="161" xfId="0" applyNumberFormat="1" applyFont="1" applyFill="1" applyBorder="1" applyAlignment="1">
      <alignment horizontal="right" vertical="center"/>
    </xf>
    <xf numFmtId="3" fontId="33" fillId="2" borderId="149" xfId="1" applyNumberFormat="1" applyFont="1" applyFill="1" applyBorder="1" applyAlignment="1">
      <alignment horizontal="left" vertical="center"/>
    </xf>
    <xf numFmtId="3" fontId="33" fillId="2" borderId="149" xfId="1" applyNumberFormat="1" applyFont="1" applyFill="1" applyBorder="1" applyAlignment="1" applyProtection="1">
      <alignment horizontal="right" vertical="center" wrapText="1"/>
    </xf>
    <xf numFmtId="3" fontId="33" fillId="2" borderId="149" xfId="1" applyNumberFormat="1" applyFont="1" applyFill="1" applyBorder="1" applyAlignment="1" applyProtection="1">
      <alignment horizontal="center" vertical="center" wrapText="1"/>
    </xf>
    <xf numFmtId="3" fontId="0" fillId="2" borderId="149" xfId="1" applyNumberFormat="1" applyFont="1" applyFill="1" applyBorder="1" applyAlignment="1" applyProtection="1">
      <alignment horizontal="center" vertical="center" wrapText="1"/>
    </xf>
    <xf numFmtId="3" fontId="1" fillId="2" borderId="149" xfId="1" applyNumberFormat="1" applyFont="1" applyFill="1" applyBorder="1" applyAlignment="1" applyProtection="1">
      <alignment horizontal="center" vertical="center" wrapText="1"/>
    </xf>
    <xf numFmtId="3" fontId="1" fillId="2" borderId="11" xfId="1" applyNumberFormat="1" applyFont="1" applyFill="1" applyBorder="1" applyAlignment="1">
      <alignment horizontal="center" vertical="center"/>
    </xf>
    <xf numFmtId="3" fontId="1" fillId="2" borderId="10" xfId="1" applyNumberFormat="1" applyFont="1" applyFill="1" applyBorder="1" applyAlignment="1">
      <alignment horizontal="center" vertical="center"/>
    </xf>
    <xf numFmtId="164" fontId="65" fillId="2" borderId="0" xfId="0" applyNumberFormat="1" applyFont="1" applyFill="1" applyAlignment="1">
      <alignment horizontal="right" vertical="center" wrapText="1" indent="1"/>
    </xf>
    <xf numFmtId="164" fontId="79" fillId="2" borderId="0" xfId="0" applyNumberFormat="1" applyFont="1" applyFill="1" applyAlignment="1">
      <alignment horizontal="right" vertical="center" indent="1"/>
    </xf>
    <xf numFmtId="3" fontId="1" fillId="2" borderId="8" xfId="1" applyNumberFormat="1" applyFont="1" applyFill="1" applyBorder="1" applyAlignment="1">
      <alignment horizontal="center" vertical="center"/>
    </xf>
    <xf numFmtId="3" fontId="1" fillId="2" borderId="7" xfId="1" applyNumberFormat="1" applyFont="1" applyFill="1" applyBorder="1" applyAlignment="1">
      <alignment horizontal="center" vertical="center"/>
    </xf>
    <xf numFmtId="164" fontId="65" fillId="2" borderId="2" xfId="0" applyNumberFormat="1" applyFont="1" applyFill="1" applyBorder="1" applyAlignment="1">
      <alignment horizontal="right" vertical="center" indent="1"/>
    </xf>
    <xf numFmtId="0" fontId="132" fillId="2" borderId="2" xfId="0" applyFont="1" applyFill="1" applyBorder="1" applyAlignment="1">
      <alignment vertical="center"/>
    </xf>
    <xf numFmtId="0" fontId="132" fillId="2" borderId="0" xfId="0" applyFont="1" applyFill="1" applyAlignment="1">
      <alignment vertical="center"/>
    </xf>
    <xf numFmtId="0" fontId="39" fillId="2" borderId="0" xfId="5" applyFont="1" applyFill="1" applyAlignment="1">
      <alignment horizontal="left" vertical="center" wrapText="1" readingOrder="2"/>
    </xf>
    <xf numFmtId="0" fontId="2" fillId="2" borderId="11" xfId="0" applyFont="1" applyFill="1" applyBorder="1" applyAlignment="1">
      <alignment horizontal="center" vertical="center"/>
    </xf>
    <xf numFmtId="0" fontId="2" fillId="2" borderId="94" xfId="0" applyFont="1" applyFill="1" applyBorder="1" applyAlignment="1">
      <alignment horizontal="center" vertical="center"/>
    </xf>
    <xf numFmtId="3" fontId="2" fillId="2" borderId="11" xfId="0" applyNumberFormat="1" applyFont="1" applyFill="1" applyBorder="1" applyAlignment="1">
      <alignment horizontal="center" vertical="center"/>
    </xf>
    <xf numFmtId="3" fontId="2" fillId="2" borderId="8" xfId="0" applyNumberFormat="1" applyFont="1" applyFill="1" applyBorder="1" applyAlignment="1">
      <alignment horizontal="center" vertical="center"/>
    </xf>
    <xf numFmtId="0" fontId="33" fillId="2" borderId="0" xfId="0" applyFont="1" applyFill="1" applyAlignment="1">
      <alignment horizontal="left" vertical="center"/>
    </xf>
    <xf numFmtId="3" fontId="0" fillId="2" borderId="2" xfId="0" applyNumberFormat="1" applyFill="1" applyBorder="1"/>
    <xf numFmtId="164" fontId="23" fillId="2" borderId="42" xfId="0" applyNumberFormat="1" applyFont="1" applyFill="1" applyBorder="1" applyAlignment="1">
      <alignment vertical="center"/>
    </xf>
    <xf numFmtId="0" fontId="2" fillId="2" borderId="2" xfId="0" applyFont="1" applyFill="1" applyBorder="1" applyAlignment="1">
      <alignment horizontal="left" vertical="center"/>
    </xf>
    <xf numFmtId="0" fontId="2" fillId="2" borderId="0" xfId="0" applyFont="1" applyFill="1" applyAlignment="1">
      <alignment horizontal="center" vertical="center" wrapText="1"/>
    </xf>
    <xf numFmtId="164" fontId="39" fillId="2" borderId="0" xfId="0" applyNumberFormat="1" applyFont="1" applyFill="1" applyAlignment="1">
      <alignment horizontal="center"/>
    </xf>
    <xf numFmtId="0" fontId="2" fillId="2" borderId="0" xfId="0" applyFont="1" applyFill="1" applyAlignment="1">
      <alignment horizontal="center" vertical="center"/>
    </xf>
    <xf numFmtId="0" fontId="2" fillId="2" borderId="148" xfId="0" applyFont="1" applyFill="1" applyBorder="1" applyAlignment="1">
      <alignment horizontal="center"/>
    </xf>
    <xf numFmtId="0" fontId="2" fillId="2" borderId="2" xfId="0" applyFont="1" applyFill="1" applyBorder="1" applyAlignment="1">
      <alignment horizontal="center" vertical="center"/>
    </xf>
    <xf numFmtId="0" fontId="2" fillId="2" borderId="0" xfId="0" applyFont="1" applyFill="1" applyAlignment="1">
      <alignment horizontal="center"/>
    </xf>
    <xf numFmtId="0" fontId="2" fillId="2" borderId="13" xfId="0" applyFont="1" applyFill="1" applyBorder="1" applyAlignment="1">
      <alignment horizontal="center" vertical="center"/>
    </xf>
    <xf numFmtId="0" fontId="2" fillId="2" borderId="61" xfId="0" applyFont="1" applyFill="1" applyBorder="1" applyAlignment="1">
      <alignment horizontal="center" vertical="center"/>
    </xf>
    <xf numFmtId="0" fontId="0" fillId="2" borderId="151" xfId="0" applyFill="1" applyBorder="1" applyAlignment="1">
      <alignment horizontal="center"/>
    </xf>
    <xf numFmtId="0" fontId="0" fillId="2" borderId="0" xfId="0" applyFill="1" applyAlignment="1">
      <alignment horizontal="center"/>
    </xf>
    <xf numFmtId="0" fontId="0" fillId="2" borderId="2" xfId="0" applyFill="1" applyBorder="1" applyAlignment="1">
      <alignment horizontal="center"/>
    </xf>
    <xf numFmtId="0" fontId="2" fillId="2" borderId="10" xfId="0" applyFont="1" applyFill="1" applyBorder="1" applyAlignment="1">
      <alignment horizontal="center" vertical="center"/>
    </xf>
    <xf numFmtId="0" fontId="2" fillId="2" borderId="7" xfId="0" applyFont="1" applyFill="1" applyBorder="1" applyAlignment="1">
      <alignment horizontal="center" vertical="center"/>
    </xf>
    <xf numFmtId="164" fontId="8" fillId="2" borderId="151" xfId="0" applyNumberFormat="1" applyFont="1" applyFill="1" applyBorder="1" applyAlignment="1">
      <alignment horizontal="left" vertical="center" wrapText="1"/>
    </xf>
    <xf numFmtId="164" fontId="8" fillId="2" borderId="2" xfId="0" applyNumberFormat="1" applyFont="1" applyFill="1" applyBorder="1" applyAlignment="1">
      <alignment horizontal="left" vertical="center" wrapText="1"/>
    </xf>
    <xf numFmtId="164" fontId="8" fillId="2" borderId="2" xfId="0" applyNumberFormat="1" applyFont="1" applyFill="1" applyBorder="1" applyAlignment="1">
      <alignment horizontal="center" vertical="center" wrapText="1"/>
    </xf>
    <xf numFmtId="164" fontId="8" fillId="2" borderId="0" xfId="0" applyNumberFormat="1" applyFont="1" applyFill="1" applyAlignment="1">
      <alignment horizontal="center" vertical="center" wrapText="1"/>
    </xf>
    <xf numFmtId="164" fontId="8" fillId="2" borderId="0" xfId="0" applyNumberFormat="1" applyFont="1" applyFill="1" applyAlignment="1">
      <alignment horizontal="center" vertical="center"/>
    </xf>
    <xf numFmtId="164" fontId="8" fillId="2" borderId="161" xfId="0" applyNumberFormat="1" applyFont="1" applyFill="1" applyBorder="1" applyAlignment="1">
      <alignment horizontal="right" vertical="center" wrapText="1"/>
    </xf>
    <xf numFmtId="164" fontId="8" fillId="2" borderId="2" xfId="0" applyNumberFormat="1" applyFont="1" applyFill="1" applyBorder="1" applyAlignment="1">
      <alignment horizontal="right" vertical="center" wrapText="1"/>
    </xf>
    <xf numFmtId="164" fontId="8" fillId="2" borderId="151" xfId="0" applyNumberFormat="1" applyFont="1" applyFill="1" applyBorder="1" applyAlignment="1">
      <alignment horizontal="right" vertical="center" wrapText="1"/>
    </xf>
    <xf numFmtId="164" fontId="8" fillId="2" borderId="41" xfId="0" applyNumberFormat="1" applyFont="1" applyFill="1" applyBorder="1" applyAlignment="1">
      <alignment horizontal="center" vertical="center" wrapText="1"/>
    </xf>
    <xf numFmtId="164" fontId="47" fillId="2" borderId="46" xfId="0" applyNumberFormat="1" applyFont="1" applyFill="1" applyBorder="1" applyAlignment="1">
      <alignment horizontal="center" vertical="center"/>
    </xf>
    <xf numFmtId="164" fontId="47" fillId="2" borderId="154" xfId="0" applyNumberFormat="1" applyFont="1" applyFill="1" applyBorder="1" applyAlignment="1">
      <alignment horizontal="center" vertical="center"/>
    </xf>
    <xf numFmtId="164" fontId="39" fillId="2" borderId="0" xfId="0" applyNumberFormat="1" applyFont="1" applyFill="1" applyAlignment="1">
      <alignment horizontal="center" vertical="center"/>
    </xf>
    <xf numFmtId="164" fontId="2" fillId="2" borderId="13" xfId="0" applyNumberFormat="1" applyFont="1" applyFill="1" applyBorder="1" applyAlignment="1">
      <alignment horizontal="center" vertical="center"/>
    </xf>
    <xf numFmtId="164" fontId="2" fillId="2" borderId="129" xfId="0" applyNumberFormat="1" applyFont="1" applyFill="1" applyBorder="1" applyAlignment="1">
      <alignment horizontal="center" vertical="center"/>
    </xf>
    <xf numFmtId="164" fontId="2" fillId="2" borderId="60" xfId="0" applyNumberFormat="1" applyFont="1" applyFill="1" applyBorder="1" applyAlignment="1">
      <alignment horizontal="center" vertical="center"/>
    </xf>
    <xf numFmtId="164" fontId="77" fillId="2" borderId="166" xfId="0" applyNumberFormat="1" applyFont="1" applyFill="1" applyBorder="1" applyAlignment="1">
      <alignment horizontal="right" vertical="center"/>
    </xf>
    <xf numFmtId="164" fontId="77" fillId="2" borderId="0" xfId="0" applyNumberFormat="1" applyFont="1" applyFill="1" applyAlignment="1">
      <alignment horizontal="right" vertical="center"/>
    </xf>
    <xf numFmtId="164" fontId="72" fillId="2" borderId="0" xfId="0" applyNumberFormat="1" applyFont="1" applyFill="1" applyAlignment="1">
      <alignment horizontal="center" vertical="center"/>
    </xf>
    <xf numFmtId="164" fontId="73" fillId="2" borderId="0" xfId="0" applyNumberFormat="1" applyFont="1" applyFill="1" applyAlignment="1">
      <alignment horizontal="center" vertical="center"/>
    </xf>
    <xf numFmtId="164" fontId="74" fillId="2" borderId="165" xfId="0" applyNumberFormat="1" applyFont="1" applyFill="1" applyBorder="1" applyAlignment="1">
      <alignment horizontal="left" vertical="center"/>
    </xf>
    <xf numFmtId="164" fontId="74" fillId="2" borderId="7" xfId="0" applyNumberFormat="1" applyFont="1" applyFill="1" applyBorder="1" applyAlignment="1">
      <alignment horizontal="left" vertical="center"/>
    </xf>
    <xf numFmtId="164" fontId="75" fillId="2" borderId="60" xfId="0" applyNumberFormat="1" applyFont="1" applyFill="1" applyBorder="1" applyAlignment="1">
      <alignment horizontal="center" vertical="center"/>
    </xf>
    <xf numFmtId="164" fontId="75" fillId="2" borderId="13" xfId="0" applyNumberFormat="1" applyFont="1" applyFill="1" applyBorder="1" applyAlignment="1">
      <alignment horizontal="center" vertical="center"/>
    </xf>
    <xf numFmtId="164" fontId="75" fillId="2" borderId="61" xfId="0" applyNumberFormat="1" applyFont="1" applyFill="1" applyBorder="1" applyAlignment="1">
      <alignment horizontal="center" vertical="center"/>
    </xf>
    <xf numFmtId="164" fontId="75" fillId="2" borderId="129" xfId="0" applyNumberFormat="1" applyFont="1" applyFill="1" applyBorder="1" applyAlignment="1">
      <alignment horizontal="center" vertical="center"/>
    </xf>
    <xf numFmtId="164" fontId="76" fillId="2" borderId="60" xfId="0" applyNumberFormat="1" applyFont="1" applyFill="1" applyBorder="1" applyAlignment="1">
      <alignment horizontal="center" vertical="center"/>
    </xf>
    <xf numFmtId="164" fontId="76" fillId="2" borderId="13" xfId="0" applyNumberFormat="1" applyFont="1" applyFill="1" applyBorder="1" applyAlignment="1">
      <alignment horizontal="center" vertical="center"/>
    </xf>
    <xf numFmtId="164" fontId="76" fillId="2" borderId="129" xfId="0" applyNumberFormat="1" applyFont="1" applyFill="1" applyBorder="1" applyAlignment="1">
      <alignment horizontal="center" vertical="center"/>
    </xf>
    <xf numFmtId="3" fontId="1" fillId="2" borderId="161" xfId="1" applyNumberFormat="1" applyFont="1" applyFill="1" applyBorder="1" applyAlignment="1" applyProtection="1">
      <alignment horizontal="center" vertical="center" wrapText="1"/>
    </xf>
    <xf numFmtId="3" fontId="33" fillId="2" borderId="0" xfId="1" applyNumberFormat="1" applyFont="1" applyFill="1" applyBorder="1" applyAlignment="1">
      <alignment horizontal="left" vertical="center"/>
    </xf>
    <xf numFmtId="3" fontId="33" fillId="2" borderId="10" xfId="1" applyNumberFormat="1" applyFont="1" applyFill="1" applyBorder="1" applyAlignment="1">
      <alignment horizontal="left" vertical="center"/>
    </xf>
    <xf numFmtId="3" fontId="33" fillId="2" borderId="0" xfId="1" applyNumberFormat="1" applyFont="1" applyFill="1" applyBorder="1" applyAlignment="1" applyProtection="1">
      <alignment horizontal="right" vertical="center" wrapText="1"/>
    </xf>
    <xf numFmtId="3" fontId="33" fillId="2" borderId="0" xfId="1" applyNumberFormat="1" applyFont="1" applyFill="1" applyBorder="1" applyAlignment="1" applyProtection="1">
      <alignment horizontal="center" vertical="center" wrapText="1"/>
    </xf>
    <xf numFmtId="3" fontId="0" fillId="2" borderId="0" xfId="1" applyNumberFormat="1" applyFont="1" applyFill="1" applyBorder="1" applyAlignment="1" applyProtection="1">
      <alignment horizontal="center" vertical="center" wrapText="1"/>
    </xf>
    <xf numFmtId="3" fontId="2" fillId="2" borderId="161" xfId="1" applyNumberFormat="1" applyFont="1" applyFill="1" applyBorder="1" applyAlignment="1" applyProtection="1">
      <alignment horizontal="center" vertical="center" wrapText="1"/>
    </xf>
    <xf numFmtId="3" fontId="39" fillId="2" borderId="161" xfId="1" applyNumberFormat="1" applyFont="1" applyFill="1" applyBorder="1" applyAlignment="1" applyProtection="1">
      <alignment horizontal="left" vertical="center" wrapText="1"/>
    </xf>
    <xf numFmtId="3" fontId="39" fillId="2" borderId="165" xfId="1" applyNumberFormat="1" applyFont="1" applyFill="1" applyBorder="1" applyAlignment="1" applyProtection="1">
      <alignment horizontal="left" vertical="center" wrapText="1"/>
    </xf>
    <xf numFmtId="3" fontId="39" fillId="2" borderId="161" xfId="1" applyNumberFormat="1" applyFont="1" applyFill="1" applyBorder="1" applyAlignment="1" applyProtection="1">
      <alignment horizontal="right" vertical="center" wrapText="1"/>
    </xf>
    <xf numFmtId="3" fontId="39" fillId="2" borderId="161" xfId="1" applyNumberFormat="1" applyFont="1" applyFill="1" applyBorder="1" applyAlignment="1" applyProtection="1">
      <alignment horizontal="center" vertical="center" wrapText="1"/>
    </xf>
    <xf numFmtId="3" fontId="1" fillId="2" borderId="0" xfId="1" applyNumberFormat="1" applyFont="1" applyFill="1" applyBorder="1" applyAlignment="1" applyProtection="1">
      <alignment horizontal="center" vertical="center" wrapText="1"/>
    </xf>
    <xf numFmtId="3" fontId="0" fillId="2" borderId="2" xfId="1" applyNumberFormat="1" applyFont="1" applyFill="1" applyBorder="1" applyAlignment="1" applyProtection="1">
      <alignment horizontal="center" vertical="center" wrapText="1"/>
    </xf>
    <xf numFmtId="3" fontId="33" fillId="2" borderId="2" xfId="1" applyNumberFormat="1" applyFont="1" applyFill="1" applyBorder="1" applyAlignment="1">
      <alignment horizontal="left" vertical="center"/>
    </xf>
    <xf numFmtId="3" fontId="33" fillId="2" borderId="7" xfId="1" applyNumberFormat="1" applyFont="1" applyFill="1" applyBorder="1" applyAlignment="1">
      <alignment horizontal="left" vertical="center"/>
    </xf>
    <xf numFmtId="3" fontId="33" fillId="2" borderId="2" xfId="1" applyNumberFormat="1" applyFont="1" applyFill="1" applyBorder="1" applyAlignment="1" applyProtection="1">
      <alignment horizontal="right" vertical="center" wrapText="1"/>
    </xf>
    <xf numFmtId="3" fontId="33" fillId="2" borderId="2" xfId="1" applyNumberFormat="1" applyFont="1" applyFill="1" applyBorder="1" applyAlignment="1" applyProtection="1">
      <alignment horizontal="center" vertical="center" wrapText="1"/>
    </xf>
    <xf numFmtId="3" fontId="1" fillId="2" borderId="2" xfId="1" applyNumberFormat="1" applyFont="1" applyFill="1" applyBorder="1" applyAlignment="1" applyProtection="1">
      <alignment horizontal="center" vertical="center" wrapText="1"/>
    </xf>
    <xf numFmtId="164" fontId="59" fillId="2" borderId="0" xfId="0" applyNumberFormat="1" applyFont="1" applyFill="1" applyAlignment="1">
      <alignment horizontal="center"/>
    </xf>
    <xf numFmtId="164" fontId="8" fillId="2" borderId="42" xfId="0" applyNumberFormat="1" applyFont="1" applyFill="1" applyBorder="1" applyAlignment="1">
      <alignment horizontal="center" vertical="center" wrapText="1"/>
    </xf>
    <xf numFmtId="166" fontId="8" fillId="2" borderId="13" xfId="1" applyNumberFormat="1" applyFont="1" applyFill="1" applyBorder="1" applyAlignment="1">
      <alignment horizontal="center" vertical="center" wrapText="1"/>
    </xf>
    <xf numFmtId="166" fontId="8" fillId="2" borderId="60" xfId="1" applyNumberFormat="1" applyFont="1" applyFill="1" applyBorder="1" applyAlignment="1">
      <alignment horizontal="center" vertical="center" wrapText="1"/>
    </xf>
    <xf numFmtId="0" fontId="8" fillId="2" borderId="0" xfId="0" applyFont="1" applyFill="1" applyAlignment="1">
      <alignment horizontal="center" vertical="center"/>
    </xf>
    <xf numFmtId="166" fontId="8" fillId="2" borderId="0" xfId="1" applyNumberFormat="1" applyFont="1" applyFill="1" applyBorder="1" applyAlignment="1">
      <alignment horizontal="center" vertical="center" wrapText="1"/>
    </xf>
    <xf numFmtId="164" fontId="8" fillId="2" borderId="60" xfId="0" applyNumberFormat="1" applyFont="1" applyFill="1" applyBorder="1" applyAlignment="1">
      <alignment horizontal="center" vertical="center"/>
    </xf>
    <xf numFmtId="164" fontId="8" fillId="2" borderId="13" xfId="0" applyNumberFormat="1" applyFont="1" applyFill="1" applyBorder="1" applyAlignment="1">
      <alignment horizontal="center" vertical="center"/>
    </xf>
    <xf numFmtId="164" fontId="61" fillId="2" borderId="161" xfId="0" applyNumberFormat="1" applyFont="1" applyFill="1" applyBorder="1" applyAlignment="1">
      <alignment horizontal="right" vertical="center"/>
    </xf>
    <xf numFmtId="164" fontId="61" fillId="2" borderId="0" xfId="0" applyNumberFormat="1" applyFont="1" applyFill="1" applyAlignment="1">
      <alignment horizontal="right" vertical="center"/>
    </xf>
    <xf numFmtId="164" fontId="61" fillId="2" borderId="2" xfId="0" applyNumberFormat="1" applyFont="1" applyFill="1" applyBorder="1" applyAlignment="1">
      <alignment horizontal="right" vertical="center"/>
    </xf>
    <xf numFmtId="164" fontId="10" fillId="2" borderId="51" xfId="0" applyNumberFormat="1" applyFont="1" applyFill="1" applyBorder="1" applyAlignment="1">
      <alignment horizontal="center" vertical="center"/>
    </xf>
    <xf numFmtId="164" fontId="10" fillId="2" borderId="54" xfId="0" applyNumberFormat="1" applyFont="1" applyFill="1" applyBorder="1" applyAlignment="1">
      <alignment horizontal="center" vertical="center"/>
    </xf>
    <xf numFmtId="164" fontId="61" fillId="2" borderId="0" xfId="0" applyNumberFormat="1" applyFont="1" applyFill="1" applyAlignment="1">
      <alignment horizontal="center" vertical="center"/>
    </xf>
    <xf numFmtId="164" fontId="8" fillId="2" borderId="48" xfId="0" applyNumberFormat="1" applyFont="1" applyFill="1" applyBorder="1" applyAlignment="1">
      <alignment horizontal="center" vertical="top" wrapText="1"/>
    </xf>
    <xf numFmtId="164" fontId="8" fillId="2" borderId="2" xfId="0" applyNumberFormat="1" applyFont="1" applyFill="1" applyBorder="1" applyAlignment="1">
      <alignment horizontal="center" vertical="top" wrapText="1"/>
    </xf>
    <xf numFmtId="164" fontId="8" fillId="2" borderId="64" xfId="0" applyNumberFormat="1" applyFont="1" applyFill="1" applyBorder="1" applyAlignment="1">
      <alignment horizontal="left" vertical="center"/>
    </xf>
    <xf numFmtId="164" fontId="8" fillId="2" borderId="69" xfId="0" applyNumberFormat="1" applyFont="1" applyFill="1" applyBorder="1" applyAlignment="1">
      <alignment horizontal="left" vertical="center"/>
    </xf>
    <xf numFmtId="164" fontId="8" fillId="2" borderId="38" xfId="0" applyNumberFormat="1" applyFont="1" applyFill="1" applyBorder="1" applyAlignment="1">
      <alignment horizontal="left" vertical="center"/>
    </xf>
    <xf numFmtId="164" fontId="8" fillId="2" borderId="65" xfId="0" applyNumberFormat="1" applyFont="1" applyFill="1" applyBorder="1" applyAlignment="1">
      <alignment horizontal="center" vertical="center"/>
    </xf>
    <xf numFmtId="164" fontId="8" fillId="2" borderId="66" xfId="0" applyNumberFormat="1" applyFont="1" applyFill="1" applyBorder="1" applyAlignment="1">
      <alignment horizontal="center" vertical="center"/>
    </xf>
    <xf numFmtId="164" fontId="8" fillId="2" borderId="68" xfId="0" applyNumberFormat="1" applyFont="1" applyFill="1" applyBorder="1" applyAlignment="1">
      <alignment horizontal="center" vertical="center"/>
    </xf>
    <xf numFmtId="164" fontId="8" fillId="2" borderId="67" xfId="0" applyNumberFormat="1" applyFont="1" applyFill="1" applyBorder="1" applyAlignment="1">
      <alignment horizontal="center" vertical="center"/>
    </xf>
    <xf numFmtId="164" fontId="8" fillId="2" borderId="73" xfId="0" applyNumberFormat="1" applyFont="1" applyFill="1" applyBorder="1" applyAlignment="1">
      <alignment horizontal="center" vertical="center" wrapText="1"/>
    </xf>
    <xf numFmtId="164" fontId="8" fillId="2" borderId="74" xfId="0" applyNumberFormat="1" applyFont="1" applyFill="1" applyBorder="1" applyAlignment="1">
      <alignment horizontal="center" vertical="center" wrapText="1"/>
    </xf>
    <xf numFmtId="164" fontId="8" fillId="2" borderId="75" xfId="0" applyNumberFormat="1" applyFont="1" applyFill="1" applyBorder="1" applyAlignment="1">
      <alignment horizontal="center" vertical="center" wrapText="1"/>
    </xf>
    <xf numFmtId="164" fontId="8" fillId="2" borderId="21" xfId="0" applyNumberFormat="1" applyFont="1" applyFill="1" applyBorder="1" applyAlignment="1">
      <alignment horizontal="center" vertical="center" wrapText="1"/>
    </xf>
    <xf numFmtId="164" fontId="8" fillId="2" borderId="31" xfId="0" applyNumberFormat="1" applyFont="1" applyFill="1" applyBorder="1" applyAlignment="1">
      <alignment horizontal="center" vertical="center" wrapText="1"/>
    </xf>
    <xf numFmtId="164" fontId="8" fillId="2" borderId="28" xfId="0" applyNumberFormat="1" applyFont="1" applyFill="1" applyBorder="1" applyAlignment="1">
      <alignment horizontal="center" vertical="center" wrapText="1"/>
    </xf>
    <xf numFmtId="164" fontId="59" fillId="2" borderId="20" xfId="0" applyNumberFormat="1" applyFont="1" applyFill="1" applyBorder="1" applyAlignment="1">
      <alignment horizontal="center" vertical="center"/>
    </xf>
    <xf numFmtId="164" fontId="59" fillId="2" borderId="32" xfId="0" applyNumberFormat="1" applyFont="1" applyFill="1" applyBorder="1" applyAlignment="1">
      <alignment horizontal="center" vertical="center"/>
    </xf>
    <xf numFmtId="164" fontId="59" fillId="2" borderId="25" xfId="0" applyNumberFormat="1" applyFont="1" applyFill="1" applyBorder="1" applyAlignment="1">
      <alignment horizontal="center" vertical="center"/>
    </xf>
    <xf numFmtId="164" fontId="39" fillId="2" borderId="29" xfId="0" applyNumberFormat="1" applyFont="1" applyFill="1" applyBorder="1" applyAlignment="1">
      <alignment horizontal="center" vertical="center"/>
    </xf>
    <xf numFmtId="164" fontId="39" fillId="2" borderId="30" xfId="0" applyNumberFormat="1" applyFont="1" applyFill="1" applyBorder="1" applyAlignment="1">
      <alignment horizontal="center" vertical="center"/>
    </xf>
    <xf numFmtId="164" fontId="39" fillId="2" borderId="88" xfId="0" applyNumberFormat="1" applyFont="1" applyFill="1" applyBorder="1" applyAlignment="1">
      <alignment horizontal="center" vertical="center"/>
    </xf>
    <xf numFmtId="0" fontId="59" fillId="2" borderId="0" xfId="0" applyFont="1" applyFill="1" applyAlignment="1">
      <alignment horizontal="center"/>
    </xf>
    <xf numFmtId="0" fontId="2" fillId="2" borderId="161" xfId="0" applyFont="1" applyFill="1" applyBorder="1" applyAlignment="1">
      <alignment horizontal="left" vertical="center"/>
    </xf>
    <xf numFmtId="0" fontId="2" fillId="2" borderId="0" xfId="0" applyFont="1" applyFill="1" applyAlignment="1">
      <alignment horizontal="left" vertical="center"/>
    </xf>
    <xf numFmtId="0" fontId="59" fillId="2" borderId="0" xfId="0" applyFont="1" applyFill="1" applyAlignment="1">
      <alignment horizontal="center" vertical="center"/>
    </xf>
    <xf numFmtId="0" fontId="2" fillId="2" borderId="2" xfId="0" applyFont="1" applyFill="1" applyBorder="1" applyAlignment="1">
      <alignment horizontal="center" vertical="top"/>
    </xf>
    <xf numFmtId="0" fontId="59" fillId="2" borderId="161" xfId="0" applyFont="1" applyFill="1" applyBorder="1" applyAlignment="1">
      <alignment horizontal="right" vertical="center"/>
    </xf>
    <xf numFmtId="0" fontId="59" fillId="2" borderId="0" xfId="0" applyFont="1" applyFill="1" applyAlignment="1">
      <alignment horizontal="right" vertical="center"/>
    </xf>
    <xf numFmtId="0" fontId="59" fillId="2" borderId="2" xfId="0" applyFont="1" applyFill="1" applyBorder="1" applyAlignment="1">
      <alignment horizontal="right" vertical="center"/>
    </xf>
    <xf numFmtId="0" fontId="2" fillId="2" borderId="33" xfId="0" applyFont="1" applyFill="1" applyBorder="1" applyAlignment="1">
      <alignment horizontal="center" vertical="center" wrapText="1"/>
    </xf>
    <xf numFmtId="164" fontId="19" fillId="2" borderId="21" xfId="0" applyNumberFormat="1" applyFont="1" applyFill="1" applyBorder="1" applyAlignment="1">
      <alignment horizontal="center" vertical="center" wrapText="1"/>
    </xf>
    <xf numFmtId="164" fontId="19" fillId="2" borderId="31" xfId="0" applyNumberFormat="1" applyFont="1" applyFill="1" applyBorder="1" applyAlignment="1">
      <alignment horizontal="center" vertical="center" wrapText="1"/>
    </xf>
    <xf numFmtId="164" fontId="19" fillId="2" borderId="23" xfId="0" applyNumberFormat="1" applyFont="1" applyFill="1" applyBorder="1" applyAlignment="1">
      <alignment horizontal="center" vertical="center" wrapText="1"/>
    </xf>
    <xf numFmtId="164" fontId="19" fillId="2" borderId="0" xfId="0" applyNumberFormat="1" applyFont="1" applyFill="1" applyAlignment="1">
      <alignment horizontal="center" vertical="center" wrapText="1"/>
    </xf>
    <xf numFmtId="164" fontId="59" fillId="2" borderId="0" xfId="0" applyNumberFormat="1" applyFont="1" applyFill="1" applyAlignment="1">
      <alignment horizontal="center" vertical="center"/>
    </xf>
    <xf numFmtId="0" fontId="2" fillId="2" borderId="42" xfId="0" applyFont="1" applyFill="1" applyBorder="1" applyAlignment="1">
      <alignment horizontal="left" vertical="center"/>
    </xf>
    <xf numFmtId="0" fontId="68" fillId="2" borderId="42" xfId="0" applyFont="1" applyFill="1" applyBorder="1" applyAlignment="1">
      <alignment horizontal="right" vertical="center"/>
    </xf>
    <xf numFmtId="0" fontId="68" fillId="2" borderId="2" xfId="0" applyFont="1" applyFill="1" applyBorder="1" applyAlignment="1">
      <alignment horizontal="right" vertical="center"/>
    </xf>
    <xf numFmtId="0" fontId="39" fillId="2" borderId="13" xfId="0" applyFont="1" applyFill="1" applyBorder="1" applyAlignment="1">
      <alignment horizontal="center" vertical="center"/>
    </xf>
    <xf numFmtId="0" fontId="86" fillId="2" borderId="0" xfId="0" applyFont="1" applyFill="1" applyAlignment="1">
      <alignment horizontal="center"/>
    </xf>
    <xf numFmtId="164" fontId="6" fillId="2" borderId="20" xfId="0" applyNumberFormat="1" applyFont="1" applyFill="1" applyBorder="1" applyAlignment="1">
      <alignment horizontal="left"/>
    </xf>
    <xf numFmtId="164" fontId="6" fillId="2" borderId="32" xfId="0" applyNumberFormat="1" applyFont="1" applyFill="1" applyBorder="1" applyAlignment="1">
      <alignment horizontal="left"/>
    </xf>
    <xf numFmtId="164" fontId="6" fillId="2" borderId="25" xfId="0" applyNumberFormat="1" applyFont="1" applyFill="1" applyBorder="1" applyAlignment="1">
      <alignment horizontal="left"/>
    </xf>
    <xf numFmtId="164" fontId="59" fillId="2" borderId="69" xfId="0" applyNumberFormat="1" applyFont="1" applyFill="1" applyBorder="1" applyAlignment="1">
      <alignment horizontal="center"/>
    </xf>
    <xf numFmtId="164" fontId="2" fillId="2" borderId="0" xfId="0" applyNumberFormat="1" applyFont="1" applyFill="1" applyAlignment="1">
      <alignment horizontal="center" vertical="center" wrapText="1"/>
    </xf>
    <xf numFmtId="164" fontId="2" fillId="2" borderId="24" xfId="0" applyNumberFormat="1"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164" fontId="2" fillId="2" borderId="38" xfId="0" applyNumberFormat="1" applyFont="1" applyFill="1" applyBorder="1" applyAlignment="1">
      <alignment horizontal="center" vertical="center" wrapText="1"/>
    </xf>
    <xf numFmtId="164" fontId="2" fillId="2" borderId="34" xfId="0" applyNumberFormat="1" applyFont="1" applyFill="1" applyBorder="1" applyAlignment="1">
      <alignment horizontal="left" vertical="center"/>
    </xf>
    <xf numFmtId="164" fontId="2" fillId="2" borderId="36" xfId="0" applyNumberFormat="1" applyFont="1" applyFill="1" applyBorder="1" applyAlignment="1">
      <alignment horizontal="left" vertical="center"/>
    </xf>
    <xf numFmtId="164" fontId="2" fillId="2" borderId="37" xfId="0" applyNumberFormat="1" applyFont="1" applyFill="1" applyBorder="1" applyAlignment="1">
      <alignment horizontal="left" vertical="center"/>
    </xf>
    <xf numFmtId="164" fontId="59" fillId="2" borderId="34" xfId="0" applyNumberFormat="1" applyFont="1" applyFill="1" applyBorder="1" applyAlignment="1">
      <alignment horizontal="right" vertical="center"/>
    </xf>
    <xf numFmtId="164" fontId="59" fillId="2" borderId="36" xfId="0" applyNumberFormat="1" applyFont="1" applyFill="1" applyBorder="1" applyAlignment="1">
      <alignment horizontal="right" vertical="center"/>
    </xf>
    <xf numFmtId="164" fontId="59" fillId="2" borderId="37" xfId="0" applyNumberFormat="1" applyFont="1" applyFill="1" applyBorder="1" applyAlignment="1">
      <alignment horizontal="right" vertical="center"/>
    </xf>
    <xf numFmtId="164" fontId="19" fillId="2" borderId="24" xfId="0" applyNumberFormat="1" applyFont="1" applyFill="1" applyBorder="1" applyAlignment="1">
      <alignment horizontal="center" vertical="center"/>
    </xf>
    <xf numFmtId="164" fontId="19" fillId="2" borderId="2" xfId="0" applyNumberFormat="1" applyFont="1" applyFill="1" applyBorder="1" applyAlignment="1">
      <alignment horizontal="center" vertical="center"/>
    </xf>
    <xf numFmtId="164" fontId="19" fillId="2" borderId="39" xfId="0" applyNumberFormat="1" applyFont="1" applyFill="1" applyBorder="1" applyAlignment="1">
      <alignment horizontal="center" vertical="center"/>
    </xf>
    <xf numFmtId="164" fontId="19" fillId="2" borderId="109" xfId="0" applyNumberFormat="1" applyFont="1" applyFill="1" applyBorder="1" applyAlignment="1">
      <alignment horizontal="center" vertical="center"/>
    </xf>
    <xf numFmtId="164" fontId="19" fillId="2" borderId="110" xfId="0" applyNumberFormat="1" applyFont="1" applyFill="1" applyBorder="1" applyAlignment="1">
      <alignment horizontal="center" vertical="center"/>
    </xf>
    <xf numFmtId="164" fontId="19" fillId="2" borderId="111" xfId="0" applyNumberFormat="1" applyFont="1" applyFill="1" applyBorder="1" applyAlignment="1">
      <alignment horizontal="center" vertical="center"/>
    </xf>
    <xf numFmtId="164" fontId="19" fillId="2" borderId="112" xfId="0" applyNumberFormat="1" applyFont="1" applyFill="1" applyBorder="1" applyAlignment="1">
      <alignment horizontal="center" vertical="center"/>
    </xf>
    <xf numFmtId="164" fontId="19" fillId="2" borderId="113" xfId="0" applyNumberFormat="1" applyFont="1" applyFill="1" applyBorder="1" applyAlignment="1">
      <alignment horizontal="center" vertical="center"/>
    </xf>
    <xf numFmtId="164" fontId="19" fillId="2" borderId="8" xfId="0" applyNumberFormat="1" applyFont="1" applyFill="1" applyBorder="1" applyAlignment="1">
      <alignment horizontal="center" vertical="center"/>
    </xf>
    <xf numFmtId="164" fontId="19" fillId="2" borderId="7" xfId="0" applyNumberFormat="1" applyFont="1" applyFill="1" applyBorder="1" applyAlignment="1">
      <alignment horizontal="center" vertical="center"/>
    </xf>
    <xf numFmtId="164" fontId="19" fillId="2" borderId="38" xfId="0" applyNumberFormat="1" applyFont="1" applyFill="1" applyBorder="1" applyAlignment="1">
      <alignment horizontal="center" vertical="center"/>
    </xf>
    <xf numFmtId="0" fontId="2" fillId="2" borderId="60" xfId="0" applyFont="1" applyFill="1" applyBorder="1" applyAlignment="1">
      <alignment horizontal="center" vertical="center"/>
    </xf>
    <xf numFmtId="0" fontId="2" fillId="2" borderId="137" xfId="0" applyFont="1" applyFill="1" applyBorder="1" applyAlignment="1">
      <alignment horizontal="center" vertical="center"/>
    </xf>
    <xf numFmtId="0" fontId="2" fillId="2" borderId="44" xfId="0" applyFont="1" applyFill="1" applyBorder="1" applyAlignment="1">
      <alignment horizontal="center" vertical="center"/>
    </xf>
    <xf numFmtId="0" fontId="2" fillId="2" borderId="45" xfId="0" applyFont="1" applyFill="1" applyBorder="1" applyAlignment="1">
      <alignment horizontal="center" vertical="center"/>
    </xf>
    <xf numFmtId="172" fontId="114" fillId="2" borderId="0" xfId="0" applyNumberFormat="1" applyFont="1" applyFill="1" applyAlignment="1">
      <alignment horizontal="center" vertical="center"/>
    </xf>
    <xf numFmtId="0" fontId="86" fillId="2" borderId="0" xfId="0" applyFont="1" applyFill="1" applyAlignment="1">
      <alignment horizontal="center" vertical="center" wrapText="1"/>
    </xf>
    <xf numFmtId="0" fontId="26" fillId="2" borderId="0" xfId="0" applyFont="1" applyFill="1" applyAlignment="1">
      <alignment horizontal="left" vertical="center" wrapText="1"/>
    </xf>
    <xf numFmtId="0" fontId="70" fillId="2" borderId="0" xfId="0" applyFont="1" applyFill="1" applyAlignment="1">
      <alignment horizontal="right" vertical="top" wrapText="1" readingOrder="2"/>
    </xf>
    <xf numFmtId="0" fontId="2" fillId="2" borderId="42" xfId="0" applyFont="1" applyFill="1" applyBorder="1" applyAlignment="1">
      <alignment horizontal="center" vertical="center"/>
    </xf>
    <xf numFmtId="0" fontId="0" fillId="2" borderId="2" xfId="0" applyFill="1" applyBorder="1" applyAlignment="1">
      <alignment horizontal="center" vertical="center"/>
    </xf>
    <xf numFmtId="0" fontId="2" fillId="2" borderId="151" xfId="0" applyFont="1" applyFill="1" applyBorder="1" applyAlignment="1">
      <alignment horizontal="center" vertical="center"/>
    </xf>
    <xf numFmtId="172" fontId="123" fillId="2" borderId="42" xfId="0" applyNumberFormat="1" applyFont="1" applyFill="1" applyBorder="1" applyAlignment="1">
      <alignment horizontal="right" vertical="center"/>
    </xf>
    <xf numFmtId="172" fontId="123" fillId="2" borderId="2" xfId="0" applyNumberFormat="1" applyFont="1" applyFill="1" applyBorder="1" applyAlignment="1">
      <alignment horizontal="right" vertical="center"/>
    </xf>
    <xf numFmtId="172" fontId="121" fillId="2" borderId="0" xfId="0" applyNumberFormat="1" applyFont="1" applyFill="1" applyAlignment="1">
      <alignment horizontal="center" vertical="top"/>
    </xf>
    <xf numFmtId="172" fontId="122" fillId="2" borderId="0" xfId="0" applyNumberFormat="1" applyFont="1" applyFill="1" applyAlignment="1">
      <alignment horizontal="center" vertical="top"/>
    </xf>
    <xf numFmtId="0" fontId="32" fillId="2" borderId="2" xfId="0" applyFont="1" applyFill="1" applyBorder="1" applyAlignment="1">
      <alignment horizontal="center"/>
    </xf>
    <xf numFmtId="0" fontId="2" fillId="2" borderId="42" xfId="0" applyFont="1" applyFill="1" applyBorder="1" applyAlignment="1">
      <alignment horizontal="right" vertical="center"/>
    </xf>
    <xf numFmtId="0" fontId="0" fillId="2" borderId="2" xfId="0" applyFill="1" applyBorder="1" applyAlignment="1">
      <alignment horizontal="right" vertical="center"/>
    </xf>
    <xf numFmtId="0" fontId="39" fillId="2" borderId="2" xfId="0" applyFont="1" applyFill="1" applyBorder="1" applyAlignment="1">
      <alignment horizontal="center" vertical="center"/>
    </xf>
    <xf numFmtId="0" fontId="125" fillId="2" borderId="42" xfId="0" applyFont="1" applyFill="1" applyBorder="1" applyAlignment="1">
      <alignment horizontal="right" vertical="center"/>
    </xf>
    <xf numFmtId="0" fontId="125" fillId="2" borderId="2" xfId="0" applyFont="1" applyFill="1" applyBorder="1" applyAlignment="1">
      <alignment horizontal="right" vertical="center"/>
    </xf>
    <xf numFmtId="164" fontId="93" fillId="2" borderId="42" xfId="0" applyNumberFormat="1" applyFont="1" applyFill="1" applyBorder="1" applyAlignment="1">
      <alignment horizontal="center" vertical="center"/>
    </xf>
    <xf numFmtId="164" fontId="93" fillId="2" borderId="0" xfId="0" applyNumberFormat="1" applyFont="1" applyFill="1" applyAlignment="1">
      <alignment horizontal="center" vertical="center"/>
    </xf>
    <xf numFmtId="164" fontId="93" fillId="2" borderId="2" xfId="0" applyNumberFormat="1" applyFont="1" applyFill="1" applyBorder="1" applyAlignment="1">
      <alignment horizontal="center" vertical="center"/>
    </xf>
    <xf numFmtId="164" fontId="92" fillId="2" borderId="1" xfId="0" applyNumberFormat="1" applyFont="1" applyFill="1" applyBorder="1" applyAlignment="1">
      <alignment horizontal="center"/>
    </xf>
    <xf numFmtId="164" fontId="92" fillId="2" borderId="53" xfId="0" applyNumberFormat="1" applyFont="1" applyFill="1" applyBorder="1" applyAlignment="1">
      <alignment horizontal="center"/>
    </xf>
    <xf numFmtId="164" fontId="73" fillId="2" borderId="43" xfId="0" applyNumberFormat="1" applyFont="1" applyFill="1" applyBorder="1" applyAlignment="1">
      <alignment horizontal="center" vertical="center"/>
    </xf>
    <xf numFmtId="164" fontId="73" fillId="2" borderId="159" xfId="0" applyNumberFormat="1" applyFont="1" applyFill="1" applyBorder="1" applyAlignment="1">
      <alignment horizontal="center" vertical="center"/>
    </xf>
    <xf numFmtId="164" fontId="73" fillId="2" borderId="58" xfId="0" applyNumberFormat="1" applyFont="1" applyFill="1" applyBorder="1" applyAlignment="1">
      <alignment horizontal="center" vertical="center"/>
    </xf>
    <xf numFmtId="164" fontId="8" fillId="2" borderId="42" xfId="0" applyNumberFormat="1" applyFont="1" applyFill="1" applyBorder="1" applyAlignment="1">
      <alignment horizontal="left" vertical="center"/>
    </xf>
    <xf numFmtId="164" fontId="8" fillId="2" borderId="0" xfId="0" applyNumberFormat="1" applyFont="1" applyFill="1" applyAlignment="1">
      <alignment horizontal="left" vertical="center"/>
    </xf>
    <xf numFmtId="164" fontId="8" fillId="2" borderId="2" xfId="0" applyNumberFormat="1" applyFont="1" applyFill="1" applyBorder="1" applyAlignment="1">
      <alignment horizontal="left" vertical="center"/>
    </xf>
    <xf numFmtId="164" fontId="58" fillId="2" borderId="92" xfId="0" applyNumberFormat="1" applyFont="1" applyFill="1" applyBorder="1" applyAlignment="1">
      <alignment horizontal="center" vertical="center"/>
    </xf>
    <xf numFmtId="164" fontId="58" fillId="2" borderId="42" xfId="0" applyNumberFormat="1" applyFont="1" applyFill="1" applyBorder="1" applyAlignment="1">
      <alignment horizontal="center" vertical="center"/>
    </xf>
    <xf numFmtId="164" fontId="58" fillId="2" borderId="139" xfId="0" applyNumberFormat="1" applyFont="1" applyFill="1" applyBorder="1" applyAlignment="1">
      <alignment horizontal="center" vertical="center"/>
    </xf>
    <xf numFmtId="164" fontId="58" fillId="2" borderId="91" xfId="0" applyNumberFormat="1" applyFont="1" applyFill="1" applyBorder="1" applyAlignment="1">
      <alignment horizontal="center" vertical="center"/>
    </xf>
    <xf numFmtId="164" fontId="8" fillId="2" borderId="0" xfId="0" applyNumberFormat="1" applyFont="1" applyFill="1" applyAlignment="1">
      <alignment horizontal="right" vertical="center"/>
    </xf>
    <xf numFmtId="164" fontId="8" fillId="2" borderId="33" xfId="0" applyNumberFormat="1" applyFont="1" applyFill="1" applyBorder="1" applyAlignment="1">
      <alignment horizontal="center" vertical="center"/>
    </xf>
    <xf numFmtId="164" fontId="8" fillId="2" borderId="94" xfId="0" applyNumberFormat="1" applyFont="1" applyFill="1" applyBorder="1" applyAlignment="1">
      <alignment horizontal="right" vertical="center"/>
    </xf>
    <xf numFmtId="164" fontId="96" fillId="2" borderId="2" xfId="0" applyNumberFormat="1" applyFont="1" applyFill="1" applyBorder="1" applyAlignment="1">
      <alignment horizontal="center" vertical="center"/>
    </xf>
    <xf numFmtId="164" fontId="95" fillId="2" borderId="0" xfId="0" applyNumberFormat="1" applyFont="1" applyFill="1" applyAlignment="1">
      <alignment horizontal="center" vertical="center"/>
    </xf>
    <xf numFmtId="164" fontId="8" fillId="2" borderId="42" xfId="0" applyNumberFormat="1" applyFont="1" applyFill="1" applyBorder="1" applyAlignment="1">
      <alignment horizontal="left" vertical="center" wrapText="1"/>
    </xf>
    <xf numFmtId="164" fontId="8" fillId="2" borderId="0" xfId="0" applyNumberFormat="1" applyFont="1" applyFill="1" applyAlignment="1">
      <alignment horizontal="left" vertical="center" wrapText="1"/>
    </xf>
    <xf numFmtId="164" fontId="8" fillId="2" borderId="44" xfId="0" applyNumberFormat="1" applyFont="1" applyFill="1" applyBorder="1" applyAlignment="1">
      <alignment horizontal="center" vertical="center"/>
    </xf>
    <xf numFmtId="164" fontId="8" fillId="2" borderId="144" xfId="0" applyNumberFormat="1" applyFont="1" applyFill="1" applyBorder="1" applyAlignment="1">
      <alignment horizontal="center" vertical="center"/>
    </xf>
    <xf numFmtId="164" fontId="96" fillId="2" borderId="42" xfId="0" applyNumberFormat="1" applyFont="1" applyFill="1" applyBorder="1" applyAlignment="1">
      <alignment horizontal="right" vertical="center" wrapText="1"/>
    </xf>
    <xf numFmtId="164" fontId="96" fillId="2" borderId="0" xfId="0" applyNumberFormat="1" applyFont="1" applyFill="1" applyAlignment="1">
      <alignment horizontal="right" vertical="center" wrapText="1"/>
    </xf>
    <xf numFmtId="164" fontId="96" fillId="2" borderId="2" xfId="0" applyNumberFormat="1" applyFont="1" applyFill="1" applyBorder="1" applyAlignment="1">
      <alignment horizontal="right" vertical="center" wrapText="1"/>
    </xf>
    <xf numFmtId="0" fontId="29" fillId="2" borderId="0" xfId="0" applyFont="1" applyFill="1" applyAlignment="1">
      <alignment horizontal="center"/>
    </xf>
    <xf numFmtId="0" fontId="39" fillId="2" borderId="0" xfId="7" applyFont="1" applyFill="1" applyBorder="1" applyAlignment="1">
      <alignment horizontal="center" vertical="center"/>
    </xf>
    <xf numFmtId="0" fontId="39" fillId="2" borderId="41" xfId="11" applyFont="1" applyFill="1" applyBorder="1" applyAlignment="1">
      <alignment horizontal="center" vertical="center"/>
    </xf>
    <xf numFmtId="0" fontId="36" fillId="2" borderId="42" xfId="0" applyFont="1" applyFill="1" applyBorder="1" applyAlignment="1">
      <alignment horizontal="right" vertical="center" wrapText="1"/>
    </xf>
    <xf numFmtId="0" fontId="36" fillId="2" borderId="0" xfId="0" applyFont="1" applyFill="1" applyAlignment="1">
      <alignment horizontal="right" vertical="center" wrapText="1"/>
    </xf>
    <xf numFmtId="0" fontId="29" fillId="2" borderId="0" xfId="0" applyFont="1" applyFill="1" applyAlignment="1">
      <alignment horizontal="center" vertical="center"/>
    </xf>
    <xf numFmtId="0" fontId="2" fillId="2" borderId="2" xfId="0" applyFont="1" applyFill="1" applyBorder="1" applyAlignment="1">
      <alignment horizontal="center"/>
    </xf>
    <xf numFmtId="0" fontId="31" fillId="2" borderId="0" xfId="0" applyFont="1" applyFill="1" applyAlignment="1">
      <alignment horizontal="right" vertical="top" wrapText="1" readingOrder="2"/>
    </xf>
    <xf numFmtId="0" fontId="36" fillId="2" borderId="0" xfId="0" applyFont="1" applyFill="1" applyAlignment="1">
      <alignment horizontal="right" vertical="center" readingOrder="2"/>
    </xf>
    <xf numFmtId="0" fontId="36" fillId="2" borderId="2" xfId="0" applyFont="1" applyFill="1" applyBorder="1" applyAlignment="1">
      <alignment horizontal="right" vertical="center" readingOrder="2"/>
    </xf>
    <xf numFmtId="0" fontId="43" fillId="2" borderId="0" xfId="0" applyFont="1" applyFill="1" applyAlignment="1">
      <alignment horizontal="right" vertical="top" wrapText="1" readingOrder="2"/>
    </xf>
    <xf numFmtId="0" fontId="103" fillId="2" borderId="23" xfId="0" applyFont="1" applyFill="1" applyBorder="1" applyAlignment="1">
      <alignment horizontal="center" vertical="center" wrapText="1"/>
    </xf>
    <xf numFmtId="0" fontId="103" fillId="2" borderId="0" xfId="0" applyFont="1" applyFill="1" applyAlignment="1">
      <alignment horizontal="center" vertical="center" wrapText="1"/>
    </xf>
    <xf numFmtId="0" fontId="86" fillId="2" borderId="0" xfId="0" applyFont="1" applyFill="1" applyAlignment="1">
      <alignment horizontal="center" vertical="center"/>
    </xf>
    <xf numFmtId="0" fontId="29" fillId="2" borderId="2" xfId="0" applyFont="1" applyFill="1" applyBorder="1" applyAlignment="1">
      <alignment horizontal="center" vertical="top" readingOrder="2"/>
    </xf>
    <xf numFmtId="0" fontId="29" fillId="2" borderId="42" xfId="0" applyFont="1" applyFill="1" applyBorder="1" applyAlignment="1">
      <alignment horizontal="right" vertical="center" readingOrder="2"/>
    </xf>
    <xf numFmtId="0" fontId="29" fillId="2" borderId="0" xfId="0" applyFont="1" applyFill="1" applyAlignment="1">
      <alignment horizontal="right" vertical="center" readingOrder="2"/>
    </xf>
    <xf numFmtId="0" fontId="29" fillId="2" borderId="13" xfId="0" applyFont="1" applyFill="1" applyBorder="1" applyAlignment="1">
      <alignment horizontal="center"/>
    </xf>
    <xf numFmtId="0" fontId="26" fillId="2" borderId="42" xfId="0" applyFont="1" applyFill="1" applyBorder="1" applyAlignment="1">
      <alignment horizontal="left" vertical="center" wrapText="1"/>
    </xf>
    <xf numFmtId="0" fontId="29" fillId="2" borderId="13" xfId="0" applyFont="1" applyFill="1" applyBorder="1" applyAlignment="1">
      <alignment horizontal="center" vertical="top"/>
    </xf>
    <xf numFmtId="0" fontId="35" fillId="2" borderId="0" xfId="0" applyFont="1" applyFill="1" applyAlignment="1">
      <alignment horizontal="center" vertical="center"/>
    </xf>
    <xf numFmtId="0" fontId="86" fillId="2" borderId="2" xfId="0" applyFont="1" applyFill="1" applyBorder="1" applyAlignment="1">
      <alignment horizontal="center" vertical="center"/>
    </xf>
    <xf numFmtId="0" fontId="107" fillId="2" borderId="42" xfId="0" applyFont="1" applyFill="1" applyBorder="1" applyAlignment="1">
      <alignment horizontal="right" vertical="center"/>
    </xf>
    <xf numFmtId="0" fontId="107" fillId="2" borderId="2" xfId="0" applyFont="1" applyFill="1" applyBorder="1" applyAlignment="1">
      <alignment horizontal="right" vertical="center"/>
    </xf>
    <xf numFmtId="164" fontId="61" fillId="2" borderId="0" xfId="0" applyNumberFormat="1" applyFont="1" applyFill="1" applyAlignment="1">
      <alignment horizontal="center" vertical="center" wrapText="1" readingOrder="2"/>
    </xf>
    <xf numFmtId="164" fontId="23" fillId="2" borderId="0" xfId="0" applyNumberFormat="1" applyFont="1" applyFill="1" applyAlignment="1">
      <alignment horizontal="left" vertical="center"/>
    </xf>
    <xf numFmtId="164" fontId="62" fillId="2" borderId="42" xfId="0" applyNumberFormat="1" applyFont="1" applyFill="1" applyBorder="1" applyAlignment="1">
      <alignment horizontal="right" vertical="top" wrapText="1" readingOrder="2"/>
    </xf>
    <xf numFmtId="164" fontId="23" fillId="2" borderId="42" xfId="0" applyNumberFormat="1" applyFont="1" applyFill="1" applyBorder="1" applyAlignment="1">
      <alignment horizontal="left" vertical="center" wrapText="1"/>
    </xf>
    <xf numFmtId="164" fontId="8" fillId="2" borderId="13" xfId="0" applyNumberFormat="1" applyFont="1" applyFill="1" applyBorder="1" applyAlignment="1">
      <alignment horizontal="center" vertical="center" wrapText="1"/>
    </xf>
    <xf numFmtId="164" fontId="61" fillId="2" borderId="42" xfId="0" applyNumberFormat="1" applyFont="1" applyFill="1" applyBorder="1" applyAlignment="1">
      <alignment horizontal="right" vertical="center" wrapText="1" readingOrder="2"/>
    </xf>
    <xf numFmtId="164" fontId="61" fillId="2" borderId="0" xfId="0" applyNumberFormat="1" applyFont="1" applyFill="1" applyAlignment="1">
      <alignment horizontal="right" vertical="center" wrapText="1" readingOrder="2"/>
    </xf>
    <xf numFmtId="164" fontId="61" fillId="2" borderId="2" xfId="0" applyNumberFormat="1" applyFont="1" applyFill="1" applyBorder="1" applyAlignment="1">
      <alignment horizontal="right" vertical="center" wrapText="1" readingOrder="2"/>
    </xf>
    <xf numFmtId="164" fontId="127" fillId="2" borderId="0" xfId="0" applyNumberFormat="1" applyFont="1" applyFill="1" applyAlignment="1">
      <alignment horizontal="center" vertical="center" wrapText="1" readingOrder="2"/>
    </xf>
    <xf numFmtId="164" fontId="22" fillId="2" borderId="0" xfId="0" applyNumberFormat="1" applyFont="1" applyFill="1" applyAlignment="1">
      <alignment horizontal="center" vertical="center" wrapText="1"/>
    </xf>
    <xf numFmtId="164" fontId="22" fillId="2" borderId="42" xfId="0" applyNumberFormat="1" applyFont="1" applyFill="1" applyBorder="1" applyAlignment="1">
      <alignment horizontal="left" vertical="center" wrapText="1"/>
    </xf>
    <xf numFmtId="164" fontId="22" fillId="2" borderId="2" xfId="0" applyNumberFormat="1" applyFont="1" applyFill="1" applyBorder="1" applyAlignment="1">
      <alignment horizontal="left" vertical="center" wrapText="1"/>
    </xf>
    <xf numFmtId="164" fontId="22" fillId="2" borderId="42" xfId="0" applyNumberFormat="1" applyFont="1" applyFill="1" applyBorder="1" applyAlignment="1">
      <alignment horizontal="right" vertical="center" wrapText="1"/>
    </xf>
    <xf numFmtId="164" fontId="22" fillId="2" borderId="2" xfId="0" applyNumberFormat="1" applyFont="1" applyFill="1" applyBorder="1" applyAlignment="1">
      <alignment horizontal="right" vertical="center" wrapText="1"/>
    </xf>
    <xf numFmtId="164" fontId="22" fillId="2" borderId="41" xfId="0" applyNumberFormat="1" applyFont="1" applyFill="1" applyBorder="1" applyAlignment="1">
      <alignment horizontal="center" vertical="center" wrapText="1"/>
    </xf>
    <xf numFmtId="164" fontId="127" fillId="2" borderId="42" xfId="0" applyNumberFormat="1" applyFont="1" applyFill="1" applyBorder="1" applyAlignment="1">
      <alignment horizontal="right" vertical="center" wrapText="1" readingOrder="2"/>
    </xf>
    <xf numFmtId="164" fontId="127" fillId="2" borderId="2" xfId="0" applyNumberFormat="1" applyFont="1" applyFill="1" applyBorder="1" applyAlignment="1">
      <alignment horizontal="right" vertical="center" wrapText="1" readingOrder="2"/>
    </xf>
    <xf numFmtId="164" fontId="13" fillId="2" borderId="42" xfId="0" applyNumberFormat="1" applyFont="1" applyFill="1" applyBorder="1" applyAlignment="1">
      <alignment horizontal="left" vertical="center" wrapText="1"/>
    </xf>
    <xf numFmtId="164" fontId="8" fillId="2" borderId="42" xfId="0" applyNumberFormat="1" applyFont="1" applyFill="1" applyBorder="1" applyAlignment="1">
      <alignment horizontal="right" vertical="center" wrapText="1"/>
    </xf>
    <xf numFmtId="0" fontId="59" fillId="2" borderId="42" xfId="0" applyFont="1" applyFill="1" applyBorder="1" applyAlignment="1">
      <alignment horizontal="right" vertical="center"/>
    </xf>
    <xf numFmtId="164" fontId="8" fillId="2" borderId="150" xfId="0" applyNumberFormat="1" applyFont="1" applyFill="1" applyBorder="1" applyAlignment="1">
      <alignment horizontal="center"/>
    </xf>
    <xf numFmtId="164" fontId="8" fillId="2" borderId="44" xfId="0" applyNumberFormat="1" applyFont="1" applyFill="1" applyBorder="1" applyAlignment="1">
      <alignment horizontal="center"/>
    </xf>
    <xf numFmtId="164" fontId="8" fillId="2" borderId="35" xfId="0" applyNumberFormat="1" applyFont="1" applyFill="1" applyBorder="1" applyAlignment="1">
      <alignment horizontal="center" vertical="center"/>
    </xf>
    <xf numFmtId="164" fontId="8" fillId="2" borderId="22" xfId="0" applyNumberFormat="1" applyFont="1" applyFill="1" applyBorder="1" applyAlignment="1">
      <alignment horizontal="center" vertical="center"/>
    </xf>
    <xf numFmtId="164" fontId="64" fillId="2" borderId="0" xfId="0" applyNumberFormat="1" applyFont="1" applyFill="1" applyAlignment="1">
      <alignment horizontal="center"/>
    </xf>
    <xf numFmtId="164" fontId="109" fillId="2" borderId="0" xfId="0" applyNumberFormat="1" applyFont="1" applyFill="1" applyAlignment="1">
      <alignment horizontal="center" vertical="center" wrapText="1"/>
    </xf>
    <xf numFmtId="164" fontId="109" fillId="2" borderId="2" xfId="0" applyNumberFormat="1" applyFont="1" applyFill="1" applyBorder="1" applyAlignment="1">
      <alignment horizontal="center" vertical="center" wrapText="1"/>
    </xf>
    <xf numFmtId="164" fontId="8" fillId="2" borderId="45" xfId="0" applyNumberFormat="1" applyFont="1" applyFill="1" applyBorder="1" applyAlignment="1">
      <alignment horizontal="center"/>
    </xf>
    <xf numFmtId="164" fontId="61" fillId="2" borderId="42" xfId="0" applyNumberFormat="1" applyFont="1" applyFill="1" applyBorder="1" applyAlignment="1">
      <alignment horizontal="right" vertical="center" wrapText="1"/>
    </xf>
    <xf numFmtId="164" fontId="61" fillId="2" borderId="2" xfId="0" applyNumberFormat="1" applyFont="1" applyFill="1" applyBorder="1" applyAlignment="1">
      <alignment horizontal="right" vertical="center" wrapText="1"/>
    </xf>
    <xf numFmtId="164" fontId="77" fillId="2" borderId="0" xfId="0" applyNumberFormat="1" applyFont="1" applyFill="1" applyAlignment="1">
      <alignment horizontal="center"/>
    </xf>
    <xf numFmtId="0" fontId="2" fillId="2" borderId="0" xfId="0" applyFont="1" applyFill="1" applyAlignment="1">
      <alignment horizontal="center" wrapText="1"/>
    </xf>
    <xf numFmtId="0" fontId="2" fillId="2" borderId="4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13" xfId="0" applyFont="1" applyFill="1" applyBorder="1" applyAlignment="1">
      <alignment horizontal="center" vertical="center" wrapText="1"/>
    </xf>
    <xf numFmtId="164" fontId="77" fillId="2" borderId="42" xfId="0" applyNumberFormat="1" applyFont="1" applyFill="1" applyBorder="1" applyAlignment="1">
      <alignment horizontal="right" vertical="center"/>
    </xf>
    <xf numFmtId="164" fontId="77" fillId="2" borderId="2" xfId="0" applyNumberFormat="1" applyFont="1" applyFill="1" applyBorder="1" applyAlignment="1">
      <alignment horizontal="right" vertical="center"/>
    </xf>
    <xf numFmtId="0" fontId="2" fillId="2" borderId="44" xfId="0" applyFont="1" applyFill="1" applyBorder="1" applyAlignment="1">
      <alignment horizontal="center"/>
    </xf>
    <xf numFmtId="0" fontId="2" fillId="2" borderId="0" xfId="0" applyFont="1" applyFill="1" applyAlignment="1"/>
    <xf numFmtId="0" fontId="0" fillId="0" borderId="0" xfId="0" applyAlignment="1">
      <alignment vertical="center" wrapText="1"/>
    </xf>
    <xf numFmtId="164" fontId="65" fillId="2" borderId="14" xfId="0" applyNumberFormat="1" applyFont="1" applyFill="1" applyBorder="1" applyAlignment="1">
      <alignment horizontal="right" vertical="center" wrapText="1"/>
    </xf>
    <xf numFmtId="0" fontId="59" fillId="2" borderId="161" xfId="0" applyFont="1" applyFill="1" applyBorder="1" applyAlignment="1">
      <alignment horizontal="center" vertical="center" wrapText="1"/>
    </xf>
  </cellXfs>
  <cellStyles count="12">
    <cellStyle name="1" xfId="9" xr:uid="{00000000-0005-0000-0000-000000000000}"/>
    <cellStyle name="Comma" xfId="1" builtinId="3"/>
    <cellStyle name="Comma 2" xfId="2" xr:uid="{00000000-0005-0000-0000-000002000000}"/>
    <cellStyle name="Heading 1 2" xfId="7" xr:uid="{00000000-0005-0000-0000-000003000000}"/>
    <cellStyle name="Normal" xfId="0" builtinId="0"/>
    <cellStyle name="Normal 2" xfId="8" xr:uid="{00000000-0005-0000-0000-000006000000}"/>
    <cellStyle name="Normal 3" xfId="4" xr:uid="{00000000-0005-0000-0000-000007000000}"/>
    <cellStyle name="Normal_final_pull_anzt" xfId="11" xr:uid="{00000000-0005-0000-0000-000009000000}"/>
    <cellStyle name="Normal_II-14(Population)" xfId="5" xr:uid="{00000000-0005-0000-0000-00000A000000}"/>
    <cellStyle name="Normal_II-15(Population) 2" xfId="6" xr:uid="{00000000-0005-0000-0000-00000B000000}"/>
    <cellStyle name="Normal_Long Series" xfId="10" xr:uid="{00000000-0005-0000-0000-00000C000000}"/>
    <cellStyle name="Percent 2" xfId="3" xr:uid="{00000000-0005-0000-0000-00000E000000}"/>
  </cellStyles>
  <dxfs count="0"/>
  <tableStyles count="0" defaultTableStyle="TableStyleMedium2" defaultPivotStyle="PivotStyleLight16"/>
  <colors>
    <mruColors>
      <color rgb="FFFFC5C5"/>
      <color rgb="FFFFEFEF"/>
      <color rgb="FFFF6969"/>
      <color rgb="FFFFE5E5"/>
      <color rgb="FFFF8B8B"/>
      <color rgb="FFEAFAFA"/>
      <color rgb="FFFF9900"/>
      <color rgb="FF33CCCC"/>
      <color rgb="FFCCF4F2"/>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xml"/><Relationship Id="rId1" Type="http://schemas.microsoft.com/office/2011/relationships/chartStyle" Target="style1.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xml"/><Relationship Id="rId1" Type="http://schemas.microsoft.com/office/2011/relationships/chartStyle" Target="style2.xml"/></Relationships>
</file>

<file path=xl/charts/_rels/chart2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8.4270105089536557E-2"/>
          <c:y val="0.13228486439195103"/>
          <c:w val="0.87949545780462135"/>
          <c:h val="0.76523219597550307"/>
        </c:manualLayout>
      </c:layout>
      <c:barChart>
        <c:barDir val="col"/>
        <c:grouping val="clustered"/>
        <c:varyColors val="0"/>
        <c:ser>
          <c:idx val="1"/>
          <c:order val="0"/>
          <c:tx>
            <c:strRef>
              <c:f>'8.30'!$K$4</c:f>
              <c:strCache>
                <c:ptCount val="1"/>
                <c:pt idx="0">
                  <c:v>2019 </c:v>
                </c:pt>
              </c:strCache>
            </c:strRef>
          </c:tx>
          <c:spPr>
            <a:solidFill>
              <a:srgbClr val="FFC5C5"/>
            </a:solidFill>
          </c:spPr>
          <c:invertIfNegative val="0"/>
          <c:cat>
            <c:strRef>
              <c:f>'8.30'!$A$6:$A$11</c:f>
              <c:strCache>
                <c:ptCount val="6"/>
                <c:pt idx="0">
                  <c:v>Drug court</c:v>
                </c:pt>
                <c:pt idx="1">
                  <c:v>Juvenile court</c:v>
                </c:pt>
                <c:pt idx="2">
                  <c:v>Family court</c:v>
                </c:pt>
                <c:pt idx="3">
                  <c:v>Criminal court</c:v>
                </c:pt>
                <c:pt idx="4">
                  <c:v>Civil court</c:v>
                </c:pt>
                <c:pt idx="5">
                  <c:v>Magistrate Courts</c:v>
                </c:pt>
              </c:strCache>
            </c:strRef>
          </c:cat>
          <c:val>
            <c:numRef>
              <c:f>'8.30'!$K$6:$K$11</c:f>
              <c:numCache>
                <c:formatCode>#,##0</c:formatCode>
                <c:ptCount val="6"/>
                <c:pt idx="0">
                  <c:v>791</c:v>
                </c:pt>
                <c:pt idx="1">
                  <c:v>17</c:v>
                </c:pt>
                <c:pt idx="2">
                  <c:v>3080</c:v>
                </c:pt>
                <c:pt idx="3">
                  <c:v>1339</c:v>
                </c:pt>
                <c:pt idx="4">
                  <c:v>4907</c:v>
                </c:pt>
                <c:pt idx="5">
                  <c:v>10654</c:v>
                </c:pt>
              </c:numCache>
            </c:numRef>
          </c:val>
          <c:extLst>
            <c:ext xmlns:c16="http://schemas.microsoft.com/office/drawing/2014/chart" uri="{C3380CC4-5D6E-409C-BE32-E72D297353CC}">
              <c16:uniqueId val="{00000000-1BC8-4EB9-8582-0CFE52FFC4E2}"/>
            </c:ext>
          </c:extLst>
        </c:ser>
        <c:ser>
          <c:idx val="0"/>
          <c:order val="1"/>
          <c:tx>
            <c:strRef>
              <c:f>'8.30'!$L$4</c:f>
              <c:strCache>
                <c:ptCount val="1"/>
                <c:pt idx="0">
                  <c:v>2020 </c:v>
                </c:pt>
              </c:strCache>
            </c:strRef>
          </c:tx>
          <c:spPr>
            <a:solidFill>
              <a:srgbClr val="FF8B8B"/>
            </a:solidFill>
          </c:spPr>
          <c:invertIfNegative val="0"/>
          <c:cat>
            <c:strRef>
              <c:f>'8.30'!$A$6:$A$11</c:f>
              <c:strCache>
                <c:ptCount val="6"/>
                <c:pt idx="0">
                  <c:v>Drug court</c:v>
                </c:pt>
                <c:pt idx="1">
                  <c:v>Juvenile court</c:v>
                </c:pt>
                <c:pt idx="2">
                  <c:v>Family court</c:v>
                </c:pt>
                <c:pt idx="3">
                  <c:v>Criminal court</c:v>
                </c:pt>
                <c:pt idx="4">
                  <c:v>Civil court</c:v>
                </c:pt>
                <c:pt idx="5">
                  <c:v>Magistrate Courts</c:v>
                </c:pt>
              </c:strCache>
            </c:strRef>
          </c:cat>
          <c:val>
            <c:numRef>
              <c:f>'8.30'!$L$6:$L$11</c:f>
              <c:numCache>
                <c:formatCode>#,##0</c:formatCode>
                <c:ptCount val="6"/>
                <c:pt idx="0">
                  <c:v>465</c:v>
                </c:pt>
                <c:pt idx="1">
                  <c:v>25</c:v>
                </c:pt>
                <c:pt idx="2">
                  <c:v>1952</c:v>
                </c:pt>
                <c:pt idx="3">
                  <c:v>852</c:v>
                </c:pt>
                <c:pt idx="4">
                  <c:v>2395</c:v>
                </c:pt>
                <c:pt idx="5">
                  <c:v>9414</c:v>
                </c:pt>
              </c:numCache>
            </c:numRef>
          </c:val>
          <c:extLst>
            <c:ext xmlns:c16="http://schemas.microsoft.com/office/drawing/2014/chart" uri="{C3380CC4-5D6E-409C-BE32-E72D297353CC}">
              <c16:uniqueId val="{00000001-1BC8-4EB9-8582-0CFE52FFC4E2}"/>
            </c:ext>
          </c:extLst>
        </c:ser>
        <c:ser>
          <c:idx val="2"/>
          <c:order val="2"/>
          <c:tx>
            <c:strRef>
              <c:f>'8.30'!$M$4</c:f>
              <c:strCache>
                <c:ptCount val="1"/>
                <c:pt idx="0">
                  <c:v>2021 </c:v>
                </c:pt>
              </c:strCache>
            </c:strRef>
          </c:tx>
          <c:spPr>
            <a:solidFill>
              <a:srgbClr val="C00000"/>
            </a:solidFill>
          </c:spPr>
          <c:invertIfNegative val="0"/>
          <c:cat>
            <c:strRef>
              <c:f>'8.30'!$A$6:$A$11</c:f>
              <c:strCache>
                <c:ptCount val="6"/>
                <c:pt idx="0">
                  <c:v>Drug court</c:v>
                </c:pt>
                <c:pt idx="1">
                  <c:v>Juvenile court</c:v>
                </c:pt>
                <c:pt idx="2">
                  <c:v>Family court</c:v>
                </c:pt>
                <c:pt idx="3">
                  <c:v>Criminal court</c:v>
                </c:pt>
                <c:pt idx="4">
                  <c:v>Civil court</c:v>
                </c:pt>
                <c:pt idx="5">
                  <c:v>Magistrate Courts</c:v>
                </c:pt>
              </c:strCache>
            </c:strRef>
          </c:cat>
          <c:val>
            <c:numRef>
              <c:f>'8.30'!$M$6:$M$11</c:f>
              <c:numCache>
                <c:formatCode>#,##0</c:formatCode>
                <c:ptCount val="6"/>
                <c:pt idx="0">
                  <c:v>918</c:v>
                </c:pt>
                <c:pt idx="1">
                  <c:v>35</c:v>
                </c:pt>
                <c:pt idx="2">
                  <c:v>2608</c:v>
                </c:pt>
                <c:pt idx="3">
                  <c:v>701</c:v>
                </c:pt>
                <c:pt idx="4">
                  <c:v>4646</c:v>
                </c:pt>
                <c:pt idx="5">
                  <c:v>9942</c:v>
                </c:pt>
              </c:numCache>
            </c:numRef>
          </c:val>
          <c:extLst>
            <c:ext xmlns:c16="http://schemas.microsoft.com/office/drawing/2014/chart" uri="{C3380CC4-5D6E-409C-BE32-E72D297353CC}">
              <c16:uniqueId val="{00000002-1BC8-4EB9-8582-0CFE52FFC4E2}"/>
            </c:ext>
          </c:extLst>
        </c:ser>
        <c:dLbls>
          <c:showLegendKey val="0"/>
          <c:showVal val="0"/>
          <c:showCatName val="0"/>
          <c:showSerName val="0"/>
          <c:showPercent val="0"/>
          <c:showBubbleSize val="0"/>
        </c:dLbls>
        <c:gapWidth val="25"/>
        <c:axId val="375214104"/>
        <c:axId val="375214496"/>
      </c:barChart>
      <c:catAx>
        <c:axId val="375214104"/>
        <c:scaling>
          <c:orientation val="minMax"/>
        </c:scaling>
        <c:delete val="0"/>
        <c:axPos val="b"/>
        <c:numFmt formatCode="General" sourceLinked="1"/>
        <c:majorTickMark val="none"/>
        <c:minorTickMark val="in"/>
        <c:tickLblPos val="low"/>
        <c:txPr>
          <a:bodyPr rot="0" vert="horz"/>
          <a:lstStyle/>
          <a:p>
            <a:pPr>
              <a:defRPr/>
            </a:pPr>
            <a:endParaRPr lang="en-US"/>
          </a:p>
        </c:txPr>
        <c:crossAx val="375214496"/>
        <c:crosses val="autoZero"/>
        <c:auto val="1"/>
        <c:lblAlgn val="ctr"/>
        <c:lblOffset val="100"/>
        <c:noMultiLvlLbl val="0"/>
      </c:catAx>
      <c:valAx>
        <c:axId val="375214496"/>
        <c:scaling>
          <c:orientation val="minMax"/>
          <c:max val="13000"/>
          <c:min val="0"/>
        </c:scaling>
        <c:delete val="0"/>
        <c:axPos val="l"/>
        <c:majorGridlines>
          <c:spPr>
            <a:ln>
              <a:noFill/>
            </a:ln>
          </c:spPr>
        </c:majorGridlines>
        <c:numFmt formatCode="#,##0" sourceLinked="0"/>
        <c:majorTickMark val="none"/>
        <c:minorTickMark val="none"/>
        <c:tickLblPos val="nextTo"/>
        <c:txPr>
          <a:bodyPr rot="0" vert="horz"/>
          <a:lstStyle/>
          <a:p>
            <a:pPr>
              <a:defRPr/>
            </a:pPr>
            <a:endParaRPr lang="en-US"/>
          </a:p>
        </c:txPr>
        <c:crossAx val="375214104"/>
        <c:crossesAt val="1"/>
        <c:crossBetween val="between"/>
      </c:valAx>
      <c:spPr>
        <a:ln>
          <a:solidFill>
            <a:schemeClr val="bg1">
              <a:lumMod val="65000"/>
            </a:schemeClr>
          </a:solidFill>
        </a:ln>
      </c:spPr>
    </c:plotArea>
    <c:legend>
      <c:legendPos val="r"/>
      <c:layout>
        <c:manualLayout>
          <c:xMode val="edge"/>
          <c:yMode val="edge"/>
          <c:x val="0.14213665650187646"/>
          <c:y val="0.19499515219622346"/>
          <c:w val="0.21961686539924349"/>
          <c:h val="5.4438845144356963E-2"/>
        </c:manualLayout>
      </c:layout>
      <c:overlay val="0"/>
      <c:txPr>
        <a:bodyPr/>
        <a:lstStyle/>
        <a:p>
          <a:pPr>
            <a:defRPr sz="1000"/>
          </a:pPr>
          <a:endParaRPr lang="en-US"/>
        </a:p>
      </c:txPr>
    </c:legend>
    <c:plotVisOnly val="1"/>
    <c:dispBlanksAs val="gap"/>
    <c:showDLblsOverMax val="0"/>
  </c:chart>
  <c:printSettings>
    <c:headerFooter/>
    <c:pageMargins b="0.75000000000000455" l="0.70000000000000062" r="0.70000000000000062" t="0.75000000000000455"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manualLayout>
          <c:layoutTarget val="inner"/>
          <c:xMode val="edge"/>
          <c:yMode val="edge"/>
          <c:x val="0.26117375525322151"/>
          <c:y val="0.14893103069857325"/>
          <c:w val="0.40318325702800056"/>
          <c:h val="0.82604898578643893"/>
        </c:manualLayout>
      </c:layout>
      <c:doughnutChart>
        <c:varyColors val="1"/>
        <c:ser>
          <c:idx val="0"/>
          <c:order val="0"/>
          <c:explosion val="2"/>
          <c:dPt>
            <c:idx val="0"/>
            <c:bubble3D val="0"/>
            <c:spPr>
              <a:solidFill>
                <a:srgbClr val="FFC5C5"/>
              </a:solidFill>
            </c:spPr>
            <c:extLst>
              <c:ext xmlns:c16="http://schemas.microsoft.com/office/drawing/2014/chart" uri="{C3380CC4-5D6E-409C-BE32-E72D297353CC}">
                <c16:uniqueId val="{00000003-7A35-43CE-8FEF-A74E2D804B0C}"/>
              </c:ext>
            </c:extLst>
          </c:dPt>
          <c:dPt>
            <c:idx val="1"/>
            <c:bubble3D val="0"/>
            <c:spPr>
              <a:solidFill>
                <a:srgbClr val="FF8B8B"/>
              </a:solidFill>
            </c:spPr>
            <c:extLst>
              <c:ext xmlns:c16="http://schemas.microsoft.com/office/drawing/2014/chart" uri="{C3380CC4-5D6E-409C-BE32-E72D297353CC}">
                <c16:uniqueId val="{00000002-7A35-43CE-8FEF-A74E2D804B0C}"/>
              </c:ext>
            </c:extLst>
          </c:dPt>
          <c:dPt>
            <c:idx val="2"/>
            <c:bubble3D val="0"/>
            <c:spPr>
              <a:solidFill>
                <a:srgbClr val="FFE5E5"/>
              </a:solidFill>
            </c:spPr>
            <c:extLst>
              <c:ext xmlns:c16="http://schemas.microsoft.com/office/drawing/2014/chart" uri="{C3380CC4-5D6E-409C-BE32-E72D297353CC}">
                <c16:uniqueId val="{00000004-7A35-43CE-8FEF-A74E2D804B0C}"/>
              </c:ext>
            </c:extLst>
          </c:dPt>
          <c:dPt>
            <c:idx val="3"/>
            <c:bubble3D val="0"/>
            <c:spPr>
              <a:solidFill>
                <a:srgbClr val="FF6969"/>
              </a:solidFill>
            </c:spPr>
            <c:extLst>
              <c:ext xmlns:c16="http://schemas.microsoft.com/office/drawing/2014/chart" uri="{C3380CC4-5D6E-409C-BE32-E72D297353CC}">
                <c16:uniqueId val="{00000001-7A35-43CE-8FEF-A74E2D804B0C}"/>
              </c:ext>
            </c:extLst>
          </c:dPt>
          <c:dPt>
            <c:idx val="4"/>
            <c:bubble3D val="0"/>
            <c:spPr>
              <a:solidFill>
                <a:srgbClr val="C00000"/>
              </a:solidFill>
            </c:spPr>
            <c:extLst>
              <c:ext xmlns:c16="http://schemas.microsoft.com/office/drawing/2014/chart" uri="{C3380CC4-5D6E-409C-BE32-E72D297353CC}">
                <c16:uniqueId val="{00000000-7A35-43CE-8FEF-A74E2D804B0C}"/>
              </c:ext>
            </c:extLst>
          </c:dPt>
          <c:dLbls>
            <c:dLbl>
              <c:idx val="0"/>
              <c:layout>
                <c:manualLayout>
                  <c:x val="2.9698313826305105E-2"/>
                  <c:y val="-0.103233697079443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35-43CE-8FEF-A74E2D804B0C}"/>
                </c:ext>
              </c:extLst>
            </c:dLbl>
            <c:dLbl>
              <c:idx val="1"/>
              <c:layout>
                <c:manualLayout>
                  <c:x val="1.7469596368414806E-3"/>
                  <c:y val="1.98526340537389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A35-43CE-8FEF-A74E2D804B0C}"/>
                </c:ext>
              </c:extLst>
            </c:dLbl>
            <c:dLbl>
              <c:idx val="2"/>
              <c:layout>
                <c:manualLayout>
                  <c:x val="0.10132365893680587"/>
                  <c:y val="1.58821072429912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A35-43CE-8FEF-A74E2D804B0C}"/>
                </c:ext>
              </c:extLst>
            </c:dLbl>
            <c:dLbl>
              <c:idx val="4"/>
              <c:spPr>
                <a:noFill/>
                <a:ln>
                  <a:noFill/>
                </a:ln>
                <a:effectLst/>
              </c:spPr>
              <c:txPr>
                <a:bodyPr wrap="square" lIns="38100" tIns="19050" rIns="38100" bIns="19050" anchor="ctr">
                  <a:noAutofit/>
                </a:bodyPr>
                <a:lstStyle/>
                <a:p>
                  <a:pPr>
                    <a:defRPr sz="900"/>
                  </a:pPr>
                  <a:endParaRPr lang="en-US"/>
                </a:p>
              </c:txPr>
              <c:showLegendKey val="0"/>
              <c:showVal val="0"/>
              <c:showCatName val="1"/>
              <c:showSerName val="0"/>
              <c:showPercent val="1"/>
              <c:showBubbleSize val="0"/>
              <c:extLst>
                <c:ext xmlns:c15="http://schemas.microsoft.com/office/drawing/2012/chart" uri="{CE6537A1-D6FC-4f65-9D91-7224C49458BB}">
                  <c15:layout>
                    <c:manualLayout>
                      <c:w val="8.9208562633248653E-2"/>
                      <c:h val="0.15647846161157117"/>
                    </c:manualLayout>
                  </c15:layout>
                </c:ext>
                <c:ext xmlns:c16="http://schemas.microsoft.com/office/drawing/2014/chart" uri="{C3380CC4-5D6E-409C-BE32-E72D297353CC}">
                  <c16:uniqueId val="{00000000-7A35-43CE-8FEF-A74E2D804B0C}"/>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'8.30'!$A$13:$A$18</c15:sqref>
                  </c15:fullRef>
                </c:ext>
              </c:extLst>
              <c:f>('8.30'!$A$13,'8.30'!$A$15:$A$18)</c:f>
              <c:strCache>
                <c:ptCount val="5"/>
                <c:pt idx="0">
                  <c:v>Drug court</c:v>
                </c:pt>
                <c:pt idx="1">
                  <c:v>Family court</c:v>
                </c:pt>
                <c:pt idx="2">
                  <c:v>Criminal court</c:v>
                </c:pt>
                <c:pt idx="3">
                  <c:v>Civil court</c:v>
                </c:pt>
                <c:pt idx="4">
                  <c:v>Magistrate Courts</c:v>
                </c:pt>
              </c:strCache>
            </c:strRef>
          </c:cat>
          <c:val>
            <c:numRef>
              <c:extLst>
                <c:ext xmlns:c15="http://schemas.microsoft.com/office/drawing/2012/chart" uri="{02D57815-91ED-43cb-92C2-25804820EDAC}">
                  <c15:fullRef>
                    <c15:sqref>'8.30'!$M$13:$M$18</c15:sqref>
                  </c15:fullRef>
                </c:ext>
              </c:extLst>
              <c:f>('8.30'!$M$13,'8.30'!$M$15:$M$18)</c:f>
              <c:numCache>
                <c:formatCode>0.0</c:formatCode>
                <c:ptCount val="5"/>
                <c:pt idx="0" formatCode="#,##0.0">
                  <c:v>4.8700265251989387</c:v>
                </c:pt>
                <c:pt idx="1">
                  <c:v>13.835543766578247</c:v>
                </c:pt>
                <c:pt idx="2">
                  <c:v>3.7188328912466844</c:v>
                </c:pt>
                <c:pt idx="3">
                  <c:v>24.647214854111404</c:v>
                </c:pt>
                <c:pt idx="4">
                  <c:v>52.742705570291783</c:v>
                </c:pt>
              </c:numCache>
            </c:numRef>
          </c:val>
          <c:extLst>
            <c:ext xmlns:c16="http://schemas.microsoft.com/office/drawing/2014/chart" uri="{C3380CC4-5D6E-409C-BE32-E72D297353CC}">
              <c16:uniqueId val="{0000000B-5BF1-4C45-9867-8534275D81E7}"/>
            </c:ext>
          </c:extLst>
        </c:ser>
        <c:dLbls>
          <c:showLegendKey val="0"/>
          <c:showVal val="0"/>
          <c:showCatName val="0"/>
          <c:showSerName val="0"/>
          <c:showPercent val="0"/>
          <c:showBubbleSize val="0"/>
          <c:showLeaderLines val="0"/>
        </c:dLbls>
        <c:firstSliceAng val="17"/>
        <c:holeSize val="50"/>
      </c:doughnutChart>
    </c:plotArea>
    <c:plotVisOnly val="1"/>
    <c:dispBlanksAs val="gap"/>
    <c:showDLblsOverMax val="0"/>
  </c:chart>
  <c:spPr>
    <a:solidFill>
      <a:schemeClr val="bg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a:t>Figure 8.30:</a:t>
            </a:r>
            <a:r>
              <a:rPr lang="en-US" sz="1050" baseline="0"/>
              <a:t> </a:t>
            </a:r>
            <a:r>
              <a:rPr lang="en-US" sz="1050"/>
              <a:t>Completion</a:t>
            </a:r>
            <a:r>
              <a:rPr lang="en-US" sz="1050" baseline="0"/>
              <a:t> </a:t>
            </a:r>
            <a:r>
              <a:rPr lang="en-US" sz="1050"/>
              <a:t>rate of cases in courts by type, 2021</a:t>
            </a:r>
          </a:p>
        </c:rich>
      </c:tx>
      <c:layout>
        <c:manualLayout>
          <c:xMode val="edge"/>
          <c:yMode val="edge"/>
          <c:x val="0.16799097455504244"/>
          <c:y val="3.3065833324714591E-2"/>
        </c:manualLayout>
      </c:layout>
      <c:overlay val="0"/>
      <c:spPr>
        <a:noFill/>
        <a:ln>
          <a:noFill/>
        </a:ln>
        <a:effectLst/>
      </c:spPr>
    </c:title>
    <c:autoTitleDeleted val="0"/>
    <c:plotArea>
      <c:layout>
        <c:manualLayout>
          <c:layoutTarget val="inner"/>
          <c:xMode val="edge"/>
          <c:yMode val="edge"/>
          <c:x val="0.10747462817147869"/>
          <c:y val="0.15392043623641624"/>
          <c:w val="0.85876290463692029"/>
          <c:h val="0.7022203808559242"/>
        </c:manualLayout>
      </c:layout>
      <c:barChart>
        <c:barDir val="col"/>
        <c:grouping val="clustered"/>
        <c:varyColors val="0"/>
        <c:ser>
          <c:idx val="0"/>
          <c:order val="0"/>
          <c:tx>
            <c:strRef>
              <c:f>'8.32'!$AD$239</c:f>
              <c:strCache>
                <c:ptCount val="1"/>
                <c:pt idx="0">
                  <c:v>Republic </c:v>
                </c:pt>
              </c:strCache>
            </c:strRef>
          </c:tx>
          <c:spPr>
            <a:solidFill>
              <a:srgbClr val="C00000"/>
            </a:solidFill>
          </c:spPr>
          <c:invertIfNegative val="0"/>
          <c:cat>
            <c:strRef>
              <c:f>'8.32'!$AE$238:$AG$238</c:f>
              <c:strCache>
                <c:ptCount val="3"/>
                <c:pt idx="0">
                  <c:v>Criminal Cases </c:v>
                </c:pt>
                <c:pt idx="1">
                  <c:v>Civil cases</c:v>
                </c:pt>
                <c:pt idx="2">
                  <c:v>Family Cases</c:v>
                </c:pt>
              </c:strCache>
            </c:strRef>
          </c:cat>
          <c:val>
            <c:numRef>
              <c:f>'8.32'!$AE$239:$AG$239</c:f>
              <c:numCache>
                <c:formatCode>0.0</c:formatCode>
                <c:ptCount val="3"/>
                <c:pt idx="0">
                  <c:v>40.013956734124214</c:v>
                </c:pt>
                <c:pt idx="1">
                  <c:v>63.556766222395176</c:v>
                </c:pt>
                <c:pt idx="2">
                  <c:v>81.796935860815367</c:v>
                </c:pt>
              </c:numCache>
            </c:numRef>
          </c:val>
          <c:extLst>
            <c:ext xmlns:c16="http://schemas.microsoft.com/office/drawing/2014/chart" uri="{C3380CC4-5D6E-409C-BE32-E72D297353CC}">
              <c16:uniqueId val="{00000000-26B1-4A93-8494-527C1B82D3F9}"/>
            </c:ext>
          </c:extLst>
        </c:ser>
        <c:ser>
          <c:idx val="1"/>
          <c:order val="1"/>
          <c:tx>
            <c:strRef>
              <c:f>'8.32'!$AD$240</c:f>
              <c:strCache>
                <c:ptCount val="1"/>
                <c:pt idx="0">
                  <c:v>Male' </c:v>
                </c:pt>
              </c:strCache>
            </c:strRef>
          </c:tx>
          <c:spPr>
            <a:solidFill>
              <a:srgbClr val="FF8B8B"/>
            </a:solidFill>
          </c:spPr>
          <c:invertIfNegative val="0"/>
          <c:cat>
            <c:strRef>
              <c:f>'8.32'!$AE$238:$AG$238</c:f>
              <c:strCache>
                <c:ptCount val="3"/>
                <c:pt idx="0">
                  <c:v>Criminal Cases </c:v>
                </c:pt>
                <c:pt idx="1">
                  <c:v>Civil cases</c:v>
                </c:pt>
                <c:pt idx="2">
                  <c:v>Family Cases</c:v>
                </c:pt>
              </c:strCache>
            </c:strRef>
          </c:cat>
          <c:val>
            <c:numRef>
              <c:f>'8.32'!$AE$240:$AG$240</c:f>
              <c:numCache>
                <c:formatCode>0.0</c:formatCode>
                <c:ptCount val="3"/>
                <c:pt idx="0">
                  <c:v>44.498251277912296</c:v>
                </c:pt>
                <c:pt idx="1">
                  <c:v>62.902789060384514</c:v>
                </c:pt>
                <c:pt idx="2">
                  <c:v>85.006518904823992</c:v>
                </c:pt>
              </c:numCache>
            </c:numRef>
          </c:val>
          <c:extLst>
            <c:ext xmlns:c16="http://schemas.microsoft.com/office/drawing/2014/chart" uri="{C3380CC4-5D6E-409C-BE32-E72D297353CC}">
              <c16:uniqueId val="{00000001-26B1-4A93-8494-527C1B82D3F9}"/>
            </c:ext>
          </c:extLst>
        </c:ser>
        <c:ser>
          <c:idx val="2"/>
          <c:order val="2"/>
          <c:tx>
            <c:strRef>
              <c:f>'8.32'!$AD$241</c:f>
              <c:strCache>
                <c:ptCount val="1"/>
                <c:pt idx="0">
                  <c:v>Atoll </c:v>
                </c:pt>
              </c:strCache>
            </c:strRef>
          </c:tx>
          <c:spPr>
            <a:solidFill>
              <a:srgbClr val="FFE5E5"/>
            </a:solidFill>
          </c:spPr>
          <c:invertIfNegative val="0"/>
          <c:cat>
            <c:strRef>
              <c:f>'8.32'!$AE$238:$AG$238</c:f>
              <c:strCache>
                <c:ptCount val="3"/>
                <c:pt idx="0">
                  <c:v>Criminal Cases </c:v>
                </c:pt>
                <c:pt idx="1">
                  <c:v>Civil cases</c:v>
                </c:pt>
                <c:pt idx="2">
                  <c:v>Family Cases</c:v>
                </c:pt>
              </c:strCache>
            </c:strRef>
          </c:cat>
          <c:val>
            <c:numRef>
              <c:f>'8.32'!$AE$241:$AG$241</c:f>
              <c:numCache>
                <c:formatCode>0.0</c:formatCode>
                <c:ptCount val="3"/>
                <c:pt idx="0">
                  <c:v>35.179814385150806</c:v>
                </c:pt>
                <c:pt idx="1">
                  <c:v>65.226408572416176</c:v>
                </c:pt>
                <c:pt idx="2">
                  <c:v>80.636417206835588</c:v>
                </c:pt>
              </c:numCache>
            </c:numRef>
          </c:val>
          <c:extLst>
            <c:ext xmlns:c16="http://schemas.microsoft.com/office/drawing/2014/chart" uri="{C3380CC4-5D6E-409C-BE32-E72D297353CC}">
              <c16:uniqueId val="{00000002-26B1-4A93-8494-527C1B82D3F9}"/>
            </c:ext>
          </c:extLst>
        </c:ser>
        <c:dLbls>
          <c:showLegendKey val="0"/>
          <c:showVal val="0"/>
          <c:showCatName val="0"/>
          <c:showSerName val="0"/>
          <c:showPercent val="0"/>
          <c:showBubbleSize val="0"/>
        </c:dLbls>
        <c:gapWidth val="150"/>
        <c:axId val="376780872"/>
        <c:axId val="376783616"/>
      </c:barChart>
      <c:catAx>
        <c:axId val="376780872"/>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3616"/>
        <c:crosses val="autoZero"/>
        <c:auto val="1"/>
        <c:lblAlgn val="ctr"/>
        <c:lblOffset val="100"/>
        <c:noMultiLvlLbl val="0"/>
      </c:catAx>
      <c:valAx>
        <c:axId val="376783616"/>
        <c:scaling>
          <c:orientation val="minMax"/>
        </c:scaling>
        <c:delete val="0"/>
        <c:axPos val="l"/>
        <c:majorGridlines>
          <c:spPr>
            <a:ln w="9525" cap="flat" cmpd="sng" algn="ctr">
              <a:solidFill>
                <a:schemeClr val="bg1"/>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sz="900" b="0"/>
                  <a:t>In percent</a:t>
                </a:r>
              </a:p>
            </c:rich>
          </c:tx>
          <c:overlay val="0"/>
          <c:spPr>
            <a:noFill/>
            <a:ln>
              <a:noFill/>
            </a:ln>
            <a:effectLst/>
          </c:spPr>
        </c:title>
        <c:numFmt formatCode="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0872"/>
        <c:crosses val="autoZero"/>
        <c:crossBetween val="between"/>
      </c:valAx>
      <c:spPr>
        <a:solidFill>
          <a:schemeClr val="bg1"/>
        </a:solidFill>
        <a:ln>
          <a:solidFill>
            <a:sysClr val="window" lastClr="FFFFFF">
              <a:lumMod val="65000"/>
            </a:sysClr>
          </a:solidFill>
        </a:ln>
        <a:effectLst/>
      </c:spPr>
    </c:plotArea>
    <c:legend>
      <c:legendPos val="r"/>
      <c:layout>
        <c:manualLayout>
          <c:xMode val="edge"/>
          <c:yMode val="edge"/>
          <c:x val="0.10637042233181722"/>
          <c:y val="0.17217083271239209"/>
          <c:w val="0.32275756099722908"/>
          <c:h val="7.742070790806150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0000000000005" l="0.70000000000000062" r="0.70000000000000062" t="0.75000000000000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0" u="none" strike="noStrike" baseline="0"/>
              <a:t>Figure 8.32: Number of </a:t>
            </a:r>
            <a:r>
              <a:rPr lang="en-US" sz="1000"/>
              <a:t>Cases pending at courts at the end of 2021</a:t>
            </a:r>
          </a:p>
        </c:rich>
      </c:tx>
      <c:layout>
        <c:manualLayout>
          <c:xMode val="edge"/>
          <c:yMode val="edge"/>
          <c:x val="0.22248490047340638"/>
          <c:y val="2.7799453959193775E-2"/>
        </c:manualLayout>
      </c:layout>
      <c:overlay val="0"/>
      <c:spPr>
        <a:noFill/>
        <a:ln>
          <a:noFill/>
        </a:ln>
        <a:effectLst/>
      </c:spPr>
    </c:title>
    <c:autoTitleDeleted val="0"/>
    <c:plotArea>
      <c:layout>
        <c:manualLayout>
          <c:layoutTarget val="inner"/>
          <c:xMode val="edge"/>
          <c:yMode val="edge"/>
          <c:x val="0.16022900776694279"/>
          <c:y val="0.14711593921088853"/>
          <c:w val="0.8169344159769123"/>
          <c:h val="0.70239354299012469"/>
        </c:manualLayout>
      </c:layout>
      <c:barChart>
        <c:barDir val="col"/>
        <c:grouping val="clustered"/>
        <c:varyColors val="0"/>
        <c:ser>
          <c:idx val="0"/>
          <c:order val="0"/>
          <c:tx>
            <c:strRef>
              <c:f>'8.32'!$AD$245</c:f>
              <c:strCache>
                <c:ptCount val="1"/>
                <c:pt idx="0">
                  <c:v>Republic </c:v>
                </c:pt>
              </c:strCache>
            </c:strRef>
          </c:tx>
          <c:spPr>
            <a:solidFill>
              <a:srgbClr val="C00000"/>
            </a:solidFill>
            <a:ln>
              <a:noFill/>
            </a:ln>
            <a:effectLst/>
          </c:spPr>
          <c:invertIfNegative val="0"/>
          <c:cat>
            <c:strRef>
              <c:f>'8.32'!$AE$244:$AG$244</c:f>
              <c:strCache>
                <c:ptCount val="3"/>
                <c:pt idx="0">
                  <c:v>Criminal Cases </c:v>
                </c:pt>
                <c:pt idx="1">
                  <c:v>Civil cases</c:v>
                </c:pt>
                <c:pt idx="2">
                  <c:v>Family Cases</c:v>
                </c:pt>
              </c:strCache>
            </c:strRef>
          </c:cat>
          <c:val>
            <c:numRef>
              <c:f>'8.32'!$AE$245:$AG$245</c:f>
              <c:numCache>
                <c:formatCode>_(* #,##0_);_(* \(#,##0\);_(* "-"??_);_(@_)</c:formatCode>
                <c:ptCount val="3"/>
                <c:pt idx="0">
                  <c:v>4298</c:v>
                </c:pt>
                <c:pt idx="1">
                  <c:v>3746</c:v>
                </c:pt>
                <c:pt idx="2">
                  <c:v>2103</c:v>
                </c:pt>
              </c:numCache>
            </c:numRef>
          </c:val>
          <c:extLst>
            <c:ext xmlns:c16="http://schemas.microsoft.com/office/drawing/2014/chart" uri="{C3380CC4-5D6E-409C-BE32-E72D297353CC}">
              <c16:uniqueId val="{00000000-8FB9-485A-B0DD-0F1D4AC48C0E}"/>
            </c:ext>
          </c:extLst>
        </c:ser>
        <c:ser>
          <c:idx val="1"/>
          <c:order val="1"/>
          <c:tx>
            <c:strRef>
              <c:f>'8.32'!$AD$246</c:f>
              <c:strCache>
                <c:ptCount val="1"/>
                <c:pt idx="0">
                  <c:v>Male' </c:v>
                </c:pt>
              </c:strCache>
            </c:strRef>
          </c:tx>
          <c:spPr>
            <a:solidFill>
              <a:srgbClr val="FF8B8B"/>
            </a:solidFill>
            <a:ln>
              <a:noFill/>
            </a:ln>
            <a:effectLst/>
          </c:spPr>
          <c:invertIfNegative val="0"/>
          <c:cat>
            <c:strRef>
              <c:f>'8.32'!$AE$244:$AG$244</c:f>
              <c:strCache>
                <c:ptCount val="3"/>
                <c:pt idx="0">
                  <c:v>Criminal Cases </c:v>
                </c:pt>
                <c:pt idx="1">
                  <c:v>Civil cases</c:v>
                </c:pt>
                <c:pt idx="2">
                  <c:v>Family Cases</c:v>
                </c:pt>
              </c:strCache>
            </c:strRef>
          </c:cat>
          <c:val>
            <c:numRef>
              <c:f>'8.32'!$AE$246:$AG$246</c:f>
              <c:numCache>
                <c:formatCode>_(* #,##0_);_(* \(#,##0\);_(* "-"??_);_(@_)</c:formatCode>
                <c:ptCount val="3"/>
                <c:pt idx="0">
                  <c:v>2063</c:v>
                </c:pt>
                <c:pt idx="1">
                  <c:v>2740</c:v>
                </c:pt>
                <c:pt idx="2">
                  <c:v>460</c:v>
                </c:pt>
              </c:numCache>
            </c:numRef>
          </c:val>
          <c:extLst>
            <c:ext xmlns:c16="http://schemas.microsoft.com/office/drawing/2014/chart" uri="{C3380CC4-5D6E-409C-BE32-E72D297353CC}">
              <c16:uniqueId val="{00000001-8FB9-485A-B0DD-0F1D4AC48C0E}"/>
            </c:ext>
          </c:extLst>
        </c:ser>
        <c:ser>
          <c:idx val="2"/>
          <c:order val="2"/>
          <c:tx>
            <c:strRef>
              <c:f>'8.32'!$AD$241</c:f>
              <c:strCache>
                <c:ptCount val="1"/>
                <c:pt idx="0">
                  <c:v>Atoll </c:v>
                </c:pt>
              </c:strCache>
            </c:strRef>
          </c:tx>
          <c:spPr>
            <a:solidFill>
              <a:srgbClr val="FFE5E5"/>
            </a:solidFill>
            <a:ln>
              <a:noFill/>
            </a:ln>
            <a:effectLst/>
          </c:spPr>
          <c:invertIfNegative val="0"/>
          <c:cat>
            <c:strRef>
              <c:f>'8.32'!$AE$244:$AG$244</c:f>
              <c:strCache>
                <c:ptCount val="3"/>
                <c:pt idx="0">
                  <c:v>Criminal Cases </c:v>
                </c:pt>
                <c:pt idx="1">
                  <c:v>Civil cases</c:v>
                </c:pt>
                <c:pt idx="2">
                  <c:v>Family Cases</c:v>
                </c:pt>
              </c:strCache>
            </c:strRef>
          </c:cat>
          <c:val>
            <c:numRef>
              <c:f>'8.32'!$AE$247:$AG$247</c:f>
              <c:numCache>
                <c:formatCode>_(* #,##0_);_(* \(#,##0\);_(* "-"??_);_(@_)</c:formatCode>
                <c:ptCount val="3"/>
                <c:pt idx="0">
                  <c:v>2235</c:v>
                </c:pt>
                <c:pt idx="1">
                  <c:v>1006</c:v>
                </c:pt>
                <c:pt idx="2">
                  <c:v>1643</c:v>
                </c:pt>
              </c:numCache>
            </c:numRef>
          </c:val>
          <c:extLst>
            <c:ext xmlns:c16="http://schemas.microsoft.com/office/drawing/2014/chart" uri="{C3380CC4-5D6E-409C-BE32-E72D297353CC}">
              <c16:uniqueId val="{00000002-8FB9-485A-B0DD-0F1D4AC48C0E}"/>
            </c:ext>
          </c:extLst>
        </c:ser>
        <c:dLbls>
          <c:showLegendKey val="0"/>
          <c:showVal val="0"/>
          <c:showCatName val="0"/>
          <c:showSerName val="0"/>
          <c:showPercent val="0"/>
          <c:showBubbleSize val="0"/>
        </c:dLbls>
        <c:gapWidth val="150"/>
        <c:axId val="376781656"/>
        <c:axId val="376782440"/>
      </c:barChart>
      <c:catAx>
        <c:axId val="376781656"/>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2440"/>
        <c:crosses val="autoZero"/>
        <c:auto val="1"/>
        <c:lblAlgn val="ctr"/>
        <c:lblOffset val="100"/>
        <c:noMultiLvlLbl val="0"/>
      </c:catAx>
      <c:valAx>
        <c:axId val="376782440"/>
        <c:scaling>
          <c:orientation val="minMax"/>
        </c:scaling>
        <c:delete val="0"/>
        <c:axPos val="l"/>
        <c:majorGridlines>
          <c:spPr>
            <a:ln w="9525" cap="flat" cmpd="sng" algn="ctr">
              <a:solidFill>
                <a:sysClr val="window" lastClr="FFFFFF"/>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In numbers</a:t>
                </a:r>
              </a:p>
            </c:rich>
          </c:tx>
          <c:overlay val="0"/>
          <c:spPr>
            <a:noFill/>
            <a:ln>
              <a:noFill/>
            </a:ln>
            <a:effectLst/>
          </c:spPr>
        </c:title>
        <c:numFmt formatCode="#,##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1656"/>
        <c:crosses val="autoZero"/>
        <c:crossBetween val="between"/>
      </c:valAx>
      <c:spPr>
        <a:noFill/>
        <a:ln>
          <a:solidFill>
            <a:sysClr val="window" lastClr="FFFFFF">
              <a:lumMod val="65000"/>
            </a:sysClr>
          </a:solidFill>
        </a:ln>
        <a:effectLst/>
      </c:spPr>
    </c:plotArea>
    <c:legend>
      <c:legendPos val="r"/>
      <c:layout>
        <c:manualLayout>
          <c:xMode val="edge"/>
          <c:yMode val="edge"/>
          <c:x val="0.64575885872524486"/>
          <c:y val="0.20525356170330322"/>
          <c:w val="0.29862855779420122"/>
          <c:h val="0.131552547456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50" b="1" i="0" u="none" strike="noStrike" kern="1200" baseline="0">
                <a:solidFill>
                  <a:sysClr val="windowText" lastClr="000000"/>
                </a:solidFill>
                <a:latin typeface="+mn-lt"/>
                <a:ea typeface="+mn-ea"/>
                <a:cs typeface="+mn-cs"/>
              </a:defRPr>
            </a:pPr>
            <a:r>
              <a:rPr lang="en-US" sz="1050" b="1" i="0" u="none" strike="noStrike" baseline="0"/>
              <a:t>Figure 8.33:  Number of </a:t>
            </a:r>
            <a:r>
              <a:rPr lang="en-US" sz="1050" b="1" i="0" baseline="0">
                <a:latin typeface="+mn-lt"/>
              </a:rPr>
              <a:t>Cases  concluded and those in courts at the beginning and end of 2021</a:t>
            </a:r>
          </a:p>
        </c:rich>
      </c:tx>
      <c:layout>
        <c:manualLayout>
          <c:xMode val="edge"/>
          <c:yMode val="edge"/>
          <c:x val="0.16331228428360395"/>
          <c:y val="3.0217941763422723E-2"/>
        </c:manualLayout>
      </c:layout>
      <c:overlay val="0"/>
      <c:spPr>
        <a:noFill/>
        <a:ln>
          <a:noFill/>
        </a:ln>
        <a:effectLst/>
      </c:spPr>
    </c:title>
    <c:autoTitleDeleted val="0"/>
    <c:plotArea>
      <c:layout>
        <c:manualLayout>
          <c:layoutTarget val="inner"/>
          <c:xMode val="edge"/>
          <c:yMode val="edge"/>
          <c:x val="0.14482357968423662"/>
          <c:y val="0.18719316416175671"/>
          <c:w val="0.82181368554428824"/>
          <c:h val="0.67989951417013861"/>
        </c:manualLayout>
      </c:layout>
      <c:barChart>
        <c:barDir val="col"/>
        <c:grouping val="clustered"/>
        <c:varyColors val="0"/>
        <c:ser>
          <c:idx val="0"/>
          <c:order val="0"/>
          <c:tx>
            <c:strRef>
              <c:f>'8.32'!$AD$259</c:f>
              <c:strCache>
                <c:ptCount val="1"/>
                <c:pt idx="0">
                  <c:v>Starting balance</c:v>
                </c:pt>
              </c:strCache>
            </c:strRef>
          </c:tx>
          <c:spPr>
            <a:solidFill>
              <a:srgbClr val="FFE5E5"/>
            </a:solidFill>
            <a:ln>
              <a:noFill/>
            </a:ln>
            <a:effectLst/>
          </c:spPr>
          <c:invertIfNegative val="0"/>
          <c:cat>
            <c:strRef>
              <c:f>'8.32'!$AE$258:$AG$258</c:f>
              <c:strCache>
                <c:ptCount val="3"/>
                <c:pt idx="0">
                  <c:v>Republic</c:v>
                </c:pt>
                <c:pt idx="1">
                  <c:v>Male'</c:v>
                </c:pt>
                <c:pt idx="2">
                  <c:v>Atolls</c:v>
                </c:pt>
              </c:strCache>
            </c:strRef>
          </c:cat>
          <c:val>
            <c:numRef>
              <c:f>'8.32'!$AE$259:$AG$259</c:f>
              <c:numCache>
                <c:formatCode>_(* #,##0_);_(* \(#,##0\);_(* "-"??_);_(@_)</c:formatCode>
                <c:ptCount val="3"/>
                <c:pt idx="0">
                  <c:v>10500</c:v>
                </c:pt>
                <c:pt idx="1">
                  <c:v>5550</c:v>
                </c:pt>
                <c:pt idx="2">
                  <c:v>4950</c:v>
                </c:pt>
              </c:numCache>
            </c:numRef>
          </c:val>
          <c:extLst>
            <c:ext xmlns:c16="http://schemas.microsoft.com/office/drawing/2014/chart" uri="{C3380CC4-5D6E-409C-BE32-E72D297353CC}">
              <c16:uniqueId val="{00000000-331D-4D82-BCE3-D6739EDF2E0B}"/>
            </c:ext>
          </c:extLst>
        </c:ser>
        <c:ser>
          <c:idx val="1"/>
          <c:order val="1"/>
          <c:tx>
            <c:strRef>
              <c:f>'8.32'!$AD$260</c:f>
              <c:strCache>
                <c:ptCount val="1"/>
                <c:pt idx="0">
                  <c:v>new cases filed</c:v>
                </c:pt>
              </c:strCache>
            </c:strRef>
          </c:tx>
          <c:spPr>
            <a:solidFill>
              <a:srgbClr val="FFC5C5"/>
            </a:solidFill>
            <a:ln>
              <a:noFill/>
            </a:ln>
            <a:effectLst/>
          </c:spPr>
          <c:invertIfNegative val="0"/>
          <c:cat>
            <c:strRef>
              <c:f>'8.32'!$AE$258:$AG$258</c:f>
              <c:strCache>
                <c:ptCount val="3"/>
                <c:pt idx="0">
                  <c:v>Republic</c:v>
                </c:pt>
                <c:pt idx="1">
                  <c:v>Male'</c:v>
                </c:pt>
                <c:pt idx="2">
                  <c:v>Atolls</c:v>
                </c:pt>
              </c:strCache>
            </c:strRef>
          </c:cat>
          <c:val>
            <c:numRef>
              <c:f>'8.32'!$AE$260:$AG$260</c:f>
              <c:numCache>
                <c:formatCode>_(* #,##0_);_(* \(#,##0\);_(* "-"??_);_(@_)</c:formatCode>
                <c:ptCount val="3"/>
                <c:pt idx="0">
                  <c:v>18464</c:v>
                </c:pt>
                <c:pt idx="1">
                  <c:v>8621</c:v>
                </c:pt>
                <c:pt idx="2">
                  <c:v>9843</c:v>
                </c:pt>
              </c:numCache>
            </c:numRef>
          </c:val>
          <c:extLst>
            <c:ext xmlns:c16="http://schemas.microsoft.com/office/drawing/2014/chart" uri="{C3380CC4-5D6E-409C-BE32-E72D297353CC}">
              <c16:uniqueId val="{00000001-331D-4D82-BCE3-D6739EDF2E0B}"/>
            </c:ext>
          </c:extLst>
        </c:ser>
        <c:ser>
          <c:idx val="2"/>
          <c:order val="2"/>
          <c:tx>
            <c:strRef>
              <c:f>'8.32'!$AD$261</c:f>
              <c:strCache>
                <c:ptCount val="1"/>
                <c:pt idx="0">
                  <c:v>concluded</c:v>
                </c:pt>
              </c:strCache>
            </c:strRef>
          </c:tx>
          <c:spPr>
            <a:solidFill>
              <a:srgbClr val="FF8B8B"/>
            </a:solidFill>
            <a:ln>
              <a:noFill/>
            </a:ln>
            <a:effectLst/>
          </c:spPr>
          <c:invertIfNegative val="0"/>
          <c:cat>
            <c:strRef>
              <c:f>'8.32'!$AE$258:$AG$258</c:f>
              <c:strCache>
                <c:ptCount val="3"/>
                <c:pt idx="0">
                  <c:v>Republic</c:v>
                </c:pt>
                <c:pt idx="1">
                  <c:v>Male'</c:v>
                </c:pt>
                <c:pt idx="2">
                  <c:v>Atolls</c:v>
                </c:pt>
              </c:strCache>
            </c:strRef>
          </c:cat>
          <c:val>
            <c:numRef>
              <c:f>'8.32'!$AE$261:$AG$261</c:f>
              <c:numCache>
                <c:formatCode>_(* #,##0_);_(* \(#,##0\);_(* "-"??_);_(@_)</c:formatCode>
                <c:ptCount val="3"/>
                <c:pt idx="0">
                  <c:v>18850</c:v>
                </c:pt>
                <c:pt idx="1">
                  <c:v>8908</c:v>
                </c:pt>
                <c:pt idx="2">
                  <c:v>9942</c:v>
                </c:pt>
              </c:numCache>
            </c:numRef>
          </c:val>
          <c:extLst>
            <c:ext xmlns:c16="http://schemas.microsoft.com/office/drawing/2014/chart" uri="{C3380CC4-5D6E-409C-BE32-E72D297353CC}">
              <c16:uniqueId val="{00000002-331D-4D82-BCE3-D6739EDF2E0B}"/>
            </c:ext>
          </c:extLst>
        </c:ser>
        <c:ser>
          <c:idx val="3"/>
          <c:order val="3"/>
          <c:tx>
            <c:strRef>
              <c:f>'8.32'!$AD$262</c:f>
              <c:strCache>
                <c:ptCount val="1"/>
                <c:pt idx="0">
                  <c:v>ending balance</c:v>
                </c:pt>
              </c:strCache>
            </c:strRef>
          </c:tx>
          <c:spPr>
            <a:solidFill>
              <a:srgbClr val="C00000"/>
            </a:solidFill>
          </c:spPr>
          <c:invertIfNegative val="0"/>
          <c:cat>
            <c:strRef>
              <c:f>'8.32'!$AE$258:$AG$258</c:f>
              <c:strCache>
                <c:ptCount val="3"/>
                <c:pt idx="0">
                  <c:v>Republic</c:v>
                </c:pt>
                <c:pt idx="1">
                  <c:v>Male'</c:v>
                </c:pt>
                <c:pt idx="2">
                  <c:v>Atolls</c:v>
                </c:pt>
              </c:strCache>
            </c:strRef>
          </c:cat>
          <c:val>
            <c:numRef>
              <c:f>'8.32'!$AE$262:$AG$262</c:f>
              <c:numCache>
                <c:formatCode>_(* #,##0_);_(* \(#,##0\);_(* "-"??_);_(@_)</c:formatCode>
                <c:ptCount val="3"/>
                <c:pt idx="0">
                  <c:v>10147</c:v>
                </c:pt>
                <c:pt idx="1">
                  <c:v>5263</c:v>
                </c:pt>
                <c:pt idx="2">
                  <c:v>4884</c:v>
                </c:pt>
              </c:numCache>
            </c:numRef>
          </c:val>
          <c:extLst>
            <c:ext xmlns:c16="http://schemas.microsoft.com/office/drawing/2014/chart" uri="{C3380CC4-5D6E-409C-BE32-E72D297353CC}">
              <c16:uniqueId val="{00000003-331D-4D82-BCE3-D6739EDF2E0B}"/>
            </c:ext>
          </c:extLst>
        </c:ser>
        <c:dLbls>
          <c:showLegendKey val="0"/>
          <c:showVal val="0"/>
          <c:showCatName val="0"/>
          <c:showSerName val="0"/>
          <c:showPercent val="0"/>
          <c:showBubbleSize val="0"/>
        </c:dLbls>
        <c:gapWidth val="150"/>
        <c:axId val="376787928"/>
        <c:axId val="376786360"/>
      </c:barChart>
      <c:catAx>
        <c:axId val="376787928"/>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6360"/>
        <c:crosses val="autoZero"/>
        <c:auto val="1"/>
        <c:lblAlgn val="ctr"/>
        <c:lblOffset val="100"/>
        <c:noMultiLvlLbl val="0"/>
      </c:catAx>
      <c:valAx>
        <c:axId val="376786360"/>
        <c:scaling>
          <c:orientation val="minMax"/>
        </c:scaling>
        <c:delete val="0"/>
        <c:axPos val="l"/>
        <c:majorGridlines>
          <c:spPr>
            <a:ln w="9525" cap="flat" cmpd="sng" algn="ctr">
              <a:solidFill>
                <a:sysClr val="window" lastClr="FFFFFF"/>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sz="900" b="0"/>
                  <a:t>In numbers</a:t>
                </a:r>
              </a:p>
            </c:rich>
          </c:tx>
          <c:layout>
            <c:manualLayout>
              <c:xMode val="edge"/>
              <c:yMode val="edge"/>
              <c:x val="2.8024617530170602E-3"/>
              <c:y val="0.34191914044639066"/>
            </c:manualLayout>
          </c:layout>
          <c:overlay val="0"/>
          <c:spPr>
            <a:noFill/>
            <a:ln>
              <a:noFill/>
            </a:ln>
            <a:effectLst/>
          </c:spPr>
        </c:title>
        <c:numFmt formatCode="#,##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6787928"/>
        <c:crosses val="autoZero"/>
        <c:crossBetween val="between"/>
      </c:valAx>
      <c:spPr>
        <a:solidFill>
          <a:schemeClr val="bg1"/>
        </a:solidFill>
        <a:ln>
          <a:solidFill>
            <a:schemeClr val="bg1">
              <a:lumMod val="65000"/>
            </a:schemeClr>
          </a:solidFill>
        </a:ln>
        <a:effectLst/>
      </c:spPr>
    </c:plotArea>
    <c:legend>
      <c:legendPos val="r"/>
      <c:layout>
        <c:manualLayout>
          <c:xMode val="edge"/>
          <c:yMode val="edge"/>
          <c:x val="0.38702696821353261"/>
          <c:y val="0.25612494837915273"/>
          <c:w val="0.51354572660515474"/>
          <c:h val="0.12919728115694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000000000000522" l="0.70000000000000062" r="0.70000000000000062" t="0.7500000000000052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050" b="1" i="0" u="none" strike="noStrike" baseline="0"/>
              <a:t>Figure 8.31: Number of </a:t>
            </a:r>
            <a:r>
              <a:rPr lang="en-US" sz="1050"/>
              <a:t>Cases concluded at courts during 2021</a:t>
            </a:r>
          </a:p>
        </c:rich>
      </c:tx>
      <c:layout>
        <c:manualLayout>
          <c:xMode val="edge"/>
          <c:yMode val="edge"/>
          <c:x val="0.18312897303345127"/>
          <c:y val="2.4043524674325811E-2"/>
        </c:manualLayout>
      </c:layout>
      <c:overlay val="0"/>
      <c:spPr>
        <a:noFill/>
        <a:ln>
          <a:noFill/>
        </a:ln>
        <a:effectLst/>
      </c:spPr>
    </c:title>
    <c:autoTitleDeleted val="0"/>
    <c:plotArea>
      <c:layout>
        <c:manualLayout>
          <c:layoutTarget val="inner"/>
          <c:xMode val="edge"/>
          <c:yMode val="edge"/>
          <c:x val="0.1526145386752174"/>
          <c:y val="0.13218027930968385"/>
          <c:w val="0.83001516812841469"/>
          <c:h val="0.72843764614356765"/>
        </c:manualLayout>
      </c:layout>
      <c:barChart>
        <c:barDir val="col"/>
        <c:grouping val="clustered"/>
        <c:varyColors val="0"/>
        <c:ser>
          <c:idx val="0"/>
          <c:order val="0"/>
          <c:tx>
            <c:strRef>
              <c:f>'8.32'!$AD$253</c:f>
              <c:strCache>
                <c:ptCount val="1"/>
                <c:pt idx="0">
                  <c:v>Republic </c:v>
                </c:pt>
              </c:strCache>
            </c:strRef>
          </c:tx>
          <c:spPr>
            <a:solidFill>
              <a:srgbClr val="C00000"/>
            </a:solidFill>
            <a:ln>
              <a:noFill/>
            </a:ln>
            <a:effectLst/>
          </c:spPr>
          <c:invertIfNegative val="0"/>
          <c:cat>
            <c:strRef>
              <c:f>'8.32'!$AE$252:$AG$252</c:f>
              <c:strCache>
                <c:ptCount val="3"/>
                <c:pt idx="0">
                  <c:v>Criminal Cases </c:v>
                </c:pt>
                <c:pt idx="1">
                  <c:v>Civil cases</c:v>
                </c:pt>
                <c:pt idx="2">
                  <c:v>Family Cases</c:v>
                </c:pt>
              </c:strCache>
            </c:strRef>
          </c:cat>
          <c:val>
            <c:numRef>
              <c:f>'8.32'!$AE$253:$AG$253</c:f>
              <c:numCache>
                <c:formatCode>_(* #,##0_);_(* \(#,##0\);_(* "-"??_);_(@_)</c:formatCode>
                <c:ptCount val="3"/>
                <c:pt idx="0">
                  <c:v>2867</c:v>
                </c:pt>
                <c:pt idx="1">
                  <c:v>6533</c:v>
                </c:pt>
                <c:pt idx="2">
                  <c:v>9450</c:v>
                </c:pt>
              </c:numCache>
            </c:numRef>
          </c:val>
          <c:extLst>
            <c:ext xmlns:c16="http://schemas.microsoft.com/office/drawing/2014/chart" uri="{C3380CC4-5D6E-409C-BE32-E72D297353CC}">
              <c16:uniqueId val="{00000000-E6FD-423C-AE4F-500965F6FEA7}"/>
            </c:ext>
          </c:extLst>
        </c:ser>
        <c:ser>
          <c:idx val="1"/>
          <c:order val="1"/>
          <c:tx>
            <c:strRef>
              <c:f>'8.32'!$AD$254</c:f>
              <c:strCache>
                <c:ptCount val="1"/>
                <c:pt idx="0">
                  <c:v>Male' </c:v>
                </c:pt>
              </c:strCache>
            </c:strRef>
          </c:tx>
          <c:spPr>
            <a:solidFill>
              <a:srgbClr val="FF8B8B"/>
            </a:solidFill>
            <a:ln>
              <a:noFill/>
            </a:ln>
            <a:effectLst/>
          </c:spPr>
          <c:invertIfNegative val="0"/>
          <c:cat>
            <c:strRef>
              <c:f>'8.32'!$AE$252:$AG$252</c:f>
              <c:strCache>
                <c:ptCount val="3"/>
                <c:pt idx="0">
                  <c:v>Criminal Cases </c:v>
                </c:pt>
                <c:pt idx="1">
                  <c:v>Civil cases</c:v>
                </c:pt>
                <c:pt idx="2">
                  <c:v>Family Cases</c:v>
                </c:pt>
              </c:strCache>
            </c:strRef>
          </c:cat>
          <c:val>
            <c:numRef>
              <c:f>'8.32'!$AE$254:$AG$254</c:f>
              <c:numCache>
                <c:formatCode>_(* #,##0_);_(* \(#,##0\);_(* "-"??_);_(@_)</c:formatCode>
                <c:ptCount val="3"/>
                <c:pt idx="0">
                  <c:v>1654</c:v>
                </c:pt>
                <c:pt idx="1">
                  <c:v>4646</c:v>
                </c:pt>
                <c:pt idx="2">
                  <c:v>2608</c:v>
                </c:pt>
              </c:numCache>
            </c:numRef>
          </c:val>
          <c:extLst>
            <c:ext xmlns:c16="http://schemas.microsoft.com/office/drawing/2014/chart" uri="{C3380CC4-5D6E-409C-BE32-E72D297353CC}">
              <c16:uniqueId val="{00000001-E6FD-423C-AE4F-500965F6FEA7}"/>
            </c:ext>
          </c:extLst>
        </c:ser>
        <c:ser>
          <c:idx val="2"/>
          <c:order val="2"/>
          <c:tx>
            <c:strRef>
              <c:f>'8.32'!$AD$255</c:f>
              <c:strCache>
                <c:ptCount val="1"/>
                <c:pt idx="0">
                  <c:v>Atoll </c:v>
                </c:pt>
              </c:strCache>
            </c:strRef>
          </c:tx>
          <c:spPr>
            <a:solidFill>
              <a:srgbClr val="FFE5E5"/>
            </a:solidFill>
            <a:ln>
              <a:noFill/>
            </a:ln>
            <a:effectLst/>
          </c:spPr>
          <c:invertIfNegative val="0"/>
          <c:cat>
            <c:strRef>
              <c:f>'8.32'!$AE$252:$AG$252</c:f>
              <c:strCache>
                <c:ptCount val="3"/>
                <c:pt idx="0">
                  <c:v>Criminal Cases </c:v>
                </c:pt>
                <c:pt idx="1">
                  <c:v>Civil cases</c:v>
                </c:pt>
                <c:pt idx="2">
                  <c:v>Family Cases</c:v>
                </c:pt>
              </c:strCache>
            </c:strRef>
          </c:cat>
          <c:val>
            <c:numRef>
              <c:f>'8.32'!$AE$255:$AG$255</c:f>
              <c:numCache>
                <c:formatCode>_(* #,##0_);_(* \(#,##0\);_(* "-"??_);_(@_)</c:formatCode>
                <c:ptCount val="3"/>
                <c:pt idx="0">
                  <c:v>1213</c:v>
                </c:pt>
                <c:pt idx="1">
                  <c:v>1887</c:v>
                </c:pt>
                <c:pt idx="2">
                  <c:v>6842</c:v>
                </c:pt>
              </c:numCache>
            </c:numRef>
          </c:val>
          <c:extLst>
            <c:ext xmlns:c16="http://schemas.microsoft.com/office/drawing/2014/chart" uri="{C3380CC4-5D6E-409C-BE32-E72D297353CC}">
              <c16:uniqueId val="{00000002-E6FD-423C-AE4F-500965F6FEA7}"/>
            </c:ext>
          </c:extLst>
        </c:ser>
        <c:dLbls>
          <c:showLegendKey val="0"/>
          <c:showVal val="0"/>
          <c:showCatName val="0"/>
          <c:showSerName val="0"/>
          <c:showPercent val="0"/>
          <c:showBubbleSize val="0"/>
        </c:dLbls>
        <c:gapWidth val="150"/>
        <c:axId val="376782048"/>
        <c:axId val="376785576"/>
      </c:barChart>
      <c:catAx>
        <c:axId val="376782048"/>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5576"/>
        <c:crosses val="autoZero"/>
        <c:auto val="1"/>
        <c:lblAlgn val="ctr"/>
        <c:lblOffset val="100"/>
        <c:noMultiLvlLbl val="0"/>
      </c:catAx>
      <c:valAx>
        <c:axId val="376785576"/>
        <c:scaling>
          <c:orientation val="minMax"/>
        </c:scaling>
        <c:delete val="0"/>
        <c:axPos val="l"/>
        <c:majorGridlines>
          <c:spPr>
            <a:ln w="9525" cap="flat" cmpd="sng" algn="ctr">
              <a:solidFill>
                <a:sysClr val="window" lastClr="FFFFFF"/>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In numbers</a:t>
                </a:r>
              </a:p>
            </c:rich>
          </c:tx>
          <c:layout>
            <c:manualLayout>
              <c:xMode val="edge"/>
              <c:yMode val="edge"/>
              <c:x val="8.3584855740438269E-3"/>
              <c:y val="0.38225073812066462"/>
            </c:manualLayout>
          </c:layout>
          <c:overlay val="0"/>
          <c:spPr>
            <a:noFill/>
            <a:ln>
              <a:noFill/>
            </a:ln>
            <a:effectLst/>
          </c:spPr>
        </c:title>
        <c:numFmt formatCode="#,##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2048"/>
        <c:crosses val="autoZero"/>
        <c:crossBetween val="between"/>
      </c:valAx>
      <c:spPr>
        <a:solidFill>
          <a:schemeClr val="bg1"/>
        </a:solidFill>
        <a:ln>
          <a:solidFill>
            <a:sysClr val="window" lastClr="FFFFFF">
              <a:lumMod val="65000"/>
            </a:sysClr>
          </a:solidFill>
        </a:ln>
        <a:effectLst/>
      </c:spPr>
    </c:plotArea>
    <c:legend>
      <c:legendPos val="r"/>
      <c:layout>
        <c:manualLayout>
          <c:xMode val="edge"/>
          <c:yMode val="edge"/>
          <c:x val="0.18545926797757234"/>
          <c:y val="0.21330751130429892"/>
          <c:w val="0.42972224818252308"/>
          <c:h val="7.991695253299552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i="0" u="none" strike="noStrike" baseline="0"/>
              <a:t>Figure 8.34: Number of </a:t>
            </a:r>
            <a:r>
              <a:rPr lang="en-US" sz="1050"/>
              <a:t>Cases</a:t>
            </a:r>
            <a:r>
              <a:rPr lang="en-US" sz="1050" baseline="0"/>
              <a:t> completed during 2021 and  pending at end year, by Atoll</a:t>
            </a:r>
            <a:endParaRPr lang="en-US" sz="1050"/>
          </a:p>
        </c:rich>
      </c:tx>
      <c:layout>
        <c:manualLayout>
          <c:xMode val="edge"/>
          <c:yMode val="edge"/>
          <c:x val="0.15903807566062594"/>
          <c:y val="2.7530921997956192E-3"/>
        </c:manualLayout>
      </c:layout>
      <c:overlay val="0"/>
      <c:spPr>
        <a:noFill/>
        <a:ln>
          <a:noFill/>
        </a:ln>
        <a:effectLst/>
      </c:spPr>
    </c:title>
    <c:autoTitleDeleted val="0"/>
    <c:plotArea>
      <c:layout>
        <c:manualLayout>
          <c:layoutTarget val="inner"/>
          <c:xMode val="edge"/>
          <c:yMode val="edge"/>
          <c:x val="0.10600051372120441"/>
          <c:y val="0.17863895267348581"/>
          <c:w val="0.87533486747769673"/>
          <c:h val="0.66386619151283821"/>
        </c:manualLayout>
      </c:layout>
      <c:barChart>
        <c:barDir val="col"/>
        <c:grouping val="clustered"/>
        <c:varyColors val="0"/>
        <c:ser>
          <c:idx val="0"/>
          <c:order val="0"/>
          <c:tx>
            <c:strRef>
              <c:f>'8.32'!$AE$268</c:f>
              <c:strCache>
                <c:ptCount val="1"/>
                <c:pt idx="0">
                  <c:v>Concluded</c:v>
                </c:pt>
              </c:strCache>
            </c:strRef>
          </c:tx>
          <c:spPr>
            <a:solidFill>
              <a:srgbClr val="C00000"/>
            </a:solidFill>
            <a:ln>
              <a:noFill/>
            </a:ln>
            <a:effectLst/>
          </c:spPr>
          <c:invertIfNegative val="0"/>
          <c:cat>
            <c:strRef>
              <c:f>'8.32'!$AD$269:$AD$288</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'8.32'!$AE$269:$AE$288</c:f>
              <c:numCache>
                <c:formatCode>General_)</c:formatCode>
                <c:ptCount val="20"/>
                <c:pt idx="0">
                  <c:v>401</c:v>
                </c:pt>
                <c:pt idx="1">
                  <c:v>651</c:v>
                </c:pt>
                <c:pt idx="2">
                  <c:v>433</c:v>
                </c:pt>
                <c:pt idx="3">
                  <c:v>568</c:v>
                </c:pt>
                <c:pt idx="4">
                  <c:v>647</c:v>
                </c:pt>
                <c:pt idx="5">
                  <c:v>317</c:v>
                </c:pt>
                <c:pt idx="6">
                  <c:v>435</c:v>
                </c:pt>
                <c:pt idx="7">
                  <c:v>709</c:v>
                </c:pt>
                <c:pt idx="8">
                  <c:v>327</c:v>
                </c:pt>
                <c:pt idx="9">
                  <c:v>379</c:v>
                </c:pt>
                <c:pt idx="10">
                  <c:v>58</c:v>
                </c:pt>
                <c:pt idx="11">
                  <c:v>139</c:v>
                </c:pt>
                <c:pt idx="12">
                  <c:v>170</c:v>
                </c:pt>
                <c:pt idx="13">
                  <c:v>181</c:v>
                </c:pt>
                <c:pt idx="14">
                  <c:v>458</c:v>
                </c:pt>
                <c:pt idx="15">
                  <c:v>679</c:v>
                </c:pt>
                <c:pt idx="16">
                  <c:v>574</c:v>
                </c:pt>
                <c:pt idx="17">
                  <c:v>774</c:v>
                </c:pt>
                <c:pt idx="18">
                  <c:v>554</c:v>
                </c:pt>
                <c:pt idx="19">
                  <c:v>934</c:v>
                </c:pt>
              </c:numCache>
            </c:numRef>
          </c:val>
          <c:extLst>
            <c:ext xmlns:c16="http://schemas.microsoft.com/office/drawing/2014/chart" uri="{C3380CC4-5D6E-409C-BE32-E72D297353CC}">
              <c16:uniqueId val="{00000000-22D6-4ECA-A28B-012B455FB407}"/>
            </c:ext>
          </c:extLst>
        </c:ser>
        <c:ser>
          <c:idx val="1"/>
          <c:order val="1"/>
          <c:tx>
            <c:strRef>
              <c:f>'8.32'!$AF$268</c:f>
              <c:strCache>
                <c:ptCount val="1"/>
                <c:pt idx="0">
                  <c:v>Pending</c:v>
                </c:pt>
              </c:strCache>
            </c:strRef>
          </c:tx>
          <c:spPr>
            <a:solidFill>
              <a:srgbClr val="FFC5C5"/>
            </a:solidFill>
            <a:ln>
              <a:noFill/>
            </a:ln>
            <a:effectLst/>
          </c:spPr>
          <c:invertIfNegative val="0"/>
          <c:cat>
            <c:strRef>
              <c:f>'8.32'!$AD$269:$AD$288</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'8.32'!$AF$269:$AF$288</c:f>
              <c:numCache>
                <c:formatCode>General_)</c:formatCode>
                <c:ptCount val="20"/>
                <c:pt idx="0">
                  <c:v>219</c:v>
                </c:pt>
                <c:pt idx="1">
                  <c:v>401</c:v>
                </c:pt>
                <c:pt idx="2">
                  <c:v>162</c:v>
                </c:pt>
                <c:pt idx="3">
                  <c:v>252</c:v>
                </c:pt>
                <c:pt idx="4">
                  <c:v>188</c:v>
                </c:pt>
                <c:pt idx="5">
                  <c:v>157</c:v>
                </c:pt>
                <c:pt idx="6">
                  <c:v>108</c:v>
                </c:pt>
                <c:pt idx="7">
                  <c:v>341</c:v>
                </c:pt>
                <c:pt idx="8">
                  <c:v>148</c:v>
                </c:pt>
                <c:pt idx="9">
                  <c:v>188</c:v>
                </c:pt>
                <c:pt idx="10">
                  <c:v>14</c:v>
                </c:pt>
                <c:pt idx="11">
                  <c:v>79</c:v>
                </c:pt>
                <c:pt idx="12">
                  <c:v>45</c:v>
                </c:pt>
                <c:pt idx="13">
                  <c:v>73</c:v>
                </c:pt>
                <c:pt idx="14">
                  <c:v>216</c:v>
                </c:pt>
                <c:pt idx="15">
                  <c:v>334</c:v>
                </c:pt>
                <c:pt idx="16">
                  <c:v>281</c:v>
                </c:pt>
                <c:pt idx="17">
                  <c:v>459</c:v>
                </c:pt>
                <c:pt idx="18">
                  <c:v>214</c:v>
                </c:pt>
                <c:pt idx="19">
                  <c:v>646</c:v>
                </c:pt>
              </c:numCache>
            </c:numRef>
          </c:val>
          <c:extLst>
            <c:ext xmlns:c16="http://schemas.microsoft.com/office/drawing/2014/chart" uri="{C3380CC4-5D6E-409C-BE32-E72D297353CC}">
              <c16:uniqueId val="{00000001-22D6-4ECA-A28B-012B455FB407}"/>
            </c:ext>
          </c:extLst>
        </c:ser>
        <c:dLbls>
          <c:showLegendKey val="0"/>
          <c:showVal val="0"/>
          <c:showCatName val="0"/>
          <c:showSerName val="0"/>
          <c:showPercent val="0"/>
          <c:showBubbleSize val="0"/>
        </c:dLbls>
        <c:gapWidth val="8"/>
        <c:axId val="376780480"/>
        <c:axId val="376785184"/>
      </c:barChart>
      <c:catAx>
        <c:axId val="376780480"/>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6785184"/>
        <c:crosses val="autoZero"/>
        <c:auto val="1"/>
        <c:lblAlgn val="ctr"/>
        <c:lblOffset val="100"/>
        <c:noMultiLvlLbl val="0"/>
      </c:catAx>
      <c:valAx>
        <c:axId val="376785184"/>
        <c:scaling>
          <c:orientation val="minMax"/>
          <c:max val="1400"/>
          <c:min val="0"/>
        </c:scaling>
        <c:delete val="0"/>
        <c:axPos val="l"/>
        <c:majorGridlines>
          <c:spPr>
            <a:ln w="9525" cap="flat" cmpd="sng" algn="ctr">
              <a:solidFill>
                <a:schemeClr val="bg1"/>
              </a:solidFill>
              <a:prstDash val="solid"/>
              <a:round/>
            </a:ln>
            <a:effectLst/>
          </c:spPr>
        </c:majorGridlines>
        <c:title>
          <c:tx>
            <c:rich>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r>
                  <a:rPr lang="en-US" sz="800" b="0"/>
                  <a:t>In numbers</a:t>
                </a:r>
              </a:p>
            </c:rich>
          </c:tx>
          <c:layout>
            <c:manualLayout>
              <c:xMode val="edge"/>
              <c:yMode val="edge"/>
              <c:x val="2.6898081626949692E-3"/>
              <c:y val="5.8015226561708419E-2"/>
            </c:manualLayout>
          </c:layout>
          <c:overlay val="0"/>
          <c:spPr>
            <a:noFill/>
            <a:ln>
              <a:noFill/>
            </a:ln>
            <a:effectLst/>
          </c:spPr>
        </c:title>
        <c:numFmt formatCode="#,##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0480"/>
        <c:crosses val="autoZero"/>
        <c:crossBetween val="between"/>
      </c:valAx>
      <c:spPr>
        <a:solidFill>
          <a:schemeClr val="bg1"/>
        </a:solidFill>
        <a:ln>
          <a:solidFill>
            <a:schemeClr val="bg1">
              <a:lumMod val="65000"/>
            </a:schemeClr>
          </a:solidFill>
        </a:ln>
        <a:effectLst/>
      </c:spPr>
    </c:plotArea>
    <c:legend>
      <c:legendPos val="b"/>
      <c:layout>
        <c:manualLayout>
          <c:xMode val="edge"/>
          <c:yMode val="edge"/>
          <c:x val="0.22826506347045294"/>
          <c:y val="0.22278990517494673"/>
          <c:w val="0.46873933966669895"/>
          <c:h val="0.1257811816654551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0000000000005" l="0.70000000000000062" r="0.70000000000000062" t="0.75000000000000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050" b="1" i="0" u="none" strike="noStrike" baseline="0"/>
              <a:t>Figure 8.35: </a:t>
            </a:r>
            <a:r>
              <a:rPr lang="en-US" sz="1050"/>
              <a:t>C</a:t>
            </a:r>
            <a:r>
              <a:rPr lang="en-US" sz="1050" baseline="0"/>
              <a:t>ompletion rate of cases in majistrate courts by Atoll, 2021</a:t>
            </a:r>
            <a:endParaRPr lang="en-US" sz="1050"/>
          </a:p>
        </c:rich>
      </c:tx>
      <c:layout>
        <c:manualLayout>
          <c:xMode val="edge"/>
          <c:yMode val="edge"/>
          <c:x val="0.16395572180697568"/>
          <c:y val="4.6285497221345999E-2"/>
        </c:manualLayout>
      </c:layout>
      <c:overlay val="0"/>
      <c:spPr>
        <a:noFill/>
        <a:ln>
          <a:noFill/>
        </a:ln>
        <a:effectLst/>
      </c:spPr>
    </c:title>
    <c:autoTitleDeleted val="0"/>
    <c:plotArea>
      <c:layout>
        <c:manualLayout>
          <c:layoutTarget val="inner"/>
          <c:xMode val="edge"/>
          <c:yMode val="edge"/>
          <c:x val="6.6469881172945333E-2"/>
          <c:y val="0.17184470328787221"/>
          <c:w val="0.91730211124311145"/>
          <c:h val="0.70037315815458445"/>
        </c:manualLayout>
      </c:layout>
      <c:barChart>
        <c:barDir val="col"/>
        <c:grouping val="clustered"/>
        <c:varyColors val="0"/>
        <c:ser>
          <c:idx val="0"/>
          <c:order val="0"/>
          <c:spPr>
            <a:solidFill>
              <a:srgbClr val="FFC5C5"/>
            </a:solidFill>
            <a:ln>
              <a:noFill/>
            </a:ln>
            <a:effectLst/>
          </c:spPr>
          <c:invertIfNegative val="0"/>
          <c:cat>
            <c:strRef>
              <c:f>'8.32'!$AE$293:$AE$312</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'8.32'!$AF$293:$AF$312</c:f>
              <c:numCache>
                <c:formatCode>0</c:formatCode>
                <c:ptCount val="20"/>
                <c:pt idx="0">
                  <c:v>64.677419354838705</c:v>
                </c:pt>
                <c:pt idx="1">
                  <c:v>61.882129277566541</c:v>
                </c:pt>
                <c:pt idx="2">
                  <c:v>72.773109243697476</c:v>
                </c:pt>
                <c:pt idx="3">
                  <c:v>69.268292682926827</c:v>
                </c:pt>
                <c:pt idx="4">
                  <c:v>77.485029940119759</c:v>
                </c:pt>
                <c:pt idx="5">
                  <c:v>66.877637130801688</c:v>
                </c:pt>
                <c:pt idx="6">
                  <c:v>80.110497237569049</c:v>
                </c:pt>
                <c:pt idx="7">
                  <c:v>67.523809523809518</c:v>
                </c:pt>
                <c:pt idx="8">
                  <c:v>68.84210526315789</c:v>
                </c:pt>
                <c:pt idx="9">
                  <c:v>66.843033509700177</c:v>
                </c:pt>
                <c:pt idx="10">
                  <c:v>80.555555555555557</c:v>
                </c:pt>
                <c:pt idx="11">
                  <c:v>63.761467889908253</c:v>
                </c:pt>
                <c:pt idx="12">
                  <c:v>79.069767441860463</c:v>
                </c:pt>
                <c:pt idx="13">
                  <c:v>71.259842519685037</c:v>
                </c:pt>
                <c:pt idx="14">
                  <c:v>67.952522255192889</c:v>
                </c:pt>
                <c:pt idx="15">
                  <c:v>67.02862783810464</c:v>
                </c:pt>
                <c:pt idx="16">
                  <c:v>67.134502923976612</c:v>
                </c:pt>
                <c:pt idx="17">
                  <c:v>62.773722627737229</c:v>
                </c:pt>
                <c:pt idx="18">
                  <c:v>72.135416666666657</c:v>
                </c:pt>
                <c:pt idx="19">
                  <c:v>59.113924050632917</c:v>
                </c:pt>
              </c:numCache>
            </c:numRef>
          </c:val>
          <c:extLst>
            <c:ext xmlns:c16="http://schemas.microsoft.com/office/drawing/2014/chart" uri="{C3380CC4-5D6E-409C-BE32-E72D297353CC}">
              <c16:uniqueId val="{00000000-7E8E-469A-A4B2-B59C1878E00A}"/>
            </c:ext>
          </c:extLst>
        </c:ser>
        <c:dLbls>
          <c:showLegendKey val="0"/>
          <c:showVal val="0"/>
          <c:showCatName val="0"/>
          <c:showSerName val="0"/>
          <c:showPercent val="0"/>
          <c:showBubbleSize val="0"/>
        </c:dLbls>
        <c:gapWidth val="150"/>
        <c:axId val="376782832"/>
        <c:axId val="376784792"/>
      </c:barChart>
      <c:catAx>
        <c:axId val="376782832"/>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4792"/>
        <c:crosses val="autoZero"/>
        <c:auto val="1"/>
        <c:lblAlgn val="ctr"/>
        <c:lblOffset val="100"/>
        <c:noMultiLvlLbl val="0"/>
      </c:catAx>
      <c:valAx>
        <c:axId val="376784792"/>
        <c:scaling>
          <c:orientation val="minMax"/>
          <c:max val="100"/>
        </c:scaling>
        <c:delete val="0"/>
        <c:axPos val="l"/>
        <c:majorGridlines>
          <c:spPr>
            <a:ln w="9525" cap="flat" cmpd="sng" algn="ctr">
              <a:solidFill>
                <a:schemeClr val="bg1"/>
              </a:solidFill>
              <a:prstDash val="solid"/>
              <a:round/>
            </a:ln>
            <a:effectLst/>
          </c:spPr>
        </c:majorGridlines>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sz="800" b="0"/>
                  <a:t>In percent</a:t>
                </a:r>
              </a:p>
            </c:rich>
          </c:tx>
          <c:layout>
            <c:manualLayout>
              <c:xMode val="edge"/>
              <c:yMode val="edge"/>
              <c:x val="1.2410912657594586E-2"/>
              <c:y val="7.7511692340757554E-2"/>
            </c:manualLayout>
          </c:layout>
          <c:overlay val="0"/>
          <c:spPr>
            <a:noFill/>
            <a:ln>
              <a:noFill/>
            </a:ln>
            <a:effectLst/>
          </c:spPr>
        </c:title>
        <c:numFmt formatCode="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6782832"/>
        <c:crosses val="autoZero"/>
        <c:crossBetween val="between"/>
      </c:valAx>
      <c:spPr>
        <a:solidFill>
          <a:schemeClr val="bg1"/>
        </a:solidFill>
        <a:ln>
          <a:solidFill>
            <a:schemeClr val="bg1">
              <a:lumMod val="65000"/>
            </a:schemeClr>
          </a:solid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000000000000522" l="0.70000000000000062" r="0.70000000000000062" t="0.7500000000000052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latin typeface="+mj-lt"/>
              </a:defRPr>
            </a:pPr>
            <a:r>
              <a:rPr lang="en-US" sz="1000" b="1">
                <a:latin typeface="+mj-lt"/>
              </a:rPr>
              <a:t>Figure 8.36:  Number</a:t>
            </a:r>
            <a:r>
              <a:rPr lang="en-US" sz="1000" b="1" baseline="0">
                <a:latin typeface="+mj-lt"/>
              </a:rPr>
              <a:t> of </a:t>
            </a:r>
            <a:r>
              <a:rPr lang="en-US" sz="1000" b="1">
                <a:latin typeface="+mj-lt"/>
              </a:rPr>
              <a:t>New cases filed at majistrate courts in islands, 2021</a:t>
            </a:r>
          </a:p>
        </c:rich>
      </c:tx>
      <c:layout>
        <c:manualLayout>
          <c:xMode val="edge"/>
          <c:yMode val="edge"/>
          <c:x val="0.16703900186622567"/>
          <c:y val="1.9406387047845156E-2"/>
        </c:manualLayout>
      </c:layout>
      <c:overlay val="0"/>
    </c:title>
    <c:autoTitleDeleted val="0"/>
    <c:plotArea>
      <c:layout>
        <c:manualLayout>
          <c:layoutTarget val="inner"/>
          <c:xMode val="edge"/>
          <c:yMode val="edge"/>
          <c:x val="0.10760247732143857"/>
          <c:y val="0.12385425780110819"/>
          <c:w val="0.87821752550877497"/>
          <c:h val="0.65379166064135663"/>
        </c:manualLayout>
      </c:layout>
      <c:barChart>
        <c:barDir val="col"/>
        <c:grouping val="clustered"/>
        <c:varyColors val="0"/>
        <c:ser>
          <c:idx val="0"/>
          <c:order val="0"/>
          <c:tx>
            <c:strRef>
              <c:f>'8.33'!$BA$4</c:f>
              <c:strCache>
                <c:ptCount val="1"/>
                <c:pt idx="0">
                  <c:v>Criminal Cases </c:v>
                </c:pt>
              </c:strCache>
            </c:strRef>
          </c:tx>
          <c:invertIfNegative val="0"/>
          <c:cat>
            <c:strRef>
              <c:f>'8.33'!$A$14:$A$34</c:f>
              <c:strCache>
                <c:ptCount val="21"/>
                <c:pt idx="0">
                  <c:v>HulhuMale' Court</c:v>
                </c:pt>
                <c:pt idx="1">
                  <c:v>HA</c:v>
                </c:pt>
                <c:pt idx="2">
                  <c:v>HDh</c:v>
                </c:pt>
                <c:pt idx="3">
                  <c:v>Sh</c:v>
                </c:pt>
                <c:pt idx="4">
                  <c:v>N</c:v>
                </c:pt>
                <c:pt idx="5">
                  <c:v>R</c:v>
                </c:pt>
                <c:pt idx="6">
                  <c:v>B</c:v>
                </c:pt>
                <c:pt idx="7">
                  <c:v>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'8.33'!$BA$14:$BA$34</c:f>
              <c:numCache>
                <c:formatCode>#,##0</c:formatCode>
                <c:ptCount val="21"/>
                <c:pt idx="0">
                  <c:v>144</c:v>
                </c:pt>
                <c:pt idx="1">
                  <c:v>40</c:v>
                </c:pt>
                <c:pt idx="2">
                  <c:v>62</c:v>
                </c:pt>
                <c:pt idx="3">
                  <c:v>40</c:v>
                </c:pt>
                <c:pt idx="4">
                  <c:v>59</c:v>
                </c:pt>
                <c:pt idx="5">
                  <c:v>85</c:v>
                </c:pt>
                <c:pt idx="6">
                  <c:v>20</c:v>
                </c:pt>
                <c:pt idx="7">
                  <c:v>81</c:v>
                </c:pt>
                <c:pt idx="8">
                  <c:v>218</c:v>
                </c:pt>
                <c:pt idx="9">
                  <c:v>17</c:v>
                </c:pt>
                <c:pt idx="10">
                  <c:v>28</c:v>
                </c:pt>
                <c:pt idx="11">
                  <c:v>2</c:v>
                </c:pt>
                <c:pt idx="12">
                  <c:v>17</c:v>
                </c:pt>
                <c:pt idx="13">
                  <c:v>12</c:v>
                </c:pt>
                <c:pt idx="14">
                  <c:v>13</c:v>
                </c:pt>
                <c:pt idx="15">
                  <c:v>47</c:v>
                </c:pt>
                <c:pt idx="16">
                  <c:v>77</c:v>
                </c:pt>
                <c:pt idx="17">
                  <c:v>61</c:v>
                </c:pt>
                <c:pt idx="18">
                  <c:v>127</c:v>
                </c:pt>
                <c:pt idx="19">
                  <c:v>83</c:v>
                </c:pt>
                <c:pt idx="20">
                  <c:v>164</c:v>
                </c:pt>
              </c:numCache>
            </c:numRef>
          </c:val>
          <c:extLst>
            <c:ext xmlns:c16="http://schemas.microsoft.com/office/drawing/2014/chart" uri="{C3380CC4-5D6E-409C-BE32-E72D297353CC}">
              <c16:uniqueId val="{00000000-2644-41E5-A013-6B7013B2B8D4}"/>
            </c:ext>
          </c:extLst>
        </c:ser>
        <c:ser>
          <c:idx val="1"/>
          <c:order val="1"/>
          <c:tx>
            <c:strRef>
              <c:f>'8.33'!$BB$4</c:f>
              <c:strCache>
                <c:ptCount val="1"/>
                <c:pt idx="0">
                  <c:v>Civil Cases </c:v>
                </c:pt>
              </c:strCache>
            </c:strRef>
          </c:tx>
          <c:invertIfNegative val="0"/>
          <c:cat>
            <c:strRef>
              <c:f>'8.33'!$A$14:$A$34</c:f>
              <c:strCache>
                <c:ptCount val="21"/>
                <c:pt idx="0">
                  <c:v>HulhuMale' Court</c:v>
                </c:pt>
                <c:pt idx="1">
                  <c:v>HA</c:v>
                </c:pt>
                <c:pt idx="2">
                  <c:v>HDh</c:v>
                </c:pt>
                <c:pt idx="3">
                  <c:v>Sh</c:v>
                </c:pt>
                <c:pt idx="4">
                  <c:v>N</c:v>
                </c:pt>
                <c:pt idx="5">
                  <c:v>R</c:v>
                </c:pt>
                <c:pt idx="6">
                  <c:v>B</c:v>
                </c:pt>
                <c:pt idx="7">
                  <c:v>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'8.33'!$BB$14:$BB$34</c:f>
              <c:numCache>
                <c:formatCode>#,##0</c:formatCode>
                <c:ptCount val="21"/>
                <c:pt idx="0">
                  <c:v>0</c:v>
                </c:pt>
                <c:pt idx="1">
                  <c:v>87</c:v>
                </c:pt>
                <c:pt idx="2">
                  <c:v>105</c:v>
                </c:pt>
                <c:pt idx="3">
                  <c:v>84</c:v>
                </c:pt>
                <c:pt idx="4">
                  <c:v>67</c:v>
                </c:pt>
                <c:pt idx="5">
                  <c:v>141</c:v>
                </c:pt>
                <c:pt idx="6">
                  <c:v>102</c:v>
                </c:pt>
                <c:pt idx="7">
                  <c:v>101</c:v>
                </c:pt>
                <c:pt idx="8">
                  <c:v>104</c:v>
                </c:pt>
                <c:pt idx="9">
                  <c:v>81</c:v>
                </c:pt>
                <c:pt idx="10">
                  <c:v>61</c:v>
                </c:pt>
                <c:pt idx="11">
                  <c:v>9</c:v>
                </c:pt>
                <c:pt idx="12">
                  <c:v>16</c:v>
                </c:pt>
                <c:pt idx="13">
                  <c:v>45</c:v>
                </c:pt>
                <c:pt idx="14">
                  <c:v>29</c:v>
                </c:pt>
                <c:pt idx="15">
                  <c:v>127</c:v>
                </c:pt>
                <c:pt idx="16">
                  <c:v>132</c:v>
                </c:pt>
                <c:pt idx="17">
                  <c:v>119</c:v>
                </c:pt>
                <c:pt idx="18">
                  <c:v>106</c:v>
                </c:pt>
                <c:pt idx="19">
                  <c:v>103</c:v>
                </c:pt>
                <c:pt idx="20">
                  <c:v>251</c:v>
                </c:pt>
              </c:numCache>
            </c:numRef>
          </c:val>
          <c:extLst>
            <c:ext xmlns:c16="http://schemas.microsoft.com/office/drawing/2014/chart" uri="{C3380CC4-5D6E-409C-BE32-E72D297353CC}">
              <c16:uniqueId val="{00000001-2644-41E5-A013-6B7013B2B8D4}"/>
            </c:ext>
          </c:extLst>
        </c:ser>
        <c:ser>
          <c:idx val="2"/>
          <c:order val="2"/>
          <c:tx>
            <c:strRef>
              <c:f>'8.33'!$BC$4</c:f>
              <c:strCache>
                <c:ptCount val="1"/>
                <c:pt idx="0">
                  <c:v>Family Cases</c:v>
                </c:pt>
              </c:strCache>
            </c:strRef>
          </c:tx>
          <c:invertIfNegative val="0"/>
          <c:cat>
            <c:strRef>
              <c:f>'8.33'!$A$14:$A$34</c:f>
              <c:strCache>
                <c:ptCount val="21"/>
                <c:pt idx="0">
                  <c:v>HulhuMale' Court</c:v>
                </c:pt>
                <c:pt idx="1">
                  <c:v>HA</c:v>
                </c:pt>
                <c:pt idx="2">
                  <c:v>HDh</c:v>
                </c:pt>
                <c:pt idx="3">
                  <c:v>Sh</c:v>
                </c:pt>
                <c:pt idx="4">
                  <c:v>N</c:v>
                </c:pt>
                <c:pt idx="5">
                  <c:v>R</c:v>
                </c:pt>
                <c:pt idx="6">
                  <c:v>B</c:v>
                </c:pt>
                <c:pt idx="7">
                  <c:v>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'8.33'!$BC$14:$BC$34</c:f>
              <c:numCache>
                <c:formatCode>#,##0</c:formatCode>
                <c:ptCount val="21"/>
                <c:pt idx="0">
                  <c:v>495</c:v>
                </c:pt>
                <c:pt idx="1">
                  <c:v>275</c:v>
                </c:pt>
                <c:pt idx="2">
                  <c:v>460</c:v>
                </c:pt>
                <c:pt idx="3">
                  <c:v>336</c:v>
                </c:pt>
                <c:pt idx="4">
                  <c:v>341</c:v>
                </c:pt>
                <c:pt idx="5">
                  <c:v>424</c:v>
                </c:pt>
                <c:pt idx="6">
                  <c:v>220</c:v>
                </c:pt>
                <c:pt idx="7">
                  <c:v>285</c:v>
                </c:pt>
                <c:pt idx="8">
                  <c:v>363</c:v>
                </c:pt>
                <c:pt idx="9">
                  <c:v>201</c:v>
                </c:pt>
                <c:pt idx="10">
                  <c:v>266</c:v>
                </c:pt>
                <c:pt idx="11">
                  <c:v>42</c:v>
                </c:pt>
                <c:pt idx="12">
                  <c:v>123</c:v>
                </c:pt>
                <c:pt idx="13">
                  <c:v>110</c:v>
                </c:pt>
                <c:pt idx="14">
                  <c:v>134</c:v>
                </c:pt>
                <c:pt idx="15">
                  <c:v>272</c:v>
                </c:pt>
                <c:pt idx="16">
                  <c:v>496</c:v>
                </c:pt>
                <c:pt idx="17">
                  <c:v>321</c:v>
                </c:pt>
                <c:pt idx="18">
                  <c:v>424</c:v>
                </c:pt>
                <c:pt idx="19">
                  <c:v>329</c:v>
                </c:pt>
                <c:pt idx="20">
                  <c:v>659</c:v>
                </c:pt>
              </c:numCache>
            </c:numRef>
          </c:val>
          <c:extLst>
            <c:ext xmlns:c16="http://schemas.microsoft.com/office/drawing/2014/chart" uri="{C3380CC4-5D6E-409C-BE32-E72D297353CC}">
              <c16:uniqueId val="{00000002-2644-41E5-A013-6B7013B2B8D4}"/>
            </c:ext>
          </c:extLst>
        </c:ser>
        <c:ser>
          <c:idx val="3"/>
          <c:order val="3"/>
          <c:tx>
            <c:strRef>
              <c:f>'8.33'!$BD$4</c:f>
              <c:strCache>
                <c:ptCount val="1"/>
                <c:pt idx="0">
                  <c:v>Marriage</c:v>
                </c:pt>
              </c:strCache>
            </c:strRef>
          </c:tx>
          <c:invertIfNegative val="0"/>
          <c:cat>
            <c:strRef>
              <c:f>'8.33'!$A$14:$A$34</c:f>
              <c:strCache>
                <c:ptCount val="21"/>
                <c:pt idx="0">
                  <c:v>HulhuMale' Court</c:v>
                </c:pt>
                <c:pt idx="1">
                  <c:v>HA</c:v>
                </c:pt>
                <c:pt idx="2">
                  <c:v>HDh</c:v>
                </c:pt>
                <c:pt idx="3">
                  <c:v>Sh</c:v>
                </c:pt>
                <c:pt idx="4">
                  <c:v>N</c:v>
                </c:pt>
                <c:pt idx="5">
                  <c:v>R</c:v>
                </c:pt>
                <c:pt idx="6">
                  <c:v>B</c:v>
                </c:pt>
                <c:pt idx="7">
                  <c:v>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'8.33'!$BD$14:$BD$34</c:f>
              <c:numCache>
                <c:formatCode>#,##0</c:formatCode>
                <c:ptCount val="21"/>
                <c:pt idx="0">
                  <c:v>330</c:v>
                </c:pt>
                <c:pt idx="1">
                  <c:v>121</c:v>
                </c:pt>
                <c:pt idx="2">
                  <c:v>242</c:v>
                </c:pt>
                <c:pt idx="3">
                  <c:v>141</c:v>
                </c:pt>
                <c:pt idx="4">
                  <c:v>146</c:v>
                </c:pt>
                <c:pt idx="5">
                  <c:v>212</c:v>
                </c:pt>
                <c:pt idx="6">
                  <c:v>107</c:v>
                </c:pt>
                <c:pt idx="7">
                  <c:v>131</c:v>
                </c:pt>
                <c:pt idx="8">
                  <c:v>186</c:v>
                </c:pt>
                <c:pt idx="9">
                  <c:v>98</c:v>
                </c:pt>
                <c:pt idx="10">
                  <c:v>110</c:v>
                </c:pt>
                <c:pt idx="11">
                  <c:v>14</c:v>
                </c:pt>
                <c:pt idx="12">
                  <c:v>45</c:v>
                </c:pt>
                <c:pt idx="13">
                  <c:v>55</c:v>
                </c:pt>
                <c:pt idx="14">
                  <c:v>60</c:v>
                </c:pt>
                <c:pt idx="15">
                  <c:v>122</c:v>
                </c:pt>
                <c:pt idx="16">
                  <c:v>224</c:v>
                </c:pt>
                <c:pt idx="17">
                  <c:v>108</c:v>
                </c:pt>
                <c:pt idx="18">
                  <c:v>137</c:v>
                </c:pt>
                <c:pt idx="19">
                  <c:v>143</c:v>
                </c:pt>
                <c:pt idx="20">
                  <c:v>286</c:v>
                </c:pt>
              </c:numCache>
            </c:numRef>
          </c:val>
          <c:extLst>
            <c:ext xmlns:c16="http://schemas.microsoft.com/office/drawing/2014/chart" uri="{C3380CC4-5D6E-409C-BE32-E72D297353CC}">
              <c16:uniqueId val="{00000000-9BD9-445E-BE7C-61F0751D0161}"/>
            </c:ext>
          </c:extLst>
        </c:ser>
        <c:ser>
          <c:idx val="4"/>
          <c:order val="4"/>
          <c:tx>
            <c:strRef>
              <c:f>'8.33'!$BE$4</c:f>
              <c:strCache>
                <c:ptCount val="1"/>
                <c:pt idx="0">
                  <c:v>Divorce</c:v>
                </c:pt>
              </c:strCache>
            </c:strRef>
          </c:tx>
          <c:invertIfNegative val="0"/>
          <c:cat>
            <c:strRef>
              <c:f>'8.33'!$A$14:$A$34</c:f>
              <c:strCache>
                <c:ptCount val="21"/>
                <c:pt idx="0">
                  <c:v>HulhuMale' Court</c:v>
                </c:pt>
                <c:pt idx="1">
                  <c:v>HA</c:v>
                </c:pt>
                <c:pt idx="2">
                  <c:v>HDh</c:v>
                </c:pt>
                <c:pt idx="3">
                  <c:v>Sh</c:v>
                </c:pt>
                <c:pt idx="4">
                  <c:v>N</c:v>
                </c:pt>
                <c:pt idx="5">
                  <c:v>R</c:v>
                </c:pt>
                <c:pt idx="6">
                  <c:v>B</c:v>
                </c:pt>
                <c:pt idx="7">
                  <c:v>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'8.33'!$BE$14:$BE$34</c:f>
              <c:numCache>
                <c:formatCode>#,##0</c:formatCode>
                <c:ptCount val="21"/>
                <c:pt idx="0">
                  <c:v>247</c:v>
                </c:pt>
                <c:pt idx="1">
                  <c:v>82</c:v>
                </c:pt>
                <c:pt idx="2">
                  <c:v>158</c:v>
                </c:pt>
                <c:pt idx="3">
                  <c:v>99</c:v>
                </c:pt>
                <c:pt idx="4">
                  <c:v>133</c:v>
                </c:pt>
                <c:pt idx="5">
                  <c:v>128</c:v>
                </c:pt>
                <c:pt idx="6">
                  <c:v>59</c:v>
                </c:pt>
                <c:pt idx="7">
                  <c:v>75</c:v>
                </c:pt>
                <c:pt idx="8">
                  <c:v>120</c:v>
                </c:pt>
                <c:pt idx="9">
                  <c:v>55</c:v>
                </c:pt>
                <c:pt idx="10">
                  <c:v>83</c:v>
                </c:pt>
                <c:pt idx="11">
                  <c:v>10</c:v>
                </c:pt>
                <c:pt idx="12">
                  <c:v>29</c:v>
                </c:pt>
                <c:pt idx="13">
                  <c:v>23</c:v>
                </c:pt>
                <c:pt idx="14">
                  <c:v>41</c:v>
                </c:pt>
                <c:pt idx="15">
                  <c:v>76</c:v>
                </c:pt>
                <c:pt idx="16">
                  <c:v>162</c:v>
                </c:pt>
                <c:pt idx="17">
                  <c:v>73</c:v>
                </c:pt>
                <c:pt idx="18">
                  <c:v>117</c:v>
                </c:pt>
                <c:pt idx="19">
                  <c:v>101</c:v>
                </c:pt>
                <c:pt idx="20">
                  <c:v>180</c:v>
                </c:pt>
              </c:numCache>
            </c:numRef>
          </c:val>
          <c:extLst>
            <c:ext xmlns:c16="http://schemas.microsoft.com/office/drawing/2014/chart" uri="{C3380CC4-5D6E-409C-BE32-E72D297353CC}">
              <c16:uniqueId val="{00000001-9BD9-445E-BE7C-61F0751D0161}"/>
            </c:ext>
          </c:extLst>
        </c:ser>
        <c:dLbls>
          <c:showLegendKey val="0"/>
          <c:showVal val="0"/>
          <c:showCatName val="0"/>
          <c:showSerName val="0"/>
          <c:showPercent val="0"/>
          <c:showBubbleSize val="0"/>
        </c:dLbls>
        <c:gapWidth val="76"/>
        <c:axId val="378152656"/>
        <c:axId val="378155008"/>
      </c:barChart>
      <c:catAx>
        <c:axId val="378152656"/>
        <c:scaling>
          <c:orientation val="minMax"/>
        </c:scaling>
        <c:delete val="0"/>
        <c:axPos val="b"/>
        <c:numFmt formatCode="General" sourceLinked="1"/>
        <c:majorTickMark val="out"/>
        <c:minorTickMark val="none"/>
        <c:tickLblPos val="nextTo"/>
        <c:txPr>
          <a:bodyPr rot="-5400000" vert="horz"/>
          <a:lstStyle/>
          <a:p>
            <a:pPr>
              <a:defRPr sz="800"/>
            </a:pPr>
            <a:endParaRPr lang="en-US"/>
          </a:p>
        </c:txPr>
        <c:crossAx val="378155008"/>
        <c:crosses val="autoZero"/>
        <c:auto val="1"/>
        <c:lblAlgn val="ctr"/>
        <c:lblOffset val="100"/>
        <c:noMultiLvlLbl val="0"/>
      </c:catAx>
      <c:valAx>
        <c:axId val="378155008"/>
        <c:scaling>
          <c:orientation val="minMax"/>
          <c:max val="850"/>
          <c:min val="0"/>
        </c:scaling>
        <c:delete val="0"/>
        <c:axPos val="l"/>
        <c:majorGridlines>
          <c:spPr>
            <a:ln>
              <a:solidFill>
                <a:schemeClr val="bg1"/>
              </a:solidFill>
            </a:ln>
          </c:spPr>
        </c:majorGridlines>
        <c:title>
          <c:tx>
            <c:rich>
              <a:bodyPr rot="-5400000" vert="horz"/>
              <a:lstStyle/>
              <a:p>
                <a:pPr>
                  <a:defRPr/>
                </a:pPr>
                <a:r>
                  <a:rPr lang="en-US"/>
                  <a:t>In</a:t>
                </a:r>
                <a:r>
                  <a:rPr lang="en-US" baseline="0"/>
                  <a:t> numbers</a:t>
                </a:r>
                <a:endParaRPr lang="en-US"/>
              </a:p>
            </c:rich>
          </c:tx>
          <c:layout>
            <c:manualLayout>
              <c:xMode val="edge"/>
              <c:yMode val="edge"/>
              <c:x val="1.2598429362739381E-2"/>
              <c:y val="0.32659412365121032"/>
            </c:manualLayout>
          </c:layout>
          <c:overlay val="0"/>
        </c:title>
        <c:numFmt formatCode="#,##0" sourceLinked="1"/>
        <c:majorTickMark val="out"/>
        <c:minorTickMark val="none"/>
        <c:tickLblPos val="nextTo"/>
        <c:crossAx val="378152656"/>
        <c:crosses val="autoZero"/>
        <c:crossBetween val="between"/>
      </c:valAx>
      <c:spPr>
        <a:ln>
          <a:solidFill>
            <a:schemeClr val="bg1">
              <a:lumMod val="65000"/>
            </a:schemeClr>
          </a:solidFill>
        </a:ln>
      </c:spPr>
    </c:plotArea>
    <c:legend>
      <c:legendPos val="b"/>
      <c:layout>
        <c:manualLayout>
          <c:xMode val="edge"/>
          <c:yMode val="edge"/>
          <c:x val="0.12865329734637981"/>
          <c:y val="0.17521096633451252"/>
          <c:w val="0.746804711775226"/>
          <c:h val="8.7994746056189455E-2"/>
        </c:manualLayout>
      </c:layout>
      <c:overlay val="0"/>
    </c:legend>
    <c:plotVisOnly val="1"/>
    <c:dispBlanksAs val="gap"/>
    <c:showDLblsOverMax val="0"/>
  </c:chart>
  <c:printSettings>
    <c:headerFooter/>
    <c:pageMargins b="0.75000000000000444" l="0.70000000000000062" r="0.70000000000000062" t="0.75000000000000444"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mn-lt"/>
              </a:defRPr>
            </a:pPr>
            <a:r>
              <a:rPr lang="en-US" sz="1000">
                <a:latin typeface="+mn-lt"/>
              </a:rPr>
              <a:t>Figure</a:t>
            </a:r>
            <a:r>
              <a:rPr lang="en-US" sz="1000" baseline="0">
                <a:latin typeface="+mn-lt"/>
              </a:rPr>
              <a:t> 8.37: </a:t>
            </a:r>
            <a:r>
              <a:rPr lang="en-US" sz="1000">
                <a:latin typeface="+mn-lt"/>
              </a:rPr>
              <a:t>Number of Marriage</a:t>
            </a:r>
            <a:r>
              <a:rPr lang="en-US" sz="1000" baseline="0">
                <a:latin typeface="+mn-lt"/>
              </a:rPr>
              <a:t> and Divorce  by locality, 2021</a:t>
            </a:r>
            <a:endParaRPr lang="en-US" sz="1000">
              <a:latin typeface="+mn-lt"/>
            </a:endParaRPr>
          </a:p>
        </c:rich>
      </c:tx>
      <c:layout>
        <c:manualLayout>
          <c:xMode val="edge"/>
          <c:yMode val="edge"/>
          <c:x val="0.18525723307037212"/>
          <c:y val="3.0672644021687071E-2"/>
        </c:manualLayout>
      </c:layout>
      <c:overlay val="0"/>
    </c:title>
    <c:autoTitleDeleted val="0"/>
    <c:plotArea>
      <c:layout>
        <c:manualLayout>
          <c:layoutTarget val="inner"/>
          <c:xMode val="edge"/>
          <c:yMode val="edge"/>
          <c:x val="0.13065235560638719"/>
          <c:y val="0.14850721784777027"/>
          <c:w val="0.85138745924915815"/>
          <c:h val="0.68142115447247931"/>
        </c:manualLayout>
      </c:layout>
      <c:barChart>
        <c:barDir val="col"/>
        <c:grouping val="clustered"/>
        <c:varyColors val="0"/>
        <c:ser>
          <c:idx val="0"/>
          <c:order val="0"/>
          <c:spPr>
            <a:solidFill>
              <a:srgbClr val="C00000"/>
            </a:solidFill>
          </c:spPr>
          <c:invertIfNegative val="0"/>
          <c:dPt>
            <c:idx val="0"/>
            <c:invertIfNegative val="0"/>
            <c:bubble3D val="0"/>
            <c:spPr>
              <a:solidFill>
                <a:srgbClr val="C00000"/>
              </a:solidFill>
            </c:spPr>
            <c:extLst>
              <c:ext xmlns:c16="http://schemas.microsoft.com/office/drawing/2014/chart" uri="{C3380CC4-5D6E-409C-BE32-E72D297353CC}">
                <c16:uniqueId val="{00000005-4ADC-4D3A-836E-A094B78865B0}"/>
              </c:ext>
            </c:extLst>
          </c:dPt>
          <c:dPt>
            <c:idx val="1"/>
            <c:invertIfNegative val="0"/>
            <c:bubble3D val="0"/>
            <c:spPr>
              <a:solidFill>
                <a:srgbClr val="FFE5E5"/>
              </a:solidFill>
            </c:spPr>
            <c:extLst>
              <c:ext xmlns:c16="http://schemas.microsoft.com/office/drawing/2014/chart" uri="{C3380CC4-5D6E-409C-BE32-E72D297353CC}">
                <c16:uniqueId val="{00000009-4ADC-4D3A-836E-A094B78865B0}"/>
              </c:ext>
            </c:extLst>
          </c:dPt>
          <c:dPt>
            <c:idx val="2"/>
            <c:invertIfNegative val="0"/>
            <c:bubble3D val="0"/>
            <c:spPr>
              <a:solidFill>
                <a:srgbClr val="C00000"/>
              </a:solidFill>
            </c:spPr>
            <c:extLst>
              <c:ext xmlns:c16="http://schemas.microsoft.com/office/drawing/2014/chart" uri="{C3380CC4-5D6E-409C-BE32-E72D297353CC}">
                <c16:uniqueId val="{00000006-4ADC-4D3A-836E-A094B78865B0}"/>
              </c:ext>
            </c:extLst>
          </c:dPt>
          <c:dPt>
            <c:idx val="3"/>
            <c:invertIfNegative val="0"/>
            <c:bubble3D val="0"/>
            <c:spPr>
              <a:solidFill>
                <a:srgbClr val="FFE5E5"/>
              </a:solidFill>
            </c:spPr>
            <c:extLst>
              <c:ext xmlns:c16="http://schemas.microsoft.com/office/drawing/2014/chart" uri="{C3380CC4-5D6E-409C-BE32-E72D297353CC}">
                <c16:uniqueId val="{0000000A-4ADC-4D3A-836E-A094B78865B0}"/>
              </c:ext>
            </c:extLst>
          </c:dPt>
          <c:dPt>
            <c:idx val="4"/>
            <c:invertIfNegative val="0"/>
            <c:bubble3D val="0"/>
            <c:spPr>
              <a:solidFill>
                <a:srgbClr val="C00000"/>
              </a:solidFill>
            </c:spPr>
            <c:extLst>
              <c:ext xmlns:c16="http://schemas.microsoft.com/office/drawing/2014/chart" uri="{C3380CC4-5D6E-409C-BE32-E72D297353CC}">
                <c16:uniqueId val="{00000007-4ADC-4D3A-836E-A094B78865B0}"/>
              </c:ext>
            </c:extLst>
          </c:dPt>
          <c:dPt>
            <c:idx val="5"/>
            <c:invertIfNegative val="0"/>
            <c:bubble3D val="0"/>
            <c:spPr>
              <a:solidFill>
                <a:srgbClr val="FFE5E5"/>
              </a:solidFill>
            </c:spPr>
            <c:extLst>
              <c:ext xmlns:c16="http://schemas.microsoft.com/office/drawing/2014/chart" uri="{C3380CC4-5D6E-409C-BE32-E72D297353CC}">
                <c16:uniqueId val="{0000000B-4ADC-4D3A-836E-A094B78865B0}"/>
              </c:ext>
            </c:extLst>
          </c:dPt>
          <c:cat>
            <c:multiLvlStrRef>
              <c:f>'8.33'!$BW$45:$CB$46</c:f>
              <c:multiLvlStrCache>
                <c:ptCount val="6"/>
                <c:lvl>
                  <c:pt idx="0">
                    <c:v>Marriage       </c:v>
                  </c:pt>
                  <c:pt idx="1">
                    <c:v> Divorce              </c:v>
                  </c:pt>
                  <c:pt idx="2">
                    <c:v>Marriage       </c:v>
                  </c:pt>
                  <c:pt idx="3">
                    <c:v> Divorce              </c:v>
                  </c:pt>
                  <c:pt idx="4">
                    <c:v>Marriage       </c:v>
                  </c:pt>
                  <c:pt idx="5">
                    <c:v> Divorce              </c:v>
                  </c:pt>
                </c:lvl>
                <c:lvl>
                  <c:pt idx="0">
                    <c:v>Republic</c:v>
                  </c:pt>
                  <c:pt idx="2">
                    <c:v> Male'</c:v>
                  </c:pt>
                  <c:pt idx="4">
                    <c:v> Atolls</c:v>
                  </c:pt>
                </c:lvl>
              </c:multiLvlStrCache>
            </c:multiLvlStrRef>
          </c:cat>
          <c:val>
            <c:numRef>
              <c:f>'8.33'!$BW$52:$CB$52</c:f>
              <c:numCache>
                <c:formatCode>General_)</c:formatCode>
                <c:ptCount val="6"/>
                <c:pt idx="0">
                  <c:v>4998</c:v>
                </c:pt>
                <c:pt idx="1">
                  <c:v>2982</c:v>
                </c:pt>
                <c:pt idx="2">
                  <c:v>1995</c:v>
                </c:pt>
                <c:pt idx="3">
                  <c:v>928</c:v>
                </c:pt>
                <c:pt idx="4">
                  <c:v>3003</c:v>
                </c:pt>
                <c:pt idx="5">
                  <c:v>2054</c:v>
                </c:pt>
              </c:numCache>
            </c:numRef>
          </c:val>
          <c:extLst>
            <c:ext xmlns:c16="http://schemas.microsoft.com/office/drawing/2014/chart" uri="{C3380CC4-5D6E-409C-BE32-E72D297353CC}">
              <c16:uniqueId val="{00000000-AB09-4464-9E5B-AD0BFBE9C9C7}"/>
            </c:ext>
          </c:extLst>
        </c:ser>
        <c:dLbls>
          <c:showLegendKey val="0"/>
          <c:showVal val="0"/>
          <c:showCatName val="0"/>
          <c:showSerName val="0"/>
          <c:showPercent val="0"/>
          <c:showBubbleSize val="0"/>
        </c:dLbls>
        <c:gapWidth val="150"/>
        <c:axId val="378153440"/>
        <c:axId val="378156184"/>
      </c:barChart>
      <c:catAx>
        <c:axId val="378153440"/>
        <c:scaling>
          <c:orientation val="minMax"/>
        </c:scaling>
        <c:delete val="0"/>
        <c:axPos val="b"/>
        <c:numFmt formatCode="General" sourceLinked="0"/>
        <c:majorTickMark val="none"/>
        <c:minorTickMark val="none"/>
        <c:tickLblPos val="nextTo"/>
        <c:crossAx val="378156184"/>
        <c:crosses val="autoZero"/>
        <c:auto val="1"/>
        <c:lblAlgn val="ctr"/>
        <c:lblOffset val="100"/>
        <c:noMultiLvlLbl val="0"/>
      </c:catAx>
      <c:valAx>
        <c:axId val="378156184"/>
        <c:scaling>
          <c:orientation val="minMax"/>
        </c:scaling>
        <c:delete val="0"/>
        <c:axPos val="l"/>
        <c:majorGridlines>
          <c:spPr>
            <a:ln>
              <a:solidFill>
                <a:schemeClr val="bg1"/>
              </a:solidFill>
            </a:ln>
          </c:spPr>
        </c:majorGridlines>
        <c:title>
          <c:tx>
            <c:rich>
              <a:bodyPr/>
              <a:lstStyle/>
              <a:p>
                <a:pPr>
                  <a:defRPr/>
                </a:pPr>
                <a:r>
                  <a:rPr lang="en-US"/>
                  <a:t>NUmber</a:t>
                </a:r>
              </a:p>
            </c:rich>
          </c:tx>
          <c:layout>
            <c:manualLayout>
              <c:xMode val="edge"/>
              <c:yMode val="edge"/>
              <c:x val="6.3391442155309114E-3"/>
              <c:y val="0.34470107903178765"/>
            </c:manualLayout>
          </c:layout>
          <c:overlay val="0"/>
        </c:title>
        <c:numFmt formatCode="#,##0" sourceLinked="0"/>
        <c:majorTickMark val="out"/>
        <c:minorTickMark val="none"/>
        <c:tickLblPos val="nextTo"/>
        <c:crossAx val="378153440"/>
        <c:crosses val="autoZero"/>
        <c:crossBetween val="between"/>
      </c:valAx>
      <c:spPr>
        <a:noFill/>
        <a:ln>
          <a:solidFill>
            <a:schemeClr val="bg1">
              <a:lumMod val="65000"/>
            </a:schemeClr>
          </a:solidFill>
        </a:ln>
      </c:spPr>
    </c:plotArea>
    <c:plotVisOnly val="1"/>
    <c:dispBlanksAs val="gap"/>
    <c:showDLblsOverMax val="0"/>
  </c:chart>
  <c:printSettings>
    <c:headerFooter/>
    <c:pageMargins b="0.75000000000000311" l="0.70000000000000062" r="0.70000000000000062" t="0.75000000000000311" header="0.30000000000000032" footer="0.30000000000000032"/>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US" sz="1000"/>
              <a:t>Figure 8.39: Number of </a:t>
            </a:r>
            <a:r>
              <a:rPr lang="en-US" sz="1000" b="1" i="0" u="none" strike="noStrike" kern="1200" baseline="0">
                <a:solidFill>
                  <a:sysClr val="windowText" lastClr="000000"/>
                </a:solidFill>
              </a:rPr>
              <a:t>Divorce </a:t>
            </a:r>
            <a:r>
              <a:rPr lang="en-US" sz="1000"/>
              <a:t>by locality, 2015 - 2021</a:t>
            </a:r>
          </a:p>
        </c:rich>
      </c:tx>
      <c:layout>
        <c:manualLayout>
          <c:xMode val="edge"/>
          <c:yMode val="edge"/>
          <c:x val="0.16385114416268221"/>
          <c:y val="1.9073979832488756E-2"/>
        </c:manualLayout>
      </c:layout>
      <c:overlay val="0"/>
    </c:title>
    <c:autoTitleDeleted val="0"/>
    <c:plotArea>
      <c:layout>
        <c:manualLayout>
          <c:layoutTarget val="inner"/>
          <c:xMode val="edge"/>
          <c:yMode val="edge"/>
          <c:x val="0.13103604389612442"/>
          <c:y val="0.16988572304750565"/>
          <c:w val="0.8508402371872984"/>
          <c:h val="0.68129014800984922"/>
        </c:manualLayout>
      </c:layout>
      <c:barChart>
        <c:barDir val="col"/>
        <c:grouping val="clustered"/>
        <c:varyColors val="0"/>
        <c:ser>
          <c:idx val="0"/>
          <c:order val="0"/>
          <c:tx>
            <c:strRef>
              <c:f>'8.33'!$BT$30</c:f>
              <c:strCache>
                <c:ptCount val="1"/>
                <c:pt idx="0">
                  <c:v>Republic</c:v>
                </c:pt>
              </c:strCache>
            </c:strRef>
          </c:tx>
          <c:spPr>
            <a:solidFill>
              <a:srgbClr val="C00000"/>
            </a:solidFill>
          </c:spPr>
          <c:invertIfNegative val="0"/>
          <c:cat>
            <c:numRef>
              <c:f>'8.33'!$BU$29:$BZ$29</c:f>
              <c:numCache>
                <c:formatCode>General_)</c:formatCode>
                <c:ptCount val="6"/>
                <c:pt idx="0">
                  <c:v>2015</c:v>
                </c:pt>
                <c:pt idx="1">
                  <c:v>2016</c:v>
                </c:pt>
                <c:pt idx="2">
                  <c:v>2017</c:v>
                </c:pt>
                <c:pt idx="3">
                  <c:v>2018</c:v>
                </c:pt>
                <c:pt idx="4">
                  <c:v>2019</c:v>
                </c:pt>
                <c:pt idx="5">
                  <c:v>2020</c:v>
                </c:pt>
              </c:numCache>
            </c:numRef>
          </c:cat>
          <c:val>
            <c:numRef>
              <c:f>'8.33'!$BU$30:$BZ$30</c:f>
              <c:numCache>
                <c:formatCode>General_)</c:formatCode>
                <c:ptCount val="6"/>
                <c:pt idx="0">
                  <c:v>3358</c:v>
                </c:pt>
                <c:pt idx="1">
                  <c:v>3417</c:v>
                </c:pt>
                <c:pt idx="2">
                  <c:v>3211</c:v>
                </c:pt>
                <c:pt idx="3">
                  <c:v>3109</c:v>
                </c:pt>
                <c:pt idx="4">
                  <c:v>3550</c:v>
                </c:pt>
                <c:pt idx="5">
                  <c:v>2982</c:v>
                </c:pt>
              </c:numCache>
            </c:numRef>
          </c:val>
          <c:extLst>
            <c:ext xmlns:c16="http://schemas.microsoft.com/office/drawing/2014/chart" uri="{C3380CC4-5D6E-409C-BE32-E72D297353CC}">
              <c16:uniqueId val="{00000000-7269-400D-860F-E32B41FA0727}"/>
            </c:ext>
          </c:extLst>
        </c:ser>
        <c:ser>
          <c:idx val="1"/>
          <c:order val="1"/>
          <c:tx>
            <c:strRef>
              <c:f>'8.33'!$BT$31</c:f>
              <c:strCache>
                <c:ptCount val="1"/>
                <c:pt idx="0">
                  <c:v> Male'</c:v>
                </c:pt>
              </c:strCache>
            </c:strRef>
          </c:tx>
          <c:spPr>
            <a:solidFill>
              <a:srgbClr val="FF8B8B"/>
            </a:solidFill>
          </c:spPr>
          <c:invertIfNegative val="0"/>
          <c:cat>
            <c:numRef>
              <c:f>'8.33'!$BU$29:$BZ$29</c:f>
              <c:numCache>
                <c:formatCode>General_)</c:formatCode>
                <c:ptCount val="6"/>
                <c:pt idx="0">
                  <c:v>2015</c:v>
                </c:pt>
                <c:pt idx="1">
                  <c:v>2016</c:v>
                </c:pt>
                <c:pt idx="2">
                  <c:v>2017</c:v>
                </c:pt>
                <c:pt idx="3">
                  <c:v>2018</c:v>
                </c:pt>
                <c:pt idx="4">
                  <c:v>2019</c:v>
                </c:pt>
                <c:pt idx="5">
                  <c:v>2020</c:v>
                </c:pt>
              </c:numCache>
            </c:numRef>
          </c:cat>
          <c:val>
            <c:numRef>
              <c:f>'8.33'!$BU$31:$BZ$31</c:f>
              <c:numCache>
                <c:formatCode>General_)</c:formatCode>
                <c:ptCount val="6"/>
                <c:pt idx="0">
                  <c:v>1288</c:v>
                </c:pt>
                <c:pt idx="1">
                  <c:v>1341</c:v>
                </c:pt>
                <c:pt idx="2">
                  <c:v>1248</c:v>
                </c:pt>
                <c:pt idx="3">
                  <c:v>1156</c:v>
                </c:pt>
                <c:pt idx="4">
                  <c:v>1260</c:v>
                </c:pt>
                <c:pt idx="5">
                  <c:v>928</c:v>
                </c:pt>
              </c:numCache>
            </c:numRef>
          </c:val>
          <c:extLst>
            <c:ext xmlns:c16="http://schemas.microsoft.com/office/drawing/2014/chart" uri="{C3380CC4-5D6E-409C-BE32-E72D297353CC}">
              <c16:uniqueId val="{00000001-7269-400D-860F-E32B41FA0727}"/>
            </c:ext>
          </c:extLst>
        </c:ser>
        <c:ser>
          <c:idx val="2"/>
          <c:order val="2"/>
          <c:tx>
            <c:strRef>
              <c:f>'8.33'!$BT$32</c:f>
              <c:strCache>
                <c:ptCount val="1"/>
                <c:pt idx="0">
                  <c:v> Atolls</c:v>
                </c:pt>
              </c:strCache>
            </c:strRef>
          </c:tx>
          <c:spPr>
            <a:solidFill>
              <a:srgbClr val="FFE5E5"/>
            </a:solidFill>
          </c:spPr>
          <c:invertIfNegative val="0"/>
          <c:cat>
            <c:numRef>
              <c:f>'8.33'!$BU$29:$BZ$29</c:f>
              <c:numCache>
                <c:formatCode>General_)</c:formatCode>
                <c:ptCount val="6"/>
                <c:pt idx="0">
                  <c:v>2015</c:v>
                </c:pt>
                <c:pt idx="1">
                  <c:v>2016</c:v>
                </c:pt>
                <c:pt idx="2">
                  <c:v>2017</c:v>
                </c:pt>
                <c:pt idx="3">
                  <c:v>2018</c:v>
                </c:pt>
                <c:pt idx="4">
                  <c:v>2019</c:v>
                </c:pt>
                <c:pt idx="5">
                  <c:v>2020</c:v>
                </c:pt>
              </c:numCache>
            </c:numRef>
          </c:cat>
          <c:val>
            <c:numRef>
              <c:f>'8.33'!$BU$32:$BZ$32</c:f>
              <c:numCache>
                <c:formatCode>General_)</c:formatCode>
                <c:ptCount val="6"/>
                <c:pt idx="0">
                  <c:v>2070</c:v>
                </c:pt>
                <c:pt idx="1">
                  <c:v>2076</c:v>
                </c:pt>
                <c:pt idx="2">
                  <c:v>1963</c:v>
                </c:pt>
                <c:pt idx="3">
                  <c:v>1953</c:v>
                </c:pt>
                <c:pt idx="4">
                  <c:v>2290</c:v>
                </c:pt>
                <c:pt idx="5">
                  <c:v>2054</c:v>
                </c:pt>
              </c:numCache>
            </c:numRef>
          </c:val>
          <c:extLst>
            <c:ext xmlns:c16="http://schemas.microsoft.com/office/drawing/2014/chart" uri="{C3380CC4-5D6E-409C-BE32-E72D297353CC}">
              <c16:uniqueId val="{00000002-7269-400D-860F-E32B41FA0727}"/>
            </c:ext>
          </c:extLst>
        </c:ser>
        <c:dLbls>
          <c:showLegendKey val="0"/>
          <c:showVal val="0"/>
          <c:showCatName val="0"/>
          <c:showSerName val="0"/>
          <c:showPercent val="0"/>
          <c:showBubbleSize val="0"/>
        </c:dLbls>
        <c:gapWidth val="150"/>
        <c:axId val="378153048"/>
        <c:axId val="378156576"/>
      </c:barChart>
      <c:catAx>
        <c:axId val="378153048"/>
        <c:scaling>
          <c:orientation val="minMax"/>
        </c:scaling>
        <c:delete val="0"/>
        <c:axPos val="b"/>
        <c:numFmt formatCode="General_)" sourceLinked="1"/>
        <c:majorTickMark val="none"/>
        <c:minorTickMark val="none"/>
        <c:tickLblPos val="nextTo"/>
        <c:crossAx val="378156576"/>
        <c:crosses val="autoZero"/>
        <c:auto val="1"/>
        <c:lblAlgn val="ctr"/>
        <c:lblOffset val="100"/>
        <c:noMultiLvlLbl val="0"/>
      </c:catAx>
      <c:valAx>
        <c:axId val="378156576"/>
        <c:scaling>
          <c:orientation val="minMax"/>
        </c:scaling>
        <c:delete val="0"/>
        <c:axPos val="l"/>
        <c:majorGridlines>
          <c:spPr>
            <a:ln>
              <a:solidFill>
                <a:schemeClr val="bg1"/>
              </a:solidFill>
            </a:ln>
          </c:spPr>
        </c:majorGridlines>
        <c:title>
          <c:tx>
            <c:rich>
              <a:bodyPr/>
              <a:lstStyle/>
              <a:p>
                <a:pPr>
                  <a:defRPr/>
                </a:pPr>
                <a:r>
                  <a:rPr lang="en-US"/>
                  <a:t>Number </a:t>
                </a:r>
              </a:p>
            </c:rich>
          </c:tx>
          <c:overlay val="0"/>
        </c:title>
        <c:numFmt formatCode="General_)" sourceLinked="1"/>
        <c:majorTickMark val="out"/>
        <c:minorTickMark val="none"/>
        <c:tickLblPos val="nextTo"/>
        <c:crossAx val="378153048"/>
        <c:crosses val="autoZero"/>
        <c:crossBetween val="between"/>
      </c:valAx>
      <c:spPr>
        <a:ln>
          <a:solidFill>
            <a:sysClr val="window" lastClr="FFFFFF">
              <a:lumMod val="65000"/>
            </a:sysClr>
          </a:solidFill>
        </a:ln>
      </c:spPr>
    </c:plotArea>
    <c:legend>
      <c:legendPos val="r"/>
      <c:layout>
        <c:manualLayout>
          <c:xMode val="edge"/>
          <c:yMode val="edge"/>
          <c:x val="0.34533855958324655"/>
          <c:y val="0.18828752819313341"/>
          <c:w val="0.30963718640090382"/>
          <c:h val="9.8926880715253046E-2"/>
        </c:manualLayout>
      </c:layout>
      <c:overlay val="0"/>
    </c:legend>
    <c:plotVisOnly val="1"/>
    <c:dispBlanksAs val="gap"/>
    <c:showDLblsOverMax val="0"/>
  </c:chart>
  <c:printSettings>
    <c:headerFooter/>
    <c:pageMargins b="0.75000000000000389" l="0.70000000000000062" r="0.70000000000000062" t="0.75000000000000389"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latin typeface="+mj-lt"/>
              </a:rPr>
              <a:t>Figure 8.38: Number of Marriage</a:t>
            </a:r>
            <a:r>
              <a:rPr lang="en-US" sz="1100" baseline="0">
                <a:latin typeface="+mj-lt"/>
              </a:rPr>
              <a:t> </a:t>
            </a:r>
            <a:r>
              <a:rPr lang="en-US" sz="1100">
                <a:latin typeface="+mj-lt"/>
              </a:rPr>
              <a:t> by locality, 2015 - 2021</a:t>
            </a:r>
          </a:p>
        </c:rich>
      </c:tx>
      <c:layout>
        <c:manualLayout>
          <c:xMode val="edge"/>
          <c:yMode val="edge"/>
          <c:x val="0.17941256759306465"/>
          <c:y val="3.483169581336408E-2"/>
        </c:manualLayout>
      </c:layout>
      <c:overlay val="0"/>
    </c:title>
    <c:autoTitleDeleted val="0"/>
    <c:plotArea>
      <c:layout>
        <c:manualLayout>
          <c:layoutTarget val="inner"/>
          <c:xMode val="edge"/>
          <c:yMode val="edge"/>
          <c:x val="0.13103604389612442"/>
          <c:y val="0.16988572304750565"/>
          <c:w val="0.8508402371872984"/>
          <c:h val="0.68129014800984922"/>
        </c:manualLayout>
      </c:layout>
      <c:barChart>
        <c:barDir val="col"/>
        <c:grouping val="clustered"/>
        <c:varyColors val="0"/>
        <c:ser>
          <c:idx val="0"/>
          <c:order val="0"/>
          <c:tx>
            <c:strRef>
              <c:f>'8.33'!$BT$24</c:f>
              <c:strCache>
                <c:ptCount val="1"/>
                <c:pt idx="0">
                  <c:v>Republic</c:v>
                </c:pt>
              </c:strCache>
            </c:strRef>
          </c:tx>
          <c:spPr>
            <a:solidFill>
              <a:srgbClr val="C00000"/>
            </a:solidFill>
          </c:spPr>
          <c:invertIfNegative val="0"/>
          <c:cat>
            <c:numRef>
              <c:f>'8.33'!$BU$23:$BZ$23</c:f>
              <c:numCache>
                <c:formatCode>General_)</c:formatCode>
                <c:ptCount val="6"/>
                <c:pt idx="0">
                  <c:v>2015</c:v>
                </c:pt>
                <c:pt idx="1">
                  <c:v>2016</c:v>
                </c:pt>
                <c:pt idx="2">
                  <c:v>2017</c:v>
                </c:pt>
                <c:pt idx="3">
                  <c:v>2018</c:v>
                </c:pt>
                <c:pt idx="4">
                  <c:v>2019</c:v>
                </c:pt>
                <c:pt idx="5">
                  <c:v>2020</c:v>
                </c:pt>
              </c:numCache>
            </c:numRef>
          </c:cat>
          <c:val>
            <c:numRef>
              <c:f>'8.33'!$BU$24:$BZ$24</c:f>
              <c:numCache>
                <c:formatCode>General_)</c:formatCode>
                <c:ptCount val="6"/>
                <c:pt idx="0">
                  <c:v>5763</c:v>
                </c:pt>
                <c:pt idx="1">
                  <c:v>5488</c:v>
                </c:pt>
                <c:pt idx="2">
                  <c:v>5048</c:v>
                </c:pt>
                <c:pt idx="3">
                  <c:v>5178</c:v>
                </c:pt>
                <c:pt idx="4" formatCode="#,##0">
                  <c:v>5069</c:v>
                </c:pt>
                <c:pt idx="5" formatCode="#,##0">
                  <c:v>4998</c:v>
                </c:pt>
              </c:numCache>
            </c:numRef>
          </c:val>
          <c:extLst>
            <c:ext xmlns:c16="http://schemas.microsoft.com/office/drawing/2014/chart" uri="{C3380CC4-5D6E-409C-BE32-E72D297353CC}">
              <c16:uniqueId val="{00000000-59EE-4C69-83A7-309F676154B1}"/>
            </c:ext>
          </c:extLst>
        </c:ser>
        <c:ser>
          <c:idx val="1"/>
          <c:order val="1"/>
          <c:tx>
            <c:strRef>
              <c:f>'8.33'!$BT$25</c:f>
              <c:strCache>
                <c:ptCount val="1"/>
                <c:pt idx="0">
                  <c:v> Male'</c:v>
                </c:pt>
              </c:strCache>
            </c:strRef>
          </c:tx>
          <c:spPr>
            <a:solidFill>
              <a:srgbClr val="FF8B8B"/>
            </a:solidFill>
          </c:spPr>
          <c:invertIfNegative val="0"/>
          <c:cat>
            <c:numRef>
              <c:f>'8.33'!$BU$23:$BZ$23</c:f>
              <c:numCache>
                <c:formatCode>General_)</c:formatCode>
                <c:ptCount val="6"/>
                <c:pt idx="0">
                  <c:v>2015</c:v>
                </c:pt>
                <c:pt idx="1">
                  <c:v>2016</c:v>
                </c:pt>
                <c:pt idx="2">
                  <c:v>2017</c:v>
                </c:pt>
                <c:pt idx="3">
                  <c:v>2018</c:v>
                </c:pt>
                <c:pt idx="4">
                  <c:v>2019</c:v>
                </c:pt>
                <c:pt idx="5">
                  <c:v>2020</c:v>
                </c:pt>
              </c:numCache>
            </c:numRef>
          </c:cat>
          <c:val>
            <c:numRef>
              <c:f>'8.33'!$BU$25:$BZ$25</c:f>
              <c:numCache>
                <c:formatCode>General_)</c:formatCode>
                <c:ptCount val="6"/>
                <c:pt idx="0">
                  <c:v>2417</c:v>
                </c:pt>
                <c:pt idx="1">
                  <c:v>2304</c:v>
                </c:pt>
                <c:pt idx="2">
                  <c:v>1979</c:v>
                </c:pt>
                <c:pt idx="3">
                  <c:v>2191</c:v>
                </c:pt>
                <c:pt idx="4" formatCode="#,##0">
                  <c:v>2055</c:v>
                </c:pt>
                <c:pt idx="5" formatCode="#,##0">
                  <c:v>1995</c:v>
                </c:pt>
              </c:numCache>
            </c:numRef>
          </c:val>
          <c:extLst>
            <c:ext xmlns:c16="http://schemas.microsoft.com/office/drawing/2014/chart" uri="{C3380CC4-5D6E-409C-BE32-E72D297353CC}">
              <c16:uniqueId val="{00000001-59EE-4C69-83A7-309F676154B1}"/>
            </c:ext>
          </c:extLst>
        </c:ser>
        <c:ser>
          <c:idx val="2"/>
          <c:order val="2"/>
          <c:tx>
            <c:strRef>
              <c:f>'8.33'!$BT$26</c:f>
              <c:strCache>
                <c:ptCount val="1"/>
                <c:pt idx="0">
                  <c:v> Atolls</c:v>
                </c:pt>
              </c:strCache>
            </c:strRef>
          </c:tx>
          <c:spPr>
            <a:solidFill>
              <a:srgbClr val="FFE5E5"/>
            </a:solidFill>
          </c:spPr>
          <c:invertIfNegative val="0"/>
          <c:cat>
            <c:numRef>
              <c:f>'8.33'!$BU$23:$BZ$23</c:f>
              <c:numCache>
                <c:formatCode>General_)</c:formatCode>
                <c:ptCount val="6"/>
                <c:pt idx="0">
                  <c:v>2015</c:v>
                </c:pt>
                <c:pt idx="1">
                  <c:v>2016</c:v>
                </c:pt>
                <c:pt idx="2">
                  <c:v>2017</c:v>
                </c:pt>
                <c:pt idx="3">
                  <c:v>2018</c:v>
                </c:pt>
                <c:pt idx="4">
                  <c:v>2019</c:v>
                </c:pt>
                <c:pt idx="5">
                  <c:v>2020</c:v>
                </c:pt>
              </c:numCache>
            </c:numRef>
          </c:cat>
          <c:val>
            <c:numRef>
              <c:f>'8.33'!$BU$26:$BZ$26</c:f>
              <c:numCache>
                <c:formatCode>General_)</c:formatCode>
                <c:ptCount val="6"/>
                <c:pt idx="0">
                  <c:v>3346</c:v>
                </c:pt>
                <c:pt idx="1">
                  <c:v>3184</c:v>
                </c:pt>
                <c:pt idx="2">
                  <c:v>3069</c:v>
                </c:pt>
                <c:pt idx="3">
                  <c:v>2987</c:v>
                </c:pt>
                <c:pt idx="4" formatCode="#,##0">
                  <c:v>3014</c:v>
                </c:pt>
                <c:pt idx="5" formatCode="#,##0">
                  <c:v>3003</c:v>
                </c:pt>
              </c:numCache>
            </c:numRef>
          </c:val>
          <c:extLst>
            <c:ext xmlns:c16="http://schemas.microsoft.com/office/drawing/2014/chart" uri="{C3380CC4-5D6E-409C-BE32-E72D297353CC}">
              <c16:uniqueId val="{00000002-59EE-4C69-83A7-309F676154B1}"/>
            </c:ext>
          </c:extLst>
        </c:ser>
        <c:dLbls>
          <c:showLegendKey val="0"/>
          <c:showVal val="0"/>
          <c:showCatName val="0"/>
          <c:showSerName val="0"/>
          <c:showPercent val="0"/>
          <c:showBubbleSize val="0"/>
        </c:dLbls>
        <c:gapWidth val="150"/>
        <c:axId val="378151088"/>
        <c:axId val="378150304"/>
      </c:barChart>
      <c:catAx>
        <c:axId val="378151088"/>
        <c:scaling>
          <c:orientation val="minMax"/>
        </c:scaling>
        <c:delete val="0"/>
        <c:axPos val="b"/>
        <c:numFmt formatCode="General_)" sourceLinked="1"/>
        <c:majorTickMark val="none"/>
        <c:minorTickMark val="none"/>
        <c:tickLblPos val="nextTo"/>
        <c:crossAx val="378150304"/>
        <c:crosses val="autoZero"/>
        <c:auto val="1"/>
        <c:lblAlgn val="ctr"/>
        <c:lblOffset val="100"/>
        <c:noMultiLvlLbl val="0"/>
      </c:catAx>
      <c:valAx>
        <c:axId val="378150304"/>
        <c:scaling>
          <c:orientation val="minMax"/>
        </c:scaling>
        <c:delete val="0"/>
        <c:axPos val="l"/>
        <c:majorGridlines>
          <c:spPr>
            <a:ln>
              <a:solidFill>
                <a:schemeClr val="bg1"/>
              </a:solidFill>
            </a:ln>
          </c:spPr>
        </c:majorGridlines>
        <c:title>
          <c:tx>
            <c:rich>
              <a:bodyPr/>
              <a:lstStyle/>
              <a:p>
                <a:pPr>
                  <a:defRPr/>
                </a:pPr>
                <a:r>
                  <a:rPr lang="en-US"/>
                  <a:t>Number </a:t>
                </a:r>
              </a:p>
            </c:rich>
          </c:tx>
          <c:overlay val="0"/>
        </c:title>
        <c:numFmt formatCode="General_)" sourceLinked="1"/>
        <c:majorTickMark val="out"/>
        <c:minorTickMark val="none"/>
        <c:tickLblPos val="nextTo"/>
        <c:crossAx val="378151088"/>
        <c:crosses val="autoZero"/>
        <c:crossBetween val="between"/>
      </c:valAx>
      <c:spPr>
        <a:ln>
          <a:solidFill>
            <a:sysClr val="window" lastClr="FFFFFF">
              <a:lumMod val="65000"/>
            </a:sysClr>
          </a:solidFill>
        </a:ln>
      </c:spPr>
    </c:plotArea>
    <c:legend>
      <c:legendPos val="r"/>
      <c:layout>
        <c:manualLayout>
          <c:xMode val="edge"/>
          <c:yMode val="edge"/>
          <c:x val="0.41533695085984956"/>
          <c:y val="0.1935483601549623"/>
          <c:w val="0.3991362156125749"/>
          <c:h val="0.1649614592928329"/>
        </c:manualLayout>
      </c:layout>
      <c:overlay val="0"/>
    </c:legend>
    <c:plotVisOnly val="1"/>
    <c:dispBlanksAs val="gap"/>
    <c:showDLblsOverMax val="0"/>
  </c:chart>
  <c:printSettings>
    <c:headerFooter/>
    <c:pageMargins b="0.75000000000000389" l="0.70000000000000062" r="0.70000000000000062" t="0.75000000000000389"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Figure 8.62: Number of cases filed in the Drug Court,  2016 - 2021</a:t>
            </a:r>
            <a:endParaRPr lang="en-US" sz="1050">
              <a:effectLst/>
            </a:endParaRPr>
          </a:p>
        </c:rich>
      </c:tx>
      <c:layout>
        <c:manualLayout>
          <c:xMode val="edge"/>
          <c:yMode val="edge"/>
          <c:x val="0.2527347288671889"/>
          <c:y val="2.4542889057871539E-2"/>
        </c:manualLayout>
      </c:layout>
      <c:overlay val="0"/>
      <c:spPr>
        <a:noFill/>
        <a:ln>
          <a:noFill/>
        </a:ln>
        <a:effectLst/>
      </c:spPr>
    </c:title>
    <c:autoTitleDeleted val="0"/>
    <c:plotArea>
      <c:layout>
        <c:manualLayout>
          <c:layoutTarget val="inner"/>
          <c:xMode val="edge"/>
          <c:yMode val="edge"/>
          <c:x val="6.6594477960126547E-2"/>
          <c:y val="0.1268034188034188"/>
          <c:w val="0.91126715901414079"/>
          <c:h val="0.70174568593254616"/>
        </c:manualLayout>
      </c:layout>
      <c:barChart>
        <c:barDir val="col"/>
        <c:grouping val="clustered"/>
        <c:varyColors val="0"/>
        <c:ser>
          <c:idx val="0"/>
          <c:order val="0"/>
          <c:tx>
            <c:strRef>
              <c:f>'8.36'!$P$16</c:f>
              <c:strCache>
                <c:ptCount val="1"/>
                <c:pt idx="0">
                  <c:v>Above 18 </c:v>
                </c:pt>
              </c:strCache>
            </c:strRef>
          </c:tx>
          <c:spPr>
            <a:solidFill>
              <a:srgbClr val="C00000"/>
            </a:solidFill>
            <a:ln>
              <a:noFill/>
            </a:ln>
            <a:effectLst/>
          </c:spPr>
          <c:invertIfNegative val="0"/>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EE-43F4-BDAA-C09AB3E6D748}"/>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EE-43F4-BDAA-C09AB3E6D7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'8.36'!$Q$14:$AB$15</c:f>
              <c:multiLvlStrCache>
                <c:ptCount val="12"/>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lvl>
                <c:lvl>
                  <c:pt idx="0">
                    <c:v>2016</c:v>
                  </c:pt>
                  <c:pt idx="2">
                    <c:v>2017</c:v>
                  </c:pt>
                  <c:pt idx="4">
                    <c:v>2018</c:v>
                  </c:pt>
                  <c:pt idx="6">
                    <c:v>2019</c:v>
                  </c:pt>
                  <c:pt idx="8">
                    <c:v>2020</c:v>
                  </c:pt>
                  <c:pt idx="10">
                    <c:v>2021</c:v>
                  </c:pt>
                </c:lvl>
              </c:multiLvlStrCache>
            </c:multiLvlStrRef>
          </c:cat>
          <c:val>
            <c:numRef>
              <c:f>'8.36'!$Q$16:$AB$16</c:f>
              <c:numCache>
                <c:formatCode>_(* #,##0_);_(* \(#,##0\);_(* "-"??_);_(@_)</c:formatCode>
                <c:ptCount val="12"/>
                <c:pt idx="0">
                  <c:v>1356</c:v>
                </c:pt>
                <c:pt idx="1">
                  <c:v>52</c:v>
                </c:pt>
                <c:pt idx="2">
                  <c:v>1475</c:v>
                </c:pt>
                <c:pt idx="3">
                  <c:v>61</c:v>
                </c:pt>
                <c:pt idx="4">
                  <c:v>987</c:v>
                </c:pt>
                <c:pt idx="5">
                  <c:v>53</c:v>
                </c:pt>
                <c:pt idx="6">
                  <c:v>715</c:v>
                </c:pt>
                <c:pt idx="7">
                  <c:v>16</c:v>
                </c:pt>
                <c:pt idx="8">
                  <c:v>385</c:v>
                </c:pt>
                <c:pt idx="9">
                  <c:v>9</c:v>
                </c:pt>
                <c:pt idx="10">
                  <c:v>661</c:v>
                </c:pt>
                <c:pt idx="11">
                  <c:v>15</c:v>
                </c:pt>
              </c:numCache>
            </c:numRef>
          </c:val>
          <c:extLst>
            <c:ext xmlns:c16="http://schemas.microsoft.com/office/drawing/2014/chart" uri="{C3380CC4-5D6E-409C-BE32-E72D297353CC}">
              <c16:uniqueId val="{00000002-C5EE-43F4-BDAA-C09AB3E6D748}"/>
            </c:ext>
          </c:extLst>
        </c:ser>
        <c:ser>
          <c:idx val="1"/>
          <c:order val="1"/>
          <c:tx>
            <c:strRef>
              <c:f>'8.36'!$P$17</c:f>
              <c:strCache>
                <c:ptCount val="1"/>
                <c:pt idx="0">
                  <c:v>Below 18 </c:v>
                </c:pt>
              </c:strCache>
            </c:strRef>
          </c:tx>
          <c:spPr>
            <a:solidFill>
              <a:srgbClr val="FF8B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'8.36'!$Q$14:$AB$15</c:f>
              <c:multiLvlStrCache>
                <c:ptCount val="12"/>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lvl>
                <c:lvl>
                  <c:pt idx="0">
                    <c:v>2016</c:v>
                  </c:pt>
                  <c:pt idx="2">
                    <c:v>2017</c:v>
                  </c:pt>
                  <c:pt idx="4">
                    <c:v>2018</c:v>
                  </c:pt>
                  <c:pt idx="6">
                    <c:v>2019</c:v>
                  </c:pt>
                  <c:pt idx="8">
                    <c:v>2020</c:v>
                  </c:pt>
                  <c:pt idx="10">
                    <c:v>2021</c:v>
                  </c:pt>
                </c:lvl>
              </c:multiLvlStrCache>
            </c:multiLvlStrRef>
          </c:cat>
          <c:val>
            <c:numRef>
              <c:f>'8.36'!$Q$17:$AB$17</c:f>
              <c:numCache>
                <c:formatCode>_(* #,##0_);_(* \(#,##0\);_(* "-"??_);_(@_)</c:formatCode>
                <c:ptCount val="12"/>
                <c:pt idx="0">
                  <c:v>108</c:v>
                </c:pt>
                <c:pt idx="1">
                  <c:v>7</c:v>
                </c:pt>
                <c:pt idx="2">
                  <c:v>23</c:v>
                </c:pt>
                <c:pt idx="3">
                  <c:v>3</c:v>
                </c:pt>
                <c:pt idx="4">
                  <c:v>10</c:v>
                </c:pt>
                <c:pt idx="5">
                  <c:v>1</c:v>
                </c:pt>
                <c:pt idx="6">
                  <c:v>28</c:v>
                </c:pt>
                <c:pt idx="7">
                  <c:v>1</c:v>
                </c:pt>
                <c:pt idx="8" formatCode="0">
                  <c:v>8</c:v>
                </c:pt>
                <c:pt idx="9">
                  <c:v>0</c:v>
                </c:pt>
                <c:pt idx="10" formatCode="0">
                  <c:v>80</c:v>
                </c:pt>
                <c:pt idx="11">
                  <c:v>3</c:v>
                </c:pt>
              </c:numCache>
            </c:numRef>
          </c:val>
          <c:extLst>
            <c:ext xmlns:c16="http://schemas.microsoft.com/office/drawing/2014/chart" uri="{C3380CC4-5D6E-409C-BE32-E72D297353CC}">
              <c16:uniqueId val="{00000003-C5EE-43F4-BDAA-C09AB3E6D748}"/>
            </c:ext>
          </c:extLst>
        </c:ser>
        <c:dLbls>
          <c:showLegendKey val="0"/>
          <c:showVal val="0"/>
          <c:showCatName val="0"/>
          <c:showSerName val="0"/>
          <c:showPercent val="0"/>
          <c:showBubbleSize val="0"/>
        </c:dLbls>
        <c:gapWidth val="182"/>
        <c:axId val="378151480"/>
        <c:axId val="378151872"/>
      </c:barChart>
      <c:catAx>
        <c:axId val="378151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51872"/>
        <c:crosses val="autoZero"/>
        <c:auto val="1"/>
        <c:lblAlgn val="ctr"/>
        <c:lblOffset val="100"/>
        <c:noMultiLvlLbl val="0"/>
      </c:catAx>
      <c:valAx>
        <c:axId val="378151872"/>
        <c:scaling>
          <c:orientation val="minMax"/>
          <c:max val="1600"/>
        </c:scaling>
        <c:delete val="0"/>
        <c:axPos val="l"/>
        <c:majorGridlines>
          <c:spPr>
            <a:ln w="9525" cap="flat" cmpd="sng" algn="ctr">
              <a:solidFill>
                <a:srgbClr val="FFC5C5"/>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51480"/>
        <c:crosses val="autoZero"/>
        <c:crossBetween val="between"/>
      </c:valAx>
      <c:spPr>
        <a:solidFill>
          <a:srgbClr val="FFEFEF"/>
        </a:solidFill>
        <a:ln>
          <a:solidFill>
            <a:schemeClr val="bg1">
              <a:lumMod val="65000"/>
            </a:schemeClr>
          </a:solidFill>
        </a:ln>
        <a:effectLst/>
      </c:spPr>
    </c:plotArea>
    <c:legend>
      <c:legendPos val="b"/>
      <c:layout>
        <c:manualLayout>
          <c:xMode val="edge"/>
          <c:yMode val="edge"/>
          <c:x val="0.60226895575030437"/>
          <c:y val="0.23159290652147582"/>
          <c:w val="0.300687461937308"/>
          <c:h val="5.769271148798708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Figure 8.63: Number of cases filed in the Drug Court, 2021</a:t>
            </a:r>
          </a:p>
        </c:rich>
      </c:tx>
      <c:overlay val="0"/>
      <c:spPr>
        <a:noFill/>
        <a:ln>
          <a:noFill/>
        </a:ln>
        <a:effectLst/>
      </c:spPr>
    </c:title>
    <c:autoTitleDeleted val="0"/>
    <c:plotArea>
      <c:layout>
        <c:manualLayout>
          <c:layoutTarget val="inner"/>
          <c:xMode val="edge"/>
          <c:yMode val="edge"/>
          <c:x val="6.2256691666483385E-2"/>
          <c:y val="0.17171296296296296"/>
          <c:w val="0.91373894802824029"/>
          <c:h val="0.7260954359871683"/>
        </c:manualLayout>
      </c:layout>
      <c:barChart>
        <c:barDir val="col"/>
        <c:grouping val="clustered"/>
        <c:varyColors val="0"/>
        <c:ser>
          <c:idx val="0"/>
          <c:order val="0"/>
          <c:spPr>
            <a:solidFill>
              <a:srgbClr val="C00000"/>
            </a:solidFill>
          </c:spPr>
          <c:invertIfNegative val="0"/>
          <c:cat>
            <c:strRef>
              <c:extLst>
                <c:ext xmlns:c15="http://schemas.microsoft.com/office/drawing/2012/chart" uri="{02D57815-91ED-43cb-92C2-25804820EDAC}">
                  <c15:fullRef>
                    <c15:sqref>'8.37'!$A$7:$A$14</c15:sqref>
                  </c15:fullRef>
                </c:ext>
              </c:extLst>
              <c:f>('8.37'!$A$7:$A$8,'8.37'!$A$10,'8.37'!$A$12,'8.37'!$A$14)</c:f>
              <c:strCache>
                <c:ptCount val="5"/>
                <c:pt idx="0">
                  <c:v>Below 18</c:v>
                </c:pt>
                <c:pt idx="1">
                  <c:v>18-25</c:v>
                </c:pt>
                <c:pt idx="2">
                  <c:v>26 - 40</c:v>
                </c:pt>
                <c:pt idx="3">
                  <c:v>41 - 55</c:v>
                </c:pt>
                <c:pt idx="4">
                  <c:v>56 -65</c:v>
                </c:pt>
              </c:strCache>
            </c:strRef>
          </c:cat>
          <c:val>
            <c:numRef>
              <c:extLst>
                <c:ext xmlns:c15="http://schemas.microsoft.com/office/drawing/2012/chart" uri="{02D57815-91ED-43cb-92C2-25804820EDAC}">
                  <c15:fullRef>
                    <c15:sqref>'8.37'!$G$7:$G$14</c15:sqref>
                  </c15:fullRef>
                </c:ext>
              </c:extLst>
              <c:f>('8.37'!$G$7:$G$8,'8.37'!$G$10,'8.37'!$G$12,'8.37'!$G$14)</c:f>
              <c:numCache>
                <c:formatCode>#,##0</c:formatCode>
                <c:ptCount val="5"/>
                <c:pt idx="0">
                  <c:v>11</c:v>
                </c:pt>
                <c:pt idx="1">
                  <c:v>236</c:v>
                </c:pt>
                <c:pt idx="2">
                  <c:v>415</c:v>
                </c:pt>
                <c:pt idx="3">
                  <c:v>92</c:v>
                </c:pt>
                <c:pt idx="4">
                  <c:v>5</c:v>
                </c:pt>
              </c:numCache>
            </c:numRef>
          </c:val>
          <c:extLst>
            <c:ext xmlns:c16="http://schemas.microsoft.com/office/drawing/2014/chart" uri="{C3380CC4-5D6E-409C-BE32-E72D297353CC}">
              <c16:uniqueId val="{00000000-7991-4511-A652-B198126B4AE0}"/>
            </c:ext>
          </c:extLst>
        </c:ser>
        <c:dLbls>
          <c:showLegendKey val="0"/>
          <c:showVal val="0"/>
          <c:showCatName val="0"/>
          <c:showSerName val="0"/>
          <c:showPercent val="0"/>
          <c:showBubbleSize val="0"/>
        </c:dLbls>
        <c:gapWidth val="109"/>
        <c:axId val="378154616"/>
        <c:axId val="378830112"/>
      </c:barChart>
      <c:catAx>
        <c:axId val="378154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830112"/>
        <c:crosses val="autoZero"/>
        <c:auto val="1"/>
        <c:lblAlgn val="ctr"/>
        <c:lblOffset val="100"/>
        <c:noMultiLvlLbl val="0"/>
      </c:catAx>
      <c:valAx>
        <c:axId val="378830112"/>
        <c:scaling>
          <c:orientation val="minMax"/>
        </c:scaling>
        <c:delete val="0"/>
        <c:axPos val="l"/>
        <c:majorGridlines>
          <c:spPr>
            <a:ln w="9525" cap="flat" cmpd="sng" algn="ctr">
              <a:solidFill>
                <a:srgbClr val="FFE5E5"/>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54616"/>
        <c:crosses val="autoZero"/>
        <c:crossBetween val="between"/>
      </c:valAx>
      <c:spPr>
        <a:solidFill>
          <a:srgbClr val="FFEFEF"/>
        </a:solidFill>
        <a:ln>
          <a:solidFill>
            <a:schemeClr val="bg1">
              <a:lumMod val="8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932470170049125E-2"/>
          <c:y val="0.15927473730094693"/>
          <c:w val="0.88441287875110564"/>
          <c:h val="0.74278506853310478"/>
        </c:manualLayout>
      </c:layout>
      <c:barChart>
        <c:barDir val="col"/>
        <c:grouping val="clustered"/>
        <c:varyColors val="0"/>
        <c:ser>
          <c:idx val="0"/>
          <c:order val="0"/>
          <c:tx>
            <c:strRef>
              <c:f>'[1]8.38'!$W$91</c:f>
              <c:strCache>
                <c:ptCount val="1"/>
                <c:pt idx="0">
                  <c:v>Number  of majistrates</c:v>
                </c:pt>
              </c:strCache>
            </c:strRef>
          </c:tx>
          <c:spPr>
            <a:solidFill>
              <a:srgbClr val="C00000"/>
            </a:solidFill>
          </c:spPr>
          <c:invertIfNegative val="0"/>
          <c:cat>
            <c:strRef>
              <c:f>'[1]8.38'!$V$92:$V$111</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'[1]8.38'!$W$92:$W$111</c:f>
              <c:numCache>
                <c:formatCode>General</c:formatCode>
                <c:ptCount val="20"/>
                <c:pt idx="0">
                  <c:v>8</c:v>
                </c:pt>
                <c:pt idx="1">
                  <c:v>8</c:v>
                </c:pt>
                <c:pt idx="2">
                  <c:v>5</c:v>
                </c:pt>
                <c:pt idx="3">
                  <c:v>7</c:v>
                </c:pt>
                <c:pt idx="4">
                  <c:v>12</c:v>
                </c:pt>
                <c:pt idx="5">
                  <c:v>7</c:v>
                </c:pt>
                <c:pt idx="6">
                  <c:v>4</c:v>
                </c:pt>
                <c:pt idx="7">
                  <c:v>8</c:v>
                </c:pt>
                <c:pt idx="8">
                  <c:v>4</c:v>
                </c:pt>
                <c:pt idx="9">
                  <c:v>6</c:v>
                </c:pt>
                <c:pt idx="10">
                  <c:v>1</c:v>
                </c:pt>
                <c:pt idx="11">
                  <c:v>4</c:v>
                </c:pt>
                <c:pt idx="12">
                  <c:v>4</c:v>
                </c:pt>
                <c:pt idx="13">
                  <c:v>4</c:v>
                </c:pt>
                <c:pt idx="14">
                  <c:v>9</c:v>
                </c:pt>
                <c:pt idx="15">
                  <c:v>12</c:v>
                </c:pt>
                <c:pt idx="16">
                  <c:v>6</c:v>
                </c:pt>
                <c:pt idx="17">
                  <c:v>8</c:v>
                </c:pt>
                <c:pt idx="18">
                  <c:v>2</c:v>
                </c:pt>
                <c:pt idx="19">
                  <c:v>7</c:v>
                </c:pt>
              </c:numCache>
            </c:numRef>
          </c:val>
          <c:extLst>
            <c:ext xmlns:c16="http://schemas.microsoft.com/office/drawing/2014/chart" uri="{C3380CC4-5D6E-409C-BE32-E72D297353CC}">
              <c16:uniqueId val="{00000000-2733-4CC4-9A06-3A382F3A84C2}"/>
            </c:ext>
          </c:extLst>
        </c:ser>
        <c:ser>
          <c:idx val="1"/>
          <c:order val="1"/>
          <c:tx>
            <c:strRef>
              <c:f>'[1]8.38'!$X$91</c:f>
              <c:strCache>
                <c:ptCount val="1"/>
                <c:pt idx="0">
                  <c:v>Number of islands with majistrate courts</c:v>
                </c:pt>
              </c:strCache>
            </c:strRef>
          </c:tx>
          <c:spPr>
            <a:solidFill>
              <a:srgbClr val="FFC5C5"/>
            </a:solidFill>
          </c:spPr>
          <c:invertIfNegative val="0"/>
          <c:cat>
            <c:strRef>
              <c:f>'[1]8.38'!$V$92:$V$111</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'[1]8.38'!$X$92:$X$111</c:f>
              <c:numCache>
                <c:formatCode>General</c:formatCode>
                <c:ptCount val="20"/>
                <c:pt idx="0">
                  <c:v>14</c:v>
                </c:pt>
                <c:pt idx="1">
                  <c:v>13</c:v>
                </c:pt>
                <c:pt idx="2">
                  <c:v>13</c:v>
                </c:pt>
                <c:pt idx="3">
                  <c:v>13</c:v>
                </c:pt>
                <c:pt idx="4">
                  <c:v>14</c:v>
                </c:pt>
                <c:pt idx="5">
                  <c:v>13</c:v>
                </c:pt>
                <c:pt idx="6">
                  <c:v>4</c:v>
                </c:pt>
                <c:pt idx="7">
                  <c:v>9</c:v>
                </c:pt>
                <c:pt idx="8">
                  <c:v>8</c:v>
                </c:pt>
                <c:pt idx="9">
                  <c:v>10</c:v>
                </c:pt>
                <c:pt idx="10">
                  <c:v>5</c:v>
                </c:pt>
                <c:pt idx="11">
                  <c:v>8</c:v>
                </c:pt>
                <c:pt idx="12">
                  <c:v>5</c:v>
                </c:pt>
                <c:pt idx="13">
                  <c:v>6</c:v>
                </c:pt>
                <c:pt idx="14">
                  <c:v>13</c:v>
                </c:pt>
                <c:pt idx="15">
                  <c:v>11</c:v>
                </c:pt>
                <c:pt idx="16">
                  <c:v>9</c:v>
                </c:pt>
                <c:pt idx="17">
                  <c:v>9</c:v>
                </c:pt>
                <c:pt idx="18">
                  <c:v>1</c:v>
                </c:pt>
                <c:pt idx="19">
                  <c:v>6</c:v>
                </c:pt>
              </c:numCache>
            </c:numRef>
          </c:val>
          <c:extLst>
            <c:ext xmlns:c16="http://schemas.microsoft.com/office/drawing/2014/chart" uri="{C3380CC4-5D6E-409C-BE32-E72D297353CC}">
              <c16:uniqueId val="{00000001-2733-4CC4-9A06-3A382F3A84C2}"/>
            </c:ext>
          </c:extLst>
        </c:ser>
        <c:dLbls>
          <c:showLegendKey val="0"/>
          <c:showVal val="0"/>
          <c:showCatName val="0"/>
          <c:showSerName val="0"/>
          <c:showPercent val="0"/>
          <c:showBubbleSize val="0"/>
        </c:dLbls>
        <c:gapWidth val="24"/>
        <c:axId val="366146800"/>
        <c:axId val="367351392"/>
      </c:barChart>
      <c:catAx>
        <c:axId val="366146800"/>
        <c:scaling>
          <c:orientation val="minMax"/>
        </c:scaling>
        <c:delete val="0"/>
        <c:axPos val="b"/>
        <c:numFmt formatCode="General" sourceLinked="0"/>
        <c:majorTickMark val="none"/>
        <c:minorTickMark val="none"/>
        <c:tickLblPos val="nextTo"/>
        <c:crossAx val="367351392"/>
        <c:crosses val="autoZero"/>
        <c:auto val="1"/>
        <c:lblAlgn val="ctr"/>
        <c:lblOffset val="100"/>
        <c:noMultiLvlLbl val="0"/>
      </c:catAx>
      <c:valAx>
        <c:axId val="367351392"/>
        <c:scaling>
          <c:orientation val="minMax"/>
        </c:scaling>
        <c:delete val="0"/>
        <c:axPos val="l"/>
        <c:majorGridlines>
          <c:spPr>
            <a:ln>
              <a:solidFill>
                <a:srgbClr val="FFE5E5"/>
              </a:solidFill>
            </a:ln>
          </c:spPr>
        </c:majorGridlines>
        <c:title>
          <c:tx>
            <c:rich>
              <a:bodyPr/>
              <a:lstStyle/>
              <a:p>
                <a:pPr>
                  <a:defRPr/>
                </a:pPr>
                <a:r>
                  <a:rPr lang="en-US"/>
                  <a:t>In number</a:t>
                </a:r>
              </a:p>
            </c:rich>
          </c:tx>
          <c:layout>
            <c:manualLayout>
              <c:xMode val="edge"/>
              <c:yMode val="edge"/>
              <c:x val="3.9800995024875862E-3"/>
              <c:y val="0.34603382910469532"/>
            </c:manualLayout>
          </c:layout>
          <c:overlay val="0"/>
        </c:title>
        <c:numFmt formatCode="General" sourceLinked="1"/>
        <c:majorTickMark val="out"/>
        <c:minorTickMark val="none"/>
        <c:tickLblPos val="nextTo"/>
        <c:crossAx val="366146800"/>
        <c:crosses val="autoZero"/>
        <c:crossBetween val="between"/>
      </c:valAx>
      <c:spPr>
        <a:solidFill>
          <a:srgbClr val="FFEFEF"/>
        </a:solidFill>
        <a:ln>
          <a:solidFill>
            <a:schemeClr val="bg1">
              <a:lumMod val="65000"/>
            </a:schemeClr>
          </a:solidFill>
        </a:ln>
      </c:spPr>
    </c:plotArea>
    <c:legend>
      <c:legendPos val="r"/>
      <c:layout>
        <c:manualLayout>
          <c:xMode val="edge"/>
          <c:yMode val="edge"/>
          <c:x val="0.34361805236487053"/>
          <c:y val="0.1879002624671916"/>
          <c:w val="0.5905683360448396"/>
          <c:h val="8.2177019539224253E-2"/>
        </c:manualLayout>
      </c:layout>
      <c:overlay val="0"/>
      <c:txPr>
        <a:bodyPr/>
        <a:lstStyle/>
        <a:p>
          <a:pPr>
            <a:defRPr sz="1050"/>
          </a:pPr>
          <a:endParaRPr lang="en-US"/>
        </a:p>
      </c:txPr>
    </c:legend>
    <c:plotVisOnly val="1"/>
    <c:dispBlanksAs val="gap"/>
    <c:showDLblsOverMax val="0"/>
  </c:chart>
  <c:printSettings>
    <c:headerFooter/>
    <c:pageMargins b="0.75000000000000244" l="0.70000000000000062" r="0.70000000000000062" t="0.75000000000000244" header="0.30000000000000032" footer="0.30000000000000032"/>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330554097487191"/>
          <c:y val="0.16191775795525834"/>
          <c:w val="0.49596521778718655"/>
          <c:h val="0.79141145463623475"/>
        </c:manualLayout>
      </c:layout>
      <c:doughnutChart>
        <c:varyColors val="1"/>
        <c:ser>
          <c:idx val="0"/>
          <c:order val="0"/>
          <c:explosion val="2"/>
          <c:dPt>
            <c:idx val="0"/>
            <c:bubble3D val="0"/>
            <c:spPr>
              <a:solidFill>
                <a:srgbClr val="FFC5C5"/>
              </a:solidFill>
            </c:spPr>
            <c:extLst>
              <c:ext xmlns:c16="http://schemas.microsoft.com/office/drawing/2014/chart" uri="{C3380CC4-5D6E-409C-BE32-E72D297353CC}">
                <c16:uniqueId val="{00000001-922C-49EA-955A-DB89AEA02BAB}"/>
              </c:ext>
            </c:extLst>
          </c:dPt>
          <c:dPt>
            <c:idx val="1"/>
            <c:bubble3D val="0"/>
            <c:spPr>
              <a:solidFill>
                <a:srgbClr val="C00000"/>
              </a:solidFill>
            </c:spPr>
            <c:extLst>
              <c:ext xmlns:c16="http://schemas.microsoft.com/office/drawing/2014/chart" uri="{C3380CC4-5D6E-409C-BE32-E72D297353CC}">
                <c16:uniqueId val="{00000003-922C-49EA-955A-DB89AEA02BAB}"/>
              </c:ext>
            </c:extLst>
          </c:dPt>
          <c:dLbls>
            <c:spPr>
              <a:noFill/>
              <a:ln>
                <a:noFill/>
              </a:ln>
              <a:effectLst/>
            </c:spPr>
            <c:txPr>
              <a:bodyPr/>
              <a:lstStyle/>
              <a:p>
                <a:pPr>
                  <a:defRPr sz="105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'[2]8.29'!$U$129:$U$130</c:f>
              <c:strCache>
                <c:ptCount val="2"/>
                <c:pt idx="0">
                  <c:v>Atolls</c:v>
                </c:pt>
                <c:pt idx="1">
                  <c:v>Male'</c:v>
                </c:pt>
              </c:strCache>
            </c:strRef>
          </c:cat>
          <c:val>
            <c:numRef>
              <c:f>'[2]8.29'!$W$129:$W$130</c:f>
              <c:numCache>
                <c:formatCode>General</c:formatCode>
                <c:ptCount val="2"/>
                <c:pt idx="0">
                  <c:v>69.565217391304344</c:v>
                </c:pt>
                <c:pt idx="1">
                  <c:v>30.434782608695656</c:v>
                </c:pt>
              </c:numCache>
            </c:numRef>
          </c:val>
          <c:extLst>
            <c:ext xmlns:c16="http://schemas.microsoft.com/office/drawing/2014/chart" uri="{C3380CC4-5D6E-409C-BE32-E72D297353CC}">
              <c16:uniqueId val="{00000004-922C-49EA-955A-DB89AEA02BAB}"/>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solidFill>
      <a:srgbClr val="FFEFEF"/>
    </a:solidFill>
  </c:spPr>
  <c:printSettings>
    <c:headerFooter/>
    <c:pageMargins b="0.75000000000000244" l="0.70000000000000062" r="0.70000000000000062" t="0.75000000000000244"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chart>
    <c:title>
      <c:tx>
        <c:rich>
          <a:bodyPr/>
          <a:lstStyle/>
          <a:p>
            <a:pPr>
              <a:defRPr sz="1000">
                <a:latin typeface="Consolas" pitchFamily="49" charset="0"/>
                <a:cs typeface="Consolas" pitchFamily="49" charset="0"/>
              </a:defRPr>
            </a:pPr>
            <a:r>
              <a:rPr lang="en-US" sz="1000">
                <a:latin typeface="Consolas" pitchFamily="49" charset="0"/>
                <a:cs typeface="Consolas" pitchFamily="49" charset="0"/>
              </a:rPr>
              <a:t>Figure: 8.45: Percentage share of majistrates by sex, 2021</a:t>
            </a:r>
          </a:p>
        </c:rich>
      </c:tx>
      <c:layout>
        <c:manualLayout>
          <c:xMode val="edge"/>
          <c:yMode val="edge"/>
          <c:x val="0.15375707728102819"/>
          <c:y val="3.6905372526793843E-2"/>
        </c:manualLayout>
      </c:layout>
      <c:overlay val="0"/>
    </c:title>
    <c:autoTitleDeleted val="0"/>
    <c:plotArea>
      <c:layout>
        <c:manualLayout>
          <c:layoutTarget val="inner"/>
          <c:xMode val="edge"/>
          <c:yMode val="edge"/>
          <c:x val="0.30164012366980025"/>
          <c:y val="0.12205736782902137"/>
          <c:w val="0.4195290808796503"/>
          <c:h val="0.82307425091074993"/>
        </c:manualLayout>
      </c:layout>
      <c:doughnutChart>
        <c:varyColors val="1"/>
        <c:ser>
          <c:idx val="0"/>
          <c:order val="0"/>
          <c:spPr>
            <a:solidFill>
              <a:srgbClr val="C00000"/>
            </a:solidFill>
          </c:spPr>
          <c:dPt>
            <c:idx val="1"/>
            <c:bubble3D val="0"/>
            <c:spPr>
              <a:solidFill>
                <a:srgbClr val="FFC5C5"/>
              </a:solidFill>
            </c:spPr>
            <c:extLst>
              <c:ext xmlns:c16="http://schemas.microsoft.com/office/drawing/2014/chart" uri="{C3380CC4-5D6E-409C-BE32-E72D297353CC}">
                <c16:uniqueId val="{00000001-EC6C-4AD3-8FC7-E3EF114E98D8}"/>
              </c:ext>
            </c:extLst>
          </c:dPt>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'8.39'!$A$7:$A$8</c:f>
              <c:strCache>
                <c:ptCount val="2"/>
                <c:pt idx="0">
                  <c:v>Male</c:v>
                </c:pt>
                <c:pt idx="1">
                  <c:v>Female</c:v>
                </c:pt>
              </c:strCache>
            </c:strRef>
          </c:cat>
          <c:val>
            <c:numRef>
              <c:f>'8.39'!$M$7:$M$8</c:f>
              <c:numCache>
                <c:formatCode>_(* #,##0_);_(* \(#,##0\);_(* "-"??_);_(@_)</c:formatCode>
                <c:ptCount val="2"/>
                <c:pt idx="0">
                  <c:v>162</c:v>
                </c:pt>
                <c:pt idx="1">
                  <c:v>20</c:v>
                </c:pt>
              </c:numCache>
            </c:numRef>
          </c:val>
          <c:extLst>
            <c:ext xmlns:c16="http://schemas.microsoft.com/office/drawing/2014/chart" uri="{C3380CC4-5D6E-409C-BE32-E72D297353CC}">
              <c16:uniqueId val="{00000000-52EB-49B5-9F21-89375BCCD6DA}"/>
            </c:ext>
          </c:extLst>
        </c:ser>
        <c:dLbls>
          <c:showLegendKey val="0"/>
          <c:showVal val="0"/>
          <c:showCatName val="1"/>
          <c:showSerName val="0"/>
          <c:showPercent val="1"/>
          <c:showBubbleSize val="0"/>
          <c:showLeaderLines val="0"/>
        </c:dLbls>
        <c:firstSliceAng val="57"/>
        <c:holeSize val="50"/>
      </c:doughnutChart>
    </c:plotArea>
    <c:plotVisOnly val="1"/>
    <c:dispBlanksAs val="zero"/>
    <c:showDLblsOverMax val="0"/>
  </c:chart>
  <c:spPr>
    <a:solidFill>
      <a:srgbClr val="FFEFEF"/>
    </a:solidFill>
  </c:spPr>
  <c:printSettings>
    <c:headerFooter/>
    <c:pageMargins b="0.75000000000000477" l="0.70000000000000062" r="0.70000000000000062" t="0.75000000000000477" header="0.30000000000000032" footer="0.30000000000000032"/>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290565256301036E-2"/>
          <c:y val="0.18628626421697292"/>
          <c:w val="0.89590844960025096"/>
          <c:h val="0.71781912742435072"/>
        </c:manualLayout>
      </c:layout>
      <c:barChart>
        <c:barDir val="col"/>
        <c:grouping val="clustered"/>
        <c:varyColors val="0"/>
        <c:ser>
          <c:idx val="1"/>
          <c:order val="0"/>
          <c:spPr>
            <a:solidFill>
              <a:srgbClr val="C00000"/>
            </a:solidFill>
          </c:spPr>
          <c:invertIfNegative val="0"/>
          <c:cat>
            <c:numRef>
              <c:f>'8.39'!$AD$14:$AO$14</c:f>
              <c:numCache>
                <c:formatCode>General</c:formatCode>
                <c:ptCount val="12"/>
                <c:pt idx="0">
                  <c:v>2010</c:v>
                </c:pt>
                <c:pt idx="1">
                  <c:v>2011</c:v>
                </c:pt>
                <c:pt idx="2">
                  <c:v>2012</c:v>
                </c:pt>
                <c:pt idx="3">
                  <c:v>2013</c:v>
                </c:pt>
                <c:pt idx="4" formatCode="General_)">
                  <c:v>2014</c:v>
                </c:pt>
                <c:pt idx="5">
                  <c:v>2015</c:v>
                </c:pt>
                <c:pt idx="6">
                  <c:v>2016</c:v>
                </c:pt>
                <c:pt idx="7" formatCode="General_)">
                  <c:v>2017</c:v>
                </c:pt>
                <c:pt idx="8" formatCode="General_)">
                  <c:v>2018</c:v>
                </c:pt>
                <c:pt idx="9" formatCode="General_)">
                  <c:v>2019</c:v>
                </c:pt>
                <c:pt idx="10" formatCode="General_)">
                  <c:v>2020</c:v>
                </c:pt>
                <c:pt idx="11" formatCode="General_)">
                  <c:v>2021</c:v>
                </c:pt>
              </c:numCache>
            </c:numRef>
          </c:cat>
          <c:val>
            <c:numRef>
              <c:f>'8.39'!$AD$17:$AO$17</c:f>
              <c:numCache>
                <c:formatCode>_(* #,##0.0_);_(* \(#,##0.0\);_(* "-"??_);_(@_)</c:formatCode>
                <c:ptCount val="12"/>
                <c:pt idx="0">
                  <c:v>1.9801980198019802</c:v>
                </c:pt>
                <c:pt idx="1">
                  <c:v>2.5380710659898478</c:v>
                </c:pt>
                <c:pt idx="2">
                  <c:v>3.0487804878048781</c:v>
                </c:pt>
                <c:pt idx="3">
                  <c:v>4.8648648648648649</c:v>
                </c:pt>
                <c:pt idx="4">
                  <c:v>4.395604395604396</c:v>
                </c:pt>
                <c:pt idx="5">
                  <c:v>3.8251366120218582</c:v>
                </c:pt>
                <c:pt idx="6">
                  <c:v>2.8089887640449436</c:v>
                </c:pt>
                <c:pt idx="7">
                  <c:v>3.867403314917127</c:v>
                </c:pt>
                <c:pt idx="8">
                  <c:v>5.0761421319796955</c:v>
                </c:pt>
                <c:pt idx="9">
                  <c:v>5.9782608695652177</c:v>
                </c:pt>
                <c:pt idx="10">
                  <c:v>7.9787234042553195</c:v>
                </c:pt>
                <c:pt idx="11">
                  <c:v>10.989010989010989</c:v>
                </c:pt>
              </c:numCache>
            </c:numRef>
          </c:val>
          <c:extLst>
            <c:ext xmlns:c16="http://schemas.microsoft.com/office/drawing/2014/chart" uri="{C3380CC4-5D6E-409C-BE32-E72D297353CC}">
              <c16:uniqueId val="{00000000-F139-4547-BF95-716665416C17}"/>
            </c:ext>
          </c:extLst>
        </c:ser>
        <c:dLbls>
          <c:showLegendKey val="0"/>
          <c:showVal val="0"/>
          <c:showCatName val="0"/>
          <c:showSerName val="0"/>
          <c:showPercent val="0"/>
          <c:showBubbleSize val="0"/>
        </c:dLbls>
        <c:gapWidth val="150"/>
        <c:axId val="378834032"/>
        <c:axId val="378827760"/>
      </c:barChart>
      <c:catAx>
        <c:axId val="378834032"/>
        <c:scaling>
          <c:orientation val="minMax"/>
        </c:scaling>
        <c:delete val="0"/>
        <c:axPos val="b"/>
        <c:numFmt formatCode="General" sourceLinked="1"/>
        <c:majorTickMark val="out"/>
        <c:minorTickMark val="none"/>
        <c:tickLblPos val="nextTo"/>
        <c:crossAx val="378827760"/>
        <c:crosses val="autoZero"/>
        <c:auto val="1"/>
        <c:lblAlgn val="ctr"/>
        <c:lblOffset val="100"/>
        <c:noMultiLvlLbl val="0"/>
      </c:catAx>
      <c:valAx>
        <c:axId val="378827760"/>
        <c:scaling>
          <c:orientation val="minMax"/>
        </c:scaling>
        <c:delete val="0"/>
        <c:axPos val="l"/>
        <c:majorGridlines>
          <c:spPr>
            <a:ln>
              <a:noFill/>
            </a:ln>
          </c:spPr>
        </c:majorGridlines>
        <c:numFmt formatCode="#,##0" sourceLinked="0"/>
        <c:majorTickMark val="out"/>
        <c:minorTickMark val="none"/>
        <c:tickLblPos val="nextTo"/>
        <c:crossAx val="378834032"/>
        <c:crosses val="autoZero"/>
        <c:crossBetween val="between"/>
      </c:valAx>
      <c:spPr>
        <a:solidFill>
          <a:srgbClr val="FFEFEF"/>
        </a:solidFill>
        <a:ln>
          <a:solidFill>
            <a:schemeClr val="tx1">
              <a:lumMod val="50000"/>
              <a:lumOff val="50000"/>
            </a:schemeClr>
          </a:solidFill>
        </a:ln>
      </c:spPr>
    </c:plotArea>
    <c:plotVisOnly val="1"/>
    <c:dispBlanksAs val="gap"/>
    <c:showDLblsOverMax val="0"/>
  </c:chart>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autoTitleDeleted val="1"/>
    <c:view3D>
      <c:rotX val="30"/>
      <c:rotY val="0"/>
      <c:rAngAx val="0"/>
    </c:view3D>
    <c:floor>
      <c:thickness val="0"/>
    </c:floor>
    <c:sideWall>
      <c:thickness val="0"/>
    </c:sideWall>
    <c:backWall>
      <c:thickness val="0"/>
    </c:backWall>
    <c:plotArea>
      <c:layout>
        <c:manualLayout>
          <c:layoutTarget val="inner"/>
          <c:xMode val="edge"/>
          <c:yMode val="edge"/>
          <c:x val="0.10059182793538368"/>
          <c:y val="0.16645290671346885"/>
          <c:w val="0.77555831836809874"/>
          <c:h val="0.73659921977617082"/>
        </c:manualLayout>
      </c:layout>
      <c:pie3DChart>
        <c:varyColors val="1"/>
        <c:ser>
          <c:idx val="0"/>
          <c:order val="0"/>
          <c:spPr>
            <a:solidFill>
              <a:srgbClr val="C00000"/>
            </a:solidFill>
          </c:spPr>
          <c:explosion val="3"/>
          <c:dPt>
            <c:idx val="0"/>
            <c:bubble3D val="0"/>
            <c:spPr>
              <a:solidFill>
                <a:srgbClr val="FFC5C5"/>
              </a:solidFill>
            </c:spPr>
            <c:extLst>
              <c:ext xmlns:c16="http://schemas.microsoft.com/office/drawing/2014/chart" uri="{C3380CC4-5D6E-409C-BE32-E72D297353CC}">
                <c16:uniqueId val="{00000002-E6B2-4CB5-B13D-ED4B86987449}"/>
              </c:ext>
            </c:extLst>
          </c:dPt>
          <c:dLbls>
            <c:dLbl>
              <c:idx val="0"/>
              <c:layout>
                <c:manualLayout>
                  <c:x val="-0.20749175583821253"/>
                  <c:y val="0.109994521712823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6B2-4CB5-B13D-ED4B86987449}"/>
                </c:ext>
              </c:extLst>
            </c:dLbl>
            <c:dLbl>
              <c:idx val="1"/>
              <c:layout>
                <c:manualLayout>
                  <c:x val="0.27428620140431165"/>
                  <c:y val="-0.1480180865242312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B2-4CB5-B13D-ED4B86987449}"/>
                </c:ext>
              </c:extLst>
            </c:dLbl>
            <c:spPr>
              <a:noFill/>
              <a:ln>
                <a:noFill/>
              </a:ln>
              <a:effectLst/>
            </c:spPr>
            <c:txPr>
              <a:bodyPr wrap="square" lIns="38100" tIns="19050" rIns="38100" bIns="19050" anchor="ctr">
                <a:spAutoFit/>
              </a:bodyPr>
              <a:lstStyle/>
              <a:p>
                <a:pPr>
                  <a:defRPr sz="140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'8.42'!$AA$4:$AB$4</c:f>
              <c:strCache>
                <c:ptCount val="2"/>
                <c:pt idx="0">
                  <c:v>Male </c:v>
                </c:pt>
                <c:pt idx="1">
                  <c:v>Female</c:v>
                </c:pt>
              </c:strCache>
            </c:strRef>
          </c:cat>
          <c:val>
            <c:numRef>
              <c:f>'8.42'!$AA$7:$AB$7</c:f>
              <c:numCache>
                <c:formatCode>#,##0</c:formatCode>
                <c:ptCount val="2"/>
                <c:pt idx="0">
                  <c:v>125</c:v>
                </c:pt>
                <c:pt idx="1">
                  <c:v>156</c:v>
                </c:pt>
              </c:numCache>
            </c:numRef>
          </c:val>
          <c:extLst>
            <c:ext xmlns:c16="http://schemas.microsoft.com/office/drawing/2014/chart" uri="{C3380CC4-5D6E-409C-BE32-E72D297353CC}">
              <c16:uniqueId val="{00000000-61FB-45DC-8151-77A92B3E1457}"/>
            </c:ext>
          </c:extLst>
        </c:ser>
        <c:dLbls>
          <c:showLegendKey val="0"/>
          <c:showVal val="0"/>
          <c:showCatName val="1"/>
          <c:showSerName val="0"/>
          <c:showPercent val="0"/>
          <c:showBubbleSize val="0"/>
          <c:showLeaderLines val="1"/>
        </c:dLbls>
      </c:pie3DChart>
    </c:plotArea>
    <c:plotVisOnly val="1"/>
    <c:dispBlanksAs val="gap"/>
    <c:showDLblsOverMax val="0"/>
  </c:chart>
  <c:printSettings>
    <c:headerFooter/>
    <c:pageMargins b="0.75" l="0.7" r="0.7" t="0.75" header="0.3" footer="0.3"/>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85017242109681E-2"/>
          <c:y val="0.18310610379697351"/>
          <c:w val="0.89950975764410335"/>
          <c:h val="0.69110778586251875"/>
        </c:manualLayout>
      </c:layout>
      <c:barChart>
        <c:barDir val="col"/>
        <c:grouping val="clustered"/>
        <c:varyColors val="0"/>
        <c:ser>
          <c:idx val="0"/>
          <c:order val="0"/>
          <c:tx>
            <c:strRef>
              <c:f>'8.46'!$BA$31</c:f>
              <c:strCache>
                <c:ptCount val="1"/>
                <c:pt idx="0">
                  <c:v>Completion rate</c:v>
                </c:pt>
              </c:strCache>
            </c:strRef>
          </c:tx>
          <c:spPr>
            <a:solidFill>
              <a:srgbClr val="FF6969"/>
            </a:solidFill>
          </c:spPr>
          <c:invertIfNegative val="0"/>
          <c:cat>
            <c:numRef>
              <c:f>'8.46'!$BB$30:$BJ$30</c:f>
              <c:numCache>
                <c:formatCode>General</c:formatCode>
                <c:ptCount val="9"/>
                <c:pt idx="0">
                  <c:v>2011</c:v>
                </c:pt>
                <c:pt idx="1">
                  <c:v>2012</c:v>
                </c:pt>
                <c:pt idx="2">
                  <c:v>2013</c:v>
                </c:pt>
                <c:pt idx="3">
                  <c:v>2014</c:v>
                </c:pt>
                <c:pt idx="4">
                  <c:v>2015</c:v>
                </c:pt>
                <c:pt idx="5">
                  <c:v>2016</c:v>
                </c:pt>
                <c:pt idx="6">
                  <c:v>2017</c:v>
                </c:pt>
                <c:pt idx="7">
                  <c:v>2018</c:v>
                </c:pt>
                <c:pt idx="8">
                  <c:v>2019</c:v>
                </c:pt>
              </c:numCache>
            </c:numRef>
          </c:cat>
          <c:val>
            <c:numRef>
              <c:f>'8.46'!$BB$31:$BJ$31</c:f>
              <c:numCache>
                <c:formatCode>0.0</c:formatCode>
                <c:ptCount val="9"/>
                <c:pt idx="0">
                  <c:v>86.812804453723032</c:v>
                </c:pt>
                <c:pt idx="1">
                  <c:v>61.540749553837003</c:v>
                </c:pt>
                <c:pt idx="2">
                  <c:v>70.99408617290905</c:v>
                </c:pt>
                <c:pt idx="3">
                  <c:v>70.70082449941107</c:v>
                </c:pt>
                <c:pt idx="4">
                  <c:v>70.769571967176759</c:v>
                </c:pt>
                <c:pt idx="5">
                  <c:v>96.101645971700833</c:v>
                </c:pt>
                <c:pt idx="6">
                  <c:v>98.131868131868131</c:v>
                </c:pt>
                <c:pt idx="7">
                  <c:v>99.701195219123505</c:v>
                </c:pt>
                <c:pt idx="8">
                  <c:v>98.756218905472636</c:v>
                </c:pt>
              </c:numCache>
            </c:numRef>
          </c:val>
          <c:extLst>
            <c:ext xmlns:c16="http://schemas.microsoft.com/office/drawing/2014/chart" uri="{C3380CC4-5D6E-409C-BE32-E72D297353CC}">
              <c16:uniqueId val="{00000001-8F25-43D5-9C64-5BA5AA1D8864}"/>
            </c:ext>
          </c:extLst>
        </c:ser>
        <c:ser>
          <c:idx val="1"/>
          <c:order val="1"/>
          <c:tx>
            <c:strRef>
              <c:f>'8.46'!$BA$32</c:f>
              <c:strCache>
                <c:ptCount val="1"/>
                <c:pt idx="0">
                  <c:v>Submission rate to courts</c:v>
                </c:pt>
              </c:strCache>
            </c:strRef>
          </c:tx>
          <c:spPr>
            <a:solidFill>
              <a:srgbClr val="C00000"/>
            </a:solidFill>
          </c:spPr>
          <c:invertIfNegative val="0"/>
          <c:cat>
            <c:numRef>
              <c:f>'8.46'!$BB$30:$BJ$30</c:f>
              <c:numCache>
                <c:formatCode>General</c:formatCode>
                <c:ptCount val="9"/>
                <c:pt idx="0">
                  <c:v>2011</c:v>
                </c:pt>
                <c:pt idx="1">
                  <c:v>2012</c:v>
                </c:pt>
                <c:pt idx="2">
                  <c:v>2013</c:v>
                </c:pt>
                <c:pt idx="3">
                  <c:v>2014</c:v>
                </c:pt>
                <c:pt idx="4">
                  <c:v>2015</c:v>
                </c:pt>
                <c:pt idx="5">
                  <c:v>2016</c:v>
                </c:pt>
                <c:pt idx="6">
                  <c:v>2017</c:v>
                </c:pt>
                <c:pt idx="7">
                  <c:v>2018</c:v>
                </c:pt>
                <c:pt idx="8">
                  <c:v>2019</c:v>
                </c:pt>
              </c:numCache>
            </c:numRef>
          </c:cat>
          <c:val>
            <c:numRef>
              <c:f>'8.46'!$BB$32:$BJ$32</c:f>
              <c:numCache>
                <c:formatCode>0.0</c:formatCode>
                <c:ptCount val="9"/>
                <c:pt idx="0">
                  <c:v>64.370215727209469</c:v>
                </c:pt>
                <c:pt idx="1">
                  <c:v>42.504461629982153</c:v>
                </c:pt>
                <c:pt idx="2">
                  <c:v>51.281329203041395</c:v>
                </c:pt>
                <c:pt idx="3">
                  <c:v>44.081272084805654</c:v>
                </c:pt>
                <c:pt idx="4">
                  <c:v>40.607673541805276</c:v>
                </c:pt>
                <c:pt idx="5">
                  <c:v>97.458850707479058</c:v>
                </c:pt>
                <c:pt idx="6">
                  <c:v>118.05860805860806</c:v>
                </c:pt>
                <c:pt idx="7">
                  <c:v>132.36763236763235</c:v>
                </c:pt>
                <c:pt idx="8">
                  <c:v>152.74559193954659</c:v>
                </c:pt>
              </c:numCache>
            </c:numRef>
          </c:val>
          <c:extLst>
            <c:ext xmlns:c16="http://schemas.microsoft.com/office/drawing/2014/chart" uri="{C3380CC4-5D6E-409C-BE32-E72D297353CC}">
              <c16:uniqueId val="{00000002-8F25-43D5-9C64-5BA5AA1D8864}"/>
            </c:ext>
          </c:extLst>
        </c:ser>
        <c:dLbls>
          <c:showLegendKey val="0"/>
          <c:showVal val="0"/>
          <c:showCatName val="0"/>
          <c:showSerName val="0"/>
          <c:showPercent val="0"/>
          <c:showBubbleSize val="0"/>
        </c:dLbls>
        <c:gapWidth val="150"/>
        <c:axId val="364838568"/>
        <c:axId val="364841312"/>
      </c:barChart>
      <c:catAx>
        <c:axId val="364838568"/>
        <c:scaling>
          <c:orientation val="minMax"/>
        </c:scaling>
        <c:delete val="0"/>
        <c:axPos val="b"/>
        <c:numFmt formatCode="General" sourceLinked="1"/>
        <c:majorTickMark val="none"/>
        <c:minorTickMark val="none"/>
        <c:tickLblPos val="nextTo"/>
        <c:crossAx val="364841312"/>
        <c:crosses val="autoZero"/>
        <c:auto val="1"/>
        <c:lblAlgn val="ctr"/>
        <c:lblOffset val="100"/>
        <c:noMultiLvlLbl val="0"/>
      </c:catAx>
      <c:valAx>
        <c:axId val="364841312"/>
        <c:scaling>
          <c:orientation val="minMax"/>
        </c:scaling>
        <c:delete val="0"/>
        <c:axPos val="l"/>
        <c:majorGridlines>
          <c:spPr>
            <a:ln w="3175">
              <a:noFill/>
              <a:prstDash val="sysDash"/>
            </a:ln>
          </c:spPr>
        </c:majorGridlines>
        <c:title>
          <c:tx>
            <c:rich>
              <a:bodyPr/>
              <a:lstStyle/>
              <a:p>
                <a:pPr>
                  <a:defRPr/>
                </a:pPr>
                <a:r>
                  <a:rPr lang="en-US"/>
                  <a:t>In Percent</a:t>
                </a:r>
              </a:p>
            </c:rich>
          </c:tx>
          <c:layout>
            <c:manualLayout>
              <c:xMode val="edge"/>
              <c:yMode val="edge"/>
              <c:x val="1.1679884750303481E-2"/>
              <c:y val="0.34224957407004847"/>
            </c:manualLayout>
          </c:layout>
          <c:overlay val="0"/>
        </c:title>
        <c:numFmt formatCode="0" sourceLinked="0"/>
        <c:majorTickMark val="out"/>
        <c:minorTickMark val="none"/>
        <c:tickLblPos val="nextTo"/>
        <c:crossAx val="364838568"/>
        <c:crosses val="autoZero"/>
        <c:crossBetween val="between"/>
      </c:valAx>
      <c:spPr>
        <a:solidFill>
          <a:srgbClr val="FFEFEF"/>
        </a:solidFill>
        <a:ln>
          <a:solidFill>
            <a:schemeClr val="bg1">
              <a:lumMod val="65000"/>
            </a:schemeClr>
          </a:solidFill>
        </a:ln>
      </c:spPr>
    </c:plotArea>
    <c:legend>
      <c:legendPos val="r"/>
      <c:layout>
        <c:manualLayout>
          <c:xMode val="edge"/>
          <c:yMode val="edge"/>
          <c:x val="0.20319672588185242"/>
          <c:y val="0.24484035266688328"/>
          <c:w val="0.60067750883974724"/>
          <c:h val="6.9417523666457384E-2"/>
        </c:manualLayout>
      </c:layout>
      <c:overlay val="0"/>
      <c:spPr>
        <a:solidFill>
          <a:srgbClr val="FFEFEF"/>
        </a:solidFill>
      </c:spPr>
      <c:txPr>
        <a:bodyPr/>
        <a:lstStyle/>
        <a:p>
          <a:pPr>
            <a:defRPr sz="1050"/>
          </a:pPr>
          <a:endParaRPr lang="en-US"/>
        </a:p>
      </c:txPr>
    </c:legend>
    <c:plotVisOnly val="1"/>
    <c:dispBlanksAs val="gap"/>
    <c:showDLblsOverMax val="0"/>
  </c:chart>
  <c:spPr>
    <a:solidFill>
      <a:schemeClr val="bg1"/>
    </a:solidFill>
    <a:ln w="6350" cap="sq">
      <a:bevel/>
    </a:ln>
  </c:spPr>
  <c:printSettings>
    <c:headerFooter/>
    <c:pageMargins b="0.750000000000005" l="0.70000000000000062" r="0.70000000000000062" t="0.750000000000005"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605237947898864E-2"/>
          <c:y val="0.20435061400504825"/>
          <c:w val="0.89095767483283916"/>
          <c:h val="0.66754940100694105"/>
        </c:manualLayout>
      </c:layout>
      <c:barChart>
        <c:barDir val="col"/>
        <c:grouping val="clustered"/>
        <c:varyColors val="0"/>
        <c:ser>
          <c:idx val="0"/>
          <c:order val="0"/>
          <c:tx>
            <c:strRef>
              <c:f>'8.46'!$BA$35</c:f>
              <c:strCache>
                <c:ptCount val="1"/>
                <c:pt idx="0">
                  <c:v>Completed </c:v>
                </c:pt>
              </c:strCache>
            </c:strRef>
          </c:tx>
          <c:spPr>
            <a:solidFill>
              <a:srgbClr val="C00000"/>
            </a:solidFill>
          </c:spPr>
          <c:invertIfNegative val="0"/>
          <c:cat>
            <c:numRef>
              <c:f>'8.46'!$BB$34:$BJ$34</c:f>
              <c:numCache>
                <c:formatCode>General</c:formatCode>
                <c:ptCount val="9"/>
                <c:pt idx="0">
                  <c:v>2011</c:v>
                </c:pt>
                <c:pt idx="1">
                  <c:v>2012</c:v>
                </c:pt>
                <c:pt idx="2">
                  <c:v>2013</c:v>
                </c:pt>
                <c:pt idx="3">
                  <c:v>2014</c:v>
                </c:pt>
                <c:pt idx="4">
                  <c:v>2015</c:v>
                </c:pt>
                <c:pt idx="5">
                  <c:v>2016</c:v>
                </c:pt>
                <c:pt idx="6">
                  <c:v>2017</c:v>
                </c:pt>
                <c:pt idx="7">
                  <c:v>2018</c:v>
                </c:pt>
                <c:pt idx="8">
                  <c:v>2019</c:v>
                </c:pt>
              </c:numCache>
            </c:numRef>
          </c:cat>
          <c:val>
            <c:numRef>
              <c:f>'8.46'!$BB$35:$BJ$35</c:f>
              <c:numCache>
                <c:formatCode>_(* #,##0_);_(* \(#,##0\);_(* "-"??_);_(@_)</c:formatCode>
                <c:ptCount val="9"/>
                <c:pt idx="0">
                  <c:v>2495</c:v>
                </c:pt>
                <c:pt idx="1">
                  <c:v>2069</c:v>
                </c:pt>
                <c:pt idx="2">
                  <c:v>2521</c:v>
                </c:pt>
                <c:pt idx="3">
                  <c:v>2401</c:v>
                </c:pt>
                <c:pt idx="4">
                  <c:v>3191</c:v>
                </c:pt>
                <c:pt idx="5">
                  <c:v>3328</c:v>
                </c:pt>
                <c:pt idx="6">
                  <c:v>2679</c:v>
                </c:pt>
                <c:pt idx="7">
                  <c:v>2002</c:v>
                </c:pt>
                <c:pt idx="8">
                  <c:v>1985</c:v>
                </c:pt>
              </c:numCache>
            </c:numRef>
          </c:val>
          <c:extLst>
            <c:ext xmlns:c16="http://schemas.microsoft.com/office/drawing/2014/chart" uri="{C3380CC4-5D6E-409C-BE32-E72D297353CC}">
              <c16:uniqueId val="{00000001-1985-4E09-BE79-BBADE4EEC8B9}"/>
            </c:ext>
          </c:extLst>
        </c:ser>
        <c:ser>
          <c:idx val="1"/>
          <c:order val="1"/>
          <c:tx>
            <c:strRef>
              <c:f>'8.46'!$BA$36</c:f>
              <c:strCache>
                <c:ptCount val="1"/>
                <c:pt idx="0">
                  <c:v>Submitted to court</c:v>
                </c:pt>
              </c:strCache>
            </c:strRef>
          </c:tx>
          <c:spPr>
            <a:solidFill>
              <a:srgbClr val="FF6969"/>
            </a:solidFill>
          </c:spPr>
          <c:invertIfNegative val="0"/>
          <c:cat>
            <c:numRef>
              <c:f>'8.46'!$BB$34:$BJ$34</c:f>
              <c:numCache>
                <c:formatCode>General</c:formatCode>
                <c:ptCount val="9"/>
                <c:pt idx="0">
                  <c:v>2011</c:v>
                </c:pt>
                <c:pt idx="1">
                  <c:v>2012</c:v>
                </c:pt>
                <c:pt idx="2">
                  <c:v>2013</c:v>
                </c:pt>
                <c:pt idx="3">
                  <c:v>2014</c:v>
                </c:pt>
                <c:pt idx="4">
                  <c:v>2015</c:v>
                </c:pt>
                <c:pt idx="5">
                  <c:v>2016</c:v>
                </c:pt>
                <c:pt idx="6">
                  <c:v>2017</c:v>
                </c:pt>
                <c:pt idx="7">
                  <c:v>2018</c:v>
                </c:pt>
                <c:pt idx="8">
                  <c:v>2019</c:v>
                </c:pt>
              </c:numCache>
            </c:numRef>
          </c:cat>
          <c:val>
            <c:numRef>
              <c:f>'8.46'!$BB$36:$BJ$36</c:f>
              <c:numCache>
                <c:formatCode>_(* #,##0_);_(* \(#,##0\);_(* "-"??_);_(@_)</c:formatCode>
                <c:ptCount val="9"/>
                <c:pt idx="0">
                  <c:v>1850</c:v>
                </c:pt>
                <c:pt idx="1">
                  <c:v>1429</c:v>
                </c:pt>
                <c:pt idx="2">
                  <c:v>1821</c:v>
                </c:pt>
                <c:pt idx="3">
                  <c:v>1497</c:v>
                </c:pt>
                <c:pt idx="4">
                  <c:v>1831</c:v>
                </c:pt>
                <c:pt idx="5">
                  <c:v>3375</c:v>
                </c:pt>
                <c:pt idx="6">
                  <c:v>3223</c:v>
                </c:pt>
                <c:pt idx="7">
                  <c:v>2650</c:v>
                </c:pt>
                <c:pt idx="8">
                  <c:v>3032</c:v>
                </c:pt>
              </c:numCache>
            </c:numRef>
          </c:val>
          <c:extLst>
            <c:ext xmlns:c16="http://schemas.microsoft.com/office/drawing/2014/chart" uri="{C3380CC4-5D6E-409C-BE32-E72D297353CC}">
              <c16:uniqueId val="{00000002-1985-4E09-BE79-BBADE4EEC8B9}"/>
            </c:ext>
          </c:extLst>
        </c:ser>
        <c:ser>
          <c:idx val="2"/>
          <c:order val="2"/>
          <c:tx>
            <c:strRef>
              <c:f>'8.46'!$BA$37</c:f>
              <c:strCache>
                <c:ptCount val="1"/>
                <c:pt idx="0">
                  <c:v>Not sent to court </c:v>
                </c:pt>
              </c:strCache>
            </c:strRef>
          </c:tx>
          <c:spPr>
            <a:solidFill>
              <a:srgbClr val="FFE5E5"/>
            </a:solidFill>
          </c:spPr>
          <c:invertIfNegative val="0"/>
          <c:cat>
            <c:numRef>
              <c:f>'8.46'!$BB$34:$BJ$34</c:f>
              <c:numCache>
                <c:formatCode>General</c:formatCode>
                <c:ptCount val="9"/>
                <c:pt idx="0">
                  <c:v>2011</c:v>
                </c:pt>
                <c:pt idx="1">
                  <c:v>2012</c:v>
                </c:pt>
                <c:pt idx="2">
                  <c:v>2013</c:v>
                </c:pt>
                <c:pt idx="3">
                  <c:v>2014</c:v>
                </c:pt>
                <c:pt idx="4">
                  <c:v>2015</c:v>
                </c:pt>
                <c:pt idx="5">
                  <c:v>2016</c:v>
                </c:pt>
                <c:pt idx="6">
                  <c:v>2017</c:v>
                </c:pt>
                <c:pt idx="7">
                  <c:v>2018</c:v>
                </c:pt>
                <c:pt idx="8">
                  <c:v>2019</c:v>
                </c:pt>
              </c:numCache>
            </c:numRef>
          </c:cat>
          <c:val>
            <c:numRef>
              <c:f>'8.46'!$BB$37:$BJ$37</c:f>
              <c:numCache>
                <c:formatCode>_(* #,##0_);_(* \(#,##0\);_(* "-"??_);_(@_)</c:formatCode>
                <c:ptCount val="9"/>
                <c:pt idx="0">
                  <c:v>379</c:v>
                </c:pt>
                <c:pt idx="1">
                  <c:v>1293</c:v>
                </c:pt>
                <c:pt idx="2">
                  <c:v>1030</c:v>
                </c:pt>
                <c:pt idx="3">
                  <c:v>995</c:v>
                </c:pt>
                <c:pt idx="4">
                  <c:v>1318</c:v>
                </c:pt>
                <c:pt idx="5">
                  <c:v>135</c:v>
                </c:pt>
                <c:pt idx="6">
                  <c:v>51</c:v>
                </c:pt>
                <c:pt idx="7">
                  <c:v>6</c:v>
                </c:pt>
                <c:pt idx="8">
                  <c:v>25</c:v>
                </c:pt>
              </c:numCache>
            </c:numRef>
          </c:val>
          <c:extLst>
            <c:ext xmlns:c16="http://schemas.microsoft.com/office/drawing/2014/chart" uri="{C3380CC4-5D6E-409C-BE32-E72D297353CC}">
              <c16:uniqueId val="{00000001-B9C3-4D42-9C33-2EBA279E6015}"/>
            </c:ext>
          </c:extLst>
        </c:ser>
        <c:dLbls>
          <c:showLegendKey val="0"/>
          <c:showVal val="0"/>
          <c:showCatName val="0"/>
          <c:showSerName val="0"/>
          <c:showPercent val="0"/>
          <c:showBubbleSize val="0"/>
        </c:dLbls>
        <c:gapWidth val="150"/>
        <c:axId val="364839352"/>
        <c:axId val="364839744"/>
      </c:barChart>
      <c:catAx>
        <c:axId val="364839352"/>
        <c:scaling>
          <c:orientation val="minMax"/>
        </c:scaling>
        <c:delete val="0"/>
        <c:axPos val="b"/>
        <c:numFmt formatCode="General" sourceLinked="1"/>
        <c:majorTickMark val="none"/>
        <c:minorTickMark val="none"/>
        <c:tickLblPos val="nextTo"/>
        <c:crossAx val="364839744"/>
        <c:crosses val="autoZero"/>
        <c:auto val="1"/>
        <c:lblAlgn val="ctr"/>
        <c:lblOffset val="100"/>
        <c:noMultiLvlLbl val="0"/>
      </c:catAx>
      <c:valAx>
        <c:axId val="364839744"/>
        <c:scaling>
          <c:orientation val="minMax"/>
        </c:scaling>
        <c:delete val="0"/>
        <c:axPos val="l"/>
        <c:majorGridlines>
          <c:spPr>
            <a:ln w="3175">
              <a:solidFill>
                <a:srgbClr val="DDBA97"/>
              </a:solidFill>
            </a:ln>
          </c:spPr>
        </c:majorGridlines>
        <c:title>
          <c:tx>
            <c:rich>
              <a:bodyPr rot="0" vert="horz"/>
              <a:lstStyle/>
              <a:p>
                <a:pPr>
                  <a:defRPr/>
                </a:pPr>
                <a:r>
                  <a:rPr lang="en-US"/>
                  <a:t>In</a:t>
                </a:r>
                <a:r>
                  <a:rPr lang="en-US" baseline="0"/>
                  <a:t> Numbers</a:t>
                </a:r>
                <a:endParaRPr lang="en-US"/>
              </a:p>
            </c:rich>
          </c:tx>
          <c:layout>
            <c:manualLayout>
              <c:xMode val="edge"/>
              <c:yMode val="edge"/>
              <c:x val="1.2097507419415709E-2"/>
              <c:y val="0.11934286908392276"/>
            </c:manualLayout>
          </c:layout>
          <c:overlay val="0"/>
        </c:title>
        <c:numFmt formatCode="#,##0" sourceLinked="0"/>
        <c:majorTickMark val="out"/>
        <c:minorTickMark val="none"/>
        <c:tickLblPos val="nextTo"/>
        <c:crossAx val="364839352"/>
        <c:crosses val="autoZero"/>
        <c:crossBetween val="between"/>
      </c:valAx>
      <c:spPr>
        <a:solidFill>
          <a:srgbClr val="FFEFEF"/>
        </a:solidFill>
        <a:ln>
          <a:solidFill>
            <a:sysClr val="window" lastClr="FFFFFF">
              <a:lumMod val="65000"/>
            </a:sysClr>
          </a:solidFill>
        </a:ln>
      </c:spPr>
    </c:plotArea>
    <c:legend>
      <c:legendPos val="r"/>
      <c:layout>
        <c:manualLayout>
          <c:xMode val="edge"/>
          <c:yMode val="edge"/>
          <c:x val="0.10612180185098033"/>
          <c:y val="0.28929159693979872"/>
          <c:w val="0.37550391882116874"/>
          <c:h val="5.5318694252752626E-2"/>
        </c:manualLayout>
      </c:layout>
      <c:overlay val="0"/>
    </c:legend>
    <c:plotVisOnly val="1"/>
    <c:dispBlanksAs val="gap"/>
    <c:showDLblsOverMax val="0"/>
  </c:chart>
  <c:spPr>
    <a:solidFill>
      <a:schemeClr val="bg1"/>
    </a:solidFill>
    <a:ln w="6350" cap="sq">
      <a:bevel/>
    </a:ln>
  </c:spPr>
  <c:printSettings>
    <c:headerFooter/>
    <c:pageMargins b="0.750000000000005" l="0.70000000000000062" r="0.70000000000000062" t="0.750000000000005" header="0.30000000000000032" footer="0.30000000000000032"/>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3962264150943396E-2"/>
          <c:y val="0.14605498902801084"/>
          <c:w val="0.93104273575301755"/>
          <c:h val="0.71394655995869372"/>
        </c:manualLayout>
      </c:layout>
      <c:barChart>
        <c:barDir val="col"/>
        <c:grouping val="clustered"/>
        <c:varyColors val="0"/>
        <c:ser>
          <c:idx val="0"/>
          <c:order val="0"/>
          <c:tx>
            <c:strRef>
              <c:f>'8.48'!$I$6</c:f>
              <c:strCache>
                <c:ptCount val="1"/>
                <c:pt idx="0">
                  <c:v>Male</c:v>
                </c:pt>
              </c:strCache>
            </c:strRef>
          </c:tx>
          <c:spPr>
            <a:solidFill>
              <a:srgbClr val="C00000"/>
            </a:solidFill>
          </c:spPr>
          <c:invertIfNegative val="0"/>
          <c:cat>
            <c:strRef>
              <c:f>'8.48'!$A$9:$A$15</c:f>
              <c:strCache>
                <c:ptCount val="7"/>
                <c:pt idx="0">
                  <c:v>15 - 19</c:v>
                </c:pt>
                <c:pt idx="1">
                  <c:v>20 - 24</c:v>
                </c:pt>
                <c:pt idx="2">
                  <c:v>25 - 29</c:v>
                </c:pt>
                <c:pt idx="3">
                  <c:v>30 - 34</c:v>
                </c:pt>
                <c:pt idx="4">
                  <c:v>35 - 39</c:v>
                </c:pt>
                <c:pt idx="5">
                  <c:v>40 - 49</c:v>
                </c:pt>
                <c:pt idx="6">
                  <c:v>50 &amp; Over</c:v>
                </c:pt>
              </c:strCache>
            </c:strRef>
          </c:cat>
          <c:val>
            <c:numRef>
              <c:f>'8.48'!$I$9:$I$15</c:f>
              <c:numCache>
                <c:formatCode>General_)</c:formatCode>
                <c:ptCount val="7"/>
                <c:pt idx="0">
                  <c:v>24</c:v>
                </c:pt>
                <c:pt idx="1">
                  <c:v>82</c:v>
                </c:pt>
                <c:pt idx="2">
                  <c:v>163</c:v>
                </c:pt>
                <c:pt idx="3">
                  <c:v>120</c:v>
                </c:pt>
                <c:pt idx="4">
                  <c:v>89</c:v>
                </c:pt>
                <c:pt idx="5">
                  <c:v>81</c:v>
                </c:pt>
                <c:pt idx="6">
                  <c:v>40</c:v>
                </c:pt>
              </c:numCache>
            </c:numRef>
          </c:val>
          <c:extLst>
            <c:ext xmlns:c16="http://schemas.microsoft.com/office/drawing/2014/chart" uri="{C3380CC4-5D6E-409C-BE32-E72D297353CC}">
              <c16:uniqueId val="{00000000-8D44-4D3F-AA64-E8D04B91F246}"/>
            </c:ext>
          </c:extLst>
        </c:ser>
        <c:ser>
          <c:idx val="1"/>
          <c:order val="1"/>
          <c:tx>
            <c:strRef>
              <c:f>'8.48'!$J$6</c:f>
              <c:strCache>
                <c:ptCount val="1"/>
                <c:pt idx="0">
                  <c:v>Female</c:v>
                </c:pt>
              </c:strCache>
            </c:strRef>
          </c:tx>
          <c:spPr>
            <a:solidFill>
              <a:srgbClr val="FFC5C5"/>
            </a:solidFill>
          </c:spPr>
          <c:invertIfNegative val="0"/>
          <c:cat>
            <c:strRef>
              <c:f>'8.48'!$A$9:$A$15</c:f>
              <c:strCache>
                <c:ptCount val="7"/>
                <c:pt idx="0">
                  <c:v>15 - 19</c:v>
                </c:pt>
                <c:pt idx="1">
                  <c:v>20 - 24</c:v>
                </c:pt>
                <c:pt idx="2">
                  <c:v>25 - 29</c:v>
                </c:pt>
                <c:pt idx="3">
                  <c:v>30 - 34</c:v>
                </c:pt>
                <c:pt idx="4">
                  <c:v>35 - 39</c:v>
                </c:pt>
                <c:pt idx="5">
                  <c:v>40 - 49</c:v>
                </c:pt>
                <c:pt idx="6">
                  <c:v>50 &amp; Over</c:v>
                </c:pt>
              </c:strCache>
            </c:strRef>
          </c:cat>
          <c:val>
            <c:numRef>
              <c:f>'8.48'!$J$9:$J$15</c:f>
              <c:numCache>
                <c:formatCode>General_)</c:formatCode>
                <c:ptCount val="7"/>
                <c:pt idx="0">
                  <c:v>0</c:v>
                </c:pt>
                <c:pt idx="1">
                  <c:v>2</c:v>
                </c:pt>
                <c:pt idx="2">
                  <c:v>1</c:v>
                </c:pt>
                <c:pt idx="3">
                  <c:v>9</c:v>
                </c:pt>
                <c:pt idx="4">
                  <c:v>0</c:v>
                </c:pt>
                <c:pt idx="5">
                  <c:v>0</c:v>
                </c:pt>
                <c:pt idx="6">
                  <c:v>0</c:v>
                </c:pt>
              </c:numCache>
            </c:numRef>
          </c:val>
          <c:extLst>
            <c:ext xmlns:c16="http://schemas.microsoft.com/office/drawing/2014/chart" uri="{C3380CC4-5D6E-409C-BE32-E72D297353CC}">
              <c16:uniqueId val="{00000001-8D44-4D3F-AA64-E8D04B91F246}"/>
            </c:ext>
          </c:extLst>
        </c:ser>
        <c:dLbls>
          <c:showLegendKey val="0"/>
          <c:showVal val="0"/>
          <c:showCatName val="0"/>
          <c:showSerName val="0"/>
          <c:showPercent val="0"/>
          <c:showBubbleSize val="0"/>
        </c:dLbls>
        <c:gapWidth val="150"/>
        <c:axId val="292416512"/>
        <c:axId val="292418304"/>
      </c:barChart>
      <c:catAx>
        <c:axId val="2924165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mn-lt"/>
                <a:ea typeface="Arial"/>
                <a:cs typeface="Arial"/>
              </a:defRPr>
            </a:pPr>
            <a:endParaRPr lang="en-US"/>
          </a:p>
        </c:txPr>
        <c:crossAx val="292418304"/>
        <c:crosses val="autoZero"/>
        <c:auto val="1"/>
        <c:lblAlgn val="ctr"/>
        <c:lblOffset val="100"/>
        <c:tickLblSkip val="1"/>
        <c:tickMarkSkip val="1"/>
        <c:noMultiLvlLbl val="0"/>
      </c:catAx>
      <c:valAx>
        <c:axId val="292418304"/>
        <c:scaling>
          <c:orientation val="minMax"/>
        </c:scaling>
        <c:delete val="0"/>
        <c:axPos val="l"/>
        <c:majorGridlines>
          <c:spPr>
            <a:ln w="3175">
              <a:solidFill>
                <a:srgbClr val="FFE5E5"/>
              </a:solidFill>
              <a:prstDash val="solid"/>
            </a:ln>
          </c:spPr>
        </c:majorGridlines>
        <c:title>
          <c:tx>
            <c:rich>
              <a:bodyPr rot="0" vert="horz"/>
              <a:lstStyle/>
              <a:p>
                <a:pPr algn="ctr">
                  <a:defRPr sz="800" b="1" i="0" u="none" strike="noStrike" baseline="0">
                    <a:solidFill>
                      <a:srgbClr val="000000"/>
                    </a:solidFill>
                    <a:latin typeface="Arial"/>
                    <a:ea typeface="Arial"/>
                    <a:cs typeface="Arial"/>
                  </a:defRPr>
                </a:pPr>
                <a:r>
                  <a:rPr lang="en-US"/>
                  <a:t>In numbers</a:t>
                </a:r>
              </a:p>
            </c:rich>
          </c:tx>
          <c:layout>
            <c:manualLayout>
              <c:xMode val="edge"/>
              <c:yMode val="edge"/>
              <c:x val="3.080108103054644E-3"/>
              <c:y val="6.9979041767531988E-2"/>
            </c:manualLayout>
          </c:layout>
          <c:overlay val="0"/>
          <c:spPr>
            <a:noFill/>
            <a:ln w="25400">
              <a:noFill/>
            </a:ln>
          </c:spPr>
        </c:title>
        <c:numFmt formatCode="#,##0" sourceLinked="0"/>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92416512"/>
        <c:crosses val="autoZero"/>
        <c:crossBetween val="between"/>
      </c:valAx>
      <c:spPr>
        <a:solidFill>
          <a:srgbClr val="FFEFEF"/>
        </a:solidFill>
        <a:ln w="9525">
          <a:solidFill>
            <a:schemeClr val="bg1">
              <a:lumMod val="65000"/>
            </a:schemeClr>
          </a:solidFill>
          <a:prstDash val="solid"/>
        </a:ln>
      </c:spPr>
    </c:plotArea>
    <c:legend>
      <c:legendPos val="r"/>
      <c:layout>
        <c:manualLayout>
          <c:xMode val="edge"/>
          <c:yMode val="edge"/>
          <c:x val="0.70838013293926183"/>
          <c:y val="0.27625935646933025"/>
          <c:w val="0.18775675866996563"/>
          <c:h val="8.2423771102686241E-2"/>
        </c:manualLayout>
      </c:layout>
      <c:overlay val="0"/>
      <c:spPr>
        <a:noFill/>
        <a:ln w="25400">
          <a:noFill/>
        </a:ln>
      </c:spPr>
      <c:txPr>
        <a:bodyPr/>
        <a:lstStyle/>
        <a:p>
          <a:pPr>
            <a:defRPr sz="1050" b="0" i="0" u="none" strike="noStrike" baseline="0">
              <a:solidFill>
                <a:srgbClr val="000000"/>
              </a:solidFill>
              <a:latin typeface="+mn-lt"/>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 footer="0.5"/>
    <c:pageSetup orientation="portrait"/>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18449256342959E-2"/>
          <c:y val="0.14850721784776902"/>
          <c:w val="0.89521740015056261"/>
          <c:h val="0.73551290463692043"/>
        </c:manualLayout>
      </c:layout>
      <c:barChart>
        <c:barDir val="col"/>
        <c:grouping val="clustered"/>
        <c:varyColors val="0"/>
        <c:ser>
          <c:idx val="0"/>
          <c:order val="0"/>
          <c:tx>
            <c:strRef>
              <c:f>'8.48'!$AB$14</c:f>
              <c:strCache>
                <c:ptCount val="1"/>
                <c:pt idx="0">
                  <c:v>Both sexes</c:v>
                </c:pt>
              </c:strCache>
            </c:strRef>
          </c:tx>
          <c:spPr>
            <a:solidFill>
              <a:srgbClr val="C00000"/>
            </a:solidFill>
          </c:spPr>
          <c:invertIfNegative val="0"/>
          <c:cat>
            <c:numRef>
              <c:f>'8.48'!$AA$15:$AA$21</c:f>
              <c:numCache>
                <c:formatCode>General_)</c:formatCode>
                <c:ptCount val="7"/>
                <c:pt idx="0">
                  <c:v>2014</c:v>
                </c:pt>
                <c:pt idx="1">
                  <c:v>2015</c:v>
                </c:pt>
                <c:pt idx="2">
                  <c:v>2016</c:v>
                </c:pt>
                <c:pt idx="3">
                  <c:v>2017</c:v>
                </c:pt>
                <c:pt idx="4">
                  <c:v>2018</c:v>
                </c:pt>
                <c:pt idx="5">
                  <c:v>2019</c:v>
                </c:pt>
                <c:pt idx="6">
                  <c:v>2020</c:v>
                </c:pt>
              </c:numCache>
            </c:numRef>
          </c:cat>
          <c:val>
            <c:numRef>
              <c:f>'8.48'!$AB$15:$AB$21</c:f>
              <c:numCache>
                <c:formatCode>General_)</c:formatCode>
                <c:ptCount val="7"/>
                <c:pt idx="0">
                  <c:v>401</c:v>
                </c:pt>
                <c:pt idx="1">
                  <c:v>358</c:v>
                </c:pt>
                <c:pt idx="2">
                  <c:v>828</c:v>
                </c:pt>
                <c:pt idx="3">
                  <c:v>1124</c:v>
                </c:pt>
                <c:pt idx="4">
                  <c:v>1262</c:v>
                </c:pt>
                <c:pt idx="5">
                  <c:v>1241</c:v>
                </c:pt>
                <c:pt idx="6">
                  <c:v>611</c:v>
                </c:pt>
              </c:numCache>
            </c:numRef>
          </c:val>
          <c:extLst>
            <c:ext xmlns:c16="http://schemas.microsoft.com/office/drawing/2014/chart" uri="{C3380CC4-5D6E-409C-BE32-E72D297353CC}">
              <c16:uniqueId val="{00000000-AA78-4E30-BCAD-8A91313E00CF}"/>
            </c:ext>
          </c:extLst>
        </c:ser>
        <c:ser>
          <c:idx val="1"/>
          <c:order val="1"/>
          <c:tx>
            <c:strRef>
              <c:f>'8.48'!$AC$14</c:f>
              <c:strCache>
                <c:ptCount val="1"/>
                <c:pt idx="0">
                  <c:v>Male</c:v>
                </c:pt>
              </c:strCache>
            </c:strRef>
          </c:tx>
          <c:spPr>
            <a:solidFill>
              <a:srgbClr val="FF6969"/>
            </a:solidFill>
          </c:spPr>
          <c:invertIfNegative val="0"/>
          <c:cat>
            <c:numRef>
              <c:f>'8.48'!$AA$15:$AA$21</c:f>
              <c:numCache>
                <c:formatCode>General_)</c:formatCode>
                <c:ptCount val="7"/>
                <c:pt idx="0">
                  <c:v>2014</c:v>
                </c:pt>
                <c:pt idx="1">
                  <c:v>2015</c:v>
                </c:pt>
                <c:pt idx="2">
                  <c:v>2016</c:v>
                </c:pt>
                <c:pt idx="3">
                  <c:v>2017</c:v>
                </c:pt>
                <c:pt idx="4">
                  <c:v>2018</c:v>
                </c:pt>
                <c:pt idx="5">
                  <c:v>2019</c:v>
                </c:pt>
                <c:pt idx="6">
                  <c:v>2020</c:v>
                </c:pt>
              </c:numCache>
            </c:numRef>
          </c:cat>
          <c:val>
            <c:numRef>
              <c:f>'8.48'!$AC$15:$AC$21</c:f>
              <c:numCache>
                <c:formatCode>General_)</c:formatCode>
                <c:ptCount val="7"/>
                <c:pt idx="0">
                  <c:v>342</c:v>
                </c:pt>
                <c:pt idx="1">
                  <c:v>302</c:v>
                </c:pt>
                <c:pt idx="2">
                  <c:v>752</c:v>
                </c:pt>
                <c:pt idx="3">
                  <c:v>1058</c:v>
                </c:pt>
                <c:pt idx="4">
                  <c:v>1189</c:v>
                </c:pt>
                <c:pt idx="5">
                  <c:v>1182</c:v>
                </c:pt>
                <c:pt idx="6">
                  <c:v>599</c:v>
                </c:pt>
              </c:numCache>
            </c:numRef>
          </c:val>
          <c:extLst>
            <c:ext xmlns:c16="http://schemas.microsoft.com/office/drawing/2014/chart" uri="{C3380CC4-5D6E-409C-BE32-E72D297353CC}">
              <c16:uniqueId val="{00000001-AA78-4E30-BCAD-8A91313E00CF}"/>
            </c:ext>
          </c:extLst>
        </c:ser>
        <c:ser>
          <c:idx val="2"/>
          <c:order val="2"/>
          <c:tx>
            <c:strRef>
              <c:f>'8.48'!$AD$14</c:f>
              <c:strCache>
                <c:ptCount val="1"/>
                <c:pt idx="0">
                  <c:v>Female</c:v>
                </c:pt>
              </c:strCache>
            </c:strRef>
          </c:tx>
          <c:spPr>
            <a:solidFill>
              <a:srgbClr val="FFC5C5"/>
            </a:solidFill>
          </c:spPr>
          <c:invertIfNegative val="0"/>
          <c:cat>
            <c:numRef>
              <c:f>'8.48'!$AA$15:$AA$21</c:f>
              <c:numCache>
                <c:formatCode>General_)</c:formatCode>
                <c:ptCount val="7"/>
                <c:pt idx="0">
                  <c:v>2014</c:v>
                </c:pt>
                <c:pt idx="1">
                  <c:v>2015</c:v>
                </c:pt>
                <c:pt idx="2">
                  <c:v>2016</c:v>
                </c:pt>
                <c:pt idx="3">
                  <c:v>2017</c:v>
                </c:pt>
                <c:pt idx="4">
                  <c:v>2018</c:v>
                </c:pt>
                <c:pt idx="5">
                  <c:v>2019</c:v>
                </c:pt>
                <c:pt idx="6">
                  <c:v>2020</c:v>
                </c:pt>
              </c:numCache>
            </c:numRef>
          </c:cat>
          <c:val>
            <c:numRef>
              <c:f>'8.48'!$AD$15:$AD$21</c:f>
              <c:numCache>
                <c:formatCode>General_)</c:formatCode>
                <c:ptCount val="7"/>
                <c:pt idx="0">
                  <c:v>59</c:v>
                </c:pt>
                <c:pt idx="1">
                  <c:v>56</c:v>
                </c:pt>
                <c:pt idx="2">
                  <c:v>76</c:v>
                </c:pt>
                <c:pt idx="3">
                  <c:v>66</c:v>
                </c:pt>
                <c:pt idx="4">
                  <c:v>73</c:v>
                </c:pt>
                <c:pt idx="5">
                  <c:v>59</c:v>
                </c:pt>
                <c:pt idx="6">
                  <c:v>12</c:v>
                </c:pt>
              </c:numCache>
            </c:numRef>
          </c:val>
          <c:extLst>
            <c:ext xmlns:c16="http://schemas.microsoft.com/office/drawing/2014/chart" uri="{C3380CC4-5D6E-409C-BE32-E72D297353CC}">
              <c16:uniqueId val="{00000002-AA78-4E30-BCAD-8A91313E00CF}"/>
            </c:ext>
          </c:extLst>
        </c:ser>
        <c:dLbls>
          <c:showLegendKey val="0"/>
          <c:showVal val="0"/>
          <c:showCatName val="0"/>
          <c:showSerName val="0"/>
          <c:showPercent val="0"/>
          <c:showBubbleSize val="0"/>
        </c:dLbls>
        <c:gapWidth val="150"/>
        <c:axId val="293104640"/>
        <c:axId val="293110528"/>
      </c:barChart>
      <c:catAx>
        <c:axId val="293104640"/>
        <c:scaling>
          <c:orientation val="minMax"/>
        </c:scaling>
        <c:delete val="0"/>
        <c:axPos val="b"/>
        <c:numFmt formatCode="General_)" sourceLinked="1"/>
        <c:majorTickMark val="none"/>
        <c:minorTickMark val="none"/>
        <c:tickLblPos val="nextTo"/>
        <c:crossAx val="293110528"/>
        <c:crosses val="autoZero"/>
        <c:auto val="1"/>
        <c:lblAlgn val="ctr"/>
        <c:lblOffset val="100"/>
        <c:noMultiLvlLbl val="0"/>
      </c:catAx>
      <c:valAx>
        <c:axId val="293110528"/>
        <c:scaling>
          <c:orientation val="minMax"/>
        </c:scaling>
        <c:delete val="0"/>
        <c:axPos val="l"/>
        <c:majorGridlines>
          <c:spPr>
            <a:ln>
              <a:solidFill>
                <a:srgbClr val="FFE5E5"/>
              </a:solidFill>
            </a:ln>
          </c:spPr>
        </c:majorGridlines>
        <c:numFmt formatCode="#,##0" sourceLinked="0"/>
        <c:majorTickMark val="none"/>
        <c:minorTickMark val="none"/>
        <c:tickLblPos val="nextTo"/>
        <c:crossAx val="293104640"/>
        <c:crosses val="autoZero"/>
        <c:crossBetween val="between"/>
      </c:valAx>
      <c:spPr>
        <a:solidFill>
          <a:srgbClr val="FFEFEF"/>
        </a:solidFill>
        <a:ln>
          <a:solidFill>
            <a:schemeClr val="bg1">
              <a:lumMod val="65000"/>
            </a:schemeClr>
          </a:solidFill>
        </a:ln>
      </c:spPr>
    </c:plotArea>
    <c:legend>
      <c:legendPos val="r"/>
      <c:layout>
        <c:manualLayout>
          <c:xMode val="edge"/>
          <c:yMode val="edge"/>
          <c:x val="9.3406517615954934E-2"/>
          <c:y val="0.16907281158545276"/>
          <c:w val="0.44965457784930168"/>
          <c:h val="0.11607557042590122"/>
        </c:manualLayout>
      </c:layout>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00307947844436E-2"/>
          <c:y val="0.1753044483326813"/>
          <c:w val="0.90002565145571201"/>
          <c:h val="0.71651559658607622"/>
        </c:manualLayout>
      </c:layout>
      <c:barChart>
        <c:barDir val="col"/>
        <c:grouping val="clustered"/>
        <c:varyColors val="0"/>
        <c:ser>
          <c:idx val="0"/>
          <c:order val="0"/>
          <c:tx>
            <c:strRef>
              <c:f>'8.49'!$BJ$34</c:f>
              <c:strCache>
                <c:ptCount val="1"/>
                <c:pt idx="0">
                  <c:v>Jailed</c:v>
                </c:pt>
              </c:strCache>
            </c:strRef>
          </c:tx>
          <c:spPr>
            <a:solidFill>
              <a:srgbClr val="C00000"/>
            </a:solidFill>
          </c:spPr>
          <c:invertIfNegative val="0"/>
          <c:cat>
            <c:numRef>
              <c:f>'8.49'!$BI$35:$BI$41</c:f>
              <c:numCache>
                <c:formatCode>General_)</c:formatCode>
                <c:ptCount val="7"/>
                <c:pt idx="0">
                  <c:v>2014</c:v>
                </c:pt>
                <c:pt idx="1">
                  <c:v>2015</c:v>
                </c:pt>
                <c:pt idx="2">
                  <c:v>2016</c:v>
                </c:pt>
                <c:pt idx="3">
                  <c:v>2017</c:v>
                </c:pt>
                <c:pt idx="4">
                  <c:v>2018</c:v>
                </c:pt>
                <c:pt idx="5">
                  <c:v>2019</c:v>
                </c:pt>
                <c:pt idx="6">
                  <c:v>2020</c:v>
                </c:pt>
              </c:numCache>
            </c:numRef>
          </c:cat>
          <c:val>
            <c:numRef>
              <c:f>'8.49'!$BJ$35:$BJ$41</c:f>
              <c:numCache>
                <c:formatCode>General_)</c:formatCode>
                <c:ptCount val="7"/>
                <c:pt idx="0">
                  <c:v>278</c:v>
                </c:pt>
                <c:pt idx="1">
                  <c:v>257</c:v>
                </c:pt>
                <c:pt idx="2">
                  <c:v>742</c:v>
                </c:pt>
                <c:pt idx="3">
                  <c:v>893</c:v>
                </c:pt>
                <c:pt idx="4">
                  <c:v>988</c:v>
                </c:pt>
                <c:pt idx="5">
                  <c:v>991</c:v>
                </c:pt>
                <c:pt idx="6">
                  <c:v>503</c:v>
                </c:pt>
              </c:numCache>
            </c:numRef>
          </c:val>
          <c:extLst>
            <c:ext xmlns:c16="http://schemas.microsoft.com/office/drawing/2014/chart" uri="{C3380CC4-5D6E-409C-BE32-E72D297353CC}">
              <c16:uniqueId val="{00000000-AD1C-4A89-829F-554F50E09FD2}"/>
            </c:ext>
          </c:extLst>
        </c:ser>
        <c:ser>
          <c:idx val="1"/>
          <c:order val="1"/>
          <c:tx>
            <c:strRef>
              <c:f>'8.49'!$BK$34</c:f>
              <c:strCache>
                <c:ptCount val="1"/>
                <c:pt idx="0">
                  <c:v>Banished</c:v>
                </c:pt>
              </c:strCache>
            </c:strRef>
          </c:tx>
          <c:spPr>
            <a:solidFill>
              <a:srgbClr val="FF0000"/>
            </a:solidFill>
          </c:spPr>
          <c:invertIfNegative val="0"/>
          <c:cat>
            <c:numRef>
              <c:f>'8.49'!$BI$35:$BI$41</c:f>
              <c:numCache>
                <c:formatCode>General_)</c:formatCode>
                <c:ptCount val="7"/>
                <c:pt idx="0">
                  <c:v>2014</c:v>
                </c:pt>
                <c:pt idx="1">
                  <c:v>2015</c:v>
                </c:pt>
                <c:pt idx="2">
                  <c:v>2016</c:v>
                </c:pt>
                <c:pt idx="3">
                  <c:v>2017</c:v>
                </c:pt>
                <c:pt idx="4">
                  <c:v>2018</c:v>
                </c:pt>
                <c:pt idx="5">
                  <c:v>2019</c:v>
                </c:pt>
                <c:pt idx="6">
                  <c:v>2020</c:v>
                </c:pt>
              </c:numCache>
            </c:numRef>
          </c:cat>
          <c:val>
            <c:numRef>
              <c:f>'8.49'!$BK$35:$BK$41</c:f>
              <c:numCache>
                <c:formatCode>General_)</c:formatCode>
                <c:ptCount val="7"/>
                <c:pt idx="0">
                  <c:v>24</c:v>
                </c:pt>
                <c:pt idx="1">
                  <c:v>8</c:v>
                </c:pt>
                <c:pt idx="2">
                  <c:v>5</c:v>
                </c:pt>
                <c:pt idx="3">
                  <c:v>2</c:v>
                </c:pt>
                <c:pt idx="4">
                  <c:v>1</c:v>
                </c:pt>
                <c:pt idx="5">
                  <c:v>1</c:v>
                </c:pt>
                <c:pt idx="6">
                  <c:v>0</c:v>
                </c:pt>
              </c:numCache>
            </c:numRef>
          </c:val>
          <c:extLst>
            <c:ext xmlns:c16="http://schemas.microsoft.com/office/drawing/2014/chart" uri="{C3380CC4-5D6E-409C-BE32-E72D297353CC}">
              <c16:uniqueId val="{00000001-AD1C-4A89-829F-554F50E09FD2}"/>
            </c:ext>
          </c:extLst>
        </c:ser>
        <c:ser>
          <c:idx val="2"/>
          <c:order val="2"/>
          <c:tx>
            <c:strRef>
              <c:f>'8.49'!$BL$34</c:f>
              <c:strCache>
                <c:ptCount val="1"/>
                <c:pt idx="0">
                  <c:v>House Arrest/Detention</c:v>
                </c:pt>
              </c:strCache>
            </c:strRef>
          </c:tx>
          <c:spPr>
            <a:solidFill>
              <a:srgbClr val="FFC5C5"/>
            </a:solidFill>
          </c:spPr>
          <c:invertIfNegative val="0"/>
          <c:cat>
            <c:numRef>
              <c:f>'8.49'!$BI$35:$BI$41</c:f>
              <c:numCache>
                <c:formatCode>General_)</c:formatCode>
                <c:ptCount val="7"/>
                <c:pt idx="0">
                  <c:v>2014</c:v>
                </c:pt>
                <c:pt idx="1">
                  <c:v>2015</c:v>
                </c:pt>
                <c:pt idx="2">
                  <c:v>2016</c:v>
                </c:pt>
                <c:pt idx="3">
                  <c:v>2017</c:v>
                </c:pt>
                <c:pt idx="4">
                  <c:v>2018</c:v>
                </c:pt>
                <c:pt idx="5">
                  <c:v>2019</c:v>
                </c:pt>
                <c:pt idx="6">
                  <c:v>2020</c:v>
                </c:pt>
              </c:numCache>
            </c:numRef>
          </c:cat>
          <c:val>
            <c:numRef>
              <c:f>'8.49'!$BL$35:$BL$41</c:f>
              <c:numCache>
                <c:formatCode>General_)</c:formatCode>
                <c:ptCount val="7"/>
                <c:pt idx="0">
                  <c:v>99</c:v>
                </c:pt>
                <c:pt idx="1">
                  <c:v>93</c:v>
                </c:pt>
                <c:pt idx="2">
                  <c:v>81</c:v>
                </c:pt>
                <c:pt idx="3">
                  <c:v>229</c:v>
                </c:pt>
                <c:pt idx="4">
                  <c:v>273</c:v>
                </c:pt>
                <c:pt idx="5">
                  <c:v>249</c:v>
                </c:pt>
                <c:pt idx="6">
                  <c:v>108</c:v>
                </c:pt>
              </c:numCache>
            </c:numRef>
          </c:val>
          <c:extLst>
            <c:ext xmlns:c16="http://schemas.microsoft.com/office/drawing/2014/chart" uri="{C3380CC4-5D6E-409C-BE32-E72D297353CC}">
              <c16:uniqueId val="{00000002-AD1C-4A89-829F-554F50E09FD2}"/>
            </c:ext>
          </c:extLst>
        </c:ser>
        <c:dLbls>
          <c:showLegendKey val="0"/>
          <c:showVal val="0"/>
          <c:showCatName val="0"/>
          <c:showSerName val="0"/>
          <c:showPercent val="0"/>
          <c:showBubbleSize val="0"/>
        </c:dLbls>
        <c:gapWidth val="150"/>
        <c:axId val="293261312"/>
        <c:axId val="293262848"/>
      </c:barChart>
      <c:catAx>
        <c:axId val="293261312"/>
        <c:scaling>
          <c:orientation val="minMax"/>
        </c:scaling>
        <c:delete val="0"/>
        <c:axPos val="b"/>
        <c:numFmt formatCode="General_)" sourceLinked="1"/>
        <c:majorTickMark val="none"/>
        <c:minorTickMark val="none"/>
        <c:tickLblPos val="nextTo"/>
        <c:crossAx val="293262848"/>
        <c:crosses val="autoZero"/>
        <c:auto val="1"/>
        <c:lblAlgn val="ctr"/>
        <c:lblOffset val="100"/>
        <c:noMultiLvlLbl val="0"/>
      </c:catAx>
      <c:valAx>
        <c:axId val="293262848"/>
        <c:scaling>
          <c:orientation val="minMax"/>
        </c:scaling>
        <c:delete val="0"/>
        <c:axPos val="l"/>
        <c:majorGridlines>
          <c:spPr>
            <a:ln>
              <a:solidFill>
                <a:srgbClr val="FFC5C5"/>
              </a:solidFill>
            </a:ln>
          </c:spPr>
        </c:majorGridlines>
        <c:numFmt formatCode="#,##0" sourceLinked="0"/>
        <c:majorTickMark val="none"/>
        <c:minorTickMark val="none"/>
        <c:tickLblPos val="nextTo"/>
        <c:crossAx val="293261312"/>
        <c:crosses val="autoZero"/>
        <c:crossBetween val="between"/>
      </c:valAx>
      <c:spPr>
        <a:solidFill>
          <a:srgbClr val="FFEFEF"/>
        </a:solidFill>
        <a:ln>
          <a:solidFill>
            <a:schemeClr val="bg1">
              <a:lumMod val="65000"/>
            </a:schemeClr>
          </a:solidFill>
        </a:ln>
      </c:spPr>
    </c:plotArea>
    <c:legend>
      <c:legendPos val="r"/>
      <c:layout>
        <c:manualLayout>
          <c:xMode val="edge"/>
          <c:yMode val="edge"/>
          <c:x val="9.7561878827098394E-2"/>
          <c:y val="0.20940028319387283"/>
          <c:w val="0.53054445939233807"/>
          <c:h val="6.133675998833478E-2"/>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665081330243762E-2"/>
          <c:y val="0.14272747964917415"/>
          <c:w val="0.90649170398708312"/>
          <c:h val="0.68889620308715427"/>
        </c:manualLayout>
      </c:layout>
      <c:barChart>
        <c:barDir val="col"/>
        <c:grouping val="stacked"/>
        <c:varyColors val="0"/>
        <c:ser>
          <c:idx val="1"/>
          <c:order val="0"/>
          <c:tx>
            <c:strRef>
              <c:f>'8.49'!$BM$45</c:f>
              <c:strCache>
                <c:ptCount val="1"/>
                <c:pt idx="0">
                  <c:v>Male</c:v>
                </c:pt>
              </c:strCache>
            </c:strRef>
          </c:tx>
          <c:spPr>
            <a:solidFill>
              <a:srgbClr val="FF6969"/>
            </a:solidFill>
          </c:spPr>
          <c:invertIfNegative val="0"/>
          <c:cat>
            <c:strRef>
              <c:f>'8.49'!$BI$46:$BI$51</c:f>
              <c:strCache>
                <c:ptCount val="6"/>
                <c:pt idx="0">
                  <c:v>Less than 1 year</c:v>
                </c:pt>
                <c:pt idx="1">
                  <c:v>1 - 2 years</c:v>
                </c:pt>
                <c:pt idx="2">
                  <c:v>2 - 3 years</c:v>
                </c:pt>
                <c:pt idx="3">
                  <c:v>3 - 4 years</c:v>
                </c:pt>
                <c:pt idx="4">
                  <c:v>4 - 5 years</c:v>
                </c:pt>
                <c:pt idx="5">
                  <c:v>5 years &amp; Over</c:v>
                </c:pt>
              </c:strCache>
            </c:strRef>
          </c:cat>
          <c:val>
            <c:numRef>
              <c:f>'8.49'!$BM$46:$BM$51</c:f>
              <c:numCache>
                <c:formatCode>0</c:formatCode>
                <c:ptCount val="6"/>
                <c:pt idx="0">
                  <c:v>98.064516129032256</c:v>
                </c:pt>
                <c:pt idx="1">
                  <c:v>94.117647058823522</c:v>
                </c:pt>
                <c:pt idx="2">
                  <c:v>100</c:v>
                </c:pt>
                <c:pt idx="3">
                  <c:v>100</c:v>
                </c:pt>
                <c:pt idx="4">
                  <c:v>100</c:v>
                </c:pt>
                <c:pt idx="5">
                  <c:v>98.305084745762713</c:v>
                </c:pt>
              </c:numCache>
            </c:numRef>
          </c:val>
          <c:extLst>
            <c:ext xmlns:c16="http://schemas.microsoft.com/office/drawing/2014/chart" uri="{C3380CC4-5D6E-409C-BE32-E72D297353CC}">
              <c16:uniqueId val="{00000000-C276-4C77-A63D-BDB5F6C57521}"/>
            </c:ext>
          </c:extLst>
        </c:ser>
        <c:ser>
          <c:idx val="2"/>
          <c:order val="1"/>
          <c:tx>
            <c:strRef>
              <c:f>'8.49'!$BN$45</c:f>
              <c:strCache>
                <c:ptCount val="1"/>
                <c:pt idx="0">
                  <c:v>Female</c:v>
                </c:pt>
              </c:strCache>
            </c:strRef>
          </c:tx>
          <c:spPr>
            <a:solidFill>
              <a:srgbClr val="C00000"/>
            </a:solidFill>
          </c:spPr>
          <c:invertIfNegative val="0"/>
          <c:cat>
            <c:strRef>
              <c:f>'8.49'!$BI$46:$BI$51</c:f>
              <c:strCache>
                <c:ptCount val="6"/>
                <c:pt idx="0">
                  <c:v>Less than 1 year</c:v>
                </c:pt>
                <c:pt idx="1">
                  <c:v>1 - 2 years</c:v>
                </c:pt>
                <c:pt idx="2">
                  <c:v>2 - 3 years</c:v>
                </c:pt>
                <c:pt idx="3">
                  <c:v>3 - 4 years</c:v>
                </c:pt>
                <c:pt idx="4">
                  <c:v>4 - 5 years</c:v>
                </c:pt>
                <c:pt idx="5">
                  <c:v>5 years &amp; Over</c:v>
                </c:pt>
              </c:strCache>
            </c:strRef>
          </c:cat>
          <c:val>
            <c:numRef>
              <c:f>'8.49'!$BN$46:$BN$51</c:f>
              <c:numCache>
                <c:formatCode>0</c:formatCode>
                <c:ptCount val="6"/>
                <c:pt idx="0">
                  <c:v>1.935483870967742</c:v>
                </c:pt>
                <c:pt idx="1">
                  <c:v>5.8823529411764701</c:v>
                </c:pt>
                <c:pt idx="2">
                  <c:v>0</c:v>
                </c:pt>
                <c:pt idx="3">
                  <c:v>0</c:v>
                </c:pt>
                <c:pt idx="4">
                  <c:v>0</c:v>
                </c:pt>
                <c:pt idx="5">
                  <c:v>1.6949152542372881</c:v>
                </c:pt>
              </c:numCache>
            </c:numRef>
          </c:val>
          <c:extLst>
            <c:ext xmlns:c16="http://schemas.microsoft.com/office/drawing/2014/chart" uri="{C3380CC4-5D6E-409C-BE32-E72D297353CC}">
              <c16:uniqueId val="{00000001-C276-4C77-A63D-BDB5F6C57521}"/>
            </c:ext>
          </c:extLst>
        </c:ser>
        <c:dLbls>
          <c:showLegendKey val="0"/>
          <c:showVal val="0"/>
          <c:showCatName val="0"/>
          <c:showSerName val="0"/>
          <c:showPercent val="0"/>
          <c:showBubbleSize val="0"/>
        </c:dLbls>
        <c:gapWidth val="150"/>
        <c:overlap val="100"/>
        <c:axId val="293149312"/>
        <c:axId val="293155200"/>
      </c:barChart>
      <c:catAx>
        <c:axId val="293149312"/>
        <c:scaling>
          <c:orientation val="minMax"/>
        </c:scaling>
        <c:delete val="0"/>
        <c:axPos val="b"/>
        <c:numFmt formatCode="General" sourceLinked="0"/>
        <c:majorTickMark val="out"/>
        <c:minorTickMark val="none"/>
        <c:tickLblPos val="nextTo"/>
        <c:txPr>
          <a:bodyPr/>
          <a:lstStyle/>
          <a:p>
            <a:pPr>
              <a:defRPr sz="1050"/>
            </a:pPr>
            <a:endParaRPr lang="en-US"/>
          </a:p>
        </c:txPr>
        <c:crossAx val="293155200"/>
        <c:crosses val="autoZero"/>
        <c:auto val="1"/>
        <c:lblAlgn val="ctr"/>
        <c:lblOffset val="100"/>
        <c:noMultiLvlLbl val="0"/>
      </c:catAx>
      <c:valAx>
        <c:axId val="293155200"/>
        <c:scaling>
          <c:orientation val="minMax"/>
          <c:max val="100"/>
        </c:scaling>
        <c:delete val="0"/>
        <c:axPos val="l"/>
        <c:majorGridlines>
          <c:spPr>
            <a:ln>
              <a:solidFill>
                <a:srgbClr val="FFC5C5"/>
              </a:solidFill>
            </a:ln>
          </c:spPr>
        </c:majorGridlines>
        <c:numFmt formatCode="0" sourceLinked="1"/>
        <c:majorTickMark val="out"/>
        <c:minorTickMark val="none"/>
        <c:tickLblPos val="nextTo"/>
        <c:crossAx val="293149312"/>
        <c:crosses val="autoZero"/>
        <c:crossBetween val="between"/>
      </c:valAx>
      <c:spPr>
        <a:solidFill>
          <a:srgbClr val="FFEFEF"/>
        </a:solidFill>
        <a:ln>
          <a:solidFill>
            <a:schemeClr val="bg1">
              <a:lumMod val="65000"/>
            </a:schemeClr>
          </a:solidFill>
        </a:ln>
      </c:spPr>
    </c:plotArea>
    <c:legend>
      <c:legendPos val="r"/>
      <c:layout>
        <c:manualLayout>
          <c:xMode val="edge"/>
          <c:yMode val="edge"/>
          <c:x val="0.38439226722074754"/>
          <c:y val="0.91427095728789531"/>
          <c:w val="0.29628862343828005"/>
          <c:h val="8.310167016904238E-2"/>
        </c:manualLayout>
      </c:layout>
      <c:overlay val="0"/>
      <c:txPr>
        <a:bodyPr/>
        <a:lstStyle/>
        <a:p>
          <a:pPr>
            <a:defRPr sz="1050"/>
          </a:pPr>
          <a:endParaRPr lang="en-US"/>
        </a:p>
      </c:txPr>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125269644381649E-2"/>
          <c:y val="0.15962234741447126"/>
          <c:w val="0.89357015238391391"/>
          <c:h val="0.68491478673040562"/>
        </c:manualLayout>
      </c:layout>
      <c:barChart>
        <c:barDir val="col"/>
        <c:grouping val="clustered"/>
        <c:varyColors val="0"/>
        <c:ser>
          <c:idx val="1"/>
          <c:order val="1"/>
          <c:tx>
            <c:strRef>
              <c:f>'8.49'!$BN$59</c:f>
              <c:strCache>
                <c:ptCount val="1"/>
                <c:pt idx="0">
                  <c:v>2018 </c:v>
                </c:pt>
              </c:strCache>
            </c:strRef>
          </c:tx>
          <c:spPr>
            <a:solidFill>
              <a:srgbClr val="C00000"/>
            </a:solidFill>
          </c:spPr>
          <c:invertIfNegative val="0"/>
          <c:cat>
            <c:strRef>
              <c:f>'8.49'!$BI$60:$BI$65</c:f>
              <c:strCache>
                <c:ptCount val="6"/>
                <c:pt idx="0">
                  <c:v>Less than 1 year</c:v>
                </c:pt>
                <c:pt idx="1">
                  <c:v>1 - 2 years</c:v>
                </c:pt>
                <c:pt idx="2">
                  <c:v>2 - 3 years</c:v>
                </c:pt>
                <c:pt idx="3">
                  <c:v>3 - 4 years</c:v>
                </c:pt>
                <c:pt idx="4">
                  <c:v>4 - 5 years</c:v>
                </c:pt>
                <c:pt idx="5">
                  <c:v>5 years &amp; Over</c:v>
                </c:pt>
              </c:strCache>
            </c:strRef>
          </c:cat>
          <c:val>
            <c:numRef>
              <c:f>'8.49'!$BN$60:$BN$65</c:f>
              <c:numCache>
                <c:formatCode>General_)</c:formatCode>
                <c:ptCount val="6"/>
                <c:pt idx="0">
                  <c:v>821</c:v>
                </c:pt>
                <c:pt idx="1">
                  <c:v>93</c:v>
                </c:pt>
                <c:pt idx="2">
                  <c:v>12</c:v>
                </c:pt>
                <c:pt idx="3">
                  <c:v>287</c:v>
                </c:pt>
                <c:pt idx="4">
                  <c:v>2</c:v>
                </c:pt>
                <c:pt idx="5">
                  <c:v>47</c:v>
                </c:pt>
              </c:numCache>
            </c:numRef>
          </c:val>
          <c:extLst xmlns:c15="http://schemas.microsoft.com/office/drawing/2012/chart">
            <c:ext xmlns:c16="http://schemas.microsoft.com/office/drawing/2014/chart" uri="{C3380CC4-5D6E-409C-BE32-E72D297353CC}">
              <c16:uniqueId val="{00000001-376E-4267-A894-8593135305E3}"/>
            </c:ext>
          </c:extLst>
        </c:ser>
        <c:ser>
          <c:idx val="2"/>
          <c:order val="2"/>
          <c:tx>
            <c:strRef>
              <c:f>'8.49'!$BO$59</c:f>
              <c:strCache>
                <c:ptCount val="1"/>
                <c:pt idx="0">
                  <c:v>2019 </c:v>
                </c:pt>
              </c:strCache>
            </c:strRef>
          </c:tx>
          <c:spPr>
            <a:solidFill>
              <a:srgbClr val="FF6969"/>
            </a:solidFill>
          </c:spPr>
          <c:invertIfNegative val="0"/>
          <c:cat>
            <c:strRef>
              <c:f>'8.49'!$BI$60:$BI$65</c:f>
              <c:strCache>
                <c:ptCount val="6"/>
                <c:pt idx="0">
                  <c:v>Less than 1 year</c:v>
                </c:pt>
                <c:pt idx="1">
                  <c:v>1 - 2 years</c:v>
                </c:pt>
                <c:pt idx="2">
                  <c:v>2 - 3 years</c:v>
                </c:pt>
                <c:pt idx="3">
                  <c:v>3 - 4 years</c:v>
                </c:pt>
                <c:pt idx="4">
                  <c:v>4 - 5 years</c:v>
                </c:pt>
                <c:pt idx="5">
                  <c:v>5 years &amp; Over</c:v>
                </c:pt>
              </c:strCache>
            </c:strRef>
          </c:cat>
          <c:val>
            <c:numRef>
              <c:f>'8.49'!$BO$60:$BO$65</c:f>
              <c:numCache>
                <c:formatCode>General_)</c:formatCode>
                <c:ptCount val="6"/>
                <c:pt idx="0">
                  <c:v>896</c:v>
                </c:pt>
                <c:pt idx="1">
                  <c:v>65</c:v>
                </c:pt>
                <c:pt idx="2">
                  <c:v>25</c:v>
                </c:pt>
                <c:pt idx="3">
                  <c:v>155</c:v>
                </c:pt>
                <c:pt idx="4">
                  <c:v>10</c:v>
                </c:pt>
                <c:pt idx="5">
                  <c:v>90</c:v>
                </c:pt>
              </c:numCache>
            </c:numRef>
          </c:val>
          <c:extLst>
            <c:ext xmlns:c16="http://schemas.microsoft.com/office/drawing/2014/chart" uri="{C3380CC4-5D6E-409C-BE32-E72D297353CC}">
              <c16:uniqueId val="{00000002-376E-4267-A894-8593135305E3}"/>
            </c:ext>
          </c:extLst>
        </c:ser>
        <c:ser>
          <c:idx val="3"/>
          <c:order val="3"/>
          <c:tx>
            <c:strRef>
              <c:f>'8.49'!$BP$59</c:f>
              <c:strCache>
                <c:ptCount val="1"/>
                <c:pt idx="0">
                  <c:v>2020 </c:v>
                </c:pt>
              </c:strCache>
            </c:strRef>
          </c:tx>
          <c:spPr>
            <a:solidFill>
              <a:srgbClr val="FFC5C5"/>
            </a:solidFill>
          </c:spPr>
          <c:invertIfNegative val="0"/>
          <c:cat>
            <c:strRef>
              <c:f>'8.49'!$BI$60:$BI$65</c:f>
              <c:strCache>
                <c:ptCount val="6"/>
                <c:pt idx="0">
                  <c:v>Less than 1 year</c:v>
                </c:pt>
                <c:pt idx="1">
                  <c:v>1 - 2 years</c:v>
                </c:pt>
                <c:pt idx="2">
                  <c:v>2 - 3 years</c:v>
                </c:pt>
                <c:pt idx="3">
                  <c:v>3 - 4 years</c:v>
                </c:pt>
                <c:pt idx="4">
                  <c:v>4 - 5 years</c:v>
                </c:pt>
                <c:pt idx="5">
                  <c:v>5 years &amp; Over</c:v>
                </c:pt>
              </c:strCache>
            </c:strRef>
          </c:cat>
          <c:val>
            <c:numRef>
              <c:f>'8.49'!$BP$60:$BP$65</c:f>
              <c:numCache>
                <c:formatCode>General_)</c:formatCode>
                <c:ptCount val="6"/>
                <c:pt idx="0">
                  <c:v>465</c:v>
                </c:pt>
                <c:pt idx="1">
                  <c:v>34</c:v>
                </c:pt>
                <c:pt idx="2">
                  <c:v>9</c:v>
                </c:pt>
                <c:pt idx="3">
                  <c:v>41</c:v>
                </c:pt>
                <c:pt idx="4">
                  <c:v>3</c:v>
                </c:pt>
                <c:pt idx="5">
                  <c:v>59</c:v>
                </c:pt>
              </c:numCache>
            </c:numRef>
          </c:val>
          <c:extLst>
            <c:ext xmlns:c16="http://schemas.microsoft.com/office/drawing/2014/chart" uri="{C3380CC4-5D6E-409C-BE32-E72D297353CC}">
              <c16:uniqueId val="{00000003-376E-4267-A894-8593135305E3}"/>
            </c:ext>
          </c:extLst>
        </c:ser>
        <c:dLbls>
          <c:showLegendKey val="0"/>
          <c:showVal val="0"/>
          <c:showCatName val="0"/>
          <c:showSerName val="0"/>
          <c:showPercent val="0"/>
          <c:showBubbleSize val="0"/>
        </c:dLbls>
        <c:gapWidth val="150"/>
        <c:axId val="293275136"/>
        <c:axId val="293276672"/>
        <c:extLst>
          <c:ext xmlns:c15="http://schemas.microsoft.com/office/drawing/2012/chart" uri="{02D57815-91ED-43cb-92C2-25804820EDAC}">
            <c15:filteredBarSeries>
              <c15:ser>
                <c:idx val="0"/>
                <c:order val="0"/>
                <c:tx>
                  <c:strRef>
                    <c:extLst>
                      <c:ext uri="{02D57815-91ED-43cb-92C2-25804820EDAC}">
                        <c15:formulaRef>
                          <c15:sqref>'8.49'!$BM$59</c15:sqref>
                        </c15:formulaRef>
                      </c:ext>
                    </c:extLst>
                    <c:strCache>
                      <c:ptCount val="1"/>
                      <c:pt idx="0">
                        <c:v>2017 </c:v>
                      </c:pt>
                    </c:strCache>
                  </c:strRef>
                </c:tx>
                <c:spPr>
                  <a:solidFill>
                    <a:srgbClr val="249390"/>
                  </a:solidFill>
                </c:spPr>
                <c:invertIfNegative val="0"/>
                <c:cat>
                  <c:strRef>
                    <c:extLst>
                      <c:ext uri="{02D57815-91ED-43cb-92C2-25804820EDAC}">
                        <c15:formulaRef>
                          <c15:sqref>'8.49'!$BI$60:$BI$65</c15:sqref>
                        </c15:formulaRef>
                      </c:ext>
                    </c:extLst>
                    <c:strCache>
                      <c:ptCount val="6"/>
                      <c:pt idx="0">
                        <c:v>Less than 1 year</c:v>
                      </c:pt>
                      <c:pt idx="1">
                        <c:v>1 - 2 years</c:v>
                      </c:pt>
                      <c:pt idx="2">
                        <c:v>2 - 3 years</c:v>
                      </c:pt>
                      <c:pt idx="3">
                        <c:v>3 - 4 years</c:v>
                      </c:pt>
                      <c:pt idx="4">
                        <c:v>4 - 5 years</c:v>
                      </c:pt>
                      <c:pt idx="5">
                        <c:v>5 years &amp; Over</c:v>
                      </c:pt>
                    </c:strCache>
                  </c:strRef>
                </c:cat>
                <c:val>
                  <c:numRef>
                    <c:extLst>
                      <c:ext uri="{02D57815-91ED-43cb-92C2-25804820EDAC}">
                        <c15:formulaRef>
                          <c15:sqref>'8.49'!$BM$60:$BM$65</c15:sqref>
                        </c15:formulaRef>
                      </c:ext>
                    </c:extLst>
                    <c:numCache>
                      <c:formatCode>General_)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76E-4267-A894-8593135305E3}"/>
                  </c:ext>
                </c:extLst>
              </c15:ser>
            </c15:filteredBarSeries>
          </c:ext>
        </c:extLst>
      </c:barChart>
      <c:catAx>
        <c:axId val="293275136"/>
        <c:scaling>
          <c:orientation val="minMax"/>
        </c:scaling>
        <c:delete val="0"/>
        <c:axPos val="b"/>
        <c:numFmt formatCode="General" sourceLinked="1"/>
        <c:majorTickMark val="out"/>
        <c:minorTickMark val="none"/>
        <c:tickLblPos val="nextTo"/>
        <c:crossAx val="293276672"/>
        <c:crosses val="autoZero"/>
        <c:auto val="1"/>
        <c:lblAlgn val="ctr"/>
        <c:lblOffset val="100"/>
        <c:noMultiLvlLbl val="0"/>
      </c:catAx>
      <c:valAx>
        <c:axId val="293276672"/>
        <c:scaling>
          <c:orientation val="minMax"/>
          <c:max val="1000"/>
        </c:scaling>
        <c:delete val="0"/>
        <c:axPos val="l"/>
        <c:majorGridlines>
          <c:spPr>
            <a:ln>
              <a:solidFill>
                <a:srgbClr val="FFC5C5"/>
              </a:solidFill>
            </a:ln>
          </c:spPr>
        </c:majorGridlines>
        <c:numFmt formatCode="#,##0" sourceLinked="0"/>
        <c:majorTickMark val="out"/>
        <c:minorTickMark val="none"/>
        <c:tickLblPos val="nextTo"/>
        <c:crossAx val="293275136"/>
        <c:crosses val="autoZero"/>
        <c:crossBetween val="between"/>
      </c:valAx>
      <c:spPr>
        <a:solidFill>
          <a:srgbClr val="FFEFEF"/>
        </a:solidFill>
        <a:ln>
          <a:solidFill>
            <a:schemeClr val="bg1">
              <a:lumMod val="65000"/>
            </a:schemeClr>
          </a:solidFill>
        </a:ln>
      </c:spPr>
    </c:plotArea>
    <c:legend>
      <c:legendPos val="r"/>
      <c:layout>
        <c:manualLayout>
          <c:xMode val="edge"/>
          <c:yMode val="edge"/>
          <c:x val="0.57236532074998336"/>
          <c:y val="0.23741698233155506"/>
          <c:w val="0.31467786808243881"/>
          <c:h val="8.549966617186161E-2"/>
        </c:manualLayout>
      </c:layout>
      <c:overlay val="0"/>
      <c:txPr>
        <a:bodyPr/>
        <a:lstStyle/>
        <a:p>
          <a:pPr>
            <a:defRPr sz="1000" b="0"/>
          </a:pPr>
          <a:endParaRPr lang="en-US"/>
        </a:p>
      </c:txPr>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123931371486141E-2"/>
          <c:y val="0.15358178053830226"/>
          <c:w val="0.90460956742808629"/>
          <c:h val="0.69555107020073192"/>
        </c:manualLayout>
      </c:layout>
      <c:barChart>
        <c:barDir val="col"/>
        <c:grouping val="clustered"/>
        <c:varyColors val="0"/>
        <c:ser>
          <c:idx val="0"/>
          <c:order val="0"/>
          <c:tx>
            <c:strRef>
              <c:f>'8.60'!$K$4</c:f>
              <c:strCache>
                <c:ptCount val="1"/>
                <c:pt idx="0">
                  <c:v>2018 </c:v>
                </c:pt>
              </c:strCache>
            </c:strRef>
          </c:tx>
          <c:spPr>
            <a:solidFill>
              <a:srgbClr val="C00000"/>
            </a:solidFill>
            <a:ln>
              <a:noFill/>
            </a:ln>
            <a:effectLst/>
          </c:spPr>
          <c:invertIfNegative val="0"/>
          <c:cat>
            <c:strRef>
              <c:f>'8.60'!$A$6:$A$14</c:f>
              <c:strCache>
                <c:ptCount val="9"/>
                <c:pt idx="0">
                  <c:v> Neglect </c:v>
                </c:pt>
                <c:pt idx="1">
                  <c:v> Physical Abuse </c:v>
                </c:pt>
                <c:pt idx="2">
                  <c:v> Emotional Abuse </c:v>
                </c:pt>
                <c:pt idx="3">
                  <c:v> Sexual Abuse </c:v>
                </c:pt>
                <c:pt idx="4">
                  <c:v> Bullying </c:v>
                </c:pt>
                <c:pt idx="5">
                  <c:v> Harrasment </c:v>
                </c:pt>
                <c:pt idx="6">
                  <c:v> Witness to Domestic Violence </c:v>
                </c:pt>
                <c:pt idx="7">
                  <c:v> Cyber Bullying </c:v>
                </c:pt>
                <c:pt idx="8">
                  <c:v> Others </c:v>
                </c:pt>
              </c:strCache>
            </c:strRef>
          </c:cat>
          <c:val>
            <c:numRef>
              <c:f>'8.60'!$K$6:$K$14</c:f>
              <c:numCache>
                <c:formatCode>_-* #,##0_-;\-* #,##0_-;_-* "-"??_-;_-@_-</c:formatCode>
                <c:ptCount val="9"/>
                <c:pt idx="0">
                  <c:v>351</c:v>
                </c:pt>
                <c:pt idx="1">
                  <c:v>316</c:v>
                </c:pt>
                <c:pt idx="2">
                  <c:v>113</c:v>
                </c:pt>
                <c:pt idx="3">
                  <c:v>358</c:v>
                </c:pt>
                <c:pt idx="4">
                  <c:v>31</c:v>
                </c:pt>
                <c:pt idx="5">
                  <c:v>27</c:v>
                </c:pt>
                <c:pt idx="6">
                  <c:v>55</c:v>
                </c:pt>
                <c:pt idx="7">
                  <c:v>19</c:v>
                </c:pt>
                <c:pt idx="8">
                  <c:v>39</c:v>
                </c:pt>
              </c:numCache>
            </c:numRef>
          </c:val>
          <c:extLst>
            <c:ext xmlns:c16="http://schemas.microsoft.com/office/drawing/2014/chart" uri="{C3380CC4-5D6E-409C-BE32-E72D297353CC}">
              <c16:uniqueId val="{00000000-1D1A-49F3-848D-55904788DBEE}"/>
            </c:ext>
          </c:extLst>
        </c:ser>
        <c:ser>
          <c:idx val="1"/>
          <c:order val="1"/>
          <c:tx>
            <c:strRef>
              <c:f>'8.60'!$L$4</c:f>
              <c:strCache>
                <c:ptCount val="1"/>
                <c:pt idx="0">
                  <c:v>2019 </c:v>
                </c:pt>
              </c:strCache>
            </c:strRef>
          </c:tx>
          <c:spPr>
            <a:solidFill>
              <a:srgbClr val="FF6969"/>
            </a:solidFill>
            <a:ln>
              <a:noFill/>
            </a:ln>
            <a:effectLst/>
          </c:spPr>
          <c:invertIfNegative val="0"/>
          <c:cat>
            <c:strRef>
              <c:f>'8.60'!$A$6:$A$14</c:f>
              <c:strCache>
                <c:ptCount val="9"/>
                <c:pt idx="0">
                  <c:v> Neglect </c:v>
                </c:pt>
                <c:pt idx="1">
                  <c:v> Physical Abuse </c:v>
                </c:pt>
                <c:pt idx="2">
                  <c:v> Emotional Abuse </c:v>
                </c:pt>
                <c:pt idx="3">
                  <c:v> Sexual Abuse </c:v>
                </c:pt>
                <c:pt idx="4">
                  <c:v> Bullying </c:v>
                </c:pt>
                <c:pt idx="5">
                  <c:v> Harrasment </c:v>
                </c:pt>
                <c:pt idx="6">
                  <c:v> Witness to Domestic Violence </c:v>
                </c:pt>
                <c:pt idx="7">
                  <c:v> Cyber Bullying </c:v>
                </c:pt>
                <c:pt idx="8">
                  <c:v> Others </c:v>
                </c:pt>
              </c:strCache>
            </c:strRef>
          </c:cat>
          <c:val>
            <c:numRef>
              <c:f>'8.60'!$L$6:$L$14</c:f>
              <c:numCache>
                <c:formatCode>_-* #,##0_-;\-* #,##0_-;_-* "-"??_-;_-@_-</c:formatCode>
                <c:ptCount val="9"/>
                <c:pt idx="0">
                  <c:v>410</c:v>
                </c:pt>
                <c:pt idx="1">
                  <c:v>299</c:v>
                </c:pt>
                <c:pt idx="2">
                  <c:v>144</c:v>
                </c:pt>
                <c:pt idx="3">
                  <c:v>360</c:v>
                </c:pt>
                <c:pt idx="4">
                  <c:v>32</c:v>
                </c:pt>
                <c:pt idx="5">
                  <c:v>13</c:v>
                </c:pt>
                <c:pt idx="6">
                  <c:v>65</c:v>
                </c:pt>
                <c:pt idx="7">
                  <c:v>29</c:v>
                </c:pt>
                <c:pt idx="8">
                  <c:v>23</c:v>
                </c:pt>
              </c:numCache>
            </c:numRef>
          </c:val>
          <c:extLst>
            <c:ext xmlns:c16="http://schemas.microsoft.com/office/drawing/2014/chart" uri="{C3380CC4-5D6E-409C-BE32-E72D297353CC}">
              <c16:uniqueId val="{00000001-1D1A-49F3-848D-55904788DBEE}"/>
            </c:ext>
          </c:extLst>
        </c:ser>
        <c:ser>
          <c:idx val="2"/>
          <c:order val="2"/>
          <c:tx>
            <c:strRef>
              <c:f>'8.60'!$M$4</c:f>
              <c:strCache>
                <c:ptCount val="1"/>
                <c:pt idx="0">
                  <c:v>2020 </c:v>
                </c:pt>
              </c:strCache>
            </c:strRef>
          </c:tx>
          <c:spPr>
            <a:solidFill>
              <a:srgbClr val="FFC5C5"/>
            </a:solidFill>
            <a:ln>
              <a:noFill/>
            </a:ln>
            <a:effectLst/>
          </c:spPr>
          <c:invertIfNegative val="0"/>
          <c:cat>
            <c:strRef>
              <c:f>'8.60'!$A$6:$A$14</c:f>
              <c:strCache>
                <c:ptCount val="9"/>
                <c:pt idx="0">
                  <c:v> Neglect </c:v>
                </c:pt>
                <c:pt idx="1">
                  <c:v> Physical Abuse </c:v>
                </c:pt>
                <c:pt idx="2">
                  <c:v> Emotional Abuse </c:v>
                </c:pt>
                <c:pt idx="3">
                  <c:v> Sexual Abuse </c:v>
                </c:pt>
                <c:pt idx="4">
                  <c:v> Bullying </c:v>
                </c:pt>
                <c:pt idx="5">
                  <c:v> Harrasment </c:v>
                </c:pt>
                <c:pt idx="6">
                  <c:v> Witness to Domestic Violence </c:v>
                </c:pt>
                <c:pt idx="7">
                  <c:v> Cyber Bullying </c:v>
                </c:pt>
                <c:pt idx="8">
                  <c:v> Others </c:v>
                </c:pt>
              </c:strCache>
            </c:strRef>
          </c:cat>
          <c:val>
            <c:numRef>
              <c:f>'8.60'!$M$6:$M$14</c:f>
              <c:numCache>
                <c:formatCode>_-* #,##0_-;\-* #,##0_-;_-* "-"??_-;_-@_-</c:formatCode>
                <c:ptCount val="9"/>
                <c:pt idx="0">
                  <c:v>331</c:v>
                </c:pt>
                <c:pt idx="1">
                  <c:v>252</c:v>
                </c:pt>
                <c:pt idx="2">
                  <c:v>83</c:v>
                </c:pt>
                <c:pt idx="3">
                  <c:v>461</c:v>
                </c:pt>
                <c:pt idx="4">
                  <c:v>13</c:v>
                </c:pt>
                <c:pt idx="5">
                  <c:v>15</c:v>
                </c:pt>
                <c:pt idx="6">
                  <c:v>89</c:v>
                </c:pt>
                <c:pt idx="7">
                  <c:v>19</c:v>
                </c:pt>
                <c:pt idx="8">
                  <c:v>20</c:v>
                </c:pt>
              </c:numCache>
            </c:numRef>
          </c:val>
          <c:extLst>
            <c:ext xmlns:c16="http://schemas.microsoft.com/office/drawing/2014/chart" uri="{C3380CC4-5D6E-409C-BE32-E72D297353CC}">
              <c16:uniqueId val="{00000002-1D1A-49F3-848D-55904788DBEE}"/>
            </c:ext>
          </c:extLst>
        </c:ser>
        <c:dLbls>
          <c:showLegendKey val="0"/>
          <c:showVal val="0"/>
          <c:showCatName val="0"/>
          <c:showSerName val="0"/>
          <c:showPercent val="0"/>
          <c:showBubbleSize val="0"/>
        </c:dLbls>
        <c:gapWidth val="32"/>
        <c:axId val="364845232"/>
        <c:axId val="367349824"/>
        <c:extLst/>
      </c:barChart>
      <c:catAx>
        <c:axId val="36484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7349824"/>
        <c:crosses val="autoZero"/>
        <c:auto val="1"/>
        <c:lblAlgn val="ctr"/>
        <c:lblOffset val="100"/>
        <c:noMultiLvlLbl val="0"/>
      </c:catAx>
      <c:valAx>
        <c:axId val="367349824"/>
        <c:scaling>
          <c:orientation val="minMax"/>
        </c:scaling>
        <c:delete val="0"/>
        <c:axPos val="l"/>
        <c:majorGridlines>
          <c:spPr>
            <a:ln w="9525" cap="flat" cmpd="sng" algn="ctr">
              <a:solidFill>
                <a:srgbClr val="CCF4F2"/>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845232"/>
        <c:crosses val="autoZero"/>
        <c:crossBetween val="between"/>
      </c:valAx>
      <c:spPr>
        <a:noFill/>
        <a:ln>
          <a:solidFill>
            <a:schemeClr val="bg1">
              <a:lumMod val="50000"/>
            </a:schemeClr>
          </a:solidFill>
        </a:ln>
        <a:effectLst/>
      </c:spPr>
    </c:plotArea>
    <c:legend>
      <c:legendPos val="b"/>
      <c:layout>
        <c:manualLayout>
          <c:xMode val="edge"/>
          <c:yMode val="edge"/>
          <c:x val="0.5610406097503462"/>
          <c:y val="0.22330442497504716"/>
          <c:w val="0.3575159175909815"/>
          <c:h val="7.020368932756646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50204484510758"/>
          <c:y val="0.13720496206606905"/>
          <c:w val="0.85737130176031584"/>
          <c:h val="0.76332886787000098"/>
        </c:manualLayout>
      </c:layout>
      <c:barChart>
        <c:barDir val="col"/>
        <c:grouping val="clustered"/>
        <c:varyColors val="0"/>
        <c:ser>
          <c:idx val="1"/>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'8.60'!$B$4:$M$4</c:f>
              <c:numCache>
                <c:formatCode>General_)</c:formatCode>
                <c:ptCount val="4"/>
                <c:pt idx="0">
                  <c:v>2017</c:v>
                </c:pt>
                <c:pt idx="1">
                  <c:v>2018</c:v>
                </c:pt>
                <c:pt idx="2">
                  <c:v>2019</c:v>
                </c:pt>
                <c:pt idx="3">
                  <c:v>2020</c:v>
                </c:pt>
              </c:numCache>
            </c:numRef>
          </c:cat>
          <c:val>
            <c:numRef>
              <c:f>'8.60'!$B$5:$M$5</c:f>
              <c:numCache>
                <c:formatCode>_-* #,##0_-;\-* #,##0_-;_-* "-"??_-;_-@_-</c:formatCode>
                <c:ptCount val="4"/>
                <c:pt idx="0">
                  <c:v>1412</c:v>
                </c:pt>
                <c:pt idx="1">
                  <c:v>1309</c:v>
                </c:pt>
                <c:pt idx="2">
                  <c:v>1375</c:v>
                </c:pt>
                <c:pt idx="3">
                  <c:v>1283</c:v>
                </c:pt>
              </c:numCache>
            </c:numRef>
          </c:val>
          <c:extLst>
            <c:ext xmlns:c16="http://schemas.microsoft.com/office/drawing/2014/chart" uri="{C3380CC4-5D6E-409C-BE32-E72D297353CC}">
              <c16:uniqueId val="{00000000-905E-4510-8435-EB13AA9D6DF3}"/>
            </c:ext>
          </c:extLst>
        </c:ser>
        <c:dLbls>
          <c:showLegendKey val="0"/>
          <c:showVal val="0"/>
          <c:showCatName val="0"/>
          <c:showSerName val="0"/>
          <c:showPercent val="0"/>
          <c:showBubbleSize val="0"/>
        </c:dLbls>
        <c:gapWidth val="150"/>
        <c:axId val="366812576"/>
        <c:axId val="366812968"/>
      </c:barChart>
      <c:catAx>
        <c:axId val="366812576"/>
        <c:scaling>
          <c:orientation val="minMax"/>
        </c:scaling>
        <c:delete val="0"/>
        <c:axPos val="b"/>
        <c:numFmt formatCode="General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12968"/>
        <c:crosses val="autoZero"/>
        <c:auto val="1"/>
        <c:lblAlgn val="ctr"/>
        <c:lblOffset val="100"/>
        <c:noMultiLvlLbl val="0"/>
      </c:catAx>
      <c:valAx>
        <c:axId val="366812968"/>
        <c:scaling>
          <c:orientation val="minMax"/>
        </c:scaling>
        <c:delete val="0"/>
        <c:axPos val="l"/>
        <c:majorGridlines>
          <c:spPr>
            <a:ln w="9525" cap="flat" cmpd="sng" algn="ctr">
              <a:solidFill>
                <a:srgbClr val="F1E2D3"/>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12576"/>
        <c:crosses val="autoZero"/>
        <c:crossBetween val="between"/>
      </c:valAx>
      <c:spPr>
        <a:noFill/>
        <a:ln>
          <a:solidFill>
            <a:schemeClr val="bg1">
              <a:lumMod val="50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Figure 8.61: Number of reported cases on  behavioural problems of children by sex,</a:t>
            </a:r>
            <a:r>
              <a:rPr lang="en-US" sz="1050" b="1" baseline="0"/>
              <a:t> 2020</a:t>
            </a:r>
            <a:endParaRPr lang="en-US" sz="1050" b="1"/>
          </a:p>
        </c:rich>
      </c:tx>
      <c:layout>
        <c:manualLayout>
          <c:xMode val="edge"/>
          <c:yMode val="edge"/>
          <c:x val="8.9500025530895491E-2"/>
          <c:y val="3.1098153547133137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3481421965111504E-2"/>
          <c:y val="0.12662878787878787"/>
          <c:w val="0.9365639295088114"/>
          <c:h val="0.76449475065616801"/>
        </c:manualLayout>
      </c:layout>
      <c:barChart>
        <c:barDir val="col"/>
        <c:grouping val="clustered"/>
        <c:varyColors val="0"/>
        <c:ser>
          <c:idx val="0"/>
          <c:order val="0"/>
          <c:tx>
            <c:strRef>
              <c:f>'[6]8.47'!$C$4</c:f>
              <c:strCache>
                <c:ptCount val="1"/>
                <c:pt idx="0">
                  <c:v>Male</c:v>
                </c:pt>
              </c:strCache>
            </c:strRef>
          </c:tx>
          <c:spPr>
            <a:solidFill>
              <a:srgbClr val="C00000"/>
            </a:solidFill>
            <a:ln>
              <a:noFill/>
            </a:ln>
            <a:effectLst/>
          </c:spPr>
          <c:invertIfNegative val="0"/>
          <c:cat>
            <c:strRef>
              <c:f>'[6]8.47'!$A$7:$A$9</c:f>
              <c:strCache>
                <c:ptCount val="3"/>
                <c:pt idx="0">
                  <c:v>Refusal to Attend School</c:v>
                </c:pt>
                <c:pt idx="1">
                  <c:v>Tamper Tantrums</c:v>
                </c:pt>
                <c:pt idx="2">
                  <c:v>Running Away </c:v>
                </c:pt>
              </c:strCache>
            </c:strRef>
          </c:cat>
          <c:val>
            <c:numRef>
              <c:f>'[6]8.47'!$C$7:$C$9</c:f>
              <c:numCache>
                <c:formatCode>General</c:formatCode>
                <c:ptCount val="3"/>
                <c:pt idx="0">
                  <c:v>12</c:v>
                </c:pt>
                <c:pt idx="1">
                  <c:v>29</c:v>
                </c:pt>
                <c:pt idx="2">
                  <c:v>6</c:v>
                </c:pt>
              </c:numCache>
            </c:numRef>
          </c:val>
          <c:extLst>
            <c:ext xmlns:c16="http://schemas.microsoft.com/office/drawing/2014/chart" uri="{C3380CC4-5D6E-409C-BE32-E72D297353CC}">
              <c16:uniqueId val="{00000000-4241-4739-9821-2F8B5C5EE240}"/>
            </c:ext>
          </c:extLst>
        </c:ser>
        <c:ser>
          <c:idx val="1"/>
          <c:order val="1"/>
          <c:tx>
            <c:strRef>
              <c:f>'[6]8.47'!$D$4</c:f>
              <c:strCache>
                <c:ptCount val="1"/>
                <c:pt idx="0">
                  <c:v>Female</c:v>
                </c:pt>
              </c:strCache>
            </c:strRef>
          </c:tx>
          <c:spPr>
            <a:solidFill>
              <a:srgbClr val="FFC5C5"/>
            </a:solidFill>
            <a:ln>
              <a:noFill/>
            </a:ln>
            <a:effectLst/>
          </c:spPr>
          <c:invertIfNegative val="0"/>
          <c:cat>
            <c:strRef>
              <c:f>'[6]8.47'!$A$7:$A$9</c:f>
              <c:strCache>
                <c:ptCount val="3"/>
                <c:pt idx="0">
                  <c:v>Refusal to Attend School</c:v>
                </c:pt>
                <c:pt idx="1">
                  <c:v>Tamper Tantrums</c:v>
                </c:pt>
                <c:pt idx="2">
                  <c:v>Running Away </c:v>
                </c:pt>
              </c:strCache>
            </c:strRef>
          </c:cat>
          <c:val>
            <c:numRef>
              <c:f>'[6]8.47'!$D$7:$D$9</c:f>
              <c:numCache>
                <c:formatCode>General</c:formatCode>
                <c:ptCount val="3"/>
                <c:pt idx="0">
                  <c:v>8</c:v>
                </c:pt>
                <c:pt idx="1">
                  <c:v>12</c:v>
                </c:pt>
                <c:pt idx="2">
                  <c:v>26</c:v>
                </c:pt>
              </c:numCache>
            </c:numRef>
          </c:val>
          <c:extLst>
            <c:ext xmlns:c16="http://schemas.microsoft.com/office/drawing/2014/chart" uri="{C3380CC4-5D6E-409C-BE32-E72D297353CC}">
              <c16:uniqueId val="{00000001-4241-4739-9821-2F8B5C5EE240}"/>
            </c:ext>
          </c:extLst>
        </c:ser>
        <c:dLbls>
          <c:showLegendKey val="0"/>
          <c:showVal val="0"/>
          <c:showCatName val="0"/>
          <c:showSerName val="0"/>
          <c:showPercent val="0"/>
          <c:showBubbleSize val="0"/>
        </c:dLbls>
        <c:gapWidth val="219"/>
        <c:overlap val="-27"/>
        <c:axId val="366813752"/>
        <c:axId val="366814928"/>
      </c:barChart>
      <c:catAx>
        <c:axId val="36681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66814928"/>
        <c:crosses val="autoZero"/>
        <c:auto val="1"/>
        <c:lblAlgn val="ctr"/>
        <c:lblOffset val="100"/>
        <c:noMultiLvlLbl val="0"/>
      </c:catAx>
      <c:valAx>
        <c:axId val="366814928"/>
        <c:scaling>
          <c:orientation val="minMax"/>
        </c:scaling>
        <c:delete val="0"/>
        <c:axPos val="l"/>
        <c:majorGridlines>
          <c:spPr>
            <a:ln w="9525" cap="flat" cmpd="sng" algn="ctr">
              <a:solidFill>
                <a:srgbClr val="FFC5C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13752"/>
        <c:crosses val="autoZero"/>
        <c:crossBetween val="between"/>
      </c:valAx>
      <c:spPr>
        <a:solidFill>
          <a:srgbClr val="FFEFEF"/>
        </a:solidFill>
        <a:ln>
          <a:solidFill>
            <a:schemeClr val="accent1">
              <a:lumMod val="40000"/>
              <a:lumOff val="60000"/>
            </a:schemeClr>
          </a:solidFill>
        </a:ln>
        <a:effectLst/>
      </c:spPr>
    </c:plotArea>
    <c:legend>
      <c:legendPos val="b"/>
      <c:layout>
        <c:manualLayout>
          <c:xMode val="edge"/>
          <c:yMode val="edge"/>
          <c:x val="0.55241985963256823"/>
          <c:y val="0.23851304301248055"/>
          <c:w val="0.19225368257539235"/>
          <c:h val="6.392090193271296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1143001</xdr:colOff>
      <xdr:row>26</xdr:row>
      <xdr:rowOff>133350</xdr:rowOff>
    </xdr:from>
    <xdr:to>
      <xdr:col>12</xdr:col>
      <xdr:colOff>476251</xdr:colOff>
      <xdr:row>41</xdr:row>
      <xdr:rowOff>133350</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559777</xdr:colOff>
      <xdr:row>27</xdr:row>
      <xdr:rowOff>8060</xdr:rowOff>
    </xdr:from>
    <xdr:to>
      <xdr:col>10</xdr:col>
      <xdr:colOff>333376</xdr:colOff>
      <xdr:row>28</xdr:row>
      <xdr:rowOff>84259</xdr:rowOff>
    </xdr:to>
    <xdr:sp macro="" textlink="">
      <xdr:nvSpPr>
        <xdr:cNvPr id="3" name="TextBox 2">
          <a:extLst>
            <a:ext uri="{FF2B5EF4-FFF2-40B4-BE49-F238E27FC236}">
              <a16:creationId xmlns:a16="http://schemas.microsoft.com/office/drawing/2014/main" id="{00000000-0008-0000-1700-000003000000}"/>
            </a:ext>
          </a:extLst>
        </xdr:cNvPr>
        <xdr:cNvSpPr txBox="1"/>
      </xdr:nvSpPr>
      <xdr:spPr>
        <a:xfrm>
          <a:off x="2702902" y="5532560"/>
          <a:ext cx="4507524"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Consolas" pitchFamily="49" charset="0"/>
            </a:rPr>
            <a:t>Figure 8.28: Number of cases dealt by judicial court in Male', 2019 - 2021</a:t>
          </a:r>
          <a:endParaRPr lang="en-US" b="1">
            <a:effectLst/>
            <a:latin typeface="+mn-lt"/>
            <a:cs typeface="Consolas" pitchFamily="49" charset="0"/>
          </a:endParaRPr>
        </a:p>
        <a:p>
          <a:endParaRPr lang="en-US" sz="1100">
            <a:latin typeface="Consolas" pitchFamily="49" charset="0"/>
            <a:cs typeface="Consolas" pitchFamily="49" charset="0"/>
          </a:endParaRPr>
        </a:p>
      </xdr:txBody>
    </xdr:sp>
    <xdr:clientData/>
  </xdr:twoCellAnchor>
  <xdr:twoCellAnchor>
    <xdr:from>
      <xdr:col>0</xdr:col>
      <xdr:colOff>1171575</xdr:colOff>
      <xdr:row>42</xdr:row>
      <xdr:rowOff>117870</xdr:rowOff>
    </xdr:from>
    <xdr:to>
      <xdr:col>12</xdr:col>
      <xdr:colOff>400050</xdr:colOff>
      <xdr:row>57</xdr:row>
      <xdr:rowOff>175020</xdr:rowOff>
    </xdr:to>
    <xdr:graphicFrame macro="">
      <xdr:nvGraphicFramePr>
        <xdr:cNvPr id="4" name="Chart 3">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145256</xdr:colOff>
      <xdr:row>42</xdr:row>
      <xdr:rowOff>172640</xdr:rowOff>
    </xdr:from>
    <xdr:to>
      <xdr:col>10</xdr:col>
      <xdr:colOff>266700</xdr:colOff>
      <xdr:row>44</xdr:row>
      <xdr:rowOff>41671</xdr:rowOff>
    </xdr:to>
    <xdr:sp macro="" textlink="">
      <xdr:nvSpPr>
        <xdr:cNvPr id="5" name="TextBox 4">
          <a:extLst>
            <a:ext uri="{FF2B5EF4-FFF2-40B4-BE49-F238E27FC236}">
              <a16:creationId xmlns:a16="http://schemas.microsoft.com/office/drawing/2014/main" id="{00000000-0008-0000-1700-000005000000}"/>
            </a:ext>
          </a:extLst>
        </xdr:cNvPr>
        <xdr:cNvSpPr txBox="1"/>
      </xdr:nvSpPr>
      <xdr:spPr>
        <a:xfrm>
          <a:off x="2288381" y="8554640"/>
          <a:ext cx="485536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tx1"/>
              </a:solidFill>
              <a:effectLst/>
              <a:latin typeface="+mj-lt"/>
              <a:ea typeface="+mn-ea"/>
              <a:cs typeface="+mn-cs"/>
            </a:rPr>
            <a:t>Figure 8.29</a:t>
          </a:r>
          <a:r>
            <a:rPr lang="en-US" sz="1100" b="1" i="0" baseline="0">
              <a:solidFill>
                <a:schemeClr val="dk1"/>
              </a:solidFill>
              <a:effectLst/>
              <a:latin typeface="+mj-lt"/>
              <a:ea typeface="+mn-ea"/>
              <a:cs typeface="+mn-cs"/>
            </a:rPr>
            <a:t>: Percentage of cases dealt by judicial courts in Male' and islands, 2021</a:t>
          </a:r>
          <a:endParaRPr lang="en-US" b="1">
            <a:effectLst/>
            <a:latin typeface="+mj-l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213714</xdr:colOff>
      <xdr:row>222</xdr:row>
      <xdr:rowOff>116632</xdr:rowOff>
    </xdr:from>
    <xdr:to>
      <xdr:col>6</xdr:col>
      <xdr:colOff>405086</xdr:colOff>
      <xdr:row>236</xdr:row>
      <xdr:rowOff>19655</xdr:rowOff>
    </xdr:to>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655015</xdr:colOff>
      <xdr:row>222</xdr:row>
      <xdr:rowOff>147727</xdr:rowOff>
    </xdr:from>
    <xdr:to>
      <xdr:col>24</xdr:col>
      <xdr:colOff>536466</xdr:colOff>
      <xdr:row>236</xdr:row>
      <xdr:rowOff>55036</xdr:rowOff>
    </xdr:to>
    <xdr:graphicFrame macro="">
      <xdr:nvGraphicFramePr>
        <xdr:cNvPr id="3" name="Chart 2">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179591</xdr:colOff>
      <xdr:row>237</xdr:row>
      <xdr:rowOff>142328</xdr:rowOff>
    </xdr:from>
    <xdr:to>
      <xdr:col>6</xdr:col>
      <xdr:colOff>350345</xdr:colOff>
      <xdr:row>251</xdr:row>
      <xdr:rowOff>117187</xdr:rowOff>
    </xdr:to>
    <xdr:graphicFrame macro="">
      <xdr:nvGraphicFramePr>
        <xdr:cNvPr id="4" name="Chart 3">
          <a:extLst>
            <a:ext uri="{FF2B5EF4-FFF2-40B4-BE49-F238E27FC236}">
              <a16:creationId xmlns:a16="http://schemas.microsoft.com/office/drawing/2014/main" i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570415</xdr:colOff>
      <xdr:row>222</xdr:row>
      <xdr:rowOff>129678</xdr:rowOff>
    </xdr:from>
    <xdr:to>
      <xdr:col>15</xdr:col>
      <xdr:colOff>547414</xdr:colOff>
      <xdr:row>236</xdr:row>
      <xdr:rowOff>22766</xdr:rowOff>
    </xdr:to>
    <xdr:graphicFrame macro="">
      <xdr:nvGraphicFramePr>
        <xdr:cNvPr id="5" name="Chart 4">
          <a:extLst>
            <a:ext uri="{FF2B5EF4-FFF2-40B4-BE49-F238E27FC236}">
              <a16:creationId xmlns:a16="http://schemas.microsoft.com/office/drawing/2014/main" id="{00000000-0008-0000-1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521814</xdr:colOff>
      <xdr:row>237</xdr:row>
      <xdr:rowOff>131379</xdr:rowOff>
    </xdr:from>
    <xdr:to>
      <xdr:col>15</xdr:col>
      <xdr:colOff>569311</xdr:colOff>
      <xdr:row>251</xdr:row>
      <xdr:rowOff>147019</xdr:rowOff>
    </xdr:to>
    <xdr:graphicFrame macro="">
      <xdr:nvGraphicFramePr>
        <xdr:cNvPr id="6" name="Chart 5">
          <a:extLst>
            <a:ext uri="{FF2B5EF4-FFF2-40B4-BE49-F238E27FC236}">
              <a16:creationId xmlns:a16="http://schemas.microsoft.com/office/drawing/2014/main" id="{00000000-0008-0000-1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10711</xdr:colOff>
      <xdr:row>237</xdr:row>
      <xdr:rowOff>174151</xdr:rowOff>
    </xdr:from>
    <xdr:to>
      <xdr:col>24</xdr:col>
      <xdr:colOff>558361</xdr:colOff>
      <xdr:row>251</xdr:row>
      <xdr:rowOff>114119</xdr:rowOff>
    </xdr:to>
    <xdr:graphicFrame macro="">
      <xdr:nvGraphicFramePr>
        <xdr:cNvPr id="7" name="Chart 6">
          <a:extLst>
            <a:ext uri="{FF2B5EF4-FFF2-40B4-BE49-F238E27FC236}">
              <a16:creationId xmlns:a16="http://schemas.microsoft.com/office/drawing/2014/main" id="{00000000-0008-0000-1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135448</xdr:colOff>
      <xdr:row>35</xdr:row>
      <xdr:rowOff>102395</xdr:rowOff>
    </xdr:from>
    <xdr:to>
      <xdr:col>51</xdr:col>
      <xdr:colOff>659423</xdr:colOff>
      <xdr:row>45</xdr:row>
      <xdr:rowOff>122239</xdr:rowOff>
    </xdr:to>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293077</xdr:colOff>
      <xdr:row>35</xdr:row>
      <xdr:rowOff>143490</xdr:rowOff>
    </xdr:from>
    <xdr:to>
      <xdr:col>57</xdr:col>
      <xdr:colOff>1002753</xdr:colOff>
      <xdr:row>45</xdr:row>
      <xdr:rowOff>226225</xdr:rowOff>
    </xdr:to>
    <xdr:graphicFrame macro="">
      <xdr:nvGraphicFramePr>
        <xdr:cNvPr id="3" name="Chart 2">
          <a:extLst>
            <a:ext uri="{FF2B5EF4-FFF2-40B4-BE49-F238E27FC236}">
              <a16:creationId xmlns:a16="http://schemas.microsoft.com/office/drawing/2014/main" id="{00000000-0008-0000-1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491951</xdr:colOff>
      <xdr:row>47</xdr:row>
      <xdr:rowOff>140368</xdr:rowOff>
    </xdr:from>
    <xdr:to>
      <xdr:col>57</xdr:col>
      <xdr:colOff>990602</xdr:colOff>
      <xdr:row>60</xdr:row>
      <xdr:rowOff>128253</xdr:rowOff>
    </xdr:to>
    <xdr:graphicFrame macro="">
      <xdr:nvGraphicFramePr>
        <xdr:cNvPr id="4" name="Chart 3">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73220</xdr:colOff>
      <xdr:row>47</xdr:row>
      <xdr:rowOff>100095</xdr:rowOff>
    </xdr:from>
    <xdr:to>
      <xdr:col>51</xdr:col>
      <xdr:colOff>94203</xdr:colOff>
      <xdr:row>60</xdr:row>
      <xdr:rowOff>87979</xdr:rowOff>
    </xdr:to>
    <xdr:graphicFrame macro="">
      <xdr:nvGraphicFramePr>
        <xdr:cNvPr id="6" name="Chart 5">
          <a:extLst>
            <a:ext uri="{FF2B5EF4-FFF2-40B4-BE49-F238E27FC236}">
              <a16:creationId xmlns:a16="http://schemas.microsoft.com/office/drawing/2014/main" id="{00000000-0008-0000-1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214311</xdr:colOff>
      <xdr:row>13</xdr:row>
      <xdr:rowOff>76201</xdr:rowOff>
    </xdr:from>
    <xdr:to>
      <xdr:col>7</xdr:col>
      <xdr:colOff>1819275</xdr:colOff>
      <xdr:row>31</xdr:row>
      <xdr:rowOff>57150</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95249</xdr:colOff>
      <xdr:row>19</xdr:row>
      <xdr:rowOff>47625</xdr:rowOff>
    </xdr:from>
    <xdr:to>
      <xdr:col>9</xdr:col>
      <xdr:colOff>9525</xdr:colOff>
      <xdr:row>33</xdr:row>
      <xdr:rowOff>123825</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468737</xdr:colOff>
      <xdr:row>222</xdr:row>
      <xdr:rowOff>138462</xdr:rowOff>
    </xdr:from>
    <xdr:to>
      <xdr:col>6</xdr:col>
      <xdr:colOff>1428750</xdr:colOff>
      <xdr:row>232</xdr:row>
      <xdr:rowOff>214662</xdr:rowOff>
    </xdr:to>
    <xdr:graphicFrame macro="">
      <xdr:nvGraphicFramePr>
        <xdr:cNvPr id="4" name="Chart 3">
          <a:extLst>
            <a:ext uri="{FF2B5EF4-FFF2-40B4-BE49-F238E27FC236}">
              <a16:creationId xmlns:a16="http://schemas.microsoft.com/office/drawing/2014/main" id="{9F5F8112-2548-40D7-BD40-1B75C4D85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424656</xdr:colOff>
      <xdr:row>233</xdr:row>
      <xdr:rowOff>229610</xdr:rowOff>
    </xdr:from>
    <xdr:to>
      <xdr:col>6</xdr:col>
      <xdr:colOff>1418828</xdr:colOff>
      <xdr:row>245</xdr:row>
      <xdr:rowOff>263528</xdr:rowOff>
    </xdr:to>
    <xdr:graphicFrame macro="">
      <xdr:nvGraphicFramePr>
        <xdr:cNvPr id="5" name="Chart 4">
          <a:extLst>
            <a:ext uri="{FF2B5EF4-FFF2-40B4-BE49-F238E27FC236}">
              <a16:creationId xmlns:a16="http://schemas.microsoft.com/office/drawing/2014/main" id="{0D67D43D-5477-4668-A46A-F41593812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0.08371</cdr:x>
      <cdr:y>0.03776</cdr:y>
    </cdr:from>
    <cdr:to>
      <cdr:x>0.96637</cdr:x>
      <cdr:y>0.13121</cdr:y>
    </cdr:to>
    <cdr:sp macro="" textlink="">
      <cdr:nvSpPr>
        <cdr:cNvPr id="2" name="TextBox 1"/>
        <cdr:cNvSpPr txBox="1"/>
      </cdr:nvSpPr>
      <cdr:spPr>
        <a:xfrm xmlns:a="http://schemas.openxmlformats.org/drawingml/2006/main">
          <a:off x="474238" y="103583"/>
          <a:ext cx="5000625" cy="2563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8.43: Number of majistrates in the island courts, 20</a:t>
          </a:r>
          <a:r>
            <a:rPr lang="dv-MV" sz="1100" b="1" i="0" baseline="0">
              <a:effectLst/>
              <a:latin typeface="Consolas" pitchFamily="49" charset="0"/>
              <a:ea typeface="+mn-ea"/>
              <a:cs typeface="Consolas" pitchFamily="49" charset="0"/>
            </a:rPr>
            <a:t>2</a:t>
          </a:r>
          <a:r>
            <a:rPr lang="en-US" sz="1100" b="1" i="0" baseline="0">
              <a:effectLst/>
              <a:latin typeface="Consolas" pitchFamily="49" charset="0"/>
              <a:ea typeface="+mn-ea"/>
              <a:cs typeface="Consolas" pitchFamily="49" charset="0"/>
            </a:rPr>
            <a:t>1 </a:t>
          </a:r>
          <a:endParaRPr lang="en-US">
            <a:effectLst/>
            <a:latin typeface="Consolas" pitchFamily="49" charset="0"/>
            <a:cs typeface="Consolas" pitchFamily="49" charset="0"/>
          </a:endParaRPr>
        </a:p>
        <a:p xmlns:a="http://schemas.openxmlformats.org/drawingml/2006/main">
          <a:endParaRPr lang="en-US" sz="1100">
            <a:latin typeface="Consolas" pitchFamily="49" charset="0"/>
            <a:cs typeface="Consolas" pitchFamily="49"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0.14381</cdr:x>
      <cdr:y>0.03552</cdr:y>
    </cdr:from>
    <cdr:to>
      <cdr:x>0.93245</cdr:x>
      <cdr:y>0.11588</cdr:y>
    </cdr:to>
    <cdr:sp macro="" textlink="">
      <cdr:nvSpPr>
        <cdr:cNvPr id="2" name="TextBox 1"/>
        <cdr:cNvSpPr txBox="1"/>
      </cdr:nvSpPr>
      <cdr:spPr>
        <a:xfrm xmlns:a="http://schemas.openxmlformats.org/drawingml/2006/main">
          <a:off x="931993" y="114867"/>
          <a:ext cx="5110826" cy="2599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8.44: Percentage share of majistrates in courts, 20</a:t>
          </a:r>
          <a:r>
            <a:rPr lang="dv-MV" sz="1100" b="1" i="0" baseline="0">
              <a:effectLst/>
              <a:latin typeface="Consolas" pitchFamily="49" charset="0"/>
              <a:ea typeface="+mn-ea"/>
              <a:cs typeface="Consolas" pitchFamily="49" charset="0"/>
            </a:rPr>
            <a:t>2</a:t>
          </a:r>
          <a:r>
            <a:rPr lang="en-US" sz="1100" b="1" i="0" baseline="0">
              <a:effectLst/>
              <a:latin typeface="Consolas" pitchFamily="49" charset="0"/>
              <a:ea typeface="+mn-ea"/>
              <a:cs typeface="Consolas" pitchFamily="49" charset="0"/>
            </a:rPr>
            <a:t>1</a:t>
          </a:r>
          <a:endParaRPr lang="en-US">
            <a:effectLst/>
            <a:latin typeface="Consolas" pitchFamily="49" charset="0"/>
            <a:cs typeface="Consolas" pitchFamily="49" charset="0"/>
          </a:endParaRPr>
        </a:p>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2375536</xdr:colOff>
      <xdr:row>13</xdr:row>
      <xdr:rowOff>133350</xdr:rowOff>
    </xdr:from>
    <xdr:to>
      <xdr:col>5</xdr:col>
      <xdr:colOff>34018</xdr:colOff>
      <xdr:row>13</xdr:row>
      <xdr:rowOff>136072</xdr:rowOff>
    </xdr:to>
    <xdr:sp macro="" textlink="">
      <xdr:nvSpPr>
        <xdr:cNvPr id="2" name="Line 4">
          <a:extLst>
            <a:ext uri="{FF2B5EF4-FFF2-40B4-BE49-F238E27FC236}">
              <a16:creationId xmlns:a16="http://schemas.microsoft.com/office/drawing/2014/main" id="{00000000-0008-0000-2000-000002000000}"/>
            </a:ext>
          </a:extLst>
        </xdr:cNvPr>
        <xdr:cNvSpPr>
          <a:spLocks noChangeShapeType="1"/>
        </xdr:cNvSpPr>
      </xdr:nvSpPr>
      <xdr:spPr bwMode="auto">
        <a:xfrm>
          <a:off x="2375536" y="2886075"/>
          <a:ext cx="1297032" cy="2722"/>
        </a:xfrm>
        <a:prstGeom prst="line">
          <a:avLst/>
        </a:prstGeom>
        <a:noFill/>
        <a:ln w="19050">
          <a:solidFill>
            <a:srgbClr val="7030A0"/>
          </a:solidFill>
          <a:round/>
          <a:headEnd/>
          <a:tailEnd/>
        </a:ln>
      </xdr:spPr>
    </xdr:sp>
    <xdr:clientData/>
  </xdr:twoCellAnchor>
  <xdr:twoCellAnchor>
    <xdr:from>
      <xdr:col>0</xdr:col>
      <xdr:colOff>170017</xdr:colOff>
      <xdr:row>12</xdr:row>
      <xdr:rowOff>147176</xdr:rowOff>
    </xdr:from>
    <xdr:to>
      <xdr:col>7</xdr:col>
      <xdr:colOff>71693</xdr:colOff>
      <xdr:row>27</xdr:row>
      <xdr:rowOff>153629</xdr:rowOff>
    </xdr:to>
    <xdr:graphicFrame macro="">
      <xdr:nvGraphicFramePr>
        <xdr:cNvPr id="3" name="Chart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307260</xdr:colOff>
      <xdr:row>12</xdr:row>
      <xdr:rowOff>131937</xdr:rowOff>
    </xdr:from>
    <xdr:to>
      <xdr:col>15</xdr:col>
      <xdr:colOff>27860</xdr:colOff>
      <xdr:row>27</xdr:row>
      <xdr:rowOff>167170</xdr:rowOff>
    </xdr:to>
    <xdr:graphicFrame macro="">
      <xdr:nvGraphicFramePr>
        <xdr:cNvPr id="4" name="Chart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659547</xdr:colOff>
      <xdr:row>13</xdr:row>
      <xdr:rowOff>161282</xdr:rowOff>
    </xdr:from>
    <xdr:ext cx="4922520" cy="225878"/>
    <xdr:sp macro="" textlink="">
      <xdr:nvSpPr>
        <xdr:cNvPr id="5" name="TextBox 4">
          <a:extLst>
            <a:ext uri="{FF2B5EF4-FFF2-40B4-BE49-F238E27FC236}">
              <a16:creationId xmlns:a16="http://schemas.microsoft.com/office/drawing/2014/main" id="{00000000-0008-0000-2000-000005000000}"/>
            </a:ext>
          </a:extLst>
        </xdr:cNvPr>
        <xdr:cNvSpPr txBox="1"/>
      </xdr:nvSpPr>
      <xdr:spPr>
        <a:xfrm>
          <a:off x="7027384" y="2943866"/>
          <a:ext cx="4922520" cy="225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00" b="1">
              <a:latin typeface="Consolas" pitchFamily="49" charset="0"/>
              <a:cs typeface="Consolas" pitchFamily="49" charset="0"/>
            </a:rPr>
            <a:t>Figure 8.46: Share of female judges / majistrates, 2010 - 20</a:t>
          </a:r>
          <a:r>
            <a:rPr lang="dv-MV" sz="1000" b="1">
              <a:latin typeface="Consolas" pitchFamily="49" charset="0"/>
              <a:cs typeface="Consolas" pitchFamily="49" charset="0"/>
            </a:rPr>
            <a:t>2</a:t>
          </a:r>
          <a:r>
            <a:rPr lang="en-US" sz="1000" b="1">
              <a:latin typeface="Consolas" pitchFamily="49" charset="0"/>
              <a:cs typeface="Consolas" pitchFamily="49" charset="0"/>
            </a:rPr>
            <a:t>1</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1</xdr:col>
      <xdr:colOff>0</xdr:colOff>
      <xdr:row>19</xdr:row>
      <xdr:rowOff>180975</xdr:rowOff>
    </xdr:from>
    <xdr:to>
      <xdr:col>28</xdr:col>
      <xdr:colOff>561975</xdr:colOff>
      <xdr:row>38</xdr:row>
      <xdr:rowOff>85725</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0.02</cdr:x>
      <cdr:y>0.04324</cdr:y>
    </cdr:from>
    <cdr:to>
      <cdr:x>0.95069</cdr:x>
      <cdr:y>0.1301</cdr:y>
    </cdr:to>
    <cdr:sp macro="" textlink="">
      <cdr:nvSpPr>
        <cdr:cNvPr id="2" name="TextBox 4"/>
        <cdr:cNvSpPr txBox="1"/>
      </cdr:nvSpPr>
      <cdr:spPr>
        <a:xfrm xmlns:a="http://schemas.openxmlformats.org/drawingml/2006/main">
          <a:off x="115900" y="141598"/>
          <a:ext cx="5393360" cy="284440"/>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en-US" sz="1100" b="1">
              <a:solidFill>
                <a:sysClr val="windowText" lastClr="000000"/>
              </a:solidFill>
              <a:latin typeface="Consolas" pitchFamily="49" charset="0"/>
              <a:cs typeface="Consolas" pitchFamily="49" charset="0"/>
            </a:rPr>
            <a:t>Figure</a:t>
          </a:r>
          <a:r>
            <a:rPr lang="en-US" sz="1100" b="1" baseline="0">
              <a:solidFill>
                <a:sysClr val="windowText" lastClr="000000"/>
              </a:solidFill>
              <a:latin typeface="Consolas" pitchFamily="49" charset="0"/>
              <a:cs typeface="Consolas" pitchFamily="49" charset="0"/>
            </a:rPr>
            <a:t> </a:t>
          </a:r>
          <a:r>
            <a:rPr lang="en-US" sz="1100" b="1">
              <a:solidFill>
                <a:sysClr val="windowText" lastClr="000000"/>
              </a:solidFill>
              <a:latin typeface="Consolas" pitchFamily="49" charset="0"/>
              <a:cs typeface="Consolas" pitchFamily="49" charset="0"/>
            </a:rPr>
            <a:t>8.47: Percenatge </a:t>
          </a:r>
          <a:r>
            <a:rPr lang="en-US" sz="1100" b="1">
              <a:latin typeface="Consolas" pitchFamily="49" charset="0"/>
              <a:cs typeface="Consolas" pitchFamily="49" charset="0"/>
            </a:rPr>
            <a:t>of registered lawyers by sex, 20</a:t>
          </a:r>
          <a:r>
            <a:rPr lang="dv-MV" sz="1100" b="1">
              <a:latin typeface="Consolas" pitchFamily="49" charset="0"/>
              <a:cs typeface="Consolas" pitchFamily="49" charset="0"/>
            </a:rPr>
            <a:t>20</a:t>
          </a:r>
          <a:r>
            <a:rPr lang="en-US" sz="1100" b="1" baseline="0">
              <a:latin typeface="Consolas" pitchFamily="49" charset="0"/>
              <a:cs typeface="Consolas" pitchFamily="49" charset="0"/>
            </a:rPr>
            <a:t> </a:t>
          </a:r>
          <a:endParaRPr lang="en-US" sz="1100" b="1">
            <a:latin typeface="Consolas" pitchFamily="49" charset="0"/>
            <a:cs typeface="Consolas" pitchFamily="49"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742950</xdr:colOff>
      <xdr:row>35</xdr:row>
      <xdr:rowOff>109715</xdr:rowOff>
    </xdr:from>
    <xdr:to>
      <xdr:col>14</xdr:col>
      <xdr:colOff>2124075</xdr:colOff>
      <xdr:row>49</xdr:row>
      <xdr:rowOff>50781</xdr:rowOff>
    </xdr:to>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752476</xdr:colOff>
      <xdr:row>20</xdr:row>
      <xdr:rowOff>66676</xdr:rowOff>
    </xdr:from>
    <xdr:to>
      <xdr:col>14</xdr:col>
      <xdr:colOff>2152650</xdr:colOff>
      <xdr:row>34</xdr:row>
      <xdr:rowOff>22206</xdr:rowOff>
    </xdr:to>
    <xdr:graphicFrame macro="">
      <xdr:nvGraphicFramePr>
        <xdr:cNvPr id="3" name="Chart 2">
          <a:extLst>
            <a:ext uri="{FF2B5EF4-FFF2-40B4-BE49-F238E27FC236}">
              <a16:creationId xmlns:a16="http://schemas.microsoft.com/office/drawing/2014/main" id="{00000000-0008-0000-2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1800225</xdr:colOff>
      <xdr:row>20</xdr:row>
      <xdr:rowOff>123825</xdr:rowOff>
    </xdr:from>
    <xdr:to>
      <xdr:col>14</xdr:col>
      <xdr:colOff>1476375</xdr:colOff>
      <xdr:row>23</xdr:row>
      <xdr:rowOff>9525</xdr:rowOff>
    </xdr:to>
    <xdr:sp macro="" textlink="">
      <xdr:nvSpPr>
        <xdr:cNvPr id="4" name="TextBox 3">
          <a:extLst>
            <a:ext uri="{FF2B5EF4-FFF2-40B4-BE49-F238E27FC236}">
              <a16:creationId xmlns:a16="http://schemas.microsoft.com/office/drawing/2014/main" id="{00000000-0008-0000-2600-000004000000}"/>
            </a:ext>
          </a:extLst>
        </xdr:cNvPr>
        <xdr:cNvSpPr txBox="1"/>
      </xdr:nvSpPr>
      <xdr:spPr>
        <a:xfrm>
          <a:off x="1800225" y="6019800"/>
          <a:ext cx="85629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dk1"/>
              </a:solidFill>
              <a:effectLst/>
              <a:latin typeface="Consolas" pitchFamily="49" charset="0"/>
              <a:ea typeface="+mn-ea"/>
              <a:cs typeface="Consolas" pitchFamily="49" charset="0"/>
            </a:rPr>
            <a:t>Figure 8.41: Number of cases completed and number of cases not sent to court,  2011 - 2019</a:t>
          </a:r>
          <a:endParaRPr lang="en-US" sz="1050">
            <a:latin typeface="Consolas" pitchFamily="49" charset="0"/>
            <a:cs typeface="Consolas" pitchFamily="49" charset="0"/>
          </a:endParaRPr>
        </a:p>
      </xdr:txBody>
    </xdr:sp>
    <xdr:clientData/>
  </xdr:twoCellAnchor>
</xdr:wsDr>
</file>

<file path=xl/drawings/drawing13.xml><?xml version="1.0" encoding="utf-8"?>
<c:userShapes xmlns:c="http://schemas.openxmlformats.org/drawingml/2006/chart">
  <cdr:relSizeAnchor xmlns:cdr="http://schemas.openxmlformats.org/drawingml/2006/chartDrawing">
    <cdr:from>
      <cdr:x>0.22067</cdr:x>
      <cdr:y>0.04481</cdr:y>
    </cdr:from>
    <cdr:to>
      <cdr:x>0.91173</cdr:x>
      <cdr:y>0.14394</cdr:y>
    </cdr:to>
    <cdr:sp macro="" textlink="">
      <cdr:nvSpPr>
        <cdr:cNvPr id="2" name="TextBox 1"/>
        <cdr:cNvSpPr txBox="1"/>
      </cdr:nvSpPr>
      <cdr:spPr>
        <a:xfrm xmlns:a="http://schemas.openxmlformats.org/drawingml/2006/main">
          <a:off x="1809719" y="116867"/>
          <a:ext cx="5667405" cy="2585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8.42: Number of cases completed by PG Office, 2011 - 2019</a:t>
          </a:r>
          <a:endParaRPr lang="en-US">
            <a:effectLst/>
            <a:latin typeface="Consolas" pitchFamily="49" charset="0"/>
            <a:cs typeface="Consolas" pitchFamily="49" charset="0"/>
          </a:endParaRPr>
        </a:p>
        <a:p xmlns:a="http://schemas.openxmlformats.org/drawingml/2006/main">
          <a:endParaRPr lang="en-US" sz="1100">
            <a:latin typeface="Consolas" pitchFamily="49" charset="0"/>
            <a:cs typeface="Consolas" pitchFamily="49" charset="0"/>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247650</xdr:colOff>
      <xdr:row>16</xdr:row>
      <xdr:rowOff>54796</xdr:rowOff>
    </xdr:from>
    <xdr:to>
      <xdr:col>16</xdr:col>
      <xdr:colOff>66675</xdr:colOff>
      <xdr:row>30</xdr:row>
      <xdr:rowOff>114300</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219075</xdr:colOff>
      <xdr:row>31</xdr:row>
      <xdr:rowOff>123824</xdr:rowOff>
    </xdr:from>
    <xdr:to>
      <xdr:col>16</xdr:col>
      <xdr:colOff>76200</xdr:colOff>
      <xdr:row>47</xdr:row>
      <xdr:rowOff>57149</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714375</xdr:colOff>
      <xdr:row>31</xdr:row>
      <xdr:rowOff>155935</xdr:rowOff>
    </xdr:from>
    <xdr:to>
      <xdr:col>9</xdr:col>
      <xdr:colOff>219075</xdr:colOff>
      <xdr:row>33</xdr:row>
      <xdr:rowOff>53476</xdr:rowOff>
    </xdr:to>
    <xdr:sp macro="" textlink="">
      <xdr:nvSpPr>
        <xdr:cNvPr id="4" name="TextBox 3">
          <a:extLst>
            <a:ext uri="{FF2B5EF4-FFF2-40B4-BE49-F238E27FC236}">
              <a16:creationId xmlns:a16="http://schemas.microsoft.com/office/drawing/2014/main" id="{00000000-0008-0000-2800-000004000000}"/>
            </a:ext>
          </a:extLst>
        </xdr:cNvPr>
        <xdr:cNvSpPr txBox="1"/>
      </xdr:nvSpPr>
      <xdr:spPr>
        <a:xfrm>
          <a:off x="714375" y="7099660"/>
          <a:ext cx="4210050" cy="278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rtl="1" eaLnBrk="1" fontAlgn="auto" latinLnBrk="0" hangingPunct="1">
            <a:lnSpc>
              <a:spcPct val="100000"/>
            </a:lnSpc>
            <a:spcBef>
              <a:spcPts val="0"/>
            </a:spcBef>
            <a:spcAft>
              <a:spcPts val="0"/>
            </a:spcAft>
            <a:buClrTx/>
            <a:buSzTx/>
            <a:buFontTx/>
            <a:buNone/>
            <a:tabLst/>
            <a:defRPr/>
          </a:pPr>
          <a:r>
            <a:rPr lang="en-US" sz="1100" b="1" i="0">
              <a:solidFill>
                <a:schemeClr val="tx1"/>
              </a:solidFill>
              <a:effectLst/>
              <a:latin typeface="+mn-lt"/>
              <a:ea typeface="+mn-ea"/>
              <a:cs typeface="+mn-cs"/>
            </a:rPr>
            <a:t>Figure 8.52: </a:t>
          </a:r>
          <a:r>
            <a:rPr lang="en-US" sz="1100" b="1" i="0">
              <a:solidFill>
                <a:srgbClr val="FF0000"/>
              </a:solidFill>
              <a:effectLst/>
              <a:latin typeface="+mn-lt"/>
              <a:ea typeface="+mn-ea"/>
              <a:cs typeface="+mn-cs"/>
            </a:rPr>
            <a:t> </a:t>
          </a:r>
          <a:r>
            <a:rPr lang="en-US" sz="1100" b="1" i="0">
              <a:solidFill>
                <a:schemeClr val="dk1"/>
              </a:solidFill>
              <a:effectLst/>
              <a:latin typeface="+mn-lt"/>
              <a:ea typeface="+mn-ea"/>
              <a:cs typeface="+mn-cs"/>
            </a:rPr>
            <a:t>Persons sentenced</a:t>
          </a:r>
          <a:r>
            <a:rPr lang="en-US" sz="1100" b="1" i="0" baseline="0">
              <a:solidFill>
                <a:schemeClr val="dk1"/>
              </a:solidFill>
              <a:effectLst/>
              <a:latin typeface="+mn-lt"/>
              <a:ea typeface="+mn-ea"/>
              <a:cs typeface="+mn-cs"/>
            </a:rPr>
            <a:t>  </a:t>
          </a:r>
          <a:r>
            <a:rPr lang="en-US" sz="1100" b="1" i="0">
              <a:solidFill>
                <a:schemeClr val="dk1"/>
              </a:solidFill>
              <a:effectLst/>
              <a:latin typeface="+mn-lt"/>
              <a:ea typeface="+mn-ea"/>
              <a:cs typeface="+mn-cs"/>
            </a:rPr>
            <a:t>by  sex</a:t>
          </a:r>
          <a:r>
            <a:rPr lang="en-US" sz="1100" b="1" i="0" baseline="0">
              <a:solidFill>
                <a:schemeClr val="dk1"/>
              </a:solidFill>
              <a:effectLst/>
              <a:latin typeface="+mn-lt"/>
              <a:ea typeface="+mn-ea"/>
              <a:cs typeface="+mn-cs"/>
            </a:rPr>
            <a:t> and locality, 2014 -</a:t>
          </a:r>
          <a:r>
            <a:rPr lang="en-US" sz="1100" b="1" i="0">
              <a:solidFill>
                <a:schemeClr val="dk1"/>
              </a:solidFill>
              <a:effectLst/>
              <a:latin typeface="+mn-lt"/>
              <a:ea typeface="+mn-ea"/>
              <a:cs typeface="+mn-cs"/>
            </a:rPr>
            <a:t> 2020</a:t>
          </a:r>
          <a:endParaRPr lang="en-US" sz="1100"/>
        </a:p>
      </xdr:txBody>
    </xdr:sp>
    <xdr:clientData/>
  </xdr:twoCellAnchor>
</xdr:wsDr>
</file>

<file path=xl/drawings/drawing15.xml><?xml version="1.0" encoding="utf-8"?>
<c:userShapes xmlns:c="http://schemas.openxmlformats.org/drawingml/2006/chart">
  <cdr:relSizeAnchor xmlns:cdr="http://schemas.openxmlformats.org/drawingml/2006/chartDrawing">
    <cdr:from>
      <cdr:x>0.11973</cdr:x>
      <cdr:y>0.02583</cdr:y>
    </cdr:from>
    <cdr:to>
      <cdr:x>0.8582</cdr:x>
      <cdr:y>0.11134</cdr:y>
    </cdr:to>
    <cdr:sp macro="" textlink="">
      <cdr:nvSpPr>
        <cdr:cNvPr id="10242" name="Text Box 2"/>
        <cdr:cNvSpPr txBox="1">
          <a:spLocks xmlns:a="http://schemas.openxmlformats.org/drawingml/2006/main" noChangeArrowheads="1"/>
        </cdr:cNvSpPr>
      </cdr:nvSpPr>
      <cdr:spPr bwMode="auto">
        <a:xfrm xmlns:a="http://schemas.openxmlformats.org/drawingml/2006/main">
          <a:off x="619258" y="76572"/>
          <a:ext cx="3819392" cy="25350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ctr" upright="1"/>
        <a:lstStyle xmlns:a="http://schemas.openxmlformats.org/drawingml/2006/main"/>
        <a:p xmlns:a="http://schemas.openxmlformats.org/drawingml/2006/main">
          <a:pPr algn="ctr" rtl="1">
            <a:defRPr sz="1000"/>
          </a:pPr>
          <a:r>
            <a:rPr lang="en-US" sz="1600" b="1" i="0" strike="noStrike">
              <a:solidFill>
                <a:srgbClr val="000000"/>
              </a:solidFill>
              <a:latin typeface="Arial"/>
              <a:cs typeface="Arial"/>
            </a:rPr>
            <a:t>  </a:t>
          </a:r>
          <a:r>
            <a:rPr lang="en-US" sz="1800" b="1" i="0" strike="noStrike">
              <a:solidFill>
                <a:srgbClr val="000000"/>
              </a:solidFill>
              <a:latin typeface="Arial"/>
              <a:cs typeface="Arial"/>
            </a:rPr>
            <a:t>  </a:t>
          </a:r>
          <a:r>
            <a:rPr lang="en-US" sz="1050" b="1" i="0" strike="noStrike">
              <a:solidFill>
                <a:schemeClr val="tx1"/>
              </a:solidFill>
              <a:latin typeface="+mn-lt"/>
              <a:cs typeface="Arial"/>
            </a:rPr>
            <a:t>Figure 8.51:  </a:t>
          </a:r>
          <a:r>
            <a:rPr lang="en-US" sz="1050" b="1" i="0" strike="noStrike">
              <a:solidFill>
                <a:srgbClr val="000000"/>
              </a:solidFill>
              <a:latin typeface="+mn-lt"/>
              <a:cs typeface="Arial"/>
            </a:rPr>
            <a:t>Persons sentenced, by age group and sex, 2020</a:t>
          </a:r>
          <a:endParaRPr lang="en-US" sz="1000" b="1" i="0" strike="noStrike">
            <a:solidFill>
              <a:srgbClr val="000000"/>
            </a:solidFill>
            <a:latin typeface="+mn-lt"/>
            <a:cs typeface="Arial"/>
          </a:endParaRPr>
        </a:p>
      </cdr:txBody>
    </cdr:sp>
  </cdr:relSizeAnchor>
</c:userShapes>
</file>

<file path=xl/drawings/drawing16.xml><?xml version="1.0" encoding="utf-8"?>
<xdr:wsDr xmlns:xdr="http://schemas.openxmlformats.org/drawingml/2006/spreadsheetDrawing" xmlns:a="http://schemas.openxmlformats.org/drawingml/2006/main">
  <xdr:twoCellAnchor editAs="oneCell">
    <xdr:from>
      <xdr:col>1</xdr:col>
      <xdr:colOff>0</xdr:colOff>
      <xdr:row>39</xdr:row>
      <xdr:rowOff>104775</xdr:rowOff>
    </xdr:from>
    <xdr:to>
      <xdr:col>19</xdr:col>
      <xdr:colOff>18994</xdr:colOff>
      <xdr:row>39</xdr:row>
      <xdr:rowOff>131083</xdr:rowOff>
    </xdr:to>
    <xdr:sp macro="" textlink="">
      <xdr:nvSpPr>
        <xdr:cNvPr id="2" name="Text Box 4">
          <a:extLst>
            <a:ext uri="{FF2B5EF4-FFF2-40B4-BE49-F238E27FC236}">
              <a16:creationId xmlns:a16="http://schemas.microsoft.com/office/drawing/2014/main" id="{00000000-0008-0000-2900-000002000000}"/>
            </a:ext>
          </a:extLst>
        </xdr:cNvPr>
        <xdr:cNvSpPr txBox="1">
          <a:spLocks noChangeArrowheads="1"/>
        </xdr:cNvSpPr>
      </xdr:nvSpPr>
      <xdr:spPr bwMode="auto">
        <a:xfrm>
          <a:off x="1095375" y="8010525"/>
          <a:ext cx="9467794" cy="26308"/>
        </a:xfrm>
        <a:prstGeom prst="rect">
          <a:avLst/>
        </a:prstGeom>
        <a:noFill/>
        <a:ln w="9525">
          <a:noFill/>
          <a:miter lim="800000"/>
          <a:headEnd/>
          <a:tailEnd/>
        </a:ln>
      </xdr:spPr>
      <xdr:txBody>
        <a:bodyPr vertOverflow="clip" wrap="square" lIns="27432" tIns="27432" rIns="0" bIns="0" anchor="t" upright="1"/>
        <a:lstStyle/>
        <a:p>
          <a:pPr algn="ctr" rtl="1">
            <a:defRPr sz="1000"/>
          </a:pPr>
          <a:r>
            <a:rPr lang="en-US" sz="1050" b="1" i="0" strike="noStrike">
              <a:solidFill>
                <a:srgbClr val="000000"/>
              </a:solidFill>
              <a:latin typeface="Arial"/>
              <a:cs typeface="Arial"/>
            </a:rPr>
            <a:t>   Figure 8.5 : Persons sentenced by type, 2009 - 2010 </a:t>
          </a:r>
        </a:p>
      </xdr:txBody>
    </xdr:sp>
    <xdr:clientData/>
  </xdr:twoCellAnchor>
  <xdr:twoCellAnchor editAs="oneCell">
    <xdr:from>
      <xdr:col>1</xdr:col>
      <xdr:colOff>0</xdr:colOff>
      <xdr:row>65</xdr:row>
      <xdr:rowOff>88446</xdr:rowOff>
    </xdr:from>
    <xdr:to>
      <xdr:col>18</xdr:col>
      <xdr:colOff>631723</xdr:colOff>
      <xdr:row>65</xdr:row>
      <xdr:rowOff>111360</xdr:rowOff>
    </xdr:to>
    <xdr:sp macro="" textlink="">
      <xdr:nvSpPr>
        <xdr:cNvPr id="3" name="Text Box 4">
          <a:extLst>
            <a:ext uri="{FF2B5EF4-FFF2-40B4-BE49-F238E27FC236}">
              <a16:creationId xmlns:a16="http://schemas.microsoft.com/office/drawing/2014/main" id="{00000000-0008-0000-2900-000003000000}"/>
            </a:ext>
          </a:extLst>
        </xdr:cNvPr>
        <xdr:cNvSpPr txBox="1">
          <a:spLocks noChangeArrowheads="1"/>
        </xdr:cNvSpPr>
      </xdr:nvSpPr>
      <xdr:spPr bwMode="auto">
        <a:xfrm>
          <a:off x="1095375" y="12204246"/>
          <a:ext cx="9394723" cy="22914"/>
        </a:xfrm>
        <a:prstGeom prst="rect">
          <a:avLst/>
        </a:prstGeom>
        <a:noFill/>
        <a:ln w="9525">
          <a:noFill/>
          <a:miter lim="800000"/>
          <a:headEnd/>
          <a:tailEnd/>
        </a:ln>
      </xdr:spPr>
      <xdr:txBody>
        <a:bodyPr vertOverflow="clip" wrap="square" lIns="27432" tIns="27432" rIns="0" bIns="0" anchor="t" upright="1"/>
        <a:lstStyle/>
        <a:p>
          <a:pPr algn="ctr" rtl="1">
            <a:defRPr sz="1000"/>
          </a:pPr>
          <a:r>
            <a:rPr lang="en-US" sz="1100" b="1" i="0" strike="noStrike">
              <a:solidFill>
                <a:srgbClr val="000000"/>
              </a:solidFill>
              <a:latin typeface="Arial"/>
              <a:cs typeface="Arial"/>
            </a:rPr>
            <a:t>   Figure 8.5 : Persons sentenced by type and gender, 2010</a:t>
          </a:r>
        </a:p>
      </xdr:txBody>
    </xdr:sp>
    <xdr:clientData/>
  </xdr:twoCellAnchor>
  <xdr:twoCellAnchor editAs="oneCell">
    <xdr:from>
      <xdr:col>0</xdr:col>
      <xdr:colOff>983876</xdr:colOff>
      <xdr:row>134</xdr:row>
      <xdr:rowOff>139514</xdr:rowOff>
    </xdr:from>
    <xdr:to>
      <xdr:col>10</xdr:col>
      <xdr:colOff>2414</xdr:colOff>
      <xdr:row>135</xdr:row>
      <xdr:rowOff>1029</xdr:rowOff>
    </xdr:to>
    <xdr:sp macro="" textlink="">
      <xdr:nvSpPr>
        <xdr:cNvPr id="4" name="Text Box 4">
          <a:extLst>
            <a:ext uri="{FF2B5EF4-FFF2-40B4-BE49-F238E27FC236}">
              <a16:creationId xmlns:a16="http://schemas.microsoft.com/office/drawing/2014/main" id="{00000000-0008-0000-2900-000004000000}"/>
            </a:ext>
          </a:extLst>
        </xdr:cNvPr>
        <xdr:cNvSpPr txBox="1">
          <a:spLocks noChangeArrowheads="1"/>
        </xdr:cNvSpPr>
      </xdr:nvSpPr>
      <xdr:spPr bwMode="auto">
        <a:xfrm>
          <a:off x="983876" y="23428139"/>
          <a:ext cx="4866888" cy="23440"/>
        </a:xfrm>
        <a:prstGeom prst="rect">
          <a:avLst/>
        </a:prstGeom>
        <a:noFill/>
        <a:ln w="9525">
          <a:noFill/>
          <a:miter lim="800000"/>
          <a:headEnd/>
          <a:tailEnd/>
        </a:ln>
      </xdr:spPr>
      <xdr:txBody>
        <a:bodyPr vertOverflow="clip" wrap="square" lIns="27432" tIns="27432" rIns="0" bIns="0" anchor="t" upright="1"/>
        <a:lstStyle/>
        <a:p>
          <a:pPr algn="ctr" rtl="1">
            <a:defRPr sz="1000"/>
          </a:pPr>
          <a:r>
            <a:rPr lang="en-US" sz="1100" b="1" i="0" strike="noStrike">
              <a:solidFill>
                <a:srgbClr val="000000"/>
              </a:solidFill>
              <a:latin typeface="Arial"/>
              <a:cs typeface="Arial"/>
            </a:rPr>
            <a:t>   Figure 8.5 : Persons sentenced by type and gender, 2009</a:t>
          </a:r>
        </a:p>
      </xdr:txBody>
    </xdr:sp>
    <xdr:clientData/>
  </xdr:twoCellAnchor>
  <xdr:twoCellAnchor editAs="oneCell">
    <xdr:from>
      <xdr:col>1</xdr:col>
      <xdr:colOff>0</xdr:colOff>
      <xdr:row>40</xdr:row>
      <xdr:rowOff>104775</xdr:rowOff>
    </xdr:from>
    <xdr:to>
      <xdr:col>18</xdr:col>
      <xdr:colOff>647644</xdr:colOff>
      <xdr:row>40</xdr:row>
      <xdr:rowOff>131083</xdr:rowOff>
    </xdr:to>
    <xdr:sp macro="" textlink="">
      <xdr:nvSpPr>
        <xdr:cNvPr id="5" name="Text Box 4">
          <a:extLst>
            <a:ext uri="{FF2B5EF4-FFF2-40B4-BE49-F238E27FC236}">
              <a16:creationId xmlns:a16="http://schemas.microsoft.com/office/drawing/2014/main" id="{00000000-0008-0000-2900-000005000000}"/>
            </a:ext>
          </a:extLst>
        </xdr:cNvPr>
        <xdr:cNvSpPr txBox="1">
          <a:spLocks noChangeArrowheads="1"/>
        </xdr:cNvSpPr>
      </xdr:nvSpPr>
      <xdr:spPr bwMode="auto">
        <a:xfrm>
          <a:off x="1095375" y="8172450"/>
          <a:ext cx="9410644" cy="26308"/>
        </a:xfrm>
        <a:prstGeom prst="rect">
          <a:avLst/>
        </a:prstGeom>
        <a:noFill/>
        <a:ln w="9525">
          <a:noFill/>
          <a:miter lim="800000"/>
          <a:headEnd/>
          <a:tailEnd/>
        </a:ln>
      </xdr:spPr>
      <xdr:txBody>
        <a:bodyPr vertOverflow="clip" wrap="square" lIns="27432" tIns="27432" rIns="0" bIns="0" anchor="t" upright="1"/>
        <a:lstStyle/>
        <a:p>
          <a:pPr algn="ctr" rtl="1">
            <a:defRPr sz="1000"/>
          </a:pPr>
          <a:r>
            <a:rPr lang="en-US" sz="1050" b="1" i="0" strike="noStrike">
              <a:solidFill>
                <a:srgbClr val="000000"/>
              </a:solidFill>
              <a:latin typeface="Arial"/>
              <a:cs typeface="Arial"/>
            </a:rPr>
            <a:t>   Figure 8.5 : Persons sentenced by type, 2009 - 2010 </a:t>
          </a:r>
        </a:p>
      </xdr:txBody>
    </xdr:sp>
    <xdr:clientData/>
  </xdr:twoCellAnchor>
  <xdr:twoCellAnchor editAs="oneCell">
    <xdr:from>
      <xdr:col>1</xdr:col>
      <xdr:colOff>0</xdr:colOff>
      <xdr:row>72</xdr:row>
      <xdr:rowOff>231321</xdr:rowOff>
    </xdr:from>
    <xdr:to>
      <xdr:col>18</xdr:col>
      <xdr:colOff>660298</xdr:colOff>
      <xdr:row>73</xdr:row>
      <xdr:rowOff>23954</xdr:rowOff>
    </xdr:to>
    <xdr:sp macro="" textlink="">
      <xdr:nvSpPr>
        <xdr:cNvPr id="6" name="Text Box 4">
          <a:extLst>
            <a:ext uri="{FF2B5EF4-FFF2-40B4-BE49-F238E27FC236}">
              <a16:creationId xmlns:a16="http://schemas.microsoft.com/office/drawing/2014/main" id="{00000000-0008-0000-2900-000006000000}"/>
            </a:ext>
          </a:extLst>
        </xdr:cNvPr>
        <xdr:cNvSpPr txBox="1">
          <a:spLocks noChangeArrowheads="1"/>
        </xdr:cNvSpPr>
      </xdr:nvSpPr>
      <xdr:spPr bwMode="auto">
        <a:xfrm>
          <a:off x="1095375" y="13413921"/>
          <a:ext cx="9423298" cy="21233"/>
        </a:xfrm>
        <a:prstGeom prst="rect">
          <a:avLst/>
        </a:prstGeom>
        <a:noFill/>
        <a:ln w="9525">
          <a:noFill/>
          <a:miter lim="800000"/>
          <a:headEnd/>
          <a:tailEnd/>
        </a:ln>
      </xdr:spPr>
      <xdr:txBody>
        <a:bodyPr vertOverflow="clip" wrap="square" lIns="27432" tIns="27432" rIns="0" bIns="0" anchor="t" upright="1"/>
        <a:lstStyle/>
        <a:p>
          <a:pPr algn="ctr" rtl="1">
            <a:defRPr sz="1000"/>
          </a:pPr>
          <a:r>
            <a:rPr lang="en-US" sz="1100" b="1" i="0" strike="noStrike">
              <a:solidFill>
                <a:srgbClr val="000000"/>
              </a:solidFill>
              <a:latin typeface="Arial"/>
              <a:cs typeface="Arial"/>
            </a:rPr>
            <a:t>   Figure 8.5 : Persons sentenced by type and gender, 2010</a:t>
          </a:r>
        </a:p>
      </xdr:txBody>
    </xdr:sp>
    <xdr:clientData/>
  </xdr:twoCellAnchor>
  <xdr:twoCellAnchor editAs="oneCell">
    <xdr:from>
      <xdr:col>0</xdr:col>
      <xdr:colOff>983876</xdr:colOff>
      <xdr:row>134</xdr:row>
      <xdr:rowOff>139514</xdr:rowOff>
    </xdr:from>
    <xdr:to>
      <xdr:col>10</xdr:col>
      <xdr:colOff>307214</xdr:colOff>
      <xdr:row>135</xdr:row>
      <xdr:rowOff>1029</xdr:rowOff>
    </xdr:to>
    <xdr:sp macro="" textlink="">
      <xdr:nvSpPr>
        <xdr:cNvPr id="7" name="Text Box 4">
          <a:extLst>
            <a:ext uri="{FF2B5EF4-FFF2-40B4-BE49-F238E27FC236}">
              <a16:creationId xmlns:a16="http://schemas.microsoft.com/office/drawing/2014/main" id="{00000000-0008-0000-2900-000007000000}"/>
            </a:ext>
          </a:extLst>
        </xdr:cNvPr>
        <xdr:cNvSpPr txBox="1">
          <a:spLocks noChangeArrowheads="1"/>
        </xdr:cNvSpPr>
      </xdr:nvSpPr>
      <xdr:spPr bwMode="auto">
        <a:xfrm>
          <a:off x="983876" y="23428139"/>
          <a:ext cx="5038338" cy="23440"/>
        </a:xfrm>
        <a:prstGeom prst="rect">
          <a:avLst/>
        </a:prstGeom>
        <a:noFill/>
        <a:ln w="9525">
          <a:noFill/>
          <a:miter lim="800000"/>
          <a:headEnd/>
          <a:tailEnd/>
        </a:ln>
      </xdr:spPr>
      <xdr:txBody>
        <a:bodyPr vertOverflow="clip" wrap="square" lIns="27432" tIns="27432" rIns="0" bIns="0" anchor="t" upright="1"/>
        <a:lstStyle/>
        <a:p>
          <a:pPr algn="ctr" rtl="1">
            <a:defRPr sz="1000"/>
          </a:pPr>
          <a:r>
            <a:rPr lang="en-US" sz="1100" b="1" i="0" strike="noStrike">
              <a:solidFill>
                <a:srgbClr val="000000"/>
              </a:solidFill>
              <a:latin typeface="Arial"/>
              <a:cs typeface="Arial"/>
            </a:rPr>
            <a:t>   Figure 8.5 : Persons sentenced by type and gender, 2009</a:t>
          </a:r>
        </a:p>
      </xdr:txBody>
    </xdr:sp>
    <xdr:clientData/>
  </xdr:twoCellAnchor>
  <xdr:twoCellAnchor>
    <xdr:from>
      <xdr:col>12</xdr:col>
      <xdr:colOff>195337</xdr:colOff>
      <xdr:row>29</xdr:row>
      <xdr:rowOff>48744</xdr:rowOff>
    </xdr:from>
    <xdr:to>
      <xdr:col>21</xdr:col>
      <xdr:colOff>722586</xdr:colOff>
      <xdr:row>46</xdr:row>
      <xdr:rowOff>19994</xdr:rowOff>
    </xdr:to>
    <xdr:graphicFrame macro="">
      <xdr:nvGraphicFramePr>
        <xdr:cNvPr id="8" name="Chart 7">
          <a:extLst>
            <a:ext uri="{FF2B5EF4-FFF2-40B4-BE49-F238E27FC236}">
              <a16:creationId xmlns:a16="http://schemas.microsoft.com/office/drawing/2014/main" id="{00000000-0008-0000-2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481056</xdr:colOff>
      <xdr:row>47</xdr:row>
      <xdr:rowOff>49406</xdr:rowOff>
    </xdr:from>
    <xdr:to>
      <xdr:col>11</xdr:col>
      <xdr:colOff>237508</xdr:colOff>
      <xdr:row>65</xdr:row>
      <xdr:rowOff>98578</xdr:rowOff>
    </xdr:to>
    <xdr:graphicFrame macro="">
      <xdr:nvGraphicFramePr>
        <xdr:cNvPr id="9" name="Chart 8">
          <a:extLst>
            <a:ext uri="{FF2B5EF4-FFF2-40B4-BE49-F238E27FC236}">
              <a16:creationId xmlns:a16="http://schemas.microsoft.com/office/drawing/2014/main" id="{00000000-0008-0000-2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476978</xdr:colOff>
      <xdr:row>29</xdr:row>
      <xdr:rowOff>64336</xdr:rowOff>
    </xdr:from>
    <xdr:to>
      <xdr:col>11</xdr:col>
      <xdr:colOff>229914</xdr:colOff>
      <xdr:row>46</xdr:row>
      <xdr:rowOff>54810</xdr:rowOff>
    </xdr:to>
    <xdr:graphicFrame macro="">
      <xdr:nvGraphicFramePr>
        <xdr:cNvPr id="10" name="Chart 9">
          <a:extLst>
            <a:ext uri="{FF2B5EF4-FFF2-40B4-BE49-F238E27FC236}">
              <a16:creationId xmlns:a16="http://schemas.microsoft.com/office/drawing/2014/main" id="{00000000-0008-0000-2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293221</xdr:colOff>
      <xdr:row>29</xdr:row>
      <xdr:rowOff>150693</xdr:rowOff>
    </xdr:from>
    <xdr:to>
      <xdr:col>10</xdr:col>
      <xdr:colOff>399251</xdr:colOff>
      <xdr:row>31</xdr:row>
      <xdr:rowOff>68585</xdr:rowOff>
    </xdr:to>
    <xdr:sp macro="" textlink="">
      <xdr:nvSpPr>
        <xdr:cNvPr id="13" name="TextBox 12">
          <a:extLst>
            <a:ext uri="{FF2B5EF4-FFF2-40B4-BE49-F238E27FC236}">
              <a16:creationId xmlns:a16="http://schemas.microsoft.com/office/drawing/2014/main" id="{00000000-0008-0000-2900-00000D000000}"/>
            </a:ext>
          </a:extLst>
        </xdr:cNvPr>
        <xdr:cNvSpPr txBox="1"/>
      </xdr:nvSpPr>
      <xdr:spPr>
        <a:xfrm>
          <a:off x="2760196" y="6437193"/>
          <a:ext cx="4420855" cy="241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Figure 8.53: </a:t>
          </a:r>
          <a:r>
            <a:rPr lang="en-US" sz="1100" b="1">
              <a:solidFill>
                <a:schemeClr val="dk1"/>
              </a:solidFill>
              <a:effectLst/>
              <a:latin typeface="+mn-lt"/>
              <a:ea typeface="+mn-ea"/>
              <a:cs typeface="+mn-cs"/>
            </a:rPr>
            <a:t>Number of person</a:t>
          </a:r>
          <a:r>
            <a:rPr lang="en-US" sz="1100" b="1" baseline="0">
              <a:solidFill>
                <a:schemeClr val="dk1"/>
              </a:solidFill>
              <a:effectLst/>
              <a:latin typeface="+mn-lt"/>
              <a:ea typeface="+mn-ea"/>
              <a:cs typeface="+mn-cs"/>
            </a:rPr>
            <a:t> sentenced  by  duration, 2018 - 2020</a:t>
          </a:r>
          <a:endParaRPr lang="en-US" sz="1100"/>
        </a:p>
      </xdr:txBody>
    </xdr:sp>
    <xdr:clientData/>
  </xdr:twoCellAnchor>
  <xdr:twoCellAnchor>
    <xdr:from>
      <xdr:col>2</xdr:col>
      <xdr:colOff>430097</xdr:colOff>
      <xdr:row>47</xdr:row>
      <xdr:rowOff>132839</xdr:rowOff>
    </xdr:from>
    <xdr:to>
      <xdr:col>10</xdr:col>
      <xdr:colOff>15901</xdr:colOff>
      <xdr:row>49</xdr:row>
      <xdr:rowOff>68253</xdr:rowOff>
    </xdr:to>
    <xdr:sp macro="" textlink="">
      <xdr:nvSpPr>
        <xdr:cNvPr id="14" name="TextBox 13">
          <a:extLst>
            <a:ext uri="{FF2B5EF4-FFF2-40B4-BE49-F238E27FC236}">
              <a16:creationId xmlns:a16="http://schemas.microsoft.com/office/drawing/2014/main" id="{00000000-0008-0000-2900-00000E000000}"/>
            </a:ext>
          </a:extLst>
        </xdr:cNvPr>
        <xdr:cNvSpPr txBox="1"/>
      </xdr:nvSpPr>
      <xdr:spPr>
        <a:xfrm>
          <a:off x="2212194" y="9565662"/>
          <a:ext cx="4624836" cy="273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Figure 8.56:</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Percentage of person</a:t>
          </a:r>
          <a:r>
            <a:rPr lang="en-US" sz="1100" b="1" baseline="0">
              <a:solidFill>
                <a:schemeClr val="dk1"/>
              </a:solidFill>
              <a:effectLst/>
              <a:latin typeface="+mn-lt"/>
              <a:ea typeface="+mn-ea"/>
              <a:cs typeface="+mn-cs"/>
            </a:rPr>
            <a:t> sentenced  by  duration and sex, 2020</a:t>
          </a:r>
          <a:endParaRPr lang="en-US">
            <a:effectLst/>
          </a:endParaRPr>
        </a:p>
        <a:p>
          <a:endParaRPr lang="en-US" sz="1100"/>
        </a:p>
      </xdr:txBody>
    </xdr:sp>
    <xdr:clientData/>
  </xdr:twoCellAnchor>
  <xdr:twoCellAnchor>
    <xdr:from>
      <xdr:col>14</xdr:col>
      <xdr:colOff>29098</xdr:colOff>
      <xdr:row>30</xdr:row>
      <xdr:rowOff>49631</xdr:rowOff>
    </xdr:from>
    <xdr:to>
      <xdr:col>20</xdr:col>
      <xdr:colOff>425030</xdr:colOff>
      <xdr:row>31</xdr:row>
      <xdr:rowOff>132229</xdr:rowOff>
    </xdr:to>
    <xdr:sp macro="" textlink="">
      <xdr:nvSpPr>
        <xdr:cNvPr id="16" name="TextBox 15">
          <a:extLst>
            <a:ext uri="{FF2B5EF4-FFF2-40B4-BE49-F238E27FC236}">
              <a16:creationId xmlns:a16="http://schemas.microsoft.com/office/drawing/2014/main" id="{00000000-0008-0000-2900-000010000000}"/>
            </a:ext>
          </a:extLst>
        </xdr:cNvPr>
        <xdr:cNvSpPr txBox="1"/>
      </xdr:nvSpPr>
      <xdr:spPr>
        <a:xfrm>
          <a:off x="9630298" y="6498056"/>
          <a:ext cx="4024957" cy="244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Figure 8.54: Number of person</a:t>
          </a:r>
          <a:r>
            <a:rPr lang="en-US" sz="1100" b="1" baseline="0">
              <a:solidFill>
                <a:schemeClr val="dk1"/>
              </a:solidFill>
              <a:effectLst/>
              <a:latin typeface="+mn-lt"/>
              <a:ea typeface="+mn-ea"/>
              <a:cs typeface="+mn-cs"/>
            </a:rPr>
            <a:t> sentenced  by  type, 2014 - 2020</a:t>
          </a:r>
          <a:endParaRPr lang="en-US">
            <a:effectLst/>
          </a:endParaRP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200024</xdr:colOff>
      <xdr:row>17</xdr:row>
      <xdr:rowOff>38100</xdr:rowOff>
    </xdr:from>
    <xdr:to>
      <xdr:col>13</xdr:col>
      <xdr:colOff>2647950</xdr:colOff>
      <xdr:row>27</xdr:row>
      <xdr:rowOff>276225</xdr:rowOff>
    </xdr:to>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209550</xdr:colOff>
      <xdr:row>28</xdr:row>
      <xdr:rowOff>174938</xdr:rowOff>
    </xdr:from>
    <xdr:to>
      <xdr:col>13</xdr:col>
      <xdr:colOff>2705100</xdr:colOff>
      <xdr:row>39</xdr:row>
      <xdr:rowOff>57150</xdr:rowOff>
    </xdr:to>
    <xdr:graphicFrame macro="">
      <xdr:nvGraphicFramePr>
        <xdr:cNvPr id="3" name="Chart 2">
          <a:extLst>
            <a:ext uri="{FF2B5EF4-FFF2-40B4-BE49-F238E27FC236}">
              <a16:creationId xmlns:a16="http://schemas.microsoft.com/office/drawing/2014/main" id="{00000000-0008-0000-3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0.22314</cdr:x>
      <cdr:y>0.04527</cdr:y>
    </cdr:from>
    <cdr:to>
      <cdr:x>0.90945</cdr:x>
      <cdr:y>0.13226</cdr:y>
    </cdr:to>
    <cdr:sp macro="" textlink="">
      <cdr:nvSpPr>
        <cdr:cNvPr id="2" name="TextBox 1"/>
        <cdr:cNvSpPr txBox="1"/>
      </cdr:nvSpPr>
      <cdr:spPr>
        <a:xfrm xmlns:a="http://schemas.openxmlformats.org/drawingml/2006/main">
          <a:off x="1543051" y="153088"/>
          <a:ext cx="4745927" cy="2941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Figure 8.58: Number of child abuse cases reported by type, 2018 - 2020 </a:t>
          </a:r>
          <a:endParaRPr lang="en-US">
            <a:effectLst/>
          </a:endParaRPr>
        </a:p>
        <a:p xmlns:a="http://schemas.openxmlformats.org/drawingml/2006/main">
          <a:endParaRPr lang="en-US" sz="1100"/>
        </a:p>
      </cdr:txBody>
    </cdr:sp>
  </cdr:relSizeAnchor>
</c:userShapes>
</file>

<file path=xl/drawings/drawing19.xml><?xml version="1.0" encoding="utf-8"?>
<c:userShapes xmlns:c="http://schemas.openxmlformats.org/drawingml/2006/chart">
  <cdr:relSizeAnchor xmlns:cdr="http://schemas.openxmlformats.org/drawingml/2006/chartDrawing">
    <cdr:from>
      <cdr:x>0.25766</cdr:x>
      <cdr:y>0.02804</cdr:y>
    </cdr:from>
    <cdr:to>
      <cdr:x>0.84488</cdr:x>
      <cdr:y>0.11869</cdr:y>
    </cdr:to>
    <cdr:sp macro="" textlink="">
      <cdr:nvSpPr>
        <cdr:cNvPr id="2" name="TextBox 1"/>
        <cdr:cNvSpPr txBox="1"/>
      </cdr:nvSpPr>
      <cdr:spPr>
        <a:xfrm xmlns:a="http://schemas.openxmlformats.org/drawingml/2006/main">
          <a:off x="1722566" y="85725"/>
          <a:ext cx="3925759" cy="2771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b="1"/>
            <a:t>Figure 8.59:</a:t>
          </a:r>
          <a:r>
            <a:rPr lang="en-US" sz="1050" b="1" baseline="0"/>
            <a:t> Number of Child Abuse cases reported,  2017 - 2020</a:t>
          </a:r>
          <a:endParaRPr lang="en-US" sz="1050" b="1"/>
        </a:p>
      </cdr:txBody>
    </cdr:sp>
  </cdr:relSizeAnchor>
</c:userShapes>
</file>

<file path=xl/drawings/drawing20.xml><?xml version="1.0" encoding="utf-8"?>
<xdr:wsDr xmlns:xdr="http://schemas.openxmlformats.org/drawingml/2006/spreadsheetDrawing" xmlns:a="http://schemas.openxmlformats.org/drawingml/2006/main">
  <xdr:twoCellAnchor>
    <xdr:from>
      <xdr:col>0</xdr:col>
      <xdr:colOff>342899</xdr:colOff>
      <xdr:row>11</xdr:row>
      <xdr:rowOff>66675</xdr:rowOff>
    </xdr:from>
    <xdr:to>
      <xdr:col>5</xdr:col>
      <xdr:colOff>180975</xdr:colOff>
      <xdr:row>28</xdr:row>
      <xdr:rowOff>95250</xdr:rowOff>
    </xdr:to>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2022\YEARBOOK%202022\Blank%20Tables\8.%20LAW%20AND%20ORD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April%202021\YEARBOOK%202021_%20Work%20from%20Home\RECEIVED\8.%20LAW%20AND%20ORDER%20-%20JSC%20JH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RECEIVED\LAW%20AND%20ORDER_%20PG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ril%202021/YEARBOOK%202021_%20Work%20from%20Home/8.%20LAW%20AND%20ORDE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RECEIVED\8.%20LAW%20AND%20ORDER%20-%20JSC.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ril%202021/YEARBOOK%202021_%20Work%20from%20Home/RECEIVED/8.%20LAW%20AND%20ORDER%20-%20MoGFSS%20-%20completed%20sheet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ril%202021/YEARBOOK%202021_%20Work%20from%20Home/RECEIVED/8.%20LAW%20AND%20ORDER%20-%20JSC%20JH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1"/>
      <sheetName val="8.2"/>
      <sheetName val="8.3"/>
      <sheetName val="8.4"/>
      <sheetName val="8.5"/>
      <sheetName val="8.6"/>
      <sheetName val="8.7"/>
      <sheetName val="8.8"/>
      <sheetName val="8.9"/>
      <sheetName val="8.10"/>
      <sheetName val="8.11"/>
      <sheetName val="8.12"/>
      <sheetName val="8.13"/>
      <sheetName val="8.14"/>
      <sheetName val="8.15"/>
      <sheetName val="8.16"/>
      <sheetName val="8.17"/>
      <sheetName val="8.18"/>
      <sheetName val="8.19"/>
      <sheetName val="8.20"/>
      <sheetName val="8.21,  8.22 8.23_ New_ traffic"/>
      <sheetName val="8.24, 8.25 _ Domestic violannce"/>
      <sheetName val="8.26, 8.27, 28, 8.29_ child"/>
      <sheetName val="8.30"/>
      <sheetName val="8.31"/>
      <sheetName val="8.32"/>
      <sheetName val="8.33"/>
      <sheetName val="8.34"/>
      <sheetName val="8.35"/>
      <sheetName val="8.36"/>
      <sheetName val="8.37"/>
      <sheetName val="8.38"/>
      <sheetName val="8.39"/>
      <sheetName val="8.40, 8.41"/>
      <sheetName val="8.42"/>
      <sheetName val="8.43"/>
      <sheetName val="8.44"/>
      <sheetName val="8.45"/>
      <sheetName val="8.46"/>
      <sheetName val="8.47"/>
      <sheetName val="8.48"/>
      <sheetName val="8.49"/>
      <sheetName val="8.50"/>
      <sheetName val="8.51"/>
      <sheetName val="8.52"/>
      <sheetName val="8.53"/>
      <sheetName val="8.54"/>
      <sheetName val="8.55"/>
      <sheetName val="8.56"/>
      <sheetName val="8.57"/>
      <sheetName val="8.58"/>
      <sheetName val="8.59"/>
      <sheetName val="8.60"/>
      <sheetName val="8.61"/>
      <sheetName val="8.62"/>
      <sheetName val="8.63"/>
      <sheetName val="8.64"/>
      <sheetName val="8.65"/>
      <sheetName val="8.66"/>
      <sheetName val="8.67"/>
      <sheetName val="8.68"/>
      <sheetName val="8.6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91">
          <cell r="W91" t="str">
            <v>Number  of majistrates</v>
          </cell>
          <cell r="X91" t="str">
            <v>Number of islands with majistrate courts</v>
          </cell>
        </row>
        <row r="92">
          <cell r="V92" t="str">
            <v>HA</v>
          </cell>
          <cell r="W92">
            <v>8</v>
          </cell>
          <cell r="X92">
            <v>14</v>
          </cell>
        </row>
        <row r="93">
          <cell r="V93" t="str">
            <v>HDh</v>
          </cell>
          <cell r="W93">
            <v>8</v>
          </cell>
          <cell r="X93">
            <v>13</v>
          </cell>
        </row>
        <row r="94">
          <cell r="V94" t="str">
            <v>Sh</v>
          </cell>
          <cell r="W94">
            <v>5</v>
          </cell>
          <cell r="X94">
            <v>13</v>
          </cell>
        </row>
        <row r="95">
          <cell r="V95" t="str">
            <v>N</v>
          </cell>
          <cell r="W95">
            <v>7</v>
          </cell>
          <cell r="X95">
            <v>13</v>
          </cell>
        </row>
        <row r="96">
          <cell r="V96" t="str">
            <v>R</v>
          </cell>
          <cell r="W96">
            <v>12</v>
          </cell>
          <cell r="X96">
            <v>14</v>
          </cell>
        </row>
        <row r="97">
          <cell r="V97" t="str">
            <v>B</v>
          </cell>
          <cell r="W97">
            <v>7</v>
          </cell>
          <cell r="X97">
            <v>13</v>
          </cell>
        </row>
        <row r="98">
          <cell r="V98" t="str">
            <v>Lh</v>
          </cell>
          <cell r="W98">
            <v>4</v>
          </cell>
          <cell r="X98">
            <v>4</v>
          </cell>
        </row>
        <row r="99">
          <cell r="V99" t="str">
            <v>K</v>
          </cell>
          <cell r="W99">
            <v>8</v>
          </cell>
          <cell r="X99">
            <v>9</v>
          </cell>
        </row>
        <row r="100">
          <cell r="V100" t="str">
            <v>AA</v>
          </cell>
          <cell r="W100">
            <v>4</v>
          </cell>
          <cell r="X100">
            <v>8</v>
          </cell>
        </row>
        <row r="101">
          <cell r="V101" t="str">
            <v>ADh</v>
          </cell>
          <cell r="W101">
            <v>6</v>
          </cell>
          <cell r="X101">
            <v>10</v>
          </cell>
        </row>
        <row r="102">
          <cell r="V102" t="str">
            <v>V</v>
          </cell>
          <cell r="W102">
            <v>1</v>
          </cell>
          <cell r="X102">
            <v>5</v>
          </cell>
        </row>
        <row r="103">
          <cell r="V103" t="str">
            <v>M</v>
          </cell>
          <cell r="W103">
            <v>4</v>
          </cell>
          <cell r="X103">
            <v>8</v>
          </cell>
        </row>
        <row r="104">
          <cell r="V104" t="str">
            <v>F</v>
          </cell>
          <cell r="W104">
            <v>4</v>
          </cell>
          <cell r="X104">
            <v>5</v>
          </cell>
        </row>
        <row r="105">
          <cell r="V105" t="str">
            <v>Dh</v>
          </cell>
          <cell r="W105">
            <v>4</v>
          </cell>
          <cell r="X105">
            <v>6</v>
          </cell>
        </row>
        <row r="106">
          <cell r="V106" t="str">
            <v>Th</v>
          </cell>
          <cell r="W106">
            <v>9</v>
          </cell>
          <cell r="X106">
            <v>13</v>
          </cell>
        </row>
        <row r="107">
          <cell r="V107" t="str">
            <v>L</v>
          </cell>
          <cell r="W107">
            <v>12</v>
          </cell>
          <cell r="X107">
            <v>11</v>
          </cell>
        </row>
        <row r="108">
          <cell r="V108" t="str">
            <v>GA</v>
          </cell>
          <cell r="W108">
            <v>6</v>
          </cell>
          <cell r="X108">
            <v>9</v>
          </cell>
        </row>
        <row r="109">
          <cell r="V109" t="str">
            <v>GDh</v>
          </cell>
          <cell r="W109">
            <v>8</v>
          </cell>
          <cell r="X109">
            <v>9</v>
          </cell>
        </row>
        <row r="110">
          <cell r="V110" t="str">
            <v>Gn</v>
          </cell>
          <cell r="W110">
            <v>2</v>
          </cell>
          <cell r="X110">
            <v>1</v>
          </cell>
        </row>
        <row r="111">
          <cell r="V111" t="str">
            <v>S</v>
          </cell>
          <cell r="W111">
            <v>7</v>
          </cell>
          <cell r="X111">
            <v>6</v>
          </cell>
        </row>
      </sheetData>
      <sheetData sheetId="32">
        <row r="7">
          <cell r="A7" t="str">
            <v>Male</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29"/>
      <sheetName val="8.30"/>
      <sheetName val="8.31"/>
    </sheetNames>
    <sheetDataSet>
      <sheetData sheetId="0">
        <row r="129">
          <cell r="U129" t="str">
            <v>Atolls</v>
          </cell>
          <cell r="W129">
            <v>69.565217391304344</v>
          </cell>
        </row>
        <row r="130">
          <cell r="U130" t="str">
            <v>Male'</v>
          </cell>
          <cell r="W130">
            <v>30.434782608695656</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26"/>
      <sheetName val="8.27"/>
      <sheetName val="8.28"/>
      <sheetName val="8.20 workings"/>
    </sheetNames>
    <sheetDataSet>
      <sheetData sheetId="0"/>
      <sheetData sheetId="1">
        <row r="30">
          <cell r="R30">
            <v>2011</v>
          </cell>
          <cell r="S30">
            <v>2012</v>
          </cell>
          <cell r="T30">
            <v>2013</v>
          </cell>
          <cell r="U30">
            <v>2014</v>
          </cell>
          <cell r="V30">
            <v>2015</v>
          </cell>
          <cell r="W30">
            <v>2016</v>
          </cell>
          <cell r="X30">
            <v>2017</v>
          </cell>
          <cell r="Y30">
            <v>2018</v>
          </cell>
        </row>
        <row r="31">
          <cell r="Q31" t="str">
            <v>Completion rate</v>
          </cell>
          <cell r="R31">
            <v>86.812804453723032</v>
          </cell>
          <cell r="S31">
            <v>61.540749553837003</v>
          </cell>
          <cell r="T31">
            <v>70.99408617290905</v>
          </cell>
          <cell r="U31">
            <v>70.70082449941107</v>
          </cell>
          <cell r="V31">
            <v>70.769571967176759</v>
          </cell>
          <cell r="W31">
            <v>96.101645971700833</v>
          </cell>
          <cell r="X31">
            <v>98.131868131868131</v>
          </cell>
          <cell r="Y31">
            <v>99.701195219123505</v>
          </cell>
        </row>
        <row r="32">
          <cell r="Q32" t="str">
            <v>Submission rate to courts</v>
          </cell>
          <cell r="R32">
            <v>64.370215727209469</v>
          </cell>
          <cell r="S32">
            <v>42.504461629982153</v>
          </cell>
          <cell r="T32">
            <v>51.281329203041395</v>
          </cell>
          <cell r="U32">
            <v>44.081272084805654</v>
          </cell>
          <cell r="V32">
            <v>40.607673541805276</v>
          </cell>
          <cell r="W32">
            <v>97.458850707479058</v>
          </cell>
          <cell r="X32">
            <v>118.05860805860806</v>
          </cell>
          <cell r="Y32">
            <v>132.36763236763235</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1"/>
      <sheetName val="8.2"/>
      <sheetName val="8.3"/>
      <sheetName val="8.4"/>
      <sheetName val="8.5"/>
      <sheetName val="8.6"/>
      <sheetName val="8.7"/>
      <sheetName val="8.8"/>
      <sheetName val="8.9"/>
      <sheetName val="8.10"/>
      <sheetName val="8.11"/>
      <sheetName val="8.12"/>
      <sheetName val="8.13"/>
      <sheetName val="8.14"/>
      <sheetName val="8.15"/>
      <sheetName val="8.16"/>
      <sheetName val="8.17"/>
      <sheetName val="8.18"/>
      <sheetName val="8.19"/>
      <sheetName val="8.20"/>
      <sheetName val="Sheet5"/>
      <sheetName val="Sheet4"/>
      <sheetName val="Sheet3"/>
      <sheetName val="Sheet1"/>
      <sheetName val="8.21"/>
      <sheetName val="8.22"/>
      <sheetName val="8.23"/>
      <sheetName val="8.24"/>
      <sheetName val="8.25"/>
      <sheetName val="8.26"/>
      <sheetName val="8.27"/>
      <sheetName val="8.28"/>
      <sheetName val="8.29"/>
      <sheetName val="8.30"/>
      <sheetName val="8.31"/>
      <sheetName val="8.32"/>
      <sheetName val="8.33"/>
      <sheetName val="8.34"/>
      <sheetName val="8.35"/>
      <sheetName val="8.36"/>
      <sheetName val="8.37"/>
      <sheetName val="8.38"/>
      <sheetName val="8.39"/>
      <sheetName val="8.40"/>
      <sheetName val="8.41"/>
      <sheetName val="8.42"/>
      <sheetName val="8.43"/>
      <sheetName val="8.44"/>
      <sheetName val="8.45"/>
      <sheetName val="8.46"/>
      <sheetName val="8.47"/>
      <sheetName val="8.48"/>
      <sheetName val="8.49"/>
      <sheetName val="8.50"/>
      <sheetName val="8.51"/>
      <sheetName val="8.52"/>
      <sheetName val="8.53"/>
      <sheetName val="8.54"/>
      <sheetName val="8.55"/>
      <sheetName val="8.56"/>
      <sheetName val="8.57"/>
      <sheetName val="8.58"/>
      <sheetName val="8.59"/>
      <sheetName val="8.60"/>
      <sheetName val="8.6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34">
          <cell r="U34">
            <v>2011</v>
          </cell>
          <cell r="V34">
            <v>2012</v>
          </cell>
          <cell r="W34">
            <v>2013</v>
          </cell>
          <cell r="X34">
            <v>2014</v>
          </cell>
          <cell r="Y34">
            <v>2015</v>
          </cell>
          <cell r="Z34">
            <v>2016</v>
          </cell>
          <cell r="AA34">
            <v>2017</v>
          </cell>
          <cell r="AB34">
            <v>2018</v>
          </cell>
        </row>
        <row r="35">
          <cell r="T35" t="str">
            <v xml:space="preserve">Completed </v>
          </cell>
          <cell r="U35">
            <v>2495</v>
          </cell>
          <cell r="V35">
            <v>2069</v>
          </cell>
          <cell r="W35">
            <v>2521</v>
          </cell>
          <cell r="X35">
            <v>2401</v>
          </cell>
          <cell r="Y35">
            <v>3191</v>
          </cell>
          <cell r="Z35">
            <v>3328</v>
          </cell>
          <cell r="AA35">
            <v>2679</v>
          </cell>
          <cell r="AB35">
            <v>2002</v>
          </cell>
        </row>
        <row r="36">
          <cell r="T36" t="str">
            <v>Submitted to court</v>
          </cell>
          <cell r="U36">
            <v>1850</v>
          </cell>
          <cell r="V36">
            <v>1429</v>
          </cell>
          <cell r="W36">
            <v>1821</v>
          </cell>
          <cell r="X36">
            <v>1497</v>
          </cell>
          <cell r="Y36">
            <v>1831</v>
          </cell>
          <cell r="Z36">
            <v>3375</v>
          </cell>
          <cell r="AA36">
            <v>3223</v>
          </cell>
          <cell r="AB36">
            <v>2650</v>
          </cell>
        </row>
        <row r="37">
          <cell r="T37" t="str">
            <v xml:space="preserve">Not sent to court </v>
          </cell>
          <cell r="U37">
            <v>379</v>
          </cell>
          <cell r="V37">
            <v>1293</v>
          </cell>
          <cell r="W37">
            <v>1030</v>
          </cell>
          <cell r="X37">
            <v>995</v>
          </cell>
          <cell r="Y37">
            <v>1318</v>
          </cell>
          <cell r="Z37">
            <v>135</v>
          </cell>
          <cell r="AA37">
            <v>51</v>
          </cell>
          <cell r="AB37">
            <v>6</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20 workings"/>
      <sheetName val="8.27"/>
      <sheetName val="8.28"/>
    </sheetNames>
    <sheetDataSet>
      <sheetData sheetId="0"/>
      <sheetData sheetId="1">
        <row r="91">
          <cell r="T91" t="str">
            <v>Number  of majistrates</v>
          </cell>
          <cell r="U91" t="str">
            <v>Number of islands with majistrate courts</v>
          </cell>
        </row>
        <row r="92">
          <cell r="S92" t="str">
            <v>HA</v>
          </cell>
          <cell r="T92">
            <v>10</v>
          </cell>
          <cell r="U92">
            <v>14</v>
          </cell>
        </row>
        <row r="93">
          <cell r="S93" t="str">
            <v>HDh</v>
          </cell>
          <cell r="T93">
            <v>8</v>
          </cell>
          <cell r="U93">
            <v>13</v>
          </cell>
        </row>
        <row r="94">
          <cell r="S94" t="str">
            <v>Sh</v>
          </cell>
          <cell r="T94">
            <v>4</v>
          </cell>
          <cell r="U94">
            <v>13</v>
          </cell>
        </row>
        <row r="95">
          <cell r="S95" t="str">
            <v>N</v>
          </cell>
          <cell r="T95">
            <v>7</v>
          </cell>
          <cell r="U95">
            <v>13</v>
          </cell>
        </row>
        <row r="96">
          <cell r="S96" t="str">
            <v>R</v>
          </cell>
          <cell r="T96">
            <v>12</v>
          </cell>
          <cell r="U96">
            <v>15</v>
          </cell>
        </row>
        <row r="97">
          <cell r="S97" t="str">
            <v>B</v>
          </cell>
          <cell r="T97">
            <v>8</v>
          </cell>
          <cell r="U97">
            <v>13</v>
          </cell>
        </row>
        <row r="98">
          <cell r="S98" t="str">
            <v>Lh</v>
          </cell>
          <cell r="T98">
            <v>2</v>
          </cell>
          <cell r="U98">
            <v>4</v>
          </cell>
        </row>
        <row r="99">
          <cell r="S99" t="str">
            <v>K</v>
          </cell>
          <cell r="T99">
            <v>8</v>
          </cell>
          <cell r="U99">
            <v>9</v>
          </cell>
        </row>
        <row r="100">
          <cell r="S100" t="str">
            <v>AA</v>
          </cell>
          <cell r="T100">
            <v>4</v>
          </cell>
          <cell r="U100">
            <v>8</v>
          </cell>
        </row>
        <row r="101">
          <cell r="S101" t="str">
            <v>ADh</v>
          </cell>
          <cell r="T101">
            <v>5</v>
          </cell>
          <cell r="U101">
            <v>10</v>
          </cell>
        </row>
        <row r="102">
          <cell r="S102" t="str">
            <v>V</v>
          </cell>
          <cell r="T102">
            <v>2</v>
          </cell>
          <cell r="U102">
            <v>5</v>
          </cell>
        </row>
        <row r="103">
          <cell r="S103" t="str">
            <v>M</v>
          </cell>
          <cell r="T103">
            <v>5</v>
          </cell>
          <cell r="U103">
            <v>8</v>
          </cell>
        </row>
        <row r="104">
          <cell r="S104" t="str">
            <v>F</v>
          </cell>
          <cell r="T104">
            <v>3</v>
          </cell>
          <cell r="U104">
            <v>5</v>
          </cell>
        </row>
        <row r="105">
          <cell r="S105" t="str">
            <v>Dh</v>
          </cell>
          <cell r="T105">
            <v>4</v>
          </cell>
          <cell r="U105">
            <v>6</v>
          </cell>
        </row>
        <row r="106">
          <cell r="S106" t="str">
            <v>Th</v>
          </cell>
          <cell r="T106">
            <v>7</v>
          </cell>
          <cell r="U106">
            <v>13</v>
          </cell>
        </row>
        <row r="107">
          <cell r="S107" t="str">
            <v>L</v>
          </cell>
          <cell r="T107">
            <v>11</v>
          </cell>
          <cell r="U107">
            <v>11</v>
          </cell>
        </row>
        <row r="108">
          <cell r="S108" t="str">
            <v>GA</v>
          </cell>
          <cell r="T108">
            <v>8</v>
          </cell>
          <cell r="U108">
            <v>9</v>
          </cell>
        </row>
        <row r="109">
          <cell r="S109" t="str">
            <v>GDh</v>
          </cell>
          <cell r="T109">
            <v>8</v>
          </cell>
          <cell r="U109">
            <v>9</v>
          </cell>
        </row>
        <row r="110">
          <cell r="S110" t="str">
            <v>Gn</v>
          </cell>
          <cell r="T110">
            <v>1</v>
          </cell>
          <cell r="U110">
            <v>1</v>
          </cell>
        </row>
        <row r="111">
          <cell r="S111" t="str">
            <v>S</v>
          </cell>
          <cell r="T111">
            <v>8</v>
          </cell>
          <cell r="U111">
            <v>6</v>
          </cell>
        </row>
        <row r="129">
          <cell r="R129" t="str">
            <v>Atolls</v>
          </cell>
          <cell r="T129">
            <v>70.224719101123597</v>
          </cell>
        </row>
        <row r="130">
          <cell r="R130" t="str">
            <v>Male'</v>
          </cell>
          <cell r="T130">
            <v>29.775280898876407</v>
          </cell>
        </row>
      </sheetData>
      <sheetData sheetId="2">
        <row r="7">
          <cell r="A7" t="str">
            <v>Male</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44"/>
      <sheetName val="8.45"/>
      <sheetName val="8.47"/>
      <sheetName val="8.50"/>
      <sheetName val="8.57"/>
      <sheetName val="8.58"/>
      <sheetName val="8.59"/>
    </sheetNames>
    <sheetDataSet>
      <sheetData sheetId="0"/>
      <sheetData sheetId="1"/>
      <sheetData sheetId="2">
        <row r="4">
          <cell r="C4" t="str">
            <v>Male</v>
          </cell>
          <cell r="D4" t="str">
            <v>Female</v>
          </cell>
        </row>
        <row r="7">
          <cell r="A7" t="str">
            <v>Refusal to Attend School</v>
          </cell>
          <cell r="C7">
            <v>12</v>
          </cell>
          <cell r="D7">
            <v>8</v>
          </cell>
        </row>
        <row r="8">
          <cell r="A8" t="str">
            <v>Tamper Tantrums</v>
          </cell>
          <cell r="C8">
            <v>29</v>
          </cell>
          <cell r="D8">
            <v>12</v>
          </cell>
        </row>
        <row r="9">
          <cell r="A9" t="str">
            <v xml:space="preserve">Running Away </v>
          </cell>
          <cell r="C9">
            <v>6</v>
          </cell>
          <cell r="D9">
            <v>26</v>
          </cell>
        </row>
      </sheetData>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29"/>
      <sheetName val="8.30"/>
      <sheetName val="8.31"/>
    </sheetNames>
    <sheetDataSet>
      <sheetData sheetId="0">
        <row r="129">
          <cell r="U129" t="str">
            <v>Atolls</v>
          </cell>
          <cell r="W129">
            <v>69.565217391304344</v>
          </cell>
        </row>
        <row r="130">
          <cell r="W130">
            <v>30.434782608695656</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92D050"/>
  </sheetPr>
  <dimension ref="A1:G16"/>
  <sheetViews>
    <sheetView tabSelected="1" zoomScale="166" zoomScaleNormal="166" workbookViewId="0">
      <selection activeCell="G15" sqref="G15"/>
    </sheetView>
  </sheetViews>
  <sheetFormatPr defaultRowHeight="15"/>
  <cols>
    <col min="1" max="1" width="12.42578125" style="16" customWidth="1"/>
    <col min="2" max="6" width="9.140625" style="16"/>
    <col min="7" max="7" width="37" style="16" customWidth="1"/>
    <col min="8" max="16384" width="9.140625" style="16"/>
  </cols>
  <sheetData>
    <row r="1" spans="1:7">
      <c r="A1" s="1322" t="s">
        <v>2124</v>
      </c>
      <c r="B1" s="1322"/>
      <c r="C1" s="1322"/>
      <c r="D1" s="1322"/>
      <c r="E1" s="1322"/>
      <c r="F1" s="1322"/>
      <c r="G1" s="1322"/>
    </row>
    <row r="3" spans="1:7">
      <c r="A3" s="1080">
        <v>2020</v>
      </c>
      <c r="B3" s="1080"/>
      <c r="C3" s="1081"/>
      <c r="D3" s="1080">
        <v>2021</v>
      </c>
      <c r="E3" s="1080"/>
      <c r="F3" s="1080"/>
      <c r="G3" s="1082"/>
    </row>
    <row r="4" spans="1:7">
      <c r="A4" s="1076" t="s">
        <v>20</v>
      </c>
      <c r="B4" s="1076" t="s">
        <v>101</v>
      </c>
      <c r="C4" s="1085" t="s">
        <v>22</v>
      </c>
      <c r="D4" s="1076" t="s">
        <v>20</v>
      </c>
      <c r="E4" s="1076" t="s">
        <v>101</v>
      </c>
      <c r="F4" s="1076" t="s">
        <v>22</v>
      </c>
      <c r="G4" s="1083"/>
    </row>
    <row r="5" spans="1:7">
      <c r="A5" s="1078"/>
      <c r="B5" s="1078"/>
      <c r="C5" s="1086"/>
      <c r="D5" s="1078"/>
      <c r="E5" s="1078"/>
      <c r="F5" s="1078"/>
      <c r="G5" s="1084"/>
    </row>
    <row r="6" spans="1:7" ht="21">
      <c r="A6" s="25">
        <f>SUM(B6:C6)</f>
        <v>247</v>
      </c>
      <c r="B6" s="25">
        <f>SUM(B7:B15)</f>
        <v>120</v>
      </c>
      <c r="C6" s="963">
        <f>SUM(C7:C15)</f>
        <v>127</v>
      </c>
      <c r="D6" s="25">
        <f>SUM(E6:F6)</f>
        <v>267</v>
      </c>
      <c r="E6" s="25">
        <f>SUM(E7:E15)</f>
        <v>139</v>
      </c>
      <c r="F6" s="25">
        <f>SUM(F7:F15)</f>
        <v>128</v>
      </c>
      <c r="G6" s="706" t="s">
        <v>49</v>
      </c>
    </row>
    <row r="7" spans="1:7" ht="20.25">
      <c r="A7" s="24">
        <f t="shared" ref="A7:A15" si="0">SUM(B7:C7)</f>
        <v>2</v>
      </c>
      <c r="B7" s="47">
        <v>1</v>
      </c>
      <c r="C7" s="788">
        <v>1</v>
      </c>
      <c r="D7" s="24">
        <f>SUM(E7:F7)</f>
        <v>0</v>
      </c>
      <c r="E7" s="47">
        <v>0</v>
      </c>
      <c r="F7" s="47">
        <v>0</v>
      </c>
      <c r="G7" s="964" t="s">
        <v>146</v>
      </c>
    </row>
    <row r="8" spans="1:7" ht="20.25">
      <c r="A8" s="24">
        <f t="shared" si="0"/>
        <v>115</v>
      </c>
      <c r="B8" s="47">
        <v>67</v>
      </c>
      <c r="C8" s="788">
        <v>48</v>
      </c>
      <c r="D8" s="24">
        <f t="shared" ref="D8:D15" si="1">SUM(E8:F8)</f>
        <v>108</v>
      </c>
      <c r="E8" s="47">
        <v>60</v>
      </c>
      <c r="F8" s="47">
        <v>48</v>
      </c>
      <c r="G8" s="964" t="s">
        <v>147</v>
      </c>
    </row>
    <row r="9" spans="1:7" ht="20.25">
      <c r="A9" s="24">
        <f t="shared" si="0"/>
        <v>4</v>
      </c>
      <c r="B9" s="47">
        <v>2</v>
      </c>
      <c r="C9" s="788">
        <v>2</v>
      </c>
      <c r="D9" s="24">
        <f t="shared" si="1"/>
        <v>4</v>
      </c>
      <c r="E9" s="47">
        <v>1</v>
      </c>
      <c r="F9" s="47">
        <v>3</v>
      </c>
      <c r="G9" s="964" t="s">
        <v>148</v>
      </c>
    </row>
    <row r="10" spans="1:7" ht="20.25">
      <c r="A10" s="24">
        <f t="shared" si="0"/>
        <v>6</v>
      </c>
      <c r="B10" s="47">
        <v>5</v>
      </c>
      <c r="C10" s="788">
        <v>1</v>
      </c>
      <c r="D10" s="24">
        <f t="shared" si="1"/>
        <v>2</v>
      </c>
      <c r="E10" s="47">
        <v>2</v>
      </c>
      <c r="F10" s="47">
        <v>0</v>
      </c>
      <c r="G10" s="964" t="s">
        <v>149</v>
      </c>
    </row>
    <row r="11" spans="1:7" ht="20.25">
      <c r="A11" s="24"/>
      <c r="B11" s="47"/>
      <c r="C11" s="788"/>
      <c r="D11" s="24">
        <f t="shared" si="1"/>
        <v>14</v>
      </c>
      <c r="E11" s="47">
        <v>9</v>
      </c>
      <c r="F11" s="47">
        <v>5</v>
      </c>
      <c r="G11" s="964" t="s">
        <v>2125</v>
      </c>
    </row>
    <row r="12" spans="1:7" ht="20.25">
      <c r="A12" s="24">
        <f t="shared" si="0"/>
        <v>22</v>
      </c>
      <c r="B12" s="47">
        <v>7</v>
      </c>
      <c r="C12" s="788">
        <v>15</v>
      </c>
      <c r="D12" s="24">
        <f t="shared" si="1"/>
        <v>14</v>
      </c>
      <c r="E12" s="47">
        <v>4</v>
      </c>
      <c r="F12" s="47">
        <v>10</v>
      </c>
      <c r="G12" s="964" t="s">
        <v>150</v>
      </c>
    </row>
    <row r="13" spans="1:7" ht="20.25">
      <c r="A13" s="24"/>
      <c r="B13" s="47"/>
      <c r="C13" s="788"/>
      <c r="D13" s="24">
        <f t="shared" si="1"/>
        <v>13</v>
      </c>
      <c r="E13" s="47">
        <v>10</v>
      </c>
      <c r="F13" s="47">
        <v>3</v>
      </c>
      <c r="G13" s="964" t="s">
        <v>2126</v>
      </c>
    </row>
    <row r="14" spans="1:7" ht="20.25">
      <c r="A14" s="24">
        <f t="shared" si="0"/>
        <v>94</v>
      </c>
      <c r="B14" s="47">
        <v>35</v>
      </c>
      <c r="C14" s="788">
        <v>59</v>
      </c>
      <c r="D14" s="24">
        <f t="shared" si="1"/>
        <v>107</v>
      </c>
      <c r="E14" s="47">
        <v>50</v>
      </c>
      <c r="F14" s="47">
        <v>57</v>
      </c>
      <c r="G14" s="964" t="s">
        <v>151</v>
      </c>
    </row>
    <row r="15" spans="1:7" ht="20.25">
      <c r="A15" s="99">
        <f t="shared" si="0"/>
        <v>4</v>
      </c>
      <c r="B15" s="630">
        <v>3</v>
      </c>
      <c r="C15" s="790">
        <v>1</v>
      </c>
      <c r="D15" s="99">
        <f t="shared" si="1"/>
        <v>5</v>
      </c>
      <c r="E15" s="630">
        <v>3</v>
      </c>
      <c r="F15" s="630">
        <v>2</v>
      </c>
      <c r="G15" s="965" t="s">
        <v>152</v>
      </c>
    </row>
    <row r="16" spans="1:7">
      <c r="A16" s="32" t="s">
        <v>16</v>
      </c>
      <c r="G16" s="86" t="s">
        <v>17</v>
      </c>
    </row>
  </sheetData>
  <mergeCells count="9">
    <mergeCell ref="F4:F5"/>
    <mergeCell ref="A3:C3"/>
    <mergeCell ref="D3:F3"/>
    <mergeCell ref="G3:G5"/>
    <mergeCell ref="A4:A5"/>
    <mergeCell ref="B4:B5"/>
    <mergeCell ref="C4:C5"/>
    <mergeCell ref="D4:D5"/>
    <mergeCell ref="E4:E5"/>
  </mergeCells>
  <pageMargins left="0.7" right="0.7" top="0.75" bottom="0.75" header="0.3" footer="0.3"/>
  <pageSetup paperSize="9" scale="83" orientation="portrait" horizontalDpi="4294967295" verticalDpi="4294967295" r:id="rId1"/>
  <ignoredErrors>
    <ignoredError sqref="D6"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236B-D2B6-4799-9EFF-BBD0801CFBFF}">
  <dimension ref="A2:E19"/>
  <sheetViews>
    <sheetView zoomScaleNormal="100" workbookViewId="0">
      <selection activeCell="N22" sqref="N22"/>
    </sheetView>
  </sheetViews>
  <sheetFormatPr defaultRowHeight="15"/>
  <cols>
    <col min="1" max="1" width="4.85546875" style="16" customWidth="1"/>
    <col min="2" max="5" width="17.140625" style="16" customWidth="1"/>
    <col min="6" max="16384" width="9.140625" style="16"/>
  </cols>
  <sheetData>
    <row r="2" spans="1:5">
      <c r="B2" s="1076" t="s">
        <v>2127</v>
      </c>
      <c r="C2" s="1076"/>
      <c r="D2" s="1076"/>
      <c r="E2" s="1076"/>
    </row>
    <row r="3" spans="1:5">
      <c r="A3" s="1322"/>
      <c r="B3" s="1322"/>
      <c r="C3" s="1322"/>
    </row>
    <row r="5" spans="1:5">
      <c r="B5" s="966" t="s">
        <v>130</v>
      </c>
      <c r="C5" s="962" t="s">
        <v>119</v>
      </c>
      <c r="D5" s="962" t="s">
        <v>69</v>
      </c>
      <c r="E5" s="962" t="s">
        <v>70</v>
      </c>
    </row>
    <row r="6" spans="1:5">
      <c r="B6" s="52" t="s">
        <v>1</v>
      </c>
      <c r="C6" s="18">
        <f>SUM(D6:E6)</f>
        <v>307</v>
      </c>
      <c r="D6" s="18">
        <f>SUM(D7:D18)</f>
        <v>54</v>
      </c>
      <c r="E6" s="18">
        <f>SUM(E7:E18)</f>
        <v>253</v>
      </c>
    </row>
    <row r="7" spans="1:5">
      <c r="B7" s="16" t="s">
        <v>131</v>
      </c>
      <c r="C7" s="18">
        <f t="shared" ref="C7:C17" si="0">SUM(D7:E7)</f>
        <v>145</v>
      </c>
      <c r="D7" s="42">
        <v>33</v>
      </c>
      <c r="E7" s="42">
        <v>112</v>
      </c>
    </row>
    <row r="8" spans="1:5">
      <c r="B8" s="16" t="s">
        <v>132</v>
      </c>
      <c r="C8" s="18">
        <f t="shared" si="0"/>
        <v>104</v>
      </c>
      <c r="D8" s="42">
        <v>17</v>
      </c>
      <c r="E8" s="42">
        <v>87</v>
      </c>
    </row>
    <row r="9" spans="1:5">
      <c r="B9" s="16" t="s">
        <v>133</v>
      </c>
      <c r="C9" s="18">
        <f t="shared" si="0"/>
        <v>25</v>
      </c>
      <c r="D9" s="42">
        <v>0</v>
      </c>
      <c r="E9" s="42">
        <v>25</v>
      </c>
    </row>
    <row r="10" spans="1:5">
      <c r="B10" s="16" t="s">
        <v>134</v>
      </c>
      <c r="C10" s="18">
        <f t="shared" si="0"/>
        <v>4</v>
      </c>
      <c r="D10" s="42">
        <v>0</v>
      </c>
      <c r="E10" s="42">
        <v>4</v>
      </c>
    </row>
    <row r="11" spans="1:5">
      <c r="B11" s="16" t="s">
        <v>135</v>
      </c>
      <c r="C11" s="18">
        <f t="shared" si="0"/>
        <v>9</v>
      </c>
      <c r="D11" s="42">
        <v>0</v>
      </c>
      <c r="E11" s="42">
        <v>9</v>
      </c>
    </row>
    <row r="12" spans="1:5">
      <c r="B12" s="16" t="s">
        <v>136</v>
      </c>
      <c r="C12" s="18">
        <f t="shared" si="0"/>
        <v>8</v>
      </c>
      <c r="D12" s="42">
        <v>1</v>
      </c>
      <c r="E12" s="42">
        <v>7</v>
      </c>
    </row>
    <row r="13" spans="1:5">
      <c r="B13" s="16" t="s">
        <v>137</v>
      </c>
      <c r="C13" s="18">
        <f t="shared" si="0"/>
        <v>3</v>
      </c>
      <c r="D13" s="42">
        <v>1</v>
      </c>
      <c r="E13" s="42">
        <v>2</v>
      </c>
    </row>
    <row r="14" spans="1:5">
      <c r="B14" s="16" t="s">
        <v>138</v>
      </c>
      <c r="C14" s="18">
        <f t="shared" si="0"/>
        <v>3</v>
      </c>
      <c r="D14" s="42">
        <v>0</v>
      </c>
      <c r="E14" s="42">
        <v>3</v>
      </c>
    </row>
    <row r="15" spans="1:5">
      <c r="B15" s="16" t="s">
        <v>139</v>
      </c>
      <c r="C15" s="18">
        <f t="shared" si="0"/>
        <v>2</v>
      </c>
      <c r="D15" s="42">
        <v>1</v>
      </c>
      <c r="E15" s="42">
        <v>1</v>
      </c>
    </row>
    <row r="16" spans="1:5">
      <c r="B16" s="16" t="s">
        <v>140</v>
      </c>
      <c r="C16" s="18">
        <f t="shared" si="0"/>
        <v>3</v>
      </c>
      <c r="D16" s="42">
        <v>0</v>
      </c>
      <c r="E16" s="42">
        <v>3</v>
      </c>
    </row>
    <row r="17" spans="2:5">
      <c r="B17" s="16" t="s">
        <v>141</v>
      </c>
      <c r="C17" s="18">
        <f t="shared" si="0"/>
        <v>1</v>
      </c>
      <c r="D17" s="42">
        <v>1</v>
      </c>
      <c r="E17" s="42">
        <v>0</v>
      </c>
    </row>
    <row r="18" spans="2:5">
      <c r="B18" s="43" t="s">
        <v>142</v>
      </c>
      <c r="C18" s="26">
        <f>SUM(D18:E18)</f>
        <v>0</v>
      </c>
      <c r="D18" s="647">
        <v>0</v>
      </c>
      <c r="E18" s="647">
        <v>0</v>
      </c>
    </row>
    <row r="19" spans="2:5">
      <c r="B19" s="32" t="s">
        <v>16</v>
      </c>
      <c r="E19" s="86" t="s">
        <v>17</v>
      </c>
    </row>
  </sheetData>
  <mergeCells count="1">
    <mergeCell ref="B2:E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0D886-7B77-4E08-82ED-548460420D46}">
  <dimension ref="A1:D16"/>
  <sheetViews>
    <sheetView view="pageBreakPreview" zoomScale="60" zoomScaleNormal="100" workbookViewId="0">
      <selection activeCell="J13" sqref="J13"/>
    </sheetView>
  </sheetViews>
  <sheetFormatPr defaultRowHeight="15"/>
  <cols>
    <col min="1" max="1" width="37.85546875" style="16" customWidth="1"/>
    <col min="2" max="16384" width="9.140625" style="16"/>
  </cols>
  <sheetData>
    <row r="1" spans="1:4">
      <c r="A1" s="1090" t="s">
        <v>2156</v>
      </c>
      <c r="B1" s="1090"/>
      <c r="C1" s="1090"/>
      <c r="D1" s="1090"/>
    </row>
    <row r="2" spans="1:4">
      <c r="A2" s="91"/>
      <c r="B2" s="91"/>
      <c r="C2" s="90"/>
      <c r="D2" s="90"/>
    </row>
    <row r="3" spans="1:4">
      <c r="A3" s="1087" t="s">
        <v>120</v>
      </c>
      <c r="B3" s="1094" t="s">
        <v>20</v>
      </c>
      <c r="C3" s="1094" t="s">
        <v>21</v>
      </c>
      <c r="D3" s="1094" t="s">
        <v>22</v>
      </c>
    </row>
    <row r="4" spans="1:4">
      <c r="A4" s="1088"/>
      <c r="B4" s="1093"/>
      <c r="C4" s="1093"/>
      <c r="D4" s="1093"/>
    </row>
    <row r="5" spans="1:4" ht="23.25" customHeight="1">
      <c r="A5" s="967" t="s">
        <v>1</v>
      </c>
      <c r="B5" s="968">
        <f>SUM(B6:B14)</f>
        <v>561</v>
      </c>
      <c r="C5" s="969">
        <f>SUM(C6:C14)</f>
        <v>201</v>
      </c>
      <c r="D5" s="969">
        <f>SUM(D6:D14)</f>
        <v>360</v>
      </c>
    </row>
    <row r="6" spans="1:4" ht="23.25" customHeight="1">
      <c r="A6" s="866" t="s">
        <v>153</v>
      </c>
      <c r="B6" s="79">
        <f>SUM(C6:D6)</f>
        <v>171</v>
      </c>
      <c r="C6" s="1027">
        <v>70</v>
      </c>
      <c r="D6" s="196">
        <v>101</v>
      </c>
    </row>
    <row r="7" spans="1:4" ht="23.25" customHeight="1">
      <c r="A7" s="866" t="s">
        <v>154</v>
      </c>
      <c r="B7" s="79">
        <f t="shared" ref="B7:B14" si="0">SUM(C7:D7)</f>
        <v>250</v>
      </c>
      <c r="C7" s="1027">
        <v>73</v>
      </c>
      <c r="D7" s="196">
        <v>177</v>
      </c>
    </row>
    <row r="8" spans="1:4" ht="23.25" customHeight="1">
      <c r="A8" s="866" t="s">
        <v>155</v>
      </c>
      <c r="B8" s="79">
        <f t="shared" si="0"/>
        <v>40</v>
      </c>
      <c r="C8" s="1027">
        <v>12</v>
      </c>
      <c r="D8" s="196">
        <v>28</v>
      </c>
    </row>
    <row r="9" spans="1:4" ht="23.25" customHeight="1">
      <c r="A9" s="866" t="s">
        <v>156</v>
      </c>
      <c r="B9" s="79">
        <f t="shared" si="0"/>
        <v>80</v>
      </c>
      <c r="C9" s="1027">
        <v>40</v>
      </c>
      <c r="D9" s="196">
        <v>40</v>
      </c>
    </row>
    <row r="10" spans="1:4" ht="23.25" customHeight="1">
      <c r="A10" s="866" t="s">
        <v>2128</v>
      </c>
      <c r="B10" s="79">
        <f t="shared" si="0"/>
        <v>9</v>
      </c>
      <c r="C10" s="1027">
        <v>0</v>
      </c>
      <c r="D10" s="196">
        <v>9</v>
      </c>
    </row>
    <row r="11" spans="1:4" ht="23.25" customHeight="1">
      <c r="A11" s="866" t="s">
        <v>157</v>
      </c>
      <c r="B11" s="79">
        <f t="shared" si="0"/>
        <v>0</v>
      </c>
      <c r="C11" s="1027">
        <v>0</v>
      </c>
      <c r="D11" s="196">
        <v>0</v>
      </c>
    </row>
    <row r="12" spans="1:4" ht="23.25" customHeight="1">
      <c r="A12" s="866" t="s">
        <v>2129</v>
      </c>
      <c r="B12" s="79">
        <f t="shared" si="0"/>
        <v>1</v>
      </c>
      <c r="C12" s="1027">
        <v>0</v>
      </c>
      <c r="D12" s="196">
        <v>1</v>
      </c>
    </row>
    <row r="13" spans="1:4" ht="23.25" customHeight="1">
      <c r="A13" s="866" t="s">
        <v>158</v>
      </c>
      <c r="B13" s="79">
        <f t="shared" si="0"/>
        <v>0</v>
      </c>
      <c r="C13" s="1027">
        <v>0</v>
      </c>
      <c r="D13" s="196">
        <v>0</v>
      </c>
    </row>
    <row r="14" spans="1:4" ht="23.25" customHeight="1">
      <c r="A14" s="869" t="s">
        <v>159</v>
      </c>
      <c r="B14" s="80">
        <f t="shared" si="0"/>
        <v>10</v>
      </c>
      <c r="C14" s="1028">
        <v>6</v>
      </c>
      <c r="D14" s="1029">
        <v>4</v>
      </c>
    </row>
    <row r="15" spans="1:4">
      <c r="A15" s="32" t="s">
        <v>16</v>
      </c>
      <c r="B15" s="76"/>
      <c r="C15" s="34"/>
      <c r="D15" s="34"/>
    </row>
    <row r="16" spans="1:4">
      <c r="A16" s="32" t="s">
        <v>160</v>
      </c>
    </row>
  </sheetData>
  <mergeCells count="5">
    <mergeCell ref="A1:D1"/>
    <mergeCell ref="A3:A4"/>
    <mergeCell ref="B3:B4"/>
    <mergeCell ref="C3:C4"/>
    <mergeCell ref="D3:D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308A-4FEE-47CC-9275-2E7C9631E936}">
  <dimension ref="A1:D15"/>
  <sheetViews>
    <sheetView view="pageBreakPreview" zoomScale="60" zoomScaleNormal="100" workbookViewId="0">
      <selection activeCell="I11" sqref="I11"/>
    </sheetView>
  </sheetViews>
  <sheetFormatPr defaultColWidth="14.5703125" defaultRowHeight="15"/>
  <cols>
    <col min="1" max="1" width="28" style="16" customWidth="1"/>
    <col min="2" max="16384" width="14.5703125" style="16"/>
  </cols>
  <sheetData>
    <row r="1" spans="1:4">
      <c r="A1" s="1091" t="s">
        <v>2157</v>
      </c>
      <c r="B1" s="1091"/>
      <c r="C1" s="1091"/>
      <c r="D1" s="1091"/>
    </row>
    <row r="2" spans="1:4">
      <c r="A2" s="90"/>
    </row>
    <row r="3" spans="1:4">
      <c r="A3" s="1087" t="s">
        <v>120</v>
      </c>
      <c r="B3" s="1092" t="s">
        <v>129</v>
      </c>
      <c r="C3" s="1092" t="s">
        <v>69</v>
      </c>
      <c r="D3" s="1092" t="s">
        <v>70</v>
      </c>
    </row>
    <row r="4" spans="1:4">
      <c r="A4" s="1088"/>
      <c r="B4" s="1093"/>
      <c r="C4" s="1093"/>
      <c r="D4" s="1093"/>
    </row>
    <row r="5" spans="1:4">
      <c r="A5" s="967" t="s">
        <v>1</v>
      </c>
      <c r="B5" s="968">
        <f>SUM(B6:B14)</f>
        <v>633</v>
      </c>
      <c r="C5" s="969">
        <f>SUM(C6:C14)</f>
        <v>236</v>
      </c>
      <c r="D5" s="969">
        <f>SUM(D6:D14)</f>
        <v>397</v>
      </c>
    </row>
    <row r="6" spans="1:4" ht="28.5" customHeight="1">
      <c r="A6" s="866" t="s">
        <v>153</v>
      </c>
      <c r="B6" s="79">
        <f>SUM(C6:D6)</f>
        <v>195</v>
      </c>
      <c r="C6" s="1027">
        <v>120</v>
      </c>
      <c r="D6" s="196">
        <v>75</v>
      </c>
    </row>
    <row r="7" spans="1:4" ht="28.5" customHeight="1">
      <c r="A7" s="866" t="s">
        <v>154</v>
      </c>
      <c r="B7" s="79">
        <f t="shared" ref="B7:B14" si="0">SUM(C7:D7)</f>
        <v>284</v>
      </c>
      <c r="C7" s="1027">
        <v>56</v>
      </c>
      <c r="D7" s="196">
        <v>228</v>
      </c>
    </row>
    <row r="8" spans="1:4" ht="28.5" customHeight="1">
      <c r="A8" s="866" t="s">
        <v>155</v>
      </c>
      <c r="B8" s="79">
        <f t="shared" si="0"/>
        <v>38</v>
      </c>
      <c r="C8" s="1027">
        <v>21</v>
      </c>
      <c r="D8" s="196">
        <v>17</v>
      </c>
    </row>
    <row r="9" spans="1:4" ht="28.5" customHeight="1">
      <c r="A9" s="866" t="s">
        <v>156</v>
      </c>
      <c r="B9" s="79">
        <f t="shared" si="0"/>
        <v>95</v>
      </c>
      <c r="C9" s="1027">
        <v>36</v>
      </c>
      <c r="D9" s="196">
        <v>59</v>
      </c>
    </row>
    <row r="10" spans="1:4" ht="28.5" customHeight="1">
      <c r="A10" s="866" t="s">
        <v>2128</v>
      </c>
      <c r="B10" s="79">
        <f t="shared" si="0"/>
        <v>9</v>
      </c>
      <c r="C10" s="1027">
        <v>1</v>
      </c>
      <c r="D10" s="196">
        <v>8</v>
      </c>
    </row>
    <row r="11" spans="1:4" ht="28.5" customHeight="1">
      <c r="A11" s="866" t="s">
        <v>157</v>
      </c>
      <c r="B11" s="79">
        <f t="shared" si="0"/>
        <v>0</v>
      </c>
      <c r="C11" s="1027">
        <v>0</v>
      </c>
      <c r="D11" s="196">
        <v>0</v>
      </c>
    </row>
    <row r="12" spans="1:4" ht="28.5" customHeight="1">
      <c r="A12" s="866" t="s">
        <v>2129</v>
      </c>
      <c r="B12" s="79">
        <f t="shared" si="0"/>
        <v>1</v>
      </c>
      <c r="C12" s="1027">
        <v>0</v>
      </c>
      <c r="D12" s="196">
        <v>1</v>
      </c>
    </row>
    <row r="13" spans="1:4" ht="28.5" customHeight="1">
      <c r="A13" s="866" t="s">
        <v>158</v>
      </c>
      <c r="B13" s="79">
        <f t="shared" si="0"/>
        <v>0</v>
      </c>
      <c r="C13" s="1027">
        <v>0</v>
      </c>
      <c r="D13" s="196">
        <v>0</v>
      </c>
    </row>
    <row r="14" spans="1:4" ht="28.5" customHeight="1">
      <c r="A14" s="869" t="s">
        <v>159</v>
      </c>
      <c r="B14" s="80">
        <f t="shared" si="0"/>
        <v>11</v>
      </c>
      <c r="C14" s="1028">
        <v>2</v>
      </c>
      <c r="D14" s="1029">
        <v>9</v>
      </c>
    </row>
    <row r="15" spans="1:4">
      <c r="A15" s="32" t="s">
        <v>16</v>
      </c>
      <c r="B15" s="76"/>
      <c r="C15" s="34"/>
      <c r="D15" s="34"/>
    </row>
  </sheetData>
  <mergeCells count="5">
    <mergeCell ref="A1:D1"/>
    <mergeCell ref="A3:A4"/>
    <mergeCell ref="B3:B4"/>
    <mergeCell ref="C3:C4"/>
    <mergeCell ref="D3:D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F292-E2CE-403B-9A5B-876BD4C15C7D}">
  <dimension ref="A1:J15"/>
  <sheetViews>
    <sheetView zoomScaleNormal="100" workbookViewId="0">
      <selection activeCell="E19" sqref="E19"/>
    </sheetView>
  </sheetViews>
  <sheetFormatPr defaultRowHeight="15"/>
  <cols>
    <col min="1" max="1" width="20.5703125" style="16" customWidth="1"/>
    <col min="2" max="16384" width="9.140625" style="16"/>
  </cols>
  <sheetData>
    <row r="1" spans="1:10">
      <c r="A1" s="1090" t="s">
        <v>2158</v>
      </c>
      <c r="B1" s="1090"/>
      <c r="C1" s="1090"/>
      <c r="D1" s="1090"/>
      <c r="E1" s="1090"/>
      <c r="F1" s="1090"/>
      <c r="G1" s="1090"/>
      <c r="H1" s="1090"/>
      <c r="I1" s="1090"/>
      <c r="J1" s="1090"/>
    </row>
    <row r="2" spans="1:10">
      <c r="A2" s="91"/>
      <c r="B2" s="91"/>
      <c r="C2" s="91"/>
      <c r="D2" s="91"/>
      <c r="E2" s="91"/>
      <c r="F2" s="91"/>
      <c r="G2" s="91"/>
      <c r="H2" s="91"/>
      <c r="I2" s="91"/>
      <c r="J2" s="567"/>
    </row>
    <row r="3" spans="1:10" ht="18.75">
      <c r="A3" s="1087" t="s">
        <v>120</v>
      </c>
      <c r="B3" s="1094" t="s">
        <v>1</v>
      </c>
      <c r="C3" s="1095" t="s">
        <v>121</v>
      </c>
      <c r="D3" s="1095"/>
      <c r="E3" s="1095"/>
      <c r="F3" s="1095"/>
      <c r="G3" s="1095"/>
      <c r="H3" s="1095"/>
      <c r="I3" s="1095"/>
      <c r="J3" s="1031"/>
    </row>
    <row r="4" spans="1:10" ht="18.75">
      <c r="A4" s="1088"/>
      <c r="B4" s="1093"/>
      <c r="C4" s="77" t="s">
        <v>122</v>
      </c>
      <c r="D4" s="78" t="s">
        <v>123</v>
      </c>
      <c r="E4" s="78" t="s">
        <v>124</v>
      </c>
      <c r="F4" s="78" t="s">
        <v>125</v>
      </c>
      <c r="G4" s="78" t="s">
        <v>126</v>
      </c>
      <c r="H4" s="78" t="s">
        <v>127</v>
      </c>
      <c r="I4" s="78" t="s">
        <v>2130</v>
      </c>
      <c r="J4" s="1031"/>
    </row>
    <row r="5" spans="1:10" ht="18.75">
      <c r="A5" s="967" t="s">
        <v>1</v>
      </c>
      <c r="B5" s="968">
        <f>SUM(B6:B14)</f>
        <v>623</v>
      </c>
      <c r="C5" s="968">
        <f>SUM(C6:C14)</f>
        <v>5</v>
      </c>
      <c r="D5" s="968">
        <f t="shared" ref="D5:I5" si="0">SUM(D6:D14)</f>
        <v>54</v>
      </c>
      <c r="E5" s="968">
        <f t="shared" si="0"/>
        <v>19</v>
      </c>
      <c r="F5" s="968">
        <f t="shared" si="0"/>
        <v>80</v>
      </c>
      <c r="G5" s="968">
        <f t="shared" si="0"/>
        <v>252</v>
      </c>
      <c r="H5" s="968">
        <f t="shared" si="0"/>
        <v>80</v>
      </c>
      <c r="I5" s="968">
        <f t="shared" si="0"/>
        <v>133</v>
      </c>
      <c r="J5" s="1032"/>
    </row>
    <row r="6" spans="1:10" ht="31.5" customHeight="1">
      <c r="A6" s="866" t="s">
        <v>153</v>
      </c>
      <c r="B6" s="79">
        <f t="shared" ref="B6:B14" si="1">SUM(C6:I6)</f>
        <v>193</v>
      </c>
      <c r="C6" s="872">
        <v>3</v>
      </c>
      <c r="D6" s="872">
        <v>24</v>
      </c>
      <c r="E6" s="872">
        <v>7</v>
      </c>
      <c r="F6" s="872">
        <v>29</v>
      </c>
      <c r="G6" s="872">
        <v>76</v>
      </c>
      <c r="H6" s="872">
        <v>24</v>
      </c>
      <c r="I6" s="872">
        <v>30</v>
      </c>
      <c r="J6" s="1033"/>
    </row>
    <row r="7" spans="1:10" ht="31.5" customHeight="1">
      <c r="A7" s="866" t="s">
        <v>154</v>
      </c>
      <c r="B7" s="79">
        <f t="shared" si="1"/>
        <v>278</v>
      </c>
      <c r="C7" s="872">
        <v>0</v>
      </c>
      <c r="D7" s="872">
        <v>14</v>
      </c>
      <c r="E7" s="872">
        <v>9</v>
      </c>
      <c r="F7" s="872">
        <v>31</v>
      </c>
      <c r="G7" s="872">
        <v>113</v>
      </c>
      <c r="H7" s="872">
        <v>39</v>
      </c>
      <c r="I7" s="872">
        <v>72</v>
      </c>
      <c r="J7" s="1033"/>
    </row>
    <row r="8" spans="1:10" ht="31.5" customHeight="1">
      <c r="A8" s="866" t="s">
        <v>155</v>
      </c>
      <c r="B8" s="79">
        <f t="shared" si="1"/>
        <v>38</v>
      </c>
      <c r="C8" s="872">
        <v>2</v>
      </c>
      <c r="D8" s="872">
        <v>14</v>
      </c>
      <c r="E8" s="872">
        <v>2</v>
      </c>
      <c r="F8" s="872">
        <v>5</v>
      </c>
      <c r="G8" s="872">
        <v>10</v>
      </c>
      <c r="H8" s="872">
        <v>2</v>
      </c>
      <c r="I8" s="872">
        <v>3</v>
      </c>
      <c r="J8" s="1033"/>
    </row>
    <row r="9" spans="1:10" ht="31.5" customHeight="1">
      <c r="A9" s="866" t="s">
        <v>156</v>
      </c>
      <c r="B9" s="79">
        <f t="shared" si="1"/>
        <v>93</v>
      </c>
      <c r="C9" s="872">
        <v>0</v>
      </c>
      <c r="D9" s="872">
        <v>1</v>
      </c>
      <c r="E9" s="872">
        <v>1</v>
      </c>
      <c r="F9" s="872">
        <v>11</v>
      </c>
      <c r="G9" s="872">
        <v>45</v>
      </c>
      <c r="H9" s="872">
        <v>12</v>
      </c>
      <c r="I9" s="872">
        <v>23</v>
      </c>
      <c r="J9" s="1033"/>
    </row>
    <row r="10" spans="1:10" ht="31.5" customHeight="1">
      <c r="A10" s="866" t="s">
        <v>2128</v>
      </c>
      <c r="B10" s="79">
        <f t="shared" si="1"/>
        <v>9</v>
      </c>
      <c r="C10" s="872">
        <v>0</v>
      </c>
      <c r="D10" s="872">
        <v>0</v>
      </c>
      <c r="E10" s="872">
        <v>0</v>
      </c>
      <c r="F10" s="872">
        <v>3</v>
      </c>
      <c r="G10" s="872">
        <v>4</v>
      </c>
      <c r="H10" s="872">
        <v>0</v>
      </c>
      <c r="I10" s="872">
        <v>2</v>
      </c>
      <c r="J10" s="1033"/>
    </row>
    <row r="11" spans="1:10" ht="31.5" customHeight="1">
      <c r="A11" s="866" t="s">
        <v>157</v>
      </c>
      <c r="B11" s="79">
        <f t="shared" si="1"/>
        <v>0</v>
      </c>
      <c r="C11" s="81">
        <v>0</v>
      </c>
      <c r="D11" s="81">
        <v>0</v>
      </c>
      <c r="E11" s="81">
        <v>0</v>
      </c>
      <c r="F11" s="81">
        <v>0</v>
      </c>
      <c r="G11" s="81">
        <v>0</v>
      </c>
      <c r="H11" s="81">
        <v>0</v>
      </c>
      <c r="I11" s="81">
        <v>0</v>
      </c>
      <c r="J11" s="1033"/>
    </row>
    <row r="12" spans="1:10" ht="31.5" customHeight="1">
      <c r="A12" s="866" t="s">
        <v>2129</v>
      </c>
      <c r="B12" s="79">
        <f t="shared" si="1"/>
        <v>1</v>
      </c>
      <c r="C12" s="81">
        <v>0</v>
      </c>
      <c r="D12" s="81">
        <v>0</v>
      </c>
      <c r="E12" s="81">
        <v>0</v>
      </c>
      <c r="F12" s="81">
        <v>0</v>
      </c>
      <c r="G12" s="81">
        <v>0</v>
      </c>
      <c r="H12" s="81">
        <v>0</v>
      </c>
      <c r="I12" s="81">
        <v>1</v>
      </c>
      <c r="J12" s="1033"/>
    </row>
    <row r="13" spans="1:10" ht="31.5" customHeight="1">
      <c r="A13" s="866" t="s">
        <v>158</v>
      </c>
      <c r="B13" s="79">
        <f t="shared" si="1"/>
        <v>0</v>
      </c>
      <c r="C13" s="81">
        <v>0</v>
      </c>
      <c r="D13" s="81">
        <v>0</v>
      </c>
      <c r="E13" s="81">
        <v>0</v>
      </c>
      <c r="F13" s="81">
        <v>0</v>
      </c>
      <c r="G13" s="81">
        <v>0</v>
      </c>
      <c r="H13" s="81">
        <v>0</v>
      </c>
      <c r="I13" s="81">
        <v>0</v>
      </c>
      <c r="J13" s="1033"/>
    </row>
    <row r="14" spans="1:10" ht="31.5" customHeight="1">
      <c r="A14" s="869" t="s">
        <v>159</v>
      </c>
      <c r="B14" s="80">
        <f t="shared" si="1"/>
        <v>11</v>
      </c>
      <c r="C14" s="873">
        <v>0</v>
      </c>
      <c r="D14" s="873">
        <v>1</v>
      </c>
      <c r="E14" s="873">
        <v>0</v>
      </c>
      <c r="F14" s="873">
        <v>1</v>
      </c>
      <c r="G14" s="873">
        <v>4</v>
      </c>
      <c r="H14" s="873">
        <v>3</v>
      </c>
      <c r="I14" s="873">
        <v>2</v>
      </c>
      <c r="J14" s="1034"/>
    </row>
    <row r="15" spans="1:10" ht="18.75">
      <c r="A15" s="32" t="s">
        <v>16</v>
      </c>
      <c r="B15" s="76"/>
      <c r="C15" s="76"/>
      <c r="D15" s="81"/>
      <c r="E15" s="81"/>
      <c r="F15" s="81"/>
      <c r="G15" s="81"/>
      <c r="H15" s="81"/>
      <c r="I15" s="81"/>
      <c r="J15" s="1030"/>
    </row>
  </sheetData>
  <mergeCells count="4">
    <mergeCell ref="A1:J1"/>
    <mergeCell ref="A3:A4"/>
    <mergeCell ref="B3:B4"/>
    <mergeCell ref="C3:I3"/>
  </mergeCells>
  <pageMargins left="0.7" right="0.7" top="0.75" bottom="0.75" header="0.3" footer="0.3"/>
  <pageSetup paperSize="9" scale="8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92D050"/>
  </sheetPr>
  <dimension ref="A3:C9"/>
  <sheetViews>
    <sheetView zoomScaleNormal="100" workbookViewId="0">
      <selection activeCell="C16" sqref="C16"/>
    </sheetView>
  </sheetViews>
  <sheetFormatPr defaultRowHeight="15"/>
  <cols>
    <col min="1" max="1" width="27.85546875" style="16" bestFit="1" customWidth="1"/>
    <col min="2" max="3" width="18.28515625" style="16" customWidth="1"/>
    <col min="4" max="4" width="10.5703125" style="16" customWidth="1"/>
    <col min="5" max="5" width="11.85546875" style="16" customWidth="1"/>
    <col min="6" max="9" width="10.5703125" style="16" customWidth="1"/>
    <col min="10" max="10" width="27" style="16" customWidth="1"/>
    <col min="11" max="13" width="12.5703125" style="16" customWidth="1"/>
    <col min="14" max="16384" width="9.140625" style="16"/>
  </cols>
  <sheetData>
    <row r="3" spans="1:3">
      <c r="A3" s="1079" t="s">
        <v>2159</v>
      </c>
      <c r="B3" s="1079"/>
      <c r="C3" s="1079"/>
    </row>
    <row r="5" spans="1:3">
      <c r="A5" s="970" t="s">
        <v>117</v>
      </c>
      <c r="B5" s="971">
        <v>2020</v>
      </c>
      <c r="C5" s="971">
        <v>2021</v>
      </c>
    </row>
    <row r="6" spans="1:3" ht="31.5" customHeight="1">
      <c r="A6" s="2" t="s">
        <v>143</v>
      </c>
      <c r="B6" s="16">
        <v>821</v>
      </c>
      <c r="C6" s="16">
        <v>1043</v>
      </c>
    </row>
    <row r="7" spans="1:3" ht="31.5" customHeight="1">
      <c r="A7" s="2" t="s">
        <v>144</v>
      </c>
      <c r="B7" s="16">
        <v>635</v>
      </c>
      <c r="C7" s="16">
        <v>622</v>
      </c>
    </row>
    <row r="8" spans="1:3" ht="31.5" customHeight="1">
      <c r="A8" s="13" t="s">
        <v>145</v>
      </c>
      <c r="B8" s="43">
        <v>107</v>
      </c>
      <c r="C8" s="43">
        <v>50</v>
      </c>
    </row>
    <row r="9" spans="1:3">
      <c r="A9" s="32" t="s">
        <v>16</v>
      </c>
    </row>
  </sheetData>
  <mergeCells count="1">
    <mergeCell ref="A3:C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EI2215"/>
  <sheetViews>
    <sheetView view="pageBreakPreview" zoomScale="60" zoomScaleNormal="124" workbookViewId="0">
      <selection activeCell="V14" sqref="V14"/>
    </sheetView>
  </sheetViews>
  <sheetFormatPr defaultRowHeight="15"/>
  <cols>
    <col min="1" max="1" width="23" style="142" customWidth="1"/>
    <col min="2" max="5" width="9.140625" style="142"/>
    <col min="6" max="12" width="8.7109375" style="142" customWidth="1"/>
    <col min="13" max="13" width="8.7109375" style="975" customWidth="1"/>
    <col min="14" max="14" width="27.5703125" style="142" customWidth="1"/>
    <col min="15" max="15" width="6.5703125" style="153" customWidth="1"/>
    <col min="16" max="16" width="1.28515625" style="12" customWidth="1"/>
    <col min="17" max="139" width="9.140625" style="12"/>
    <col min="140" max="16384" width="9.140625" style="142"/>
  </cols>
  <sheetData>
    <row r="1" spans="1:139" s="102" customFormat="1" ht="15.75">
      <c r="A1" s="1096" t="s">
        <v>2168</v>
      </c>
      <c r="B1" s="1096"/>
      <c r="C1" s="1096"/>
      <c r="D1" s="1096"/>
      <c r="E1" s="1096"/>
      <c r="F1" s="1096"/>
      <c r="G1" s="1096"/>
      <c r="H1" s="1096"/>
      <c r="I1" s="1096"/>
      <c r="J1" s="1096"/>
      <c r="K1" s="1096"/>
      <c r="L1" s="1096"/>
      <c r="M1" s="1097"/>
      <c r="N1" s="1096"/>
      <c r="O1" s="101"/>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row>
    <row r="2" spans="1:139" s="104" customFormat="1">
      <c r="A2" s="1098" t="s">
        <v>2167</v>
      </c>
      <c r="B2" s="1098"/>
      <c r="C2" s="1098"/>
      <c r="D2" s="1098"/>
      <c r="E2" s="1098"/>
      <c r="F2" s="1098"/>
      <c r="G2" s="1098"/>
      <c r="H2" s="1098"/>
      <c r="I2" s="1098"/>
      <c r="J2" s="1098"/>
      <c r="K2" s="1098"/>
      <c r="L2" s="1098"/>
      <c r="M2" s="1098"/>
      <c r="N2" s="1098"/>
      <c r="O2" s="103"/>
      <c r="P2" s="103"/>
      <c r="Q2" s="103"/>
      <c r="R2" s="103"/>
      <c r="S2" s="103"/>
      <c r="T2" s="103"/>
      <c r="U2" s="103"/>
      <c r="V2" s="103"/>
      <c r="W2" s="103"/>
    </row>
    <row r="3" spans="1:139" s="109" customFormat="1" ht="3" customHeight="1">
      <c r="A3" s="105"/>
      <c r="B3" s="106"/>
      <c r="C3" s="106"/>
      <c r="D3" s="106"/>
      <c r="E3" s="106"/>
      <c r="F3" s="106"/>
      <c r="G3" s="106"/>
      <c r="H3" s="106"/>
      <c r="I3" s="106"/>
      <c r="J3" s="106"/>
      <c r="K3" s="106"/>
      <c r="L3" s="106"/>
      <c r="M3" s="106"/>
      <c r="N3" s="107"/>
      <c r="O3" s="108"/>
      <c r="P3" s="103"/>
      <c r="Q3" s="103"/>
      <c r="R3" s="103"/>
      <c r="S3" s="103"/>
      <c r="T3" s="103"/>
      <c r="U3" s="103"/>
      <c r="V3" s="103"/>
      <c r="W3" s="103"/>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row>
    <row r="4" spans="1:139" s="116" customFormat="1" ht="17.25">
      <c r="A4" s="110" t="s">
        <v>161</v>
      </c>
      <c r="B4" s="111">
        <v>2010</v>
      </c>
      <c r="C4" s="111">
        <v>2011</v>
      </c>
      <c r="D4" s="111">
        <v>2012</v>
      </c>
      <c r="E4" s="111">
        <v>2013</v>
      </c>
      <c r="F4" s="111">
        <v>2014</v>
      </c>
      <c r="G4" s="111">
        <v>2015</v>
      </c>
      <c r="H4" s="111">
        <v>2016</v>
      </c>
      <c r="I4" s="111">
        <v>2017</v>
      </c>
      <c r="J4" s="111">
        <v>2018</v>
      </c>
      <c r="K4" s="111">
        <v>2019</v>
      </c>
      <c r="L4" s="111">
        <v>2020</v>
      </c>
      <c r="M4" s="111">
        <v>2021</v>
      </c>
      <c r="N4" s="112" t="s">
        <v>162</v>
      </c>
      <c r="O4" s="113"/>
      <c r="P4" s="114"/>
      <c r="Q4" s="114"/>
      <c r="R4" s="114"/>
      <c r="S4" s="114"/>
      <c r="T4" s="114"/>
      <c r="U4" s="114"/>
      <c r="V4" s="114"/>
      <c r="W4" s="114"/>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row>
    <row r="5" spans="1:139" s="116" customFormat="1" ht="13.5">
      <c r="A5" s="117" t="s">
        <v>1</v>
      </c>
      <c r="B5" s="118">
        <f t="shared" ref="B5:C5" si="0">SUM(B7:B11)</f>
        <v>15036</v>
      </c>
      <c r="C5" s="118">
        <f t="shared" si="0"/>
        <v>14710</v>
      </c>
      <c r="D5" s="118">
        <f>SUM(D6:D11)</f>
        <v>14329</v>
      </c>
      <c r="E5" s="118">
        <f>SUM(E6:E11)</f>
        <v>16654</v>
      </c>
      <c r="F5" s="118">
        <f>SUM(F6:F11)</f>
        <v>19579</v>
      </c>
      <c r="G5" s="118">
        <f>SUM(G6:G11)</f>
        <v>19372</v>
      </c>
      <c r="H5" s="118">
        <f t="shared" ref="H5:M5" si="1">SUM(H6:H11)</f>
        <v>20698</v>
      </c>
      <c r="I5" s="118">
        <f t="shared" si="1"/>
        <v>18383</v>
      </c>
      <c r="J5" s="118">
        <f t="shared" si="1"/>
        <v>19793</v>
      </c>
      <c r="K5" s="118">
        <f t="shared" si="1"/>
        <v>20788</v>
      </c>
      <c r="L5" s="118">
        <f t="shared" si="1"/>
        <v>15103</v>
      </c>
      <c r="M5" s="118">
        <f t="shared" si="1"/>
        <v>18850</v>
      </c>
      <c r="N5" s="119" t="s">
        <v>2</v>
      </c>
      <c r="O5" s="120"/>
      <c r="P5" s="114"/>
      <c r="Q5" s="114"/>
      <c r="R5" s="114"/>
      <c r="S5" s="114"/>
      <c r="T5" s="114"/>
      <c r="U5" s="114"/>
      <c r="V5" s="114"/>
      <c r="W5" s="114"/>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c r="CY5" s="115"/>
      <c r="CZ5" s="115"/>
      <c r="DA5" s="115"/>
      <c r="DB5" s="115"/>
      <c r="DC5" s="115"/>
      <c r="DD5" s="115"/>
      <c r="DE5" s="115"/>
      <c r="DF5" s="115"/>
      <c r="DG5" s="115"/>
      <c r="DH5" s="115"/>
      <c r="DI5" s="115"/>
      <c r="DJ5" s="115"/>
      <c r="DK5" s="115"/>
      <c r="DL5" s="115"/>
      <c r="DM5" s="115"/>
      <c r="DN5" s="115"/>
      <c r="DO5" s="115"/>
      <c r="DP5" s="115"/>
      <c r="DQ5" s="115"/>
      <c r="DR5" s="115"/>
      <c r="DS5" s="115"/>
      <c r="DT5" s="115"/>
      <c r="DU5" s="115"/>
      <c r="DV5" s="115"/>
      <c r="DW5" s="115"/>
      <c r="DX5" s="115"/>
      <c r="DY5" s="115"/>
      <c r="DZ5" s="115"/>
      <c r="EA5" s="115"/>
      <c r="EB5" s="115"/>
      <c r="EC5" s="115"/>
      <c r="ED5" s="115"/>
      <c r="EE5" s="115"/>
      <c r="EF5" s="115"/>
      <c r="EG5" s="115"/>
      <c r="EH5" s="115"/>
      <c r="EI5" s="115"/>
    </row>
    <row r="6" spans="1:139" s="116" customFormat="1" ht="17.25">
      <c r="A6" s="920" t="s">
        <v>163</v>
      </c>
      <c r="B6" s="121">
        <v>0</v>
      </c>
      <c r="C6" s="121">
        <v>0</v>
      </c>
      <c r="D6" s="122">
        <v>97</v>
      </c>
      <c r="E6" s="122">
        <v>465</v>
      </c>
      <c r="F6" s="122">
        <v>677</v>
      </c>
      <c r="G6" s="122">
        <v>1271</v>
      </c>
      <c r="H6" s="122">
        <v>1302</v>
      </c>
      <c r="I6" s="122">
        <v>1612</v>
      </c>
      <c r="J6" s="122">
        <v>1514</v>
      </c>
      <c r="K6" s="122">
        <v>791</v>
      </c>
      <c r="L6" s="122">
        <v>465</v>
      </c>
      <c r="M6" s="122">
        <v>918</v>
      </c>
      <c r="N6" s="915" t="s">
        <v>164</v>
      </c>
      <c r="O6" s="120"/>
      <c r="P6" s="114"/>
      <c r="Q6" s="114"/>
      <c r="R6" s="114"/>
      <c r="S6" s="114"/>
      <c r="T6" s="114"/>
      <c r="U6" s="114"/>
      <c r="V6" s="114"/>
      <c r="W6" s="114"/>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c r="CY6" s="115"/>
      <c r="CZ6" s="115"/>
      <c r="DA6" s="115"/>
      <c r="DB6" s="115"/>
      <c r="DC6" s="115"/>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5"/>
      <c r="EC6" s="115"/>
      <c r="ED6" s="115"/>
      <c r="EE6" s="115"/>
      <c r="EF6" s="115"/>
      <c r="EG6" s="115"/>
      <c r="EH6" s="115"/>
      <c r="EI6" s="115"/>
    </row>
    <row r="7" spans="1:139" s="116" customFormat="1" ht="17.25">
      <c r="A7" s="920" t="s">
        <v>165</v>
      </c>
      <c r="B7" s="122">
        <v>211</v>
      </c>
      <c r="C7" s="122">
        <v>123</v>
      </c>
      <c r="D7" s="122">
        <v>94</v>
      </c>
      <c r="E7" s="122">
        <v>122</v>
      </c>
      <c r="F7" s="122">
        <v>81</v>
      </c>
      <c r="G7" s="122">
        <v>26</v>
      </c>
      <c r="H7" s="122">
        <v>31</v>
      </c>
      <c r="I7" s="122">
        <v>44</v>
      </c>
      <c r="J7" s="122">
        <v>18</v>
      </c>
      <c r="K7" s="122">
        <v>17</v>
      </c>
      <c r="L7" s="122">
        <v>25</v>
      </c>
      <c r="M7" s="122">
        <v>35</v>
      </c>
      <c r="N7" s="915" t="s">
        <v>166</v>
      </c>
      <c r="O7" s="120"/>
      <c r="P7" s="114"/>
      <c r="Q7" s="114"/>
      <c r="R7" s="114"/>
      <c r="S7" s="114"/>
      <c r="T7" s="114"/>
      <c r="U7" s="114"/>
      <c r="V7" s="114"/>
      <c r="W7" s="114"/>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c r="DU7" s="115"/>
      <c r="DV7" s="115"/>
      <c r="DW7" s="115"/>
      <c r="DX7" s="115"/>
      <c r="DY7" s="115"/>
      <c r="DZ7" s="115"/>
      <c r="EA7" s="115"/>
      <c r="EB7" s="115"/>
      <c r="EC7" s="115"/>
      <c r="ED7" s="115"/>
      <c r="EE7" s="115"/>
      <c r="EF7" s="115"/>
      <c r="EG7" s="115"/>
      <c r="EH7" s="115"/>
      <c r="EI7" s="115"/>
    </row>
    <row r="8" spans="1:139" s="116" customFormat="1" ht="17.25">
      <c r="A8" s="920" t="s">
        <v>167</v>
      </c>
      <c r="B8" s="122">
        <v>2044</v>
      </c>
      <c r="C8" s="122">
        <v>1996</v>
      </c>
      <c r="D8" s="122">
        <v>2194</v>
      </c>
      <c r="E8" s="122">
        <v>2590</v>
      </c>
      <c r="F8" s="122">
        <v>2616</v>
      </c>
      <c r="G8" s="122">
        <v>2553</v>
      </c>
      <c r="H8" s="122">
        <v>2562</v>
      </c>
      <c r="I8" s="122">
        <v>2543</v>
      </c>
      <c r="J8" s="122">
        <v>2688</v>
      </c>
      <c r="K8" s="122">
        <v>3080</v>
      </c>
      <c r="L8" s="122">
        <v>1952</v>
      </c>
      <c r="M8" s="122">
        <v>2608</v>
      </c>
      <c r="N8" s="915" t="s">
        <v>168</v>
      </c>
      <c r="O8" s="120"/>
      <c r="P8" s="114"/>
      <c r="Q8" s="114"/>
      <c r="R8" s="114"/>
      <c r="S8" s="114"/>
      <c r="T8" s="114"/>
      <c r="U8" s="114"/>
      <c r="V8" s="114"/>
      <c r="W8" s="114"/>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5"/>
      <c r="CQ8" s="115"/>
      <c r="CR8" s="115"/>
      <c r="CS8" s="115"/>
      <c r="CT8" s="115"/>
      <c r="CU8" s="115"/>
      <c r="CV8" s="115"/>
      <c r="CW8" s="115"/>
      <c r="CX8" s="115"/>
      <c r="CY8" s="115"/>
      <c r="CZ8" s="115"/>
      <c r="DA8" s="115"/>
      <c r="DB8" s="115"/>
      <c r="DC8" s="115"/>
      <c r="DD8" s="115"/>
      <c r="DE8" s="115"/>
      <c r="DF8" s="115"/>
      <c r="DG8" s="115"/>
      <c r="DH8" s="115"/>
      <c r="DI8" s="115"/>
      <c r="DJ8" s="115"/>
      <c r="DK8" s="115"/>
      <c r="DL8" s="115"/>
      <c r="DM8" s="115"/>
      <c r="DN8" s="115"/>
      <c r="DO8" s="115"/>
      <c r="DP8" s="115"/>
      <c r="DQ8" s="115"/>
      <c r="DR8" s="115"/>
      <c r="DS8" s="115"/>
      <c r="DT8" s="115"/>
      <c r="DU8" s="115"/>
      <c r="DV8" s="115"/>
      <c r="DW8" s="115"/>
      <c r="DX8" s="115"/>
      <c r="DY8" s="115"/>
      <c r="DZ8" s="115"/>
      <c r="EA8" s="115"/>
      <c r="EB8" s="115"/>
      <c r="EC8" s="115"/>
      <c r="ED8" s="115"/>
      <c r="EE8" s="115"/>
      <c r="EF8" s="115"/>
      <c r="EG8" s="115"/>
      <c r="EH8" s="115"/>
      <c r="EI8" s="115"/>
    </row>
    <row r="9" spans="1:139" s="116" customFormat="1" ht="17.25">
      <c r="A9" s="920" t="s">
        <v>169</v>
      </c>
      <c r="B9" s="122">
        <v>1433</v>
      </c>
      <c r="C9" s="122">
        <v>1036</v>
      </c>
      <c r="D9" s="122">
        <v>990</v>
      </c>
      <c r="E9" s="122">
        <v>1669</v>
      </c>
      <c r="F9" s="122">
        <v>1957</v>
      </c>
      <c r="G9" s="122">
        <v>1069</v>
      </c>
      <c r="H9" s="122">
        <v>860</v>
      </c>
      <c r="I9" s="122">
        <v>881</v>
      </c>
      <c r="J9" s="122">
        <v>832</v>
      </c>
      <c r="K9" s="122">
        <v>1339</v>
      </c>
      <c r="L9" s="122">
        <v>852</v>
      </c>
      <c r="M9" s="122">
        <v>701</v>
      </c>
      <c r="N9" s="915" t="s">
        <v>170</v>
      </c>
      <c r="O9" s="120"/>
      <c r="P9" s="114"/>
      <c r="Q9" s="114"/>
      <c r="R9" s="114"/>
      <c r="S9" s="114"/>
      <c r="T9" s="114"/>
      <c r="U9" s="114"/>
      <c r="V9" s="114"/>
      <c r="W9" s="114"/>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c r="DU9" s="115"/>
      <c r="DV9" s="115"/>
      <c r="DW9" s="115"/>
      <c r="DX9" s="115"/>
      <c r="DY9" s="115"/>
      <c r="DZ9" s="115"/>
      <c r="EA9" s="115"/>
      <c r="EB9" s="115"/>
      <c r="EC9" s="115"/>
      <c r="ED9" s="115"/>
      <c r="EE9" s="115"/>
      <c r="EF9" s="115"/>
      <c r="EG9" s="115"/>
      <c r="EH9" s="115"/>
      <c r="EI9" s="115"/>
    </row>
    <row r="10" spans="1:139" s="116" customFormat="1" ht="17.25">
      <c r="A10" s="920" t="s">
        <v>171</v>
      </c>
      <c r="B10" s="122">
        <v>2493</v>
      </c>
      <c r="C10" s="122">
        <v>2262</v>
      </c>
      <c r="D10" s="122">
        <v>2412</v>
      </c>
      <c r="E10" s="122">
        <v>2154</v>
      </c>
      <c r="F10" s="122">
        <v>3203</v>
      </c>
      <c r="G10" s="122">
        <v>2283</v>
      </c>
      <c r="H10" s="122">
        <v>3326</v>
      </c>
      <c r="I10" s="122">
        <v>3044</v>
      </c>
      <c r="J10" s="122">
        <v>4363</v>
      </c>
      <c r="K10" s="122">
        <v>4907</v>
      </c>
      <c r="L10" s="122">
        <v>2395</v>
      </c>
      <c r="M10" s="122">
        <v>4646</v>
      </c>
      <c r="N10" s="915" t="s">
        <v>172</v>
      </c>
      <c r="O10" s="120"/>
      <c r="P10" s="114"/>
      <c r="Q10" s="122"/>
      <c r="R10" s="114"/>
      <c r="S10" s="114"/>
      <c r="T10" s="114"/>
      <c r="U10" s="114"/>
      <c r="V10" s="114"/>
      <c r="W10" s="114"/>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5"/>
      <c r="BT10" s="115"/>
      <c r="BU10" s="115"/>
      <c r="BV10" s="115"/>
      <c r="BW10" s="115"/>
      <c r="BX10" s="115"/>
      <c r="BY10" s="115"/>
      <c r="BZ10" s="115"/>
      <c r="CA10" s="115"/>
      <c r="CB10" s="115"/>
      <c r="CC10" s="115"/>
      <c r="CD10" s="115"/>
      <c r="CE10" s="115"/>
      <c r="CF10" s="115"/>
      <c r="CG10" s="115"/>
      <c r="CH10" s="115"/>
      <c r="CI10" s="115"/>
      <c r="CJ10" s="115"/>
      <c r="CK10" s="115"/>
      <c r="CL10" s="115"/>
      <c r="CM10" s="115"/>
      <c r="CN10" s="115"/>
      <c r="CO10" s="115"/>
      <c r="CP10" s="115"/>
      <c r="CQ10" s="115"/>
      <c r="CR10" s="115"/>
      <c r="CS10" s="115"/>
      <c r="CT10" s="115"/>
      <c r="CU10" s="115"/>
      <c r="CV10" s="115"/>
      <c r="CW10" s="115"/>
      <c r="CX10" s="115"/>
      <c r="CY10" s="115"/>
      <c r="CZ10" s="115"/>
      <c r="DA10" s="115"/>
      <c r="DB10" s="115"/>
      <c r="DC10" s="115"/>
      <c r="DD10" s="115"/>
      <c r="DE10" s="115"/>
      <c r="DF10" s="115"/>
      <c r="DG10" s="115"/>
      <c r="DH10" s="115"/>
      <c r="DI10" s="115"/>
      <c r="DJ10" s="115"/>
      <c r="DK10" s="115"/>
      <c r="DL10" s="115"/>
      <c r="DM10" s="115"/>
      <c r="DN10" s="115"/>
      <c r="DO10" s="115"/>
      <c r="DP10" s="115"/>
      <c r="DQ10" s="115"/>
      <c r="DR10" s="115"/>
      <c r="DS10" s="115"/>
      <c r="DT10" s="115"/>
      <c r="DU10" s="115"/>
      <c r="DV10" s="115"/>
      <c r="DW10" s="115"/>
      <c r="DX10" s="115"/>
      <c r="DY10" s="115"/>
      <c r="DZ10" s="115"/>
      <c r="EA10" s="115"/>
      <c r="EB10" s="115"/>
      <c r="EC10" s="115"/>
      <c r="ED10" s="115"/>
      <c r="EE10" s="115"/>
      <c r="EF10" s="115"/>
      <c r="EG10" s="115"/>
      <c r="EH10" s="115"/>
      <c r="EI10" s="115"/>
    </row>
    <row r="11" spans="1:139" s="116" customFormat="1" ht="17.25">
      <c r="A11" s="921" t="s">
        <v>173</v>
      </c>
      <c r="B11" s="123">
        <v>8855</v>
      </c>
      <c r="C11" s="123">
        <v>9293</v>
      </c>
      <c r="D11" s="123">
        <v>8542</v>
      </c>
      <c r="E11" s="123">
        <v>9654</v>
      </c>
      <c r="F11" s="123">
        <v>11045</v>
      </c>
      <c r="G11" s="123">
        <v>12170</v>
      </c>
      <c r="H11" s="123">
        <v>12617</v>
      </c>
      <c r="I11" s="123">
        <v>10259</v>
      </c>
      <c r="J11" s="123">
        <v>10378</v>
      </c>
      <c r="K11" s="123">
        <v>10654</v>
      </c>
      <c r="L11" s="123">
        <v>9414</v>
      </c>
      <c r="M11" s="1026">
        <v>9942</v>
      </c>
      <c r="N11" s="916" t="s">
        <v>174</v>
      </c>
      <c r="O11" s="120"/>
      <c r="P11" s="114"/>
      <c r="Q11" s="122"/>
      <c r="R11" s="114"/>
      <c r="S11" s="114"/>
      <c r="T11" s="114"/>
      <c r="U11" s="114"/>
      <c r="V11" s="114"/>
      <c r="W11" s="114"/>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BY11" s="115"/>
      <c r="BZ11" s="115"/>
      <c r="CA11" s="115"/>
      <c r="CB11" s="115"/>
      <c r="CC11" s="115"/>
      <c r="CD11" s="115"/>
      <c r="CE11" s="115"/>
      <c r="CF11" s="115"/>
      <c r="CG11" s="115"/>
      <c r="CH11" s="115"/>
      <c r="CI11" s="115"/>
      <c r="CJ11" s="115"/>
      <c r="CK11" s="115"/>
      <c r="CL11" s="115"/>
      <c r="CM11" s="115"/>
      <c r="CN11" s="115"/>
      <c r="CO11" s="115"/>
      <c r="CP11" s="115"/>
      <c r="CQ11" s="115"/>
      <c r="CR11" s="115"/>
      <c r="CS11" s="115"/>
      <c r="CT11" s="115"/>
      <c r="CU11" s="115"/>
      <c r="CV11" s="115"/>
      <c r="CW11" s="115"/>
      <c r="CX11" s="115"/>
      <c r="CY11" s="115"/>
      <c r="CZ11" s="115"/>
      <c r="DA11" s="115"/>
      <c r="DB11" s="115"/>
      <c r="DC11" s="115"/>
      <c r="DD11" s="115"/>
      <c r="DE11" s="115"/>
      <c r="DF11" s="115"/>
      <c r="DG11" s="115"/>
      <c r="DH11" s="115"/>
      <c r="DI11" s="115"/>
      <c r="DJ11" s="115"/>
      <c r="DK11" s="115"/>
      <c r="DL11" s="115"/>
      <c r="DM11" s="115"/>
      <c r="DN11" s="115"/>
      <c r="DO11" s="115"/>
      <c r="DP11" s="115"/>
      <c r="DQ11" s="115"/>
      <c r="DR11" s="115"/>
      <c r="DS11" s="115"/>
      <c r="DT11" s="115"/>
      <c r="DU11" s="115"/>
      <c r="DV11" s="115"/>
      <c r="DW11" s="115"/>
      <c r="DX11" s="115"/>
      <c r="DY11" s="115"/>
      <c r="DZ11" s="115"/>
      <c r="EA11" s="115"/>
      <c r="EB11" s="115"/>
      <c r="EC11" s="115"/>
      <c r="ED11" s="115"/>
      <c r="EE11" s="115"/>
      <c r="EF11" s="115"/>
      <c r="EG11" s="115"/>
      <c r="EH11" s="115"/>
      <c r="EI11" s="115"/>
    </row>
    <row r="12" spans="1:139" s="116" customFormat="1" ht="13.5">
      <c r="A12" s="117" t="s">
        <v>64</v>
      </c>
      <c r="B12" s="124">
        <f t="shared" ref="B12:G12" si="2">SUM(B13:B18)</f>
        <v>100</v>
      </c>
      <c r="C12" s="124">
        <f t="shared" si="2"/>
        <v>100</v>
      </c>
      <c r="D12" s="124">
        <f t="shared" si="2"/>
        <v>100</v>
      </c>
      <c r="E12" s="124">
        <f t="shared" si="2"/>
        <v>100</v>
      </c>
      <c r="F12" s="124">
        <f t="shared" si="2"/>
        <v>100</v>
      </c>
      <c r="G12" s="124">
        <f t="shared" si="2"/>
        <v>100</v>
      </c>
      <c r="H12" s="124">
        <f t="shared" ref="H12:M12" si="3">SUM(H13:H18)</f>
        <v>100</v>
      </c>
      <c r="I12" s="124">
        <f t="shared" si="3"/>
        <v>100</v>
      </c>
      <c r="J12" s="124">
        <f t="shared" si="3"/>
        <v>100</v>
      </c>
      <c r="K12" s="124">
        <f t="shared" si="3"/>
        <v>100</v>
      </c>
      <c r="L12" s="124">
        <f t="shared" si="3"/>
        <v>100</v>
      </c>
      <c r="M12" s="124">
        <f t="shared" si="3"/>
        <v>100</v>
      </c>
      <c r="N12" s="119" t="s">
        <v>175</v>
      </c>
      <c r="O12" s="120"/>
      <c r="P12" s="114"/>
      <c r="Q12" s="114"/>
      <c r="R12" s="114"/>
      <c r="S12" s="114"/>
      <c r="T12" s="114"/>
      <c r="U12" s="114"/>
      <c r="V12" s="114"/>
      <c r="W12" s="114"/>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c r="CU12" s="115"/>
      <c r="CV12" s="115"/>
      <c r="CW12" s="115"/>
      <c r="CX12" s="115"/>
      <c r="CY12" s="115"/>
      <c r="CZ12" s="115"/>
      <c r="DA12" s="115"/>
      <c r="DB12" s="115"/>
      <c r="DC12" s="115"/>
      <c r="DD12" s="115"/>
      <c r="DE12" s="115"/>
      <c r="DF12" s="115"/>
      <c r="DG12" s="115"/>
      <c r="DH12" s="115"/>
      <c r="DI12" s="115"/>
      <c r="DJ12" s="115"/>
      <c r="DK12" s="115"/>
      <c r="DL12" s="115"/>
      <c r="DM12" s="115"/>
      <c r="DN12" s="115"/>
      <c r="DO12" s="115"/>
      <c r="DP12" s="115"/>
      <c r="DQ12" s="115"/>
      <c r="DR12" s="115"/>
      <c r="DS12" s="115"/>
      <c r="DT12" s="115"/>
      <c r="DU12" s="115"/>
      <c r="DV12" s="115"/>
      <c r="DW12" s="115"/>
      <c r="DX12" s="115"/>
      <c r="DY12" s="115"/>
      <c r="DZ12" s="115"/>
      <c r="EA12" s="115"/>
      <c r="EB12" s="115"/>
      <c r="EC12" s="115"/>
      <c r="ED12" s="115"/>
      <c r="EE12" s="115"/>
      <c r="EF12" s="115"/>
      <c r="EG12" s="115"/>
      <c r="EH12" s="115"/>
      <c r="EI12" s="115"/>
    </row>
    <row r="13" spans="1:139" s="116" customFormat="1" ht="17.25">
      <c r="A13" s="922" t="s">
        <v>163</v>
      </c>
      <c r="B13" s="124" t="s">
        <v>176</v>
      </c>
      <c r="C13" s="124" t="s">
        <v>176</v>
      </c>
      <c r="D13" s="125">
        <f>SUM(D6/D5)*100</f>
        <v>0.67694884499965102</v>
      </c>
      <c r="E13" s="125">
        <f>SUM(E6/E5)*100</f>
        <v>2.7921220127296746</v>
      </c>
      <c r="F13" s="125">
        <f>SUM(F6/F5)*100</f>
        <v>3.4577864037999895</v>
      </c>
      <c r="G13" s="125">
        <f>SUM(G6/G5)*100</f>
        <v>6.5610158992360113</v>
      </c>
      <c r="H13" s="126">
        <f t="shared" ref="H13:M13" si="4">SUM(H6/H5)*100</f>
        <v>6.2904628466518506</v>
      </c>
      <c r="I13" s="126">
        <f t="shared" si="4"/>
        <v>8.768971332209107</v>
      </c>
      <c r="J13" s="126">
        <f t="shared" si="4"/>
        <v>7.6491688980952866</v>
      </c>
      <c r="K13" s="126">
        <f t="shared" si="4"/>
        <v>3.8050798537617858</v>
      </c>
      <c r="L13" s="126">
        <f t="shared" si="4"/>
        <v>3.078858504932795</v>
      </c>
      <c r="M13" s="126">
        <f t="shared" si="4"/>
        <v>4.8700265251989387</v>
      </c>
      <c r="N13" s="915" t="s">
        <v>164</v>
      </c>
      <c r="O13" s="120"/>
      <c r="P13" s="114"/>
      <c r="Q13" s="114"/>
      <c r="R13" s="114"/>
      <c r="S13" s="114"/>
      <c r="T13" s="114"/>
      <c r="U13" s="114"/>
      <c r="V13" s="114"/>
      <c r="W13" s="114"/>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5"/>
      <c r="CD13" s="115"/>
      <c r="CE13" s="115"/>
      <c r="CF13" s="115"/>
      <c r="CG13" s="115"/>
      <c r="CH13" s="115"/>
      <c r="CI13" s="115"/>
      <c r="CJ13" s="115"/>
      <c r="CK13" s="115"/>
      <c r="CL13" s="115"/>
      <c r="CM13" s="115"/>
      <c r="CN13" s="115"/>
      <c r="CO13" s="115"/>
      <c r="CP13" s="115"/>
      <c r="CQ13" s="115"/>
      <c r="CR13" s="115"/>
      <c r="CS13" s="115"/>
      <c r="CT13" s="115"/>
      <c r="CU13" s="115"/>
      <c r="CV13" s="115"/>
      <c r="CW13" s="115"/>
      <c r="CX13" s="115"/>
      <c r="CY13" s="115"/>
      <c r="CZ13" s="115"/>
      <c r="DA13" s="115"/>
      <c r="DB13" s="115"/>
      <c r="DC13" s="115"/>
      <c r="DD13" s="115"/>
      <c r="DE13" s="115"/>
      <c r="DF13" s="115"/>
      <c r="DG13" s="115"/>
      <c r="DH13" s="115"/>
      <c r="DI13" s="115"/>
      <c r="DJ13" s="115"/>
      <c r="DK13" s="115"/>
      <c r="DL13" s="115"/>
      <c r="DM13" s="115"/>
      <c r="DN13" s="115"/>
      <c r="DO13" s="115"/>
      <c r="DP13" s="115"/>
      <c r="DQ13" s="115"/>
      <c r="DR13" s="115"/>
      <c r="DS13" s="115"/>
      <c r="DT13" s="115"/>
      <c r="DU13" s="115"/>
      <c r="DV13" s="115"/>
      <c r="DW13" s="115"/>
      <c r="DX13" s="115"/>
      <c r="DY13" s="115"/>
      <c r="DZ13" s="115"/>
      <c r="EA13" s="115"/>
      <c r="EB13" s="115"/>
      <c r="EC13" s="115"/>
      <c r="ED13" s="115"/>
      <c r="EE13" s="115"/>
      <c r="EF13" s="115"/>
      <c r="EG13" s="115"/>
      <c r="EH13" s="115"/>
      <c r="EI13" s="115"/>
    </row>
    <row r="14" spans="1:139" s="116" customFormat="1" ht="17.25">
      <c r="A14" s="920" t="s">
        <v>165</v>
      </c>
      <c r="B14" s="127">
        <f t="shared" ref="B14:L14" si="5">SUM(B7/B5)*100</f>
        <v>1.4032987496674647</v>
      </c>
      <c r="C14" s="127">
        <f t="shared" si="5"/>
        <v>0.83616587355540462</v>
      </c>
      <c r="D14" s="127">
        <f t="shared" si="5"/>
        <v>0.65601228278316703</v>
      </c>
      <c r="E14" s="127">
        <f t="shared" si="5"/>
        <v>0.73255674312477481</v>
      </c>
      <c r="F14" s="127">
        <f t="shared" si="5"/>
        <v>0.41370856529955563</v>
      </c>
      <c r="G14" s="127">
        <f t="shared" si="5"/>
        <v>0.13421432996076813</v>
      </c>
      <c r="H14" s="127">
        <f t="shared" si="5"/>
        <v>0.14977292492028216</v>
      </c>
      <c r="I14" s="127">
        <f t="shared" si="5"/>
        <v>0.23935157482456618</v>
      </c>
      <c r="J14" s="127">
        <f t="shared" si="5"/>
        <v>9.0941241853180421E-2</v>
      </c>
      <c r="K14" s="127">
        <f t="shared" si="5"/>
        <v>8.1777948816624979E-2</v>
      </c>
      <c r="L14" s="127">
        <f t="shared" si="5"/>
        <v>0.16553002714692447</v>
      </c>
      <c r="M14" s="127">
        <f>SUM(M7/M5)*100</f>
        <v>0.1856763925729443</v>
      </c>
      <c r="N14" s="915" t="s">
        <v>166</v>
      </c>
      <c r="O14" s="120"/>
      <c r="P14" s="114"/>
      <c r="Q14" s="114"/>
      <c r="R14" s="114"/>
      <c r="S14" s="114"/>
      <c r="T14" s="114"/>
      <c r="U14" s="114"/>
      <c r="V14" s="114"/>
      <c r="W14" s="114"/>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115"/>
      <c r="CE14" s="115"/>
      <c r="CF14" s="115"/>
      <c r="CG14" s="115"/>
      <c r="CH14" s="115"/>
      <c r="CI14" s="115"/>
      <c r="CJ14" s="115"/>
      <c r="CK14" s="115"/>
      <c r="CL14" s="115"/>
      <c r="CM14" s="115"/>
      <c r="CN14" s="115"/>
      <c r="CO14" s="115"/>
      <c r="CP14" s="115"/>
      <c r="CQ14" s="115"/>
      <c r="CR14" s="115"/>
      <c r="CS14" s="115"/>
      <c r="CT14" s="115"/>
      <c r="CU14" s="115"/>
      <c r="CV14" s="115"/>
      <c r="CW14" s="115"/>
      <c r="CX14" s="115"/>
      <c r="CY14" s="115"/>
      <c r="CZ14" s="115"/>
      <c r="DA14" s="115"/>
      <c r="DB14" s="115"/>
      <c r="DC14" s="115"/>
      <c r="DD14" s="115"/>
      <c r="DE14" s="115"/>
      <c r="DF14" s="115"/>
      <c r="DG14" s="115"/>
      <c r="DH14" s="115"/>
      <c r="DI14" s="115"/>
      <c r="DJ14" s="115"/>
      <c r="DK14" s="115"/>
      <c r="DL14" s="115"/>
      <c r="DM14" s="115"/>
      <c r="DN14" s="115"/>
      <c r="DO14" s="115"/>
      <c r="DP14" s="115"/>
      <c r="DQ14" s="115"/>
      <c r="DR14" s="115"/>
      <c r="DS14" s="115"/>
      <c r="DT14" s="115"/>
      <c r="DU14" s="115"/>
      <c r="DV14" s="115"/>
      <c r="DW14" s="115"/>
      <c r="DX14" s="115"/>
      <c r="DY14" s="115"/>
      <c r="DZ14" s="115"/>
      <c r="EA14" s="115"/>
      <c r="EB14" s="115"/>
      <c r="EC14" s="115"/>
      <c r="ED14" s="115"/>
      <c r="EE14" s="115"/>
      <c r="EF14" s="115"/>
      <c r="EG14" s="115"/>
      <c r="EH14" s="115"/>
      <c r="EI14" s="115"/>
    </row>
    <row r="15" spans="1:139" s="116" customFormat="1" ht="17.25">
      <c r="A15" s="920" t="s">
        <v>167</v>
      </c>
      <c r="B15" s="127">
        <f t="shared" ref="B15:L15" si="6">SUM(B8/B5)*100</f>
        <v>13.594040968342643</v>
      </c>
      <c r="C15" s="127">
        <f t="shared" si="6"/>
        <v>13.569000679809653</v>
      </c>
      <c r="D15" s="127">
        <f t="shared" si="6"/>
        <v>15.311605834322004</v>
      </c>
      <c r="E15" s="127">
        <f t="shared" si="6"/>
        <v>15.551819382730875</v>
      </c>
      <c r="F15" s="127">
        <f t="shared" si="6"/>
        <v>13.361254405230094</v>
      </c>
      <c r="G15" s="127">
        <f t="shared" si="6"/>
        <v>13.178814784224654</v>
      </c>
      <c r="H15" s="127">
        <f t="shared" si="6"/>
        <v>12.378007536960093</v>
      </c>
      <c r="I15" s="127">
        <f t="shared" si="6"/>
        <v>13.833433063156178</v>
      </c>
      <c r="J15" s="127">
        <f t="shared" si="6"/>
        <v>13.580558783408275</v>
      </c>
      <c r="K15" s="127">
        <f t="shared" si="6"/>
        <v>14.816240138541467</v>
      </c>
      <c r="L15" s="127">
        <f t="shared" si="6"/>
        <v>12.924584519631861</v>
      </c>
      <c r="M15" s="127">
        <f>SUM(M8/M5)*100</f>
        <v>13.835543766578247</v>
      </c>
      <c r="N15" s="915" t="s">
        <v>168</v>
      </c>
      <c r="O15" s="120"/>
      <c r="P15" s="114"/>
      <c r="Q15" s="114"/>
      <c r="R15" s="114"/>
      <c r="S15" s="114"/>
      <c r="T15" s="114"/>
      <c r="U15" s="114"/>
      <c r="V15" s="114"/>
      <c r="W15" s="114"/>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5"/>
      <c r="BS15" s="115"/>
      <c r="BT15" s="115"/>
      <c r="BU15" s="115"/>
      <c r="BV15" s="115"/>
      <c r="BW15" s="115"/>
      <c r="BX15" s="115"/>
      <c r="BY15" s="115"/>
      <c r="BZ15" s="115"/>
      <c r="CA15" s="115"/>
      <c r="CB15" s="115"/>
      <c r="CC15" s="115"/>
      <c r="CD15" s="115"/>
      <c r="CE15" s="115"/>
      <c r="CF15" s="115"/>
      <c r="CG15" s="115"/>
      <c r="CH15" s="115"/>
      <c r="CI15" s="115"/>
      <c r="CJ15" s="115"/>
      <c r="CK15" s="115"/>
      <c r="CL15" s="115"/>
      <c r="CM15" s="115"/>
      <c r="CN15" s="115"/>
      <c r="CO15" s="115"/>
      <c r="CP15" s="115"/>
      <c r="CQ15" s="115"/>
      <c r="CR15" s="115"/>
      <c r="CS15" s="115"/>
      <c r="CT15" s="115"/>
      <c r="CU15" s="115"/>
      <c r="CV15" s="115"/>
      <c r="CW15" s="115"/>
      <c r="CX15" s="115"/>
      <c r="CY15" s="115"/>
      <c r="CZ15" s="115"/>
      <c r="DA15" s="115"/>
      <c r="DB15" s="115"/>
      <c r="DC15" s="115"/>
      <c r="DD15" s="115"/>
      <c r="DE15" s="115"/>
      <c r="DF15" s="115"/>
      <c r="DG15" s="115"/>
      <c r="DH15" s="115"/>
      <c r="DI15" s="115"/>
      <c r="DJ15" s="115"/>
      <c r="DK15" s="115"/>
      <c r="DL15" s="115"/>
      <c r="DM15" s="115"/>
      <c r="DN15" s="115"/>
      <c r="DO15" s="115"/>
      <c r="DP15" s="115"/>
      <c r="DQ15" s="115"/>
      <c r="DR15" s="115"/>
      <c r="DS15" s="115"/>
      <c r="DT15" s="115"/>
      <c r="DU15" s="115"/>
      <c r="DV15" s="115"/>
      <c r="DW15" s="115"/>
      <c r="DX15" s="115"/>
      <c r="DY15" s="115"/>
      <c r="DZ15" s="115"/>
      <c r="EA15" s="115"/>
      <c r="EB15" s="115"/>
      <c r="EC15" s="115"/>
      <c r="ED15" s="115"/>
      <c r="EE15" s="115"/>
      <c r="EF15" s="115"/>
      <c r="EG15" s="115"/>
      <c r="EH15" s="115"/>
      <c r="EI15" s="115"/>
    </row>
    <row r="16" spans="1:139" s="116" customFormat="1" ht="17.25">
      <c r="A16" s="920" t="s">
        <v>169</v>
      </c>
      <c r="B16" s="127">
        <f t="shared" ref="B16:L16" si="7">SUM(B9/B5)*100</f>
        <v>9.5304602287842517</v>
      </c>
      <c r="C16" s="127">
        <f t="shared" si="7"/>
        <v>7.0428280081577155</v>
      </c>
      <c r="D16" s="127">
        <f t="shared" si="7"/>
        <v>6.9090655314397367</v>
      </c>
      <c r="E16" s="127">
        <f t="shared" si="7"/>
        <v>10.02161642848565</v>
      </c>
      <c r="F16" s="127">
        <f t="shared" si="7"/>
        <v>9.9954032381633375</v>
      </c>
      <c r="G16" s="127">
        <f t="shared" si="7"/>
        <v>5.5182737972331193</v>
      </c>
      <c r="H16" s="127">
        <f t="shared" si="7"/>
        <v>4.1549908203691182</v>
      </c>
      <c r="I16" s="127">
        <f t="shared" si="7"/>
        <v>4.7924713050100642</v>
      </c>
      <c r="J16" s="127">
        <f t="shared" si="7"/>
        <v>4.2035062901025615</v>
      </c>
      <c r="K16" s="127">
        <f t="shared" si="7"/>
        <v>6.4412160862035783</v>
      </c>
      <c r="L16" s="127">
        <f t="shared" si="7"/>
        <v>5.6412633251671851</v>
      </c>
      <c r="M16" s="127">
        <f>SUM(M9/M5)*100</f>
        <v>3.7188328912466844</v>
      </c>
      <c r="N16" s="915" t="s">
        <v>170</v>
      </c>
      <c r="O16" s="120"/>
      <c r="P16" s="114"/>
      <c r="Q16" s="114"/>
      <c r="R16" s="114"/>
      <c r="S16" s="114"/>
      <c r="T16" s="114"/>
      <c r="U16" s="114"/>
      <c r="V16" s="114"/>
      <c r="W16" s="114"/>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5"/>
      <c r="BS16" s="115"/>
      <c r="BT16" s="115"/>
      <c r="BU16" s="115"/>
      <c r="BV16" s="115"/>
      <c r="BW16" s="115"/>
      <c r="BX16" s="115"/>
      <c r="BY16" s="115"/>
      <c r="BZ16" s="115"/>
      <c r="CA16" s="115"/>
      <c r="CB16" s="115"/>
      <c r="CC16" s="115"/>
      <c r="CD16" s="115"/>
      <c r="CE16" s="115"/>
      <c r="CF16" s="115"/>
      <c r="CG16" s="115"/>
      <c r="CH16" s="115"/>
      <c r="CI16" s="115"/>
      <c r="CJ16" s="115"/>
      <c r="CK16" s="115"/>
      <c r="CL16" s="115"/>
      <c r="CM16" s="115"/>
      <c r="CN16" s="115"/>
      <c r="CO16" s="115"/>
      <c r="CP16" s="115"/>
      <c r="CQ16" s="115"/>
      <c r="CR16" s="115"/>
      <c r="CS16" s="115"/>
      <c r="CT16" s="115"/>
      <c r="CU16" s="115"/>
      <c r="CV16" s="115"/>
      <c r="CW16" s="115"/>
      <c r="CX16" s="115"/>
      <c r="CY16" s="115"/>
      <c r="CZ16" s="115"/>
      <c r="DA16" s="115"/>
      <c r="DB16" s="115"/>
      <c r="DC16" s="115"/>
      <c r="DD16" s="115"/>
      <c r="DE16" s="115"/>
      <c r="DF16" s="115"/>
      <c r="DG16" s="115"/>
      <c r="DH16" s="115"/>
      <c r="DI16" s="115"/>
      <c r="DJ16" s="115"/>
      <c r="DK16" s="115"/>
      <c r="DL16" s="115"/>
      <c r="DM16" s="115"/>
      <c r="DN16" s="115"/>
      <c r="DO16" s="115"/>
      <c r="DP16" s="115"/>
      <c r="DQ16" s="115"/>
      <c r="DR16" s="115"/>
      <c r="DS16" s="115"/>
      <c r="DT16" s="115"/>
      <c r="DU16" s="115"/>
      <c r="DV16" s="115"/>
      <c r="DW16" s="115"/>
      <c r="DX16" s="115"/>
      <c r="DY16" s="115"/>
      <c r="DZ16" s="115"/>
      <c r="EA16" s="115"/>
      <c r="EB16" s="115"/>
      <c r="EC16" s="115"/>
      <c r="ED16" s="115"/>
      <c r="EE16" s="115"/>
      <c r="EF16" s="115"/>
      <c r="EG16" s="115"/>
      <c r="EH16" s="115"/>
      <c r="EI16" s="115"/>
    </row>
    <row r="17" spans="1:139" s="130" customFormat="1" ht="17.25">
      <c r="A17" s="923" t="s">
        <v>171</v>
      </c>
      <c r="B17" s="128">
        <f t="shared" ref="B17:J17" si="8">SUM(B10/B5)*100</f>
        <v>16.580207501995211</v>
      </c>
      <c r="C17" s="128">
        <f t="shared" si="8"/>
        <v>15.377294357579876</v>
      </c>
      <c r="D17" s="128">
        <f t="shared" si="8"/>
        <v>16.83299602205318</v>
      </c>
      <c r="E17" s="128">
        <f t="shared" si="8"/>
        <v>12.933829710580042</v>
      </c>
      <c r="F17" s="128">
        <f t="shared" si="8"/>
        <v>16.359364625363909</v>
      </c>
      <c r="G17" s="128">
        <f t="shared" si="8"/>
        <v>11.785050588478216</v>
      </c>
      <c r="H17" s="128">
        <f t="shared" si="8"/>
        <v>16.069185428543818</v>
      </c>
      <c r="I17" s="128">
        <f t="shared" si="8"/>
        <v>16.558777131044987</v>
      </c>
      <c r="J17" s="128">
        <f t="shared" si="8"/>
        <v>22.043146566968119</v>
      </c>
      <c r="K17" s="128">
        <f>SUM(K10/K5)*100</f>
        <v>23.604964402539927</v>
      </c>
      <c r="L17" s="128">
        <f>SUM(L10/L5)*100</f>
        <v>15.857776600675363</v>
      </c>
      <c r="M17" s="128">
        <f>SUM(M10/M5)*100</f>
        <v>24.647214854111404</v>
      </c>
      <c r="N17" s="917" t="s">
        <v>172</v>
      </c>
      <c r="O17" s="129"/>
      <c r="P17" s="114"/>
      <c r="Q17" s="114"/>
      <c r="R17" s="114"/>
      <c r="S17" s="114"/>
      <c r="T17" s="114"/>
      <c r="U17" s="114"/>
      <c r="V17" s="114"/>
      <c r="W17" s="114"/>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c r="BZ17" s="115"/>
      <c r="CA17" s="115"/>
      <c r="CB17" s="115"/>
      <c r="CC17" s="115"/>
      <c r="CD17" s="115"/>
      <c r="CE17" s="115"/>
      <c r="CF17" s="115"/>
      <c r="CG17" s="115"/>
      <c r="CH17" s="115"/>
      <c r="CI17" s="115"/>
      <c r="CJ17" s="115"/>
      <c r="CK17" s="115"/>
      <c r="CL17" s="115"/>
      <c r="CM17" s="115"/>
      <c r="CN17" s="115"/>
      <c r="CO17" s="115"/>
      <c r="CP17" s="115"/>
      <c r="CQ17" s="115"/>
      <c r="CR17" s="115"/>
      <c r="CS17" s="115"/>
      <c r="CT17" s="115"/>
      <c r="CU17" s="115"/>
      <c r="CV17" s="115"/>
      <c r="CW17" s="115"/>
      <c r="CX17" s="115"/>
      <c r="CY17" s="115"/>
      <c r="CZ17" s="115"/>
      <c r="DA17" s="115"/>
      <c r="DB17" s="115"/>
      <c r="DC17" s="115"/>
      <c r="DD17" s="115"/>
      <c r="DE17" s="115"/>
      <c r="DF17" s="115"/>
      <c r="DG17" s="115"/>
      <c r="DH17" s="115"/>
      <c r="DI17" s="115"/>
      <c r="DJ17" s="115"/>
      <c r="DK17" s="115"/>
      <c r="DL17" s="115"/>
      <c r="DM17" s="115"/>
      <c r="DN17" s="115"/>
      <c r="DO17" s="115"/>
      <c r="DP17" s="115"/>
      <c r="DQ17" s="115"/>
      <c r="DR17" s="115"/>
      <c r="DS17" s="115"/>
      <c r="DT17" s="115"/>
      <c r="DU17" s="115"/>
      <c r="DV17" s="115"/>
      <c r="DW17" s="115"/>
      <c r="DX17" s="115"/>
      <c r="DY17" s="115"/>
      <c r="DZ17" s="115"/>
      <c r="EA17" s="115"/>
      <c r="EB17" s="115"/>
      <c r="EC17" s="115"/>
      <c r="ED17" s="115"/>
      <c r="EE17" s="115"/>
      <c r="EF17" s="115"/>
      <c r="EG17" s="115"/>
      <c r="EH17" s="115"/>
      <c r="EI17" s="115"/>
    </row>
    <row r="18" spans="1:139" s="115" customFormat="1" ht="17.25">
      <c r="A18" s="924" t="s">
        <v>173</v>
      </c>
      <c r="B18" s="131">
        <f t="shared" ref="B18:L18" si="9">SUM(B11/B5)*100</f>
        <v>58.891992551210429</v>
      </c>
      <c r="C18" s="131">
        <f t="shared" si="9"/>
        <v>63.174711080897353</v>
      </c>
      <c r="D18" s="131">
        <f t="shared" si="9"/>
        <v>59.613371484402265</v>
      </c>
      <c r="E18" s="131">
        <f t="shared" si="9"/>
        <v>57.968055722348986</v>
      </c>
      <c r="F18" s="131">
        <f t="shared" si="9"/>
        <v>56.412482762143114</v>
      </c>
      <c r="G18" s="131">
        <f t="shared" si="9"/>
        <v>62.822630600867235</v>
      </c>
      <c r="H18" s="131">
        <f t="shared" si="9"/>
        <v>60.957580442554836</v>
      </c>
      <c r="I18" s="131">
        <f t="shared" si="9"/>
        <v>55.806995593755104</v>
      </c>
      <c r="J18" s="131">
        <f t="shared" si="9"/>
        <v>52.43267821957258</v>
      </c>
      <c r="K18" s="131">
        <f t="shared" si="9"/>
        <v>51.250721570136612</v>
      </c>
      <c r="L18" s="131">
        <f t="shared" si="9"/>
        <v>62.331987022445865</v>
      </c>
      <c r="M18" s="131">
        <f>SUM(M11/M5)*100</f>
        <v>52.742705570291783</v>
      </c>
      <c r="N18" s="918" t="s">
        <v>177</v>
      </c>
      <c r="O18" s="7"/>
      <c r="P18" s="114"/>
      <c r="Q18" s="114"/>
      <c r="R18" s="114"/>
      <c r="S18" s="114"/>
      <c r="T18" s="114"/>
      <c r="U18" s="114"/>
      <c r="V18" s="114"/>
      <c r="W18" s="114"/>
    </row>
    <row r="19" spans="1:139" s="137" customFormat="1" ht="13.5">
      <c r="A19" s="117" t="s">
        <v>178</v>
      </c>
      <c r="B19" s="132" t="e">
        <f>(B5-#REF!)*100/#REF!</f>
        <v>#REF!</v>
      </c>
      <c r="C19" s="132">
        <f t="shared" ref="C19:M25" si="10">(C5-B5)*100/B5</f>
        <v>-2.1681298217611067</v>
      </c>
      <c r="D19" s="132">
        <f t="shared" si="10"/>
        <v>-2.5900747790618626</v>
      </c>
      <c r="E19" s="132">
        <f t="shared" si="10"/>
        <v>16.225835717775141</v>
      </c>
      <c r="F19" s="132">
        <f t="shared" si="10"/>
        <v>17.563348144589888</v>
      </c>
      <c r="G19" s="132">
        <f t="shared" si="10"/>
        <v>-1.0572552224321978</v>
      </c>
      <c r="H19" s="132">
        <f t="shared" si="10"/>
        <v>6.8449308279991739</v>
      </c>
      <c r="I19" s="132">
        <f t="shared" si="10"/>
        <v>-11.184655522272683</v>
      </c>
      <c r="J19" s="132">
        <f t="shared" si="10"/>
        <v>7.6701300114235975</v>
      </c>
      <c r="K19" s="132">
        <f t="shared" si="10"/>
        <v>5.0270297579952512</v>
      </c>
      <c r="L19" s="132">
        <f>(L5-K5)*100/K5</f>
        <v>-27.347508177794882</v>
      </c>
      <c r="M19" s="132">
        <f>(M5-L5)*100/L5</f>
        <v>24.809640468781037</v>
      </c>
      <c r="N19" s="119" t="s">
        <v>179</v>
      </c>
      <c r="O19" s="133"/>
      <c r="P19" s="134"/>
      <c r="Q19" s="135"/>
      <c r="R19" s="114"/>
      <c r="S19" s="134"/>
      <c r="T19" s="134"/>
      <c r="U19" s="134"/>
      <c r="V19" s="134"/>
      <c r="W19" s="134"/>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136"/>
      <c r="CF19" s="136"/>
      <c r="CG19" s="136"/>
      <c r="CH19" s="136"/>
      <c r="CI19" s="136"/>
      <c r="CJ19" s="136"/>
      <c r="CK19" s="136"/>
      <c r="CL19" s="136"/>
      <c r="CM19" s="136"/>
      <c r="CN19" s="136"/>
      <c r="CO19" s="136"/>
      <c r="CP19" s="136"/>
      <c r="CQ19" s="136"/>
      <c r="CR19" s="136"/>
      <c r="CS19" s="136"/>
      <c r="CT19" s="136"/>
      <c r="CU19" s="136"/>
      <c r="CV19" s="136"/>
      <c r="CW19" s="136"/>
      <c r="CX19" s="136"/>
      <c r="CY19" s="136"/>
      <c r="CZ19" s="136"/>
      <c r="DA19" s="136"/>
      <c r="DB19" s="136"/>
      <c r="DC19" s="136"/>
      <c r="DD19" s="136"/>
      <c r="DE19" s="136"/>
      <c r="DF19" s="136"/>
      <c r="DG19" s="136"/>
      <c r="DH19" s="136"/>
      <c r="DI19" s="136"/>
      <c r="DJ19" s="136"/>
      <c r="DK19" s="136"/>
      <c r="DL19" s="136"/>
      <c r="DM19" s="136"/>
      <c r="DN19" s="136"/>
      <c r="DO19" s="136"/>
      <c r="DP19" s="136"/>
      <c r="DQ19" s="136"/>
      <c r="DR19" s="136"/>
      <c r="DS19" s="136"/>
      <c r="DT19" s="136"/>
      <c r="DU19" s="136"/>
      <c r="DV19" s="136"/>
      <c r="DW19" s="136"/>
      <c r="DX19" s="136"/>
      <c r="DY19" s="136"/>
      <c r="DZ19" s="136"/>
      <c r="EA19" s="136"/>
      <c r="EB19" s="136"/>
      <c r="EC19" s="136"/>
      <c r="ED19" s="136"/>
      <c r="EE19" s="136"/>
      <c r="EF19" s="136"/>
      <c r="EG19" s="136"/>
      <c r="EH19" s="136"/>
      <c r="EI19" s="136"/>
    </row>
    <row r="20" spans="1:139" s="116" customFormat="1" ht="17.25">
      <c r="A20" s="922" t="s">
        <v>163</v>
      </c>
      <c r="B20" s="124" t="s">
        <v>176</v>
      </c>
      <c r="C20" s="124" t="s">
        <v>176</v>
      </c>
      <c r="D20" s="124" t="s">
        <v>176</v>
      </c>
      <c r="E20" s="127">
        <f t="shared" si="10"/>
        <v>379.38144329896909</v>
      </c>
      <c r="F20" s="127">
        <f t="shared" si="10"/>
        <v>45.591397849462368</v>
      </c>
      <c r="G20" s="127">
        <f t="shared" si="10"/>
        <v>87.740029542097489</v>
      </c>
      <c r="H20" s="127">
        <f t="shared" si="10"/>
        <v>2.4390243902439024</v>
      </c>
      <c r="I20" s="127">
        <f t="shared" si="10"/>
        <v>23.80952380952381</v>
      </c>
      <c r="J20" s="127">
        <f t="shared" si="10"/>
        <v>-6.0794044665012406</v>
      </c>
      <c r="K20" s="127">
        <f t="shared" si="10"/>
        <v>-47.754293262879791</v>
      </c>
      <c r="L20" s="127">
        <f t="shared" si="10"/>
        <v>-41.213653603034132</v>
      </c>
      <c r="M20" s="127">
        <f t="shared" si="10"/>
        <v>97.41935483870968</v>
      </c>
      <c r="N20" s="915" t="s">
        <v>164</v>
      </c>
      <c r="O20" s="120"/>
      <c r="P20" s="114"/>
      <c r="Q20" s="138"/>
      <c r="R20" s="114"/>
      <c r="S20" s="114"/>
      <c r="T20" s="114"/>
      <c r="U20" s="114"/>
      <c r="V20" s="114"/>
      <c r="W20" s="114"/>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5"/>
      <c r="CD20" s="115"/>
      <c r="CE20" s="115"/>
      <c r="CF20" s="115"/>
      <c r="CG20" s="115"/>
      <c r="CH20" s="115"/>
      <c r="CI20" s="115"/>
      <c r="CJ20" s="115"/>
      <c r="CK20" s="115"/>
      <c r="CL20" s="115"/>
      <c r="CM20" s="115"/>
      <c r="CN20" s="115"/>
      <c r="CO20" s="115"/>
      <c r="CP20" s="115"/>
      <c r="CQ20" s="115"/>
      <c r="CR20" s="115"/>
      <c r="CS20" s="115"/>
      <c r="CT20" s="115"/>
      <c r="CU20" s="115"/>
      <c r="CV20" s="115"/>
      <c r="CW20" s="115"/>
      <c r="CX20" s="115"/>
      <c r="CY20" s="115"/>
      <c r="CZ20" s="115"/>
      <c r="DA20" s="115"/>
      <c r="DB20" s="115"/>
      <c r="DC20" s="115"/>
      <c r="DD20" s="115"/>
      <c r="DE20" s="115"/>
      <c r="DF20" s="115"/>
      <c r="DG20" s="115"/>
      <c r="DH20" s="115"/>
      <c r="DI20" s="115"/>
      <c r="DJ20" s="115"/>
      <c r="DK20" s="115"/>
      <c r="DL20" s="115"/>
      <c r="DM20" s="115"/>
      <c r="DN20" s="115"/>
      <c r="DO20" s="115"/>
      <c r="DP20" s="115"/>
      <c r="DQ20" s="115"/>
      <c r="DR20" s="115"/>
      <c r="DS20" s="115"/>
      <c r="DT20" s="115"/>
      <c r="DU20" s="115"/>
      <c r="DV20" s="115"/>
      <c r="DW20" s="115"/>
      <c r="DX20" s="115"/>
      <c r="DY20" s="115"/>
      <c r="DZ20" s="115"/>
      <c r="EA20" s="115"/>
      <c r="EB20" s="115"/>
      <c r="EC20" s="115"/>
      <c r="ED20" s="115"/>
      <c r="EE20" s="115"/>
      <c r="EF20" s="115"/>
      <c r="EG20" s="115"/>
      <c r="EH20" s="115"/>
      <c r="EI20" s="115"/>
    </row>
    <row r="21" spans="1:139" s="116" customFormat="1" ht="17.25">
      <c r="A21" s="920" t="s">
        <v>165</v>
      </c>
      <c r="B21" s="127" t="e">
        <f>(B7-#REF!)*100/#REF!</f>
        <v>#REF!</v>
      </c>
      <c r="C21" s="127">
        <f t="shared" si="10"/>
        <v>-41.706161137440759</v>
      </c>
      <c r="D21" s="127">
        <f t="shared" si="10"/>
        <v>-23.577235772357724</v>
      </c>
      <c r="E21" s="127">
        <f t="shared" si="10"/>
        <v>29.787234042553191</v>
      </c>
      <c r="F21" s="127">
        <f t="shared" si="10"/>
        <v>-33.606557377049178</v>
      </c>
      <c r="G21" s="127">
        <f t="shared" si="10"/>
        <v>-67.901234567901241</v>
      </c>
      <c r="H21" s="127">
        <f t="shared" si="10"/>
        <v>19.23076923076923</v>
      </c>
      <c r="I21" s="127">
        <f t="shared" si="10"/>
        <v>41.935483870967744</v>
      </c>
      <c r="J21" s="127">
        <f t="shared" si="10"/>
        <v>-59.090909090909093</v>
      </c>
      <c r="K21" s="127">
        <f t="shared" si="10"/>
        <v>-5.5555555555555554</v>
      </c>
      <c r="L21" s="127">
        <f t="shared" si="10"/>
        <v>47.058823529411768</v>
      </c>
      <c r="M21" s="127">
        <f t="shared" si="10"/>
        <v>40</v>
      </c>
      <c r="N21" s="915" t="s">
        <v>166</v>
      </c>
      <c r="O21" s="120"/>
      <c r="P21" s="114"/>
      <c r="Q21" s="138"/>
      <c r="R21" s="114"/>
      <c r="S21" s="114"/>
      <c r="T21" s="114"/>
      <c r="U21" s="114"/>
      <c r="V21" s="114"/>
      <c r="W21" s="114"/>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5"/>
      <c r="BS21" s="115"/>
      <c r="BT21" s="115"/>
      <c r="BU21" s="115"/>
      <c r="BV21" s="115"/>
      <c r="BW21" s="115"/>
      <c r="BX21" s="115"/>
      <c r="BY21" s="115"/>
      <c r="BZ21" s="115"/>
      <c r="CA21" s="115"/>
      <c r="CB21" s="115"/>
      <c r="CC21" s="115"/>
      <c r="CD21" s="115"/>
      <c r="CE21" s="115"/>
      <c r="CF21" s="115"/>
      <c r="CG21" s="115"/>
      <c r="CH21" s="115"/>
      <c r="CI21" s="115"/>
      <c r="CJ21" s="115"/>
      <c r="CK21" s="115"/>
      <c r="CL21" s="115"/>
      <c r="CM21" s="115"/>
      <c r="CN21" s="115"/>
      <c r="CO21" s="115"/>
      <c r="CP21" s="115"/>
      <c r="CQ21" s="115"/>
      <c r="CR21" s="115"/>
      <c r="CS21" s="115"/>
      <c r="CT21" s="115"/>
      <c r="CU21" s="115"/>
      <c r="CV21" s="115"/>
      <c r="CW21" s="115"/>
      <c r="CX21" s="115"/>
      <c r="CY21" s="115"/>
      <c r="CZ21" s="115"/>
      <c r="DA21" s="115"/>
      <c r="DB21" s="115"/>
      <c r="DC21" s="115"/>
      <c r="DD21" s="115"/>
      <c r="DE21" s="115"/>
      <c r="DF21" s="115"/>
      <c r="DG21" s="115"/>
      <c r="DH21" s="115"/>
      <c r="DI21" s="115"/>
      <c r="DJ21" s="115"/>
      <c r="DK21" s="115"/>
      <c r="DL21" s="115"/>
      <c r="DM21" s="115"/>
      <c r="DN21" s="115"/>
      <c r="DO21" s="115"/>
      <c r="DP21" s="115"/>
      <c r="DQ21" s="115"/>
      <c r="DR21" s="115"/>
      <c r="DS21" s="115"/>
      <c r="DT21" s="115"/>
      <c r="DU21" s="115"/>
      <c r="DV21" s="115"/>
      <c r="DW21" s="115"/>
      <c r="DX21" s="115"/>
      <c r="DY21" s="115"/>
      <c r="DZ21" s="115"/>
      <c r="EA21" s="115"/>
      <c r="EB21" s="115"/>
      <c r="EC21" s="115"/>
      <c r="ED21" s="115"/>
      <c r="EE21" s="115"/>
      <c r="EF21" s="115"/>
      <c r="EG21" s="115"/>
      <c r="EH21" s="115"/>
      <c r="EI21" s="115"/>
    </row>
    <row r="22" spans="1:139" s="116" customFormat="1" ht="17.25">
      <c r="A22" s="920" t="s">
        <v>167</v>
      </c>
      <c r="B22" s="127" t="e">
        <f>(B8-#REF!)*100/#REF!</f>
        <v>#REF!</v>
      </c>
      <c r="C22" s="127">
        <f t="shared" si="10"/>
        <v>-2.3483365949119372</v>
      </c>
      <c r="D22" s="127">
        <f t="shared" si="10"/>
        <v>9.9198396793587182</v>
      </c>
      <c r="E22" s="127">
        <f t="shared" si="10"/>
        <v>18.049225159525982</v>
      </c>
      <c r="F22" s="127">
        <f t="shared" si="10"/>
        <v>1.0038610038610039</v>
      </c>
      <c r="G22" s="127">
        <f t="shared" si="10"/>
        <v>-2.4082568807339451</v>
      </c>
      <c r="H22" s="127">
        <f t="shared" si="10"/>
        <v>0.3525264394829612</v>
      </c>
      <c r="I22" s="127">
        <f t="shared" si="10"/>
        <v>-0.74160811865729903</v>
      </c>
      <c r="J22" s="127">
        <f t="shared" si="10"/>
        <v>5.7019268580416833</v>
      </c>
      <c r="K22" s="127">
        <f t="shared" si="10"/>
        <v>14.583333333333334</v>
      </c>
      <c r="L22" s="127">
        <f t="shared" si="10"/>
        <v>-36.623376623376622</v>
      </c>
      <c r="M22" s="127">
        <f t="shared" si="10"/>
        <v>33.606557377049178</v>
      </c>
      <c r="N22" s="915" t="s">
        <v>168</v>
      </c>
      <c r="O22" s="120"/>
      <c r="P22" s="114"/>
      <c r="Q22" s="138"/>
      <c r="R22" s="114"/>
      <c r="S22" s="114"/>
      <c r="T22" s="114"/>
      <c r="U22" s="114"/>
      <c r="V22" s="114"/>
      <c r="W22" s="114"/>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5"/>
      <c r="BT22" s="115"/>
      <c r="BU22" s="115"/>
      <c r="BV22" s="115"/>
      <c r="BW22" s="115"/>
      <c r="BX22" s="115"/>
      <c r="BY22" s="115"/>
      <c r="BZ22" s="115"/>
      <c r="CA22" s="115"/>
      <c r="CB22" s="115"/>
      <c r="CC22" s="115"/>
      <c r="CD22" s="115"/>
      <c r="CE22" s="115"/>
      <c r="CF22" s="115"/>
      <c r="CG22" s="115"/>
      <c r="CH22" s="115"/>
      <c r="CI22" s="115"/>
      <c r="CJ22" s="115"/>
      <c r="CK22" s="115"/>
      <c r="CL22" s="115"/>
      <c r="CM22" s="115"/>
      <c r="CN22" s="115"/>
      <c r="CO22" s="115"/>
      <c r="CP22" s="115"/>
      <c r="CQ22" s="115"/>
      <c r="CR22" s="115"/>
      <c r="CS22" s="115"/>
      <c r="CT22" s="115"/>
      <c r="CU22" s="115"/>
      <c r="CV22" s="115"/>
      <c r="CW22" s="115"/>
      <c r="CX22" s="115"/>
      <c r="CY22" s="115"/>
      <c r="CZ22" s="115"/>
      <c r="DA22" s="115"/>
      <c r="DB22" s="115"/>
      <c r="DC22" s="115"/>
      <c r="DD22" s="115"/>
      <c r="DE22" s="115"/>
      <c r="DF22" s="115"/>
      <c r="DG22" s="115"/>
      <c r="DH22" s="115"/>
      <c r="DI22" s="115"/>
      <c r="DJ22" s="115"/>
      <c r="DK22" s="115"/>
      <c r="DL22" s="115"/>
      <c r="DM22" s="115"/>
      <c r="DN22" s="115"/>
      <c r="DO22" s="115"/>
      <c r="DP22" s="115"/>
      <c r="DQ22" s="115"/>
      <c r="DR22" s="115"/>
      <c r="DS22" s="115"/>
      <c r="DT22" s="115"/>
      <c r="DU22" s="115"/>
      <c r="DV22" s="115"/>
      <c r="DW22" s="115"/>
      <c r="DX22" s="115"/>
      <c r="DY22" s="115"/>
      <c r="DZ22" s="115"/>
      <c r="EA22" s="115"/>
      <c r="EB22" s="115"/>
      <c r="EC22" s="115"/>
      <c r="ED22" s="115"/>
      <c r="EE22" s="115"/>
      <c r="EF22" s="115"/>
      <c r="EG22" s="115"/>
      <c r="EH22" s="115"/>
      <c r="EI22" s="115"/>
    </row>
    <row r="23" spans="1:139" s="116" customFormat="1" ht="17.25">
      <c r="A23" s="920" t="s">
        <v>169</v>
      </c>
      <c r="B23" s="127" t="e">
        <f>(B9-#REF!)*100/#REF!</f>
        <v>#REF!</v>
      </c>
      <c r="C23" s="127">
        <f t="shared" si="10"/>
        <v>-27.704117236566642</v>
      </c>
      <c r="D23" s="127">
        <f t="shared" si="10"/>
        <v>-4.4401544401544397</v>
      </c>
      <c r="E23" s="127">
        <f t="shared" si="10"/>
        <v>68.585858585858588</v>
      </c>
      <c r="F23" s="127">
        <f t="shared" si="10"/>
        <v>17.25584182144997</v>
      </c>
      <c r="G23" s="127">
        <f t="shared" si="10"/>
        <v>-45.375574859478796</v>
      </c>
      <c r="H23" s="127">
        <f t="shared" si="10"/>
        <v>-19.550982226379794</v>
      </c>
      <c r="I23" s="127">
        <f t="shared" si="10"/>
        <v>2.441860465116279</v>
      </c>
      <c r="J23" s="127">
        <f t="shared" si="10"/>
        <v>-5.5618615209988649</v>
      </c>
      <c r="K23" s="127">
        <f t="shared" si="10"/>
        <v>60.9375</v>
      </c>
      <c r="L23" s="127">
        <f t="shared" si="10"/>
        <v>-36.370425690814038</v>
      </c>
      <c r="M23" s="127">
        <f t="shared" si="10"/>
        <v>-17.72300469483568</v>
      </c>
      <c r="N23" s="915" t="s">
        <v>170</v>
      </c>
      <c r="O23" s="120"/>
      <c r="P23" s="114"/>
      <c r="Q23" s="138"/>
      <c r="R23" s="114"/>
      <c r="S23" s="114"/>
      <c r="T23" s="114"/>
      <c r="U23" s="114"/>
      <c r="V23" s="114"/>
      <c r="W23" s="114"/>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5"/>
      <c r="BT23" s="115"/>
      <c r="BU23" s="115"/>
      <c r="BV23" s="115"/>
      <c r="BW23" s="115"/>
      <c r="BX23" s="115"/>
      <c r="BY23" s="115"/>
      <c r="BZ23" s="115"/>
      <c r="CA23" s="115"/>
      <c r="CB23" s="115"/>
      <c r="CC23" s="115"/>
      <c r="CD23" s="115"/>
      <c r="CE23" s="115"/>
      <c r="CF23" s="115"/>
      <c r="CG23" s="115"/>
      <c r="CH23" s="115"/>
      <c r="CI23" s="115"/>
      <c r="CJ23" s="115"/>
      <c r="CK23" s="115"/>
      <c r="CL23" s="115"/>
      <c r="CM23" s="115"/>
      <c r="CN23" s="115"/>
      <c r="CO23" s="115"/>
      <c r="CP23" s="115"/>
      <c r="CQ23" s="115"/>
      <c r="CR23" s="115"/>
      <c r="CS23" s="115"/>
      <c r="CT23" s="115"/>
      <c r="CU23" s="115"/>
      <c r="CV23" s="115"/>
      <c r="CW23" s="115"/>
      <c r="CX23" s="115"/>
      <c r="CY23" s="115"/>
      <c r="CZ23" s="115"/>
      <c r="DA23" s="115"/>
      <c r="DB23" s="115"/>
      <c r="DC23" s="115"/>
      <c r="DD23" s="115"/>
      <c r="DE23" s="115"/>
      <c r="DF23" s="115"/>
      <c r="DG23" s="115"/>
      <c r="DH23" s="115"/>
      <c r="DI23" s="115"/>
      <c r="DJ23" s="115"/>
      <c r="DK23" s="115"/>
      <c r="DL23" s="115"/>
      <c r="DM23" s="115"/>
      <c r="DN23" s="115"/>
      <c r="DO23" s="115"/>
      <c r="DP23" s="115"/>
      <c r="DQ23" s="115"/>
      <c r="DR23" s="115"/>
      <c r="DS23" s="115"/>
      <c r="DT23" s="115"/>
      <c r="DU23" s="115"/>
      <c r="DV23" s="115"/>
      <c r="DW23" s="115"/>
      <c r="DX23" s="115"/>
      <c r="DY23" s="115"/>
      <c r="DZ23" s="115"/>
      <c r="EA23" s="115"/>
      <c r="EB23" s="115"/>
      <c r="EC23" s="115"/>
      <c r="ED23" s="115"/>
      <c r="EE23" s="115"/>
      <c r="EF23" s="115"/>
      <c r="EG23" s="115"/>
      <c r="EH23" s="115"/>
      <c r="EI23" s="115"/>
    </row>
    <row r="24" spans="1:139" s="130" customFormat="1" ht="17.25">
      <c r="A24" s="923" t="s">
        <v>171</v>
      </c>
      <c r="B24" s="128" t="e">
        <f>(B10-#REF!)*100/#REF!</f>
        <v>#REF!</v>
      </c>
      <c r="C24" s="128">
        <f t="shared" si="10"/>
        <v>-9.2659446450060177</v>
      </c>
      <c r="D24" s="128">
        <f t="shared" si="10"/>
        <v>6.6312997347480103</v>
      </c>
      <c r="E24" s="128">
        <f t="shared" si="10"/>
        <v>-10.696517412935323</v>
      </c>
      <c r="F24" s="128">
        <f t="shared" si="10"/>
        <v>48.700092850510678</v>
      </c>
      <c r="G24" s="128">
        <f t="shared" si="10"/>
        <v>-28.723072119887604</v>
      </c>
      <c r="H24" s="128">
        <f t="shared" si="10"/>
        <v>45.685501533070521</v>
      </c>
      <c r="I24" s="128">
        <f t="shared" si="10"/>
        <v>-8.4786530366806971</v>
      </c>
      <c r="J24" s="128">
        <f t="shared" si="10"/>
        <v>43.331143232588701</v>
      </c>
      <c r="K24" s="128">
        <f t="shared" si="10"/>
        <v>12.468484987393994</v>
      </c>
      <c r="L24" s="128">
        <f t="shared" si="10"/>
        <v>-51.192174444670876</v>
      </c>
      <c r="M24" s="128">
        <f t="shared" si="10"/>
        <v>93.987473903966603</v>
      </c>
      <c r="N24" s="917" t="s">
        <v>172</v>
      </c>
      <c r="O24" s="129"/>
      <c r="P24" s="114"/>
      <c r="Q24" s="138"/>
      <c r="R24" s="114"/>
      <c r="S24" s="114"/>
      <c r="T24" s="114"/>
      <c r="U24" s="114"/>
      <c r="V24" s="114"/>
      <c r="W24" s="114"/>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5"/>
      <c r="BT24" s="115"/>
      <c r="BU24" s="115"/>
      <c r="BV24" s="115"/>
      <c r="BW24" s="115"/>
      <c r="BX24" s="115"/>
      <c r="BY24" s="115"/>
      <c r="BZ24" s="115"/>
      <c r="CA24" s="115"/>
      <c r="CB24" s="115"/>
      <c r="CC24" s="115"/>
      <c r="CD24" s="115"/>
      <c r="CE24" s="115"/>
      <c r="CF24" s="115"/>
      <c r="CG24" s="115"/>
      <c r="CH24" s="115"/>
      <c r="CI24" s="115"/>
      <c r="CJ24" s="115"/>
      <c r="CK24" s="115"/>
      <c r="CL24" s="115"/>
      <c r="CM24" s="115"/>
      <c r="CN24" s="115"/>
      <c r="CO24" s="115"/>
      <c r="CP24" s="115"/>
      <c r="CQ24" s="115"/>
      <c r="CR24" s="115"/>
      <c r="CS24" s="115"/>
      <c r="CT24" s="115"/>
      <c r="CU24" s="115"/>
      <c r="CV24" s="115"/>
      <c r="CW24" s="115"/>
      <c r="CX24" s="115"/>
      <c r="CY24" s="115"/>
      <c r="CZ24" s="115"/>
      <c r="DA24" s="115"/>
      <c r="DB24" s="115"/>
      <c r="DC24" s="115"/>
      <c r="DD24" s="115"/>
      <c r="DE24" s="115"/>
      <c r="DF24" s="115"/>
      <c r="DG24" s="115"/>
      <c r="DH24" s="115"/>
      <c r="DI24" s="115"/>
      <c r="DJ24" s="115"/>
      <c r="DK24" s="115"/>
      <c r="DL24" s="115"/>
      <c r="DM24" s="115"/>
      <c r="DN24" s="115"/>
      <c r="DO24" s="115"/>
      <c r="DP24" s="115"/>
      <c r="DQ24" s="115"/>
      <c r="DR24" s="115"/>
      <c r="DS24" s="115"/>
      <c r="DT24" s="115"/>
      <c r="DU24" s="115"/>
      <c r="DV24" s="115"/>
      <c r="DW24" s="115"/>
      <c r="DX24" s="115"/>
      <c r="DY24" s="115"/>
      <c r="DZ24" s="115"/>
      <c r="EA24" s="115"/>
      <c r="EB24" s="115"/>
      <c r="EC24" s="115"/>
      <c r="ED24" s="115"/>
      <c r="EE24" s="115"/>
      <c r="EF24" s="115"/>
      <c r="EG24" s="115"/>
      <c r="EH24" s="115"/>
      <c r="EI24" s="115"/>
    </row>
    <row r="25" spans="1:139" s="115" customFormat="1" ht="17.25">
      <c r="A25" s="925" t="s">
        <v>173</v>
      </c>
      <c r="B25" s="139" t="e">
        <f>(B11-#REF!)*100/#REF!</f>
        <v>#REF!</v>
      </c>
      <c r="C25" s="139">
        <f t="shared" si="10"/>
        <v>4.9463579898362511</v>
      </c>
      <c r="D25" s="139">
        <f t="shared" si="10"/>
        <v>-8.0813515549338213</v>
      </c>
      <c r="E25" s="139">
        <f t="shared" si="10"/>
        <v>13.018028564738938</v>
      </c>
      <c r="F25" s="139">
        <f t="shared" si="10"/>
        <v>14.40853532214626</v>
      </c>
      <c r="G25" s="139">
        <f t="shared" si="10"/>
        <v>10.185604345857854</v>
      </c>
      <c r="H25" s="139">
        <f t="shared" si="10"/>
        <v>3.6729663105998358</v>
      </c>
      <c r="I25" s="139">
        <f t="shared" si="10"/>
        <v>-18.689070301973526</v>
      </c>
      <c r="J25" s="139">
        <f t="shared" si="10"/>
        <v>1.1599571108295155</v>
      </c>
      <c r="K25" s="139">
        <f t="shared" si="10"/>
        <v>2.6594719599152055</v>
      </c>
      <c r="L25" s="139">
        <f t="shared" si="10"/>
        <v>-11.638821100056317</v>
      </c>
      <c r="M25" s="139">
        <f t="shared" si="10"/>
        <v>5.608667941363926</v>
      </c>
      <c r="N25" s="919" t="s">
        <v>177</v>
      </c>
      <c r="O25" s="7"/>
      <c r="P25" s="114"/>
      <c r="Q25" s="138"/>
      <c r="R25" s="114"/>
      <c r="S25" s="114"/>
      <c r="T25" s="114"/>
      <c r="U25" s="114"/>
      <c r="V25" s="114"/>
      <c r="W25" s="114"/>
    </row>
    <row r="26" spans="1:139" s="116" customFormat="1" ht="18" customHeight="1">
      <c r="A26" s="8" t="s">
        <v>180</v>
      </c>
      <c r="B26" s="140"/>
      <c r="C26" s="140"/>
      <c r="D26" s="140"/>
      <c r="E26" s="140"/>
      <c r="F26" s="140"/>
      <c r="G26" s="140"/>
      <c r="H26" s="140"/>
      <c r="I26" s="140"/>
      <c r="J26" s="140"/>
      <c r="K26" s="140"/>
      <c r="L26" s="140"/>
      <c r="M26" s="140"/>
      <c r="N26" s="86" t="s">
        <v>181</v>
      </c>
      <c r="O26" s="113"/>
      <c r="P26" s="114"/>
      <c r="Q26" s="114"/>
      <c r="R26" s="114"/>
      <c r="S26" s="114"/>
      <c r="T26" s="114"/>
      <c r="U26" s="114"/>
      <c r="V26" s="114"/>
      <c r="W26" s="114"/>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5"/>
      <c r="BU26" s="115"/>
      <c r="BV26" s="115"/>
      <c r="BW26" s="115"/>
      <c r="BX26" s="115"/>
      <c r="BY26" s="115"/>
      <c r="BZ26" s="115"/>
      <c r="CA26" s="115"/>
      <c r="CB26" s="115"/>
      <c r="CC26" s="115"/>
      <c r="CD26" s="115"/>
      <c r="CE26" s="115"/>
      <c r="CF26" s="115"/>
      <c r="CG26" s="115"/>
      <c r="CH26" s="115"/>
      <c r="CI26" s="115"/>
      <c r="CJ26" s="115"/>
      <c r="CK26" s="115"/>
      <c r="CL26" s="115"/>
      <c r="CM26" s="115"/>
      <c r="CN26" s="115"/>
      <c r="CO26" s="115"/>
      <c r="CP26" s="115"/>
      <c r="CQ26" s="115"/>
      <c r="CR26" s="115"/>
      <c r="CS26" s="115"/>
      <c r="CT26" s="115"/>
      <c r="CU26" s="115"/>
      <c r="CV26" s="115"/>
      <c r="CW26" s="115"/>
      <c r="CX26" s="115"/>
      <c r="CY26" s="115"/>
      <c r="CZ26" s="115"/>
      <c r="DA26" s="115"/>
      <c r="DB26" s="115"/>
      <c r="DC26" s="115"/>
      <c r="DD26" s="115"/>
      <c r="DE26" s="115"/>
      <c r="DF26" s="115"/>
      <c r="DG26" s="115"/>
      <c r="DH26" s="115"/>
      <c r="DI26" s="115"/>
      <c r="DJ26" s="115"/>
      <c r="DK26" s="115"/>
      <c r="DL26" s="115"/>
      <c r="DM26" s="115"/>
      <c r="DN26" s="115"/>
      <c r="DO26" s="115"/>
      <c r="DP26" s="115"/>
      <c r="DQ26" s="115"/>
      <c r="DR26" s="115"/>
      <c r="DS26" s="115"/>
      <c r="DT26" s="115"/>
      <c r="DU26" s="115"/>
      <c r="DV26" s="115"/>
      <c r="DW26" s="115"/>
      <c r="DX26" s="115"/>
      <c r="DY26" s="115"/>
      <c r="DZ26" s="115"/>
      <c r="EA26" s="115"/>
      <c r="EB26" s="115"/>
      <c r="EC26" s="115"/>
      <c r="ED26" s="115"/>
      <c r="EE26" s="115"/>
      <c r="EF26" s="115"/>
      <c r="EG26" s="115"/>
      <c r="EH26" s="115"/>
      <c r="EI26" s="115"/>
    </row>
    <row r="27" spans="1:139" s="116" customFormat="1">
      <c r="A27" s="8"/>
      <c r="B27" s="140"/>
      <c r="C27" s="140"/>
      <c r="D27" s="140"/>
      <c r="E27" s="140"/>
      <c r="F27" s="140"/>
      <c r="G27" s="140"/>
      <c r="H27" s="140"/>
      <c r="I27" s="140"/>
      <c r="J27" s="140"/>
      <c r="K27" s="140"/>
      <c r="L27" s="140"/>
      <c r="M27" s="140"/>
      <c r="N27" s="21"/>
      <c r="O27" s="113"/>
      <c r="P27" s="114"/>
      <c r="Q27" s="114"/>
      <c r="R27" s="114"/>
      <c r="S27" s="114"/>
      <c r="T27" s="114"/>
      <c r="U27" s="114"/>
      <c r="V27" s="114"/>
      <c r="W27" s="114"/>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c r="BZ27" s="115"/>
      <c r="CA27" s="115"/>
      <c r="CB27" s="115"/>
      <c r="CC27" s="115"/>
      <c r="CD27" s="115"/>
      <c r="CE27" s="115"/>
      <c r="CF27" s="115"/>
      <c r="CG27" s="115"/>
      <c r="CH27" s="115"/>
      <c r="CI27" s="115"/>
      <c r="CJ27" s="115"/>
      <c r="CK27" s="115"/>
      <c r="CL27" s="115"/>
      <c r="CM27" s="115"/>
      <c r="CN27" s="115"/>
      <c r="CO27" s="115"/>
      <c r="CP27" s="115"/>
      <c r="CQ27" s="115"/>
      <c r="CR27" s="115"/>
      <c r="CS27" s="115"/>
      <c r="CT27" s="115"/>
      <c r="CU27" s="115"/>
      <c r="CV27" s="115"/>
      <c r="CW27" s="115"/>
      <c r="CX27" s="115"/>
      <c r="CY27" s="115"/>
      <c r="CZ27" s="115"/>
      <c r="DA27" s="115"/>
      <c r="DB27" s="115"/>
      <c r="DC27" s="115"/>
      <c r="DD27" s="115"/>
      <c r="DE27" s="115"/>
      <c r="DF27" s="115"/>
      <c r="DG27" s="115"/>
      <c r="DH27" s="115"/>
      <c r="DI27" s="115"/>
      <c r="DJ27" s="115"/>
      <c r="DK27" s="115"/>
      <c r="DL27" s="115"/>
      <c r="DM27" s="115"/>
      <c r="DN27" s="115"/>
      <c r="DO27" s="115"/>
      <c r="DP27" s="115"/>
      <c r="DQ27" s="115"/>
      <c r="DR27" s="115"/>
      <c r="DS27" s="115"/>
      <c r="DT27" s="115"/>
      <c r="DU27" s="115"/>
      <c r="DV27" s="115"/>
      <c r="DW27" s="115"/>
      <c r="DX27" s="115"/>
      <c r="DY27" s="115"/>
      <c r="DZ27" s="115"/>
      <c r="EA27" s="115"/>
      <c r="EB27" s="115"/>
      <c r="EC27" s="115"/>
      <c r="ED27" s="115"/>
      <c r="EE27" s="115"/>
      <c r="EF27" s="115"/>
      <c r="EG27" s="115"/>
      <c r="EH27" s="115"/>
      <c r="EI27" s="115"/>
    </row>
    <row r="28" spans="1:139">
      <c r="A28" s="141"/>
      <c r="B28" s="141"/>
      <c r="C28" s="141"/>
      <c r="D28" s="141"/>
      <c r="E28" s="141"/>
      <c r="F28" s="141"/>
      <c r="G28" s="141"/>
      <c r="H28" s="141"/>
      <c r="I28" s="141"/>
      <c r="J28" s="141"/>
      <c r="K28" s="141"/>
      <c r="L28" s="141"/>
      <c r="M28" s="972"/>
      <c r="N28" s="141"/>
      <c r="O28" s="113"/>
      <c r="P28" s="114"/>
      <c r="Q28" s="114"/>
      <c r="R28" s="114"/>
      <c r="S28" s="114"/>
      <c r="T28" s="114"/>
      <c r="U28" s="114"/>
      <c r="V28" s="114"/>
      <c r="W28" s="114"/>
    </row>
    <row r="29" spans="1:139">
      <c r="A29" s="141"/>
      <c r="B29" s="141"/>
      <c r="C29" s="141"/>
      <c r="D29" s="141"/>
      <c r="E29" s="141"/>
      <c r="F29" s="141"/>
      <c r="G29" s="141"/>
      <c r="H29" s="141"/>
      <c r="I29" s="141"/>
      <c r="J29" s="141"/>
      <c r="K29" s="141"/>
      <c r="L29" s="141"/>
      <c r="M29" s="972"/>
      <c r="N29" s="141"/>
      <c r="O29" s="113"/>
      <c r="P29" s="114"/>
      <c r="Q29" s="114"/>
      <c r="R29" s="114"/>
      <c r="S29" s="114"/>
      <c r="T29" s="114"/>
      <c r="U29" s="114"/>
      <c r="V29" s="114"/>
      <c r="W29" s="114"/>
    </row>
    <row r="30" spans="1:139">
      <c r="A30" s="141"/>
      <c r="B30" s="141"/>
      <c r="C30" s="141"/>
      <c r="D30" s="141"/>
      <c r="E30" s="141"/>
      <c r="F30" s="141"/>
      <c r="G30" s="141"/>
      <c r="H30" s="141"/>
      <c r="I30" s="141"/>
      <c r="J30" s="141"/>
      <c r="K30" s="141"/>
      <c r="L30" s="141"/>
      <c r="M30" s="972"/>
      <c r="N30" s="141"/>
      <c r="O30" s="113"/>
      <c r="P30" s="114"/>
      <c r="Q30" s="114"/>
      <c r="R30" s="114"/>
      <c r="S30" s="114"/>
      <c r="T30" s="114"/>
      <c r="U30" s="114"/>
      <c r="V30" s="114"/>
      <c r="W30" s="114"/>
    </row>
    <row r="31" spans="1:139">
      <c r="A31" s="141"/>
      <c r="B31" s="141"/>
      <c r="C31" s="141"/>
      <c r="D31" s="141"/>
      <c r="E31" s="141"/>
      <c r="F31" s="141"/>
      <c r="G31" s="141"/>
      <c r="H31" s="141"/>
      <c r="I31" s="141"/>
      <c r="J31" s="141"/>
      <c r="K31" s="141"/>
      <c r="L31" s="141"/>
      <c r="M31" s="972"/>
      <c r="N31" s="141"/>
      <c r="O31" s="113"/>
      <c r="P31" s="114"/>
      <c r="Q31" s="114"/>
      <c r="R31" s="114"/>
      <c r="S31" s="114"/>
      <c r="T31" s="114"/>
      <c r="U31" s="114"/>
      <c r="V31" s="114"/>
      <c r="W31" s="114"/>
    </row>
    <row r="32" spans="1:139">
      <c r="A32" s="141"/>
      <c r="B32" s="141"/>
      <c r="C32" s="141"/>
      <c r="D32" s="141"/>
      <c r="E32" s="141"/>
      <c r="F32" s="141"/>
      <c r="G32" s="141"/>
      <c r="H32" s="141"/>
      <c r="I32" s="141"/>
      <c r="J32" s="141"/>
      <c r="K32" s="141"/>
      <c r="L32" s="141"/>
      <c r="M32" s="972"/>
      <c r="N32" s="141"/>
      <c r="O32" s="113"/>
      <c r="P32" s="114"/>
      <c r="Q32" s="114"/>
      <c r="R32" s="114"/>
      <c r="S32" s="114"/>
      <c r="T32" s="114"/>
      <c r="U32" s="114"/>
      <c r="V32" s="114"/>
      <c r="W32" s="114"/>
    </row>
    <row r="33" spans="1:139">
      <c r="A33" s="141"/>
      <c r="B33" s="141"/>
      <c r="C33" s="141"/>
      <c r="D33" s="141"/>
      <c r="E33" s="141"/>
      <c r="F33" s="141"/>
      <c r="G33" s="141"/>
      <c r="H33" s="141"/>
      <c r="I33" s="141"/>
      <c r="J33" s="141"/>
      <c r="K33" s="141"/>
      <c r="L33" s="141"/>
      <c r="M33" s="972"/>
      <c r="N33" s="141"/>
      <c r="O33" s="113"/>
      <c r="P33" s="114"/>
      <c r="Q33" s="114"/>
      <c r="R33" s="114"/>
      <c r="S33" s="114"/>
      <c r="T33" s="114"/>
      <c r="U33" s="114"/>
      <c r="V33" s="114"/>
      <c r="W33" s="114"/>
    </row>
    <row r="34" spans="1:139">
      <c r="A34" s="141"/>
      <c r="B34" s="141"/>
      <c r="C34" s="141"/>
      <c r="D34" s="141"/>
      <c r="E34" s="141"/>
      <c r="F34" s="141"/>
      <c r="G34" s="141"/>
      <c r="H34" s="141"/>
      <c r="I34" s="141"/>
      <c r="J34" s="141"/>
      <c r="K34" s="141"/>
      <c r="L34" s="141"/>
      <c r="M34" s="972"/>
      <c r="N34" s="141"/>
      <c r="O34" s="113"/>
      <c r="P34" s="143"/>
      <c r="Q34" s="144"/>
      <c r="R34" s="144"/>
      <c r="S34" s="144"/>
      <c r="T34" s="144"/>
      <c r="U34" s="144"/>
      <c r="V34" s="114"/>
      <c r="W34" s="114"/>
    </row>
    <row r="35" spans="1:139">
      <c r="A35" s="141"/>
      <c r="B35" s="141"/>
      <c r="C35" s="141"/>
      <c r="D35" s="141"/>
      <c r="E35" s="141"/>
      <c r="F35" s="141"/>
      <c r="G35" s="141"/>
      <c r="H35" s="141"/>
      <c r="I35" s="141"/>
      <c r="J35" s="141"/>
      <c r="K35" s="141"/>
      <c r="L35" s="141"/>
      <c r="M35" s="972"/>
      <c r="N35" s="141"/>
      <c r="O35" s="113"/>
      <c r="P35" s="143"/>
      <c r="Q35" s="145"/>
      <c r="R35" s="145"/>
      <c r="S35" s="145"/>
      <c r="T35" s="145"/>
      <c r="U35" s="145"/>
      <c r="V35" s="114"/>
      <c r="W35" s="114"/>
    </row>
    <row r="36" spans="1:139">
      <c r="A36" s="141"/>
      <c r="B36" s="141"/>
      <c r="C36" s="141"/>
      <c r="D36" s="141"/>
      <c r="E36" s="141"/>
      <c r="F36" s="141"/>
      <c r="G36" s="141"/>
      <c r="H36" s="141"/>
      <c r="I36" s="141"/>
      <c r="J36" s="141"/>
      <c r="K36" s="141"/>
      <c r="L36" s="141"/>
      <c r="M36" s="972"/>
      <c r="N36" s="141"/>
      <c r="O36" s="113"/>
      <c r="P36" s="146"/>
      <c r="Q36" s="147"/>
      <c r="R36" s="147"/>
      <c r="S36" s="147"/>
      <c r="T36" s="147"/>
      <c r="U36" s="147"/>
      <c r="V36" s="114"/>
      <c r="W36" s="114"/>
    </row>
    <row r="37" spans="1:139">
      <c r="A37" s="141"/>
      <c r="B37" s="141"/>
      <c r="C37" s="141"/>
      <c r="D37" s="141"/>
      <c r="E37" s="141"/>
      <c r="F37" s="141"/>
      <c r="G37" s="141"/>
      <c r="H37" s="141"/>
      <c r="I37" s="141"/>
      <c r="J37" s="141"/>
      <c r="K37" s="141"/>
      <c r="L37" s="141"/>
      <c r="M37" s="972"/>
      <c r="N37" s="141"/>
      <c r="O37" s="113"/>
      <c r="P37" s="146"/>
      <c r="Q37" s="147"/>
      <c r="R37" s="147"/>
      <c r="S37" s="147"/>
      <c r="T37" s="147"/>
      <c r="U37" s="147"/>
      <c r="V37" s="114"/>
      <c r="W37" s="114"/>
    </row>
    <row r="38" spans="1:139">
      <c r="A38" s="141"/>
      <c r="B38" s="141"/>
      <c r="C38" s="141"/>
      <c r="D38" s="141"/>
      <c r="E38" s="141"/>
      <c r="F38" s="141"/>
      <c r="G38" s="141"/>
      <c r="H38" s="141"/>
      <c r="I38" s="141"/>
      <c r="J38" s="141"/>
      <c r="K38" s="141"/>
      <c r="L38" s="141"/>
      <c r="M38" s="972"/>
      <c r="N38" s="141"/>
      <c r="O38" s="113"/>
      <c r="P38" s="146"/>
      <c r="Q38" s="147"/>
      <c r="R38" s="147"/>
      <c r="S38" s="147"/>
      <c r="T38" s="147"/>
      <c r="U38" s="147"/>
      <c r="V38" s="114"/>
      <c r="W38" s="114"/>
    </row>
    <row r="39" spans="1:139">
      <c r="A39" s="141"/>
      <c r="B39" s="141"/>
      <c r="C39" s="141"/>
      <c r="D39" s="141"/>
      <c r="E39" s="141"/>
      <c r="F39" s="141"/>
      <c r="G39" s="141"/>
      <c r="H39" s="141"/>
      <c r="I39" s="141"/>
      <c r="J39" s="141"/>
      <c r="K39" s="141"/>
      <c r="L39" s="141"/>
      <c r="M39" s="972"/>
      <c r="N39" s="141"/>
      <c r="O39" s="148"/>
      <c r="P39" s="146"/>
      <c r="Q39" s="147"/>
      <c r="R39" s="147"/>
      <c r="S39" s="147"/>
      <c r="T39" s="147"/>
      <c r="U39" s="147"/>
      <c r="V39" s="114"/>
      <c r="W39" s="114"/>
    </row>
    <row r="40" spans="1:139">
      <c r="A40" s="141"/>
      <c r="B40" s="141"/>
      <c r="C40" s="141"/>
      <c r="D40" s="141"/>
      <c r="E40" s="141"/>
      <c r="F40" s="141"/>
      <c r="G40" s="141"/>
      <c r="H40" s="141"/>
      <c r="I40" s="141"/>
      <c r="J40" s="141"/>
      <c r="K40" s="141"/>
      <c r="L40" s="141"/>
      <c r="M40" s="973"/>
      <c r="N40" s="113"/>
      <c r="O40" s="114"/>
      <c r="P40" s="146"/>
      <c r="Q40" s="147"/>
      <c r="R40" s="147"/>
      <c r="S40" s="147"/>
      <c r="T40" s="147"/>
      <c r="U40" s="147"/>
      <c r="V40" s="114"/>
      <c r="W40" s="114"/>
    </row>
    <row r="41" spans="1:139">
      <c r="A41" s="141"/>
      <c r="B41" s="141"/>
      <c r="C41" s="141"/>
      <c r="D41" s="141"/>
      <c r="E41" s="141"/>
      <c r="F41" s="141"/>
      <c r="G41" s="141"/>
      <c r="H41" s="141"/>
      <c r="I41" s="141"/>
      <c r="J41" s="141"/>
      <c r="K41" s="141"/>
      <c r="L41" s="141"/>
      <c r="M41" s="973"/>
      <c r="N41" s="113"/>
      <c r="O41" s="114"/>
      <c r="P41" s="114"/>
      <c r="Q41" s="114"/>
      <c r="R41" s="114"/>
      <c r="S41" s="114"/>
      <c r="T41" s="114"/>
      <c r="U41" s="114"/>
      <c r="V41" s="114"/>
      <c r="W41" s="114"/>
    </row>
    <row r="42" spans="1:139" s="102" customFormat="1">
      <c r="A42" s="149"/>
      <c r="B42" s="149"/>
      <c r="C42" s="149"/>
      <c r="D42" s="149"/>
      <c r="E42" s="149"/>
      <c r="F42" s="149"/>
      <c r="G42" s="149"/>
      <c r="H42" s="149"/>
      <c r="I42" s="149"/>
      <c r="J42" s="149"/>
      <c r="K42" s="149"/>
      <c r="L42" s="149"/>
      <c r="M42" s="974"/>
      <c r="N42" s="148"/>
      <c r="O42" s="114"/>
      <c r="P42" s="114"/>
      <c r="Q42" s="114"/>
      <c r="R42" s="114"/>
      <c r="S42" s="114"/>
      <c r="T42" s="114"/>
      <c r="U42" s="114"/>
      <c r="V42" s="114"/>
      <c r="W42" s="114"/>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row>
    <row r="43" spans="1:139" s="12" customFormat="1">
      <c r="A43" s="114"/>
      <c r="B43" s="114"/>
      <c r="C43" s="114"/>
      <c r="D43" s="114"/>
      <c r="E43" s="114"/>
      <c r="F43" s="114"/>
      <c r="G43" s="114"/>
      <c r="H43" s="114"/>
      <c r="I43" s="114"/>
      <c r="J43" s="114"/>
      <c r="K43" s="114"/>
      <c r="L43" s="114"/>
      <c r="M43" s="114"/>
      <c r="N43" s="114"/>
      <c r="O43" s="114"/>
      <c r="V43" s="114"/>
      <c r="W43" s="114"/>
    </row>
    <row r="44" spans="1:139" s="12" customFormat="1">
      <c r="A44" s="114"/>
      <c r="B44" s="114"/>
      <c r="C44" s="114"/>
      <c r="D44" s="114"/>
      <c r="E44" s="114"/>
      <c r="F44" s="114"/>
      <c r="G44" s="114"/>
      <c r="H44" s="114"/>
      <c r="I44" s="114"/>
      <c r="J44" s="114"/>
      <c r="K44" s="114"/>
      <c r="L44" s="114"/>
      <c r="M44" s="114"/>
      <c r="N44" s="114"/>
      <c r="O44" s="114"/>
      <c r="P44" s="114"/>
      <c r="W44" s="114"/>
      <c r="X44" s="114"/>
    </row>
    <row r="45" spans="1:139" s="12" customFormat="1">
      <c r="A45" s="114"/>
      <c r="B45" s="114"/>
      <c r="C45" s="114"/>
      <c r="D45" s="114"/>
      <c r="E45" s="114"/>
      <c r="F45" s="114"/>
      <c r="G45" s="114"/>
      <c r="H45" s="114"/>
      <c r="I45" s="114"/>
      <c r="J45" s="114"/>
      <c r="K45" s="114"/>
      <c r="L45" s="114"/>
      <c r="M45" s="114"/>
      <c r="N45" s="114"/>
      <c r="O45" s="114"/>
      <c r="P45" s="114"/>
      <c r="Q45" s="143"/>
      <c r="R45" s="144"/>
      <c r="S45" s="144"/>
      <c r="T45" s="144"/>
      <c r="U45" s="144"/>
      <c r="V45" s="144"/>
      <c r="W45" s="144"/>
      <c r="X45" s="144"/>
    </row>
    <row r="46" spans="1:139" s="12" customFormat="1">
      <c r="A46" s="114"/>
      <c r="B46" s="114"/>
      <c r="C46" s="114"/>
      <c r="D46" s="114"/>
      <c r="E46" s="114"/>
      <c r="F46" s="114"/>
      <c r="G46" s="114"/>
      <c r="H46" s="114"/>
      <c r="I46" s="114"/>
      <c r="J46" s="114"/>
      <c r="K46" s="114"/>
      <c r="L46" s="114"/>
      <c r="M46" s="114"/>
      <c r="N46" s="114"/>
      <c r="O46" s="114"/>
      <c r="P46" s="114"/>
      <c r="Q46" s="146"/>
      <c r="R46" s="147"/>
      <c r="S46" s="147"/>
      <c r="T46" s="147"/>
      <c r="U46" s="147"/>
      <c r="V46" s="147"/>
      <c r="W46" s="147"/>
      <c r="X46" s="114"/>
      <c r="Y46" s="150"/>
      <c r="Z46" s="122"/>
    </row>
    <row r="47" spans="1:139" s="12" customFormat="1">
      <c r="A47" s="114"/>
      <c r="B47" s="114"/>
      <c r="C47" s="114"/>
      <c r="D47" s="114"/>
      <c r="E47" s="114"/>
      <c r="F47" s="114"/>
      <c r="G47" s="114"/>
      <c r="H47" s="114"/>
      <c r="I47" s="114"/>
      <c r="J47" s="114"/>
      <c r="K47" s="114"/>
      <c r="L47" s="114"/>
      <c r="M47" s="114"/>
      <c r="N47" s="114"/>
      <c r="O47" s="114"/>
      <c r="P47" s="114"/>
      <c r="Q47" s="146"/>
      <c r="R47" s="147"/>
      <c r="S47" s="147"/>
      <c r="T47" s="147"/>
      <c r="U47" s="147"/>
      <c r="V47" s="147"/>
      <c r="W47" s="147"/>
      <c r="X47" s="114"/>
      <c r="Y47" s="150"/>
      <c r="Z47" s="122"/>
    </row>
    <row r="48" spans="1:139" s="12" customFormat="1" ht="35.25" customHeight="1">
      <c r="A48" s="114"/>
      <c r="B48" s="114"/>
      <c r="C48" s="114"/>
      <c r="D48" s="114"/>
      <c r="E48" s="114"/>
      <c r="F48" s="114"/>
      <c r="G48" s="114"/>
      <c r="H48" s="114"/>
      <c r="I48" s="114"/>
      <c r="J48" s="114"/>
      <c r="K48" s="114"/>
      <c r="L48" s="114"/>
      <c r="M48" s="114"/>
      <c r="N48" s="114"/>
      <c r="O48" s="114"/>
      <c r="P48" s="114"/>
      <c r="Q48" s="146"/>
      <c r="R48" s="147"/>
      <c r="S48" s="147"/>
      <c r="T48" s="147"/>
      <c r="U48" s="147"/>
      <c r="V48" s="147"/>
      <c r="W48" s="147"/>
      <c r="X48" s="114"/>
      <c r="Y48" s="150"/>
      <c r="Z48" s="122"/>
    </row>
    <row r="49" spans="1:26" s="12" customFormat="1">
      <c r="A49" s="114"/>
      <c r="B49" s="114"/>
      <c r="C49" s="114"/>
      <c r="D49" s="114"/>
      <c r="E49" s="114"/>
      <c r="F49" s="114"/>
      <c r="G49" s="114"/>
      <c r="H49" s="114"/>
      <c r="I49" s="114"/>
      <c r="J49" s="114"/>
      <c r="K49" s="114"/>
      <c r="L49" s="114"/>
      <c r="M49" s="114"/>
      <c r="N49" s="114"/>
      <c r="O49" s="114"/>
      <c r="P49" s="114"/>
      <c r="Q49" s="146"/>
      <c r="R49" s="147"/>
      <c r="S49" s="147"/>
      <c r="T49" s="147"/>
      <c r="U49" s="147"/>
      <c r="V49" s="147"/>
      <c r="W49" s="147"/>
      <c r="X49" s="114"/>
      <c r="Y49" s="150"/>
      <c r="Z49" s="122"/>
    </row>
    <row r="50" spans="1:26" s="12" customFormat="1">
      <c r="A50" s="114"/>
      <c r="B50" s="114"/>
      <c r="C50" s="114"/>
      <c r="D50" s="114"/>
      <c r="E50" s="114"/>
      <c r="F50" s="114"/>
      <c r="G50" s="114"/>
      <c r="H50" s="114"/>
      <c r="I50" s="114"/>
      <c r="J50" s="114"/>
      <c r="K50" s="114"/>
      <c r="L50" s="114"/>
      <c r="M50" s="114"/>
      <c r="N50" s="114"/>
      <c r="O50" s="114"/>
      <c r="P50" s="114"/>
      <c r="Q50" s="146"/>
      <c r="R50" s="147"/>
      <c r="S50" s="147"/>
      <c r="T50" s="147"/>
      <c r="U50" s="147"/>
      <c r="V50" s="147"/>
      <c r="W50" s="147"/>
      <c r="X50" s="114"/>
      <c r="Y50" s="150"/>
      <c r="Z50" s="122"/>
    </row>
    <row r="51" spans="1:26" s="12" customFormat="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row>
    <row r="52" spans="1:26" s="12" customFormat="1">
      <c r="A52" s="114"/>
      <c r="B52" s="114"/>
      <c r="C52" s="114"/>
      <c r="D52" s="114"/>
      <c r="E52" s="114"/>
      <c r="F52" s="114"/>
      <c r="G52" s="114"/>
      <c r="H52" s="114"/>
      <c r="I52" s="114"/>
      <c r="J52" s="114"/>
      <c r="K52" s="114"/>
      <c r="L52" s="114"/>
      <c r="M52" s="114"/>
      <c r="N52" s="114"/>
      <c r="O52" s="114"/>
      <c r="P52" s="114"/>
      <c r="Q52" s="143"/>
      <c r="R52" s="145"/>
      <c r="S52" s="145"/>
      <c r="T52" s="145"/>
      <c r="U52" s="145"/>
      <c r="V52" s="145"/>
      <c r="W52" s="145"/>
      <c r="X52" s="145"/>
    </row>
    <row r="53" spans="1:26" s="12" customFormat="1">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row>
    <row r="54" spans="1:26" s="12" customFormat="1">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row>
    <row r="55" spans="1:26" s="12" customFormat="1">
      <c r="A55" s="114"/>
      <c r="B55" s="114"/>
      <c r="C55" s="114"/>
      <c r="D55" s="114"/>
      <c r="E55" s="114"/>
      <c r="F55" s="114"/>
      <c r="G55" s="114"/>
      <c r="H55" s="114"/>
      <c r="I55" s="114"/>
      <c r="J55" s="114"/>
      <c r="K55" s="114"/>
      <c r="L55" s="114"/>
      <c r="M55" s="114"/>
      <c r="N55" s="114"/>
      <c r="O55" s="114"/>
      <c r="P55" s="114"/>
      <c r="Q55" s="114"/>
      <c r="R55" s="114"/>
      <c r="S55" s="114"/>
      <c r="T55" s="114"/>
      <c r="U55" s="114"/>
      <c r="V55" s="114"/>
      <c r="W55" s="114"/>
    </row>
    <row r="56" spans="1:26" s="12" customFormat="1">
      <c r="A56" s="114"/>
      <c r="B56" s="114"/>
      <c r="C56" s="114"/>
      <c r="D56" s="114"/>
      <c r="E56" s="114"/>
      <c r="F56" s="114"/>
      <c r="G56" s="114"/>
      <c r="H56" s="114"/>
      <c r="I56" s="114"/>
      <c r="J56" s="114"/>
      <c r="K56" s="114"/>
      <c r="L56" s="114"/>
      <c r="M56" s="114"/>
      <c r="N56" s="114"/>
      <c r="O56" s="114"/>
      <c r="P56" s="114"/>
      <c r="Q56" s="114"/>
      <c r="R56" s="114"/>
      <c r="S56" s="114"/>
      <c r="T56" s="114"/>
      <c r="U56" s="114"/>
      <c r="V56" s="114"/>
      <c r="W56" s="114"/>
    </row>
    <row r="57" spans="1:26" s="12" customFormat="1">
      <c r="A57" s="114"/>
      <c r="B57" s="114"/>
      <c r="C57" s="114"/>
      <c r="D57" s="114"/>
      <c r="E57" s="114"/>
      <c r="F57" s="114"/>
      <c r="G57" s="114"/>
      <c r="H57" s="114"/>
      <c r="I57" s="114"/>
      <c r="J57" s="114"/>
      <c r="K57" s="114"/>
      <c r="L57" s="114"/>
      <c r="M57" s="114"/>
      <c r="N57" s="114"/>
      <c r="O57" s="114"/>
      <c r="P57" s="114"/>
      <c r="Q57" s="114"/>
      <c r="R57" s="114"/>
      <c r="S57" s="114"/>
      <c r="T57" s="114"/>
      <c r="U57" s="114"/>
      <c r="V57" s="114"/>
      <c r="W57" s="114"/>
    </row>
    <row r="58" spans="1:26" s="12" customFormat="1">
      <c r="A58" s="114"/>
      <c r="B58" s="114"/>
      <c r="C58" s="114"/>
      <c r="D58" s="114"/>
      <c r="E58" s="114"/>
      <c r="F58" s="114"/>
      <c r="G58" s="114"/>
      <c r="H58" s="114"/>
      <c r="I58" s="114"/>
      <c r="J58" s="114"/>
      <c r="K58" s="114"/>
      <c r="L58" s="114"/>
      <c r="M58" s="114"/>
      <c r="N58" s="114"/>
      <c r="O58" s="114"/>
      <c r="P58" s="114"/>
      <c r="Q58" s="114"/>
      <c r="R58" s="114"/>
      <c r="S58" s="114"/>
      <c r="T58" s="114"/>
      <c r="U58" s="114"/>
      <c r="V58" s="114"/>
      <c r="W58" s="114"/>
    </row>
    <row r="59" spans="1:26" s="12" customFormat="1" ht="9" customHeight="1">
      <c r="A59" s="114"/>
      <c r="B59" s="114"/>
      <c r="C59" s="114"/>
      <c r="D59" s="114"/>
      <c r="E59" s="114"/>
      <c r="F59" s="114"/>
      <c r="G59" s="114"/>
      <c r="H59" s="114"/>
      <c r="I59" s="114"/>
      <c r="J59" s="114"/>
      <c r="K59" s="114"/>
      <c r="L59" s="114"/>
      <c r="M59" s="114"/>
      <c r="N59" s="114"/>
      <c r="O59" s="114"/>
      <c r="P59" s="114"/>
      <c r="Q59" s="114"/>
      <c r="R59" s="114"/>
      <c r="S59" s="114"/>
      <c r="T59" s="114"/>
      <c r="U59" s="114"/>
      <c r="V59" s="114"/>
      <c r="W59" s="114"/>
    </row>
    <row r="60" spans="1:26" s="12" customFormat="1">
      <c r="A60" s="114"/>
      <c r="B60" s="114"/>
      <c r="C60" s="114"/>
      <c r="D60" s="114"/>
      <c r="E60" s="114"/>
      <c r="F60" s="114"/>
      <c r="G60" s="114"/>
      <c r="H60" s="114"/>
      <c r="I60" s="114"/>
      <c r="J60" s="114"/>
      <c r="K60" s="114"/>
      <c r="L60" s="114"/>
      <c r="M60" s="114"/>
      <c r="N60" s="114"/>
      <c r="O60" s="114"/>
      <c r="P60" s="114"/>
      <c r="Q60" s="114"/>
      <c r="R60" s="114"/>
      <c r="S60" s="114"/>
      <c r="T60" s="114"/>
      <c r="U60" s="114"/>
      <c r="V60" s="114"/>
      <c r="W60" s="114"/>
    </row>
    <row r="61" spans="1:26" s="12" customFormat="1">
      <c r="A61" s="114"/>
      <c r="B61" s="114"/>
      <c r="C61" s="114"/>
      <c r="D61" s="114"/>
      <c r="E61" s="114"/>
      <c r="F61" s="114"/>
      <c r="G61" s="114"/>
      <c r="H61" s="114"/>
      <c r="I61" s="114"/>
      <c r="J61" s="114"/>
      <c r="K61" s="114"/>
      <c r="L61" s="114"/>
      <c r="M61" s="114"/>
      <c r="N61" s="114"/>
      <c r="O61" s="114"/>
      <c r="P61" s="114"/>
      <c r="Q61" s="114"/>
      <c r="R61" s="114"/>
      <c r="S61" s="114"/>
      <c r="T61" s="114"/>
      <c r="U61" s="114"/>
      <c r="V61" s="114"/>
      <c r="W61" s="114"/>
    </row>
    <row r="62" spans="1:26" s="12" customFormat="1">
      <c r="A62" s="114"/>
      <c r="B62" s="114"/>
      <c r="C62" s="114"/>
      <c r="D62" s="114"/>
      <c r="E62" s="114"/>
      <c r="F62" s="114"/>
      <c r="G62" s="114"/>
      <c r="H62" s="114"/>
      <c r="I62" s="114"/>
      <c r="J62" s="114"/>
      <c r="K62" s="114"/>
      <c r="L62" s="114"/>
      <c r="M62" s="114"/>
      <c r="N62" s="114"/>
      <c r="O62" s="114"/>
      <c r="P62" s="114"/>
      <c r="Q62" s="114"/>
      <c r="R62" s="114"/>
      <c r="S62" s="114"/>
      <c r="T62" s="114"/>
      <c r="U62" s="114"/>
      <c r="V62" s="114"/>
      <c r="W62" s="114"/>
    </row>
    <row r="63" spans="1:26" s="12" customFormat="1">
      <c r="A63" s="114"/>
      <c r="B63" s="114"/>
      <c r="C63" s="114"/>
      <c r="D63" s="114"/>
      <c r="E63" s="114"/>
      <c r="F63" s="114"/>
      <c r="G63" s="114"/>
      <c r="H63" s="114"/>
      <c r="I63" s="114"/>
      <c r="J63" s="114"/>
      <c r="K63" s="114"/>
      <c r="L63" s="114"/>
      <c r="M63" s="114"/>
      <c r="N63" s="114"/>
      <c r="O63" s="114"/>
      <c r="P63" s="114"/>
      <c r="Q63" s="114"/>
      <c r="R63" s="114"/>
      <c r="S63" s="114"/>
      <c r="T63" s="114"/>
      <c r="U63" s="114"/>
      <c r="V63" s="114"/>
      <c r="W63" s="114"/>
    </row>
    <row r="64" spans="1:26" s="12" customFormat="1">
      <c r="A64" s="114"/>
      <c r="B64" s="114"/>
      <c r="C64" s="114"/>
      <c r="D64" s="114"/>
      <c r="E64" s="114"/>
      <c r="F64" s="114"/>
      <c r="G64" s="114"/>
      <c r="H64" s="114"/>
      <c r="I64" s="114"/>
      <c r="J64" s="114"/>
      <c r="K64" s="114"/>
      <c r="L64" s="114"/>
      <c r="M64" s="114"/>
      <c r="N64" s="114"/>
      <c r="O64" s="114"/>
      <c r="P64" s="114"/>
      <c r="Q64" s="114"/>
      <c r="R64" s="114"/>
      <c r="S64" s="114"/>
      <c r="T64" s="114"/>
      <c r="U64" s="114"/>
      <c r="V64" s="114"/>
      <c r="W64" s="114"/>
    </row>
    <row r="65" spans="1:23" s="12" customFormat="1">
      <c r="A65" s="114"/>
      <c r="B65" s="114"/>
      <c r="C65" s="114"/>
      <c r="D65" s="114"/>
      <c r="E65" s="114"/>
      <c r="F65" s="114"/>
      <c r="G65" s="114"/>
      <c r="H65" s="114"/>
      <c r="I65" s="114"/>
      <c r="J65" s="114"/>
      <c r="K65" s="114"/>
      <c r="L65" s="114"/>
      <c r="M65" s="114"/>
      <c r="N65" s="114"/>
      <c r="O65" s="114"/>
      <c r="P65" s="114"/>
      <c r="Q65" s="114"/>
      <c r="R65" s="114"/>
      <c r="S65" s="114"/>
      <c r="T65" s="114"/>
      <c r="U65" s="114"/>
      <c r="V65" s="114"/>
      <c r="W65" s="114"/>
    </row>
    <row r="66" spans="1:23" s="12" customFormat="1">
      <c r="A66" s="114"/>
      <c r="B66" s="114"/>
      <c r="C66" s="114"/>
      <c r="D66" s="114"/>
      <c r="E66" s="114"/>
      <c r="F66" s="114"/>
      <c r="G66" s="114"/>
      <c r="H66" s="114"/>
      <c r="I66" s="114"/>
      <c r="J66" s="114"/>
      <c r="K66" s="114"/>
      <c r="L66" s="114"/>
      <c r="M66" s="114"/>
      <c r="N66" s="114"/>
      <c r="O66" s="114"/>
      <c r="P66" s="114"/>
      <c r="Q66" s="114"/>
      <c r="R66" s="114"/>
      <c r="S66" s="114"/>
      <c r="T66" s="114"/>
      <c r="U66" s="114"/>
      <c r="V66" s="114"/>
      <c r="W66" s="114"/>
    </row>
    <row r="67" spans="1:23" s="12" customFormat="1">
      <c r="A67" s="114"/>
      <c r="B67" s="114"/>
      <c r="C67" s="114"/>
      <c r="D67" s="114"/>
      <c r="E67" s="114"/>
      <c r="F67" s="114"/>
      <c r="G67" s="114"/>
      <c r="H67" s="114"/>
      <c r="I67" s="114"/>
      <c r="J67" s="114"/>
      <c r="K67" s="114"/>
      <c r="L67" s="114"/>
      <c r="M67" s="114"/>
      <c r="N67" s="114"/>
      <c r="O67" s="114"/>
      <c r="P67" s="114"/>
      <c r="Q67" s="114"/>
      <c r="R67" s="114"/>
      <c r="S67" s="114"/>
      <c r="T67" s="114"/>
      <c r="U67" s="114"/>
      <c r="V67" s="114"/>
      <c r="W67" s="114"/>
    </row>
    <row r="68" spans="1:23" s="12" customFormat="1">
      <c r="A68" s="114"/>
      <c r="B68" s="114"/>
      <c r="C68" s="114"/>
      <c r="D68" s="114"/>
      <c r="E68" s="114"/>
      <c r="F68" s="114"/>
      <c r="G68" s="114"/>
      <c r="H68" s="114"/>
      <c r="I68" s="114"/>
      <c r="J68" s="114"/>
      <c r="K68" s="114"/>
      <c r="L68" s="114"/>
      <c r="M68" s="114"/>
      <c r="N68" s="114"/>
      <c r="O68" s="114"/>
      <c r="P68" s="114"/>
      <c r="Q68" s="114"/>
      <c r="R68" s="114"/>
      <c r="S68" s="114"/>
      <c r="T68" s="114"/>
      <c r="U68" s="114"/>
      <c r="V68" s="114"/>
      <c r="W68" s="114"/>
    </row>
    <row r="69" spans="1:23" s="12" customFormat="1">
      <c r="A69" s="114"/>
      <c r="B69" s="114"/>
      <c r="C69" s="114"/>
      <c r="D69" s="114"/>
      <c r="E69" s="114"/>
      <c r="F69" s="114"/>
      <c r="G69" s="114"/>
      <c r="H69" s="114"/>
      <c r="I69" s="114"/>
      <c r="J69" s="114"/>
      <c r="K69" s="114"/>
      <c r="L69" s="114"/>
      <c r="M69" s="114"/>
      <c r="N69" s="114"/>
      <c r="O69" s="114"/>
      <c r="P69" s="114"/>
      <c r="Q69" s="114"/>
      <c r="R69" s="114"/>
      <c r="S69" s="114"/>
      <c r="T69" s="114"/>
      <c r="U69" s="114"/>
      <c r="V69" s="114"/>
      <c r="W69" s="114"/>
    </row>
    <row r="70" spans="1:23" s="12" customFormat="1">
      <c r="A70" s="114"/>
      <c r="B70" s="151"/>
      <c r="C70" s="151"/>
      <c r="D70" s="151"/>
      <c r="E70" s="151"/>
      <c r="F70" s="151"/>
      <c r="G70" s="151"/>
      <c r="H70" s="151"/>
      <c r="I70" s="151"/>
      <c r="J70" s="151"/>
      <c r="K70" s="151"/>
      <c r="L70" s="151"/>
      <c r="M70" s="151"/>
      <c r="N70" s="114"/>
      <c r="O70" s="114"/>
      <c r="P70" s="114"/>
      <c r="Q70" s="114"/>
      <c r="R70" s="114"/>
      <c r="S70" s="114"/>
      <c r="T70" s="114"/>
      <c r="U70" s="114"/>
      <c r="V70" s="114"/>
      <c r="W70" s="114"/>
    </row>
    <row r="71" spans="1:23" s="12" customFormat="1">
      <c r="A71" s="114"/>
      <c r="B71" s="122"/>
      <c r="C71" s="122"/>
      <c r="D71" s="122"/>
      <c r="E71" s="122"/>
      <c r="F71" s="122"/>
      <c r="G71" s="122"/>
      <c r="H71" s="122"/>
      <c r="I71" s="122"/>
      <c r="J71" s="122"/>
      <c r="K71" s="122"/>
      <c r="L71" s="122"/>
      <c r="M71" s="122"/>
      <c r="N71" s="122"/>
      <c r="O71" s="114"/>
      <c r="Q71" s="114"/>
      <c r="R71" s="114"/>
      <c r="S71" s="114"/>
      <c r="T71" s="114"/>
      <c r="U71" s="114"/>
      <c r="V71" s="114"/>
      <c r="W71" s="114"/>
    </row>
    <row r="72" spans="1:23" s="12" customFormat="1">
      <c r="A72" s="114"/>
      <c r="B72" s="122"/>
      <c r="C72" s="122"/>
      <c r="D72" s="122"/>
      <c r="E72" s="122"/>
      <c r="F72" s="122"/>
      <c r="G72" s="122"/>
      <c r="H72" s="122"/>
      <c r="I72" s="122"/>
      <c r="J72" s="122"/>
      <c r="K72" s="122"/>
      <c r="L72" s="122"/>
      <c r="M72" s="122"/>
      <c r="N72" s="122"/>
      <c r="O72" s="114"/>
      <c r="Q72" s="114"/>
      <c r="R72" s="114"/>
      <c r="S72" s="114"/>
      <c r="T72" s="114"/>
      <c r="U72" s="114"/>
      <c r="V72" s="114"/>
      <c r="W72" s="114"/>
    </row>
    <row r="73" spans="1:23" s="12" customFormat="1">
      <c r="A73" s="114"/>
      <c r="B73" s="122"/>
      <c r="C73" s="122"/>
      <c r="D73" s="122"/>
      <c r="E73" s="122"/>
      <c r="F73" s="122"/>
      <c r="G73" s="122"/>
      <c r="H73" s="122"/>
      <c r="I73" s="122"/>
      <c r="J73" s="122"/>
      <c r="K73" s="122"/>
      <c r="L73" s="122"/>
      <c r="M73" s="122"/>
      <c r="N73" s="122"/>
      <c r="O73" s="114"/>
      <c r="Q73" s="114"/>
      <c r="R73" s="114"/>
      <c r="S73" s="114"/>
      <c r="T73" s="114"/>
      <c r="U73" s="114"/>
      <c r="V73" s="114"/>
      <c r="W73" s="114"/>
    </row>
    <row r="74" spans="1:23" s="12" customFormat="1">
      <c r="A74" s="114"/>
      <c r="B74" s="122"/>
      <c r="C74" s="122"/>
      <c r="D74" s="122"/>
      <c r="E74" s="122"/>
      <c r="F74" s="122"/>
      <c r="G74" s="122"/>
      <c r="H74" s="122"/>
      <c r="I74" s="122"/>
      <c r="J74" s="122"/>
      <c r="K74" s="122"/>
      <c r="L74" s="122"/>
      <c r="M74" s="122"/>
      <c r="N74" s="122"/>
      <c r="O74" s="114"/>
      <c r="Q74" s="114"/>
      <c r="R74" s="114"/>
      <c r="S74" s="114"/>
      <c r="T74" s="114"/>
      <c r="U74" s="114"/>
      <c r="V74" s="114"/>
      <c r="W74" s="114"/>
    </row>
    <row r="75" spans="1:23" s="12" customFormat="1">
      <c r="A75" s="114"/>
      <c r="B75" s="122"/>
      <c r="C75" s="122"/>
      <c r="D75" s="122"/>
      <c r="E75" s="122"/>
      <c r="F75" s="122"/>
      <c r="G75" s="122"/>
      <c r="H75" s="122"/>
      <c r="I75" s="122"/>
      <c r="J75" s="122"/>
      <c r="K75" s="122"/>
      <c r="L75" s="122"/>
      <c r="M75" s="122"/>
      <c r="N75" s="122"/>
      <c r="O75" s="114"/>
      <c r="Q75" s="114"/>
      <c r="R75" s="114"/>
      <c r="S75" s="114"/>
      <c r="T75" s="114"/>
      <c r="U75" s="114"/>
      <c r="V75" s="114"/>
      <c r="W75" s="114"/>
    </row>
    <row r="76" spans="1:23" s="12" customFormat="1">
      <c r="A76" s="114"/>
      <c r="B76" s="122"/>
      <c r="C76" s="122"/>
      <c r="D76" s="122"/>
      <c r="E76" s="122"/>
      <c r="F76" s="122"/>
      <c r="G76" s="122"/>
      <c r="H76" s="122"/>
      <c r="I76" s="122"/>
      <c r="J76" s="122"/>
      <c r="K76" s="122"/>
      <c r="L76" s="122"/>
      <c r="M76" s="122"/>
      <c r="N76" s="122"/>
      <c r="O76" s="114"/>
      <c r="Q76" s="114"/>
      <c r="R76" s="114"/>
      <c r="S76" s="114"/>
      <c r="T76" s="114"/>
      <c r="U76" s="114"/>
      <c r="V76" s="114"/>
      <c r="W76" s="114"/>
    </row>
    <row r="77" spans="1:23" s="12" customFormat="1">
      <c r="A77" s="114"/>
      <c r="B77" s="114"/>
      <c r="C77" s="114"/>
      <c r="D77" s="114"/>
      <c r="E77" s="114"/>
      <c r="F77" s="114"/>
      <c r="G77" s="114"/>
      <c r="H77" s="114"/>
      <c r="I77" s="114"/>
      <c r="J77" s="114"/>
      <c r="K77" s="114"/>
      <c r="L77" s="114"/>
      <c r="M77" s="114"/>
      <c r="N77" s="114"/>
      <c r="O77" s="114"/>
      <c r="P77" s="114"/>
      <c r="Q77" s="114"/>
      <c r="R77" s="114"/>
      <c r="S77" s="114"/>
      <c r="T77" s="114"/>
      <c r="U77" s="114"/>
      <c r="V77" s="114"/>
      <c r="W77" s="114"/>
    </row>
    <row r="78" spans="1:23" s="12" customFormat="1">
      <c r="A78" s="114"/>
      <c r="B78" s="114"/>
      <c r="C78" s="114"/>
      <c r="D78" s="114"/>
      <c r="E78" s="114"/>
      <c r="F78" s="114"/>
      <c r="G78" s="114"/>
      <c r="H78" s="114"/>
      <c r="I78" s="114"/>
      <c r="J78" s="114"/>
      <c r="K78" s="114"/>
      <c r="L78" s="114"/>
      <c r="M78" s="114"/>
      <c r="N78" s="114"/>
      <c r="O78" s="114"/>
      <c r="P78" s="114"/>
      <c r="Q78" s="114"/>
      <c r="R78" s="114"/>
      <c r="S78" s="114"/>
      <c r="T78" s="114"/>
      <c r="U78" s="114"/>
      <c r="V78" s="114"/>
      <c r="W78" s="114"/>
    </row>
    <row r="79" spans="1:23" s="12" customFormat="1">
      <c r="A79" s="114"/>
      <c r="B79" s="114"/>
      <c r="C79" s="114"/>
      <c r="D79" s="114"/>
      <c r="E79" s="114"/>
      <c r="F79" s="114"/>
      <c r="G79" s="114"/>
      <c r="H79" s="114"/>
      <c r="I79" s="114"/>
      <c r="J79" s="114"/>
      <c r="K79" s="114"/>
      <c r="L79" s="114"/>
      <c r="M79" s="114"/>
      <c r="N79" s="114"/>
      <c r="O79" s="114"/>
      <c r="P79" s="114"/>
      <c r="Q79" s="114"/>
      <c r="R79" s="114"/>
      <c r="S79" s="114"/>
      <c r="T79" s="114"/>
      <c r="U79" s="114"/>
      <c r="V79" s="114"/>
      <c r="W79" s="114"/>
    </row>
    <row r="80" spans="1:23" s="12" customFormat="1">
      <c r="A80" s="114"/>
      <c r="B80" s="114"/>
      <c r="C80" s="114"/>
      <c r="D80" s="114"/>
      <c r="E80" s="114"/>
      <c r="F80" s="114"/>
      <c r="G80" s="114"/>
      <c r="H80" s="114"/>
      <c r="I80" s="114"/>
      <c r="J80" s="114"/>
      <c r="K80" s="114"/>
      <c r="L80" s="114"/>
      <c r="M80" s="114"/>
      <c r="N80" s="114"/>
      <c r="O80" s="114"/>
      <c r="P80" s="114"/>
      <c r="Q80" s="114"/>
      <c r="R80" s="114"/>
      <c r="S80" s="114"/>
      <c r="T80" s="114"/>
      <c r="U80" s="114"/>
      <c r="V80" s="114"/>
      <c r="W80" s="114"/>
    </row>
    <row r="81" spans="1:23" s="12" customFormat="1">
      <c r="A81" s="114"/>
      <c r="B81" s="114"/>
      <c r="C81" s="114"/>
      <c r="D81" s="114"/>
      <c r="E81" s="114"/>
      <c r="F81" s="114"/>
      <c r="G81" s="114"/>
      <c r="H81" s="114"/>
      <c r="I81" s="114"/>
      <c r="J81" s="114"/>
      <c r="K81" s="114"/>
      <c r="L81" s="114"/>
      <c r="M81" s="114"/>
      <c r="N81" s="114"/>
      <c r="O81" s="114"/>
      <c r="P81" s="114"/>
      <c r="Q81" s="114"/>
      <c r="R81" s="114"/>
      <c r="S81" s="114"/>
      <c r="T81" s="114"/>
      <c r="U81" s="114"/>
      <c r="V81" s="114"/>
      <c r="W81" s="114"/>
    </row>
    <row r="82" spans="1:23" s="12" customFormat="1">
      <c r="A82" s="114"/>
      <c r="B82" s="114"/>
      <c r="C82" s="114"/>
      <c r="D82" s="114"/>
      <c r="E82" s="114"/>
      <c r="F82" s="114"/>
      <c r="G82" s="114"/>
      <c r="H82" s="114"/>
      <c r="I82" s="114"/>
      <c r="J82" s="114"/>
      <c r="K82" s="114"/>
      <c r="L82" s="114"/>
      <c r="M82" s="114"/>
      <c r="N82" s="114"/>
      <c r="O82" s="114"/>
      <c r="P82" s="114"/>
      <c r="Q82" s="114"/>
      <c r="R82" s="114"/>
      <c r="S82" s="114"/>
      <c r="T82" s="114"/>
      <c r="U82" s="114"/>
      <c r="V82" s="114"/>
      <c r="W82" s="114"/>
    </row>
    <row r="83" spans="1:23" s="12" customFormat="1">
      <c r="A83" s="114"/>
      <c r="B83" s="114"/>
      <c r="C83" s="114"/>
      <c r="D83" s="114"/>
      <c r="E83" s="114"/>
      <c r="F83" s="114"/>
      <c r="G83" s="114"/>
      <c r="H83" s="114"/>
      <c r="I83" s="114"/>
      <c r="J83" s="114"/>
      <c r="K83" s="114"/>
      <c r="L83" s="114"/>
      <c r="M83" s="114"/>
      <c r="N83" s="114"/>
      <c r="O83" s="114"/>
      <c r="P83" s="114"/>
      <c r="Q83" s="114"/>
      <c r="R83" s="114"/>
      <c r="S83" s="114"/>
      <c r="T83" s="114"/>
      <c r="U83" s="114"/>
      <c r="V83" s="114"/>
      <c r="W83" s="114"/>
    </row>
    <row r="84" spans="1:23" s="12" customFormat="1">
      <c r="A84" s="114"/>
      <c r="B84" s="114"/>
      <c r="C84" s="114"/>
      <c r="D84" s="114"/>
      <c r="E84" s="114"/>
      <c r="F84" s="114"/>
      <c r="G84" s="114"/>
      <c r="H84" s="114"/>
      <c r="I84" s="114"/>
      <c r="J84" s="114"/>
      <c r="K84" s="114"/>
      <c r="L84" s="114"/>
      <c r="M84" s="114"/>
      <c r="N84" s="114"/>
      <c r="O84" s="114"/>
      <c r="P84" s="114"/>
      <c r="Q84" s="114"/>
      <c r="R84" s="114"/>
      <c r="S84" s="114"/>
      <c r="T84" s="114"/>
      <c r="U84" s="114"/>
      <c r="V84" s="114"/>
      <c r="W84" s="114"/>
    </row>
    <row r="85" spans="1:23" s="12" customFormat="1">
      <c r="A85" s="114"/>
      <c r="B85" s="114"/>
      <c r="C85" s="114"/>
      <c r="D85" s="114"/>
      <c r="E85" s="114"/>
      <c r="F85" s="114"/>
      <c r="G85" s="114"/>
      <c r="H85" s="114"/>
      <c r="I85" s="114"/>
      <c r="J85" s="114"/>
      <c r="K85" s="114"/>
      <c r="L85" s="114"/>
      <c r="M85" s="114"/>
      <c r="N85" s="114"/>
      <c r="O85" s="114"/>
      <c r="P85" s="114"/>
      <c r="Q85" s="114"/>
      <c r="R85" s="114"/>
      <c r="S85" s="114"/>
      <c r="T85" s="114"/>
      <c r="U85" s="114"/>
      <c r="V85" s="114"/>
      <c r="W85" s="114"/>
    </row>
    <row r="86" spans="1:23" s="12" customFormat="1">
      <c r="A86" s="114"/>
      <c r="B86" s="114"/>
      <c r="C86" s="114"/>
      <c r="D86" s="114"/>
      <c r="E86" s="114"/>
      <c r="F86" s="114"/>
      <c r="G86" s="114"/>
      <c r="H86" s="114"/>
      <c r="I86" s="114"/>
      <c r="J86" s="114"/>
      <c r="K86" s="114"/>
      <c r="L86" s="114"/>
      <c r="M86" s="114"/>
      <c r="N86" s="114"/>
      <c r="O86" s="114"/>
      <c r="P86" s="114"/>
      <c r="Q86" s="114"/>
      <c r="R86" s="114"/>
      <c r="S86" s="114"/>
      <c r="T86" s="114"/>
      <c r="U86" s="114"/>
      <c r="V86" s="114"/>
      <c r="W86" s="114"/>
    </row>
    <row r="87" spans="1:23" s="12" customFormat="1">
      <c r="A87" s="114"/>
      <c r="B87" s="114"/>
      <c r="C87" s="114"/>
      <c r="D87" s="114"/>
      <c r="E87" s="114"/>
      <c r="F87" s="114"/>
      <c r="G87" s="114"/>
      <c r="H87" s="114"/>
      <c r="I87" s="114"/>
      <c r="J87" s="114"/>
      <c r="K87" s="114"/>
      <c r="L87" s="114"/>
      <c r="M87" s="114"/>
      <c r="N87" s="114"/>
      <c r="O87" s="114"/>
      <c r="P87" s="114"/>
      <c r="Q87" s="114"/>
      <c r="R87" s="114"/>
      <c r="S87" s="114"/>
      <c r="T87" s="114"/>
      <c r="U87" s="114"/>
      <c r="V87" s="114"/>
      <c r="W87" s="114"/>
    </row>
    <row r="88" spans="1:23" s="12" customFormat="1">
      <c r="A88" s="114"/>
      <c r="B88" s="114"/>
      <c r="C88" s="114"/>
      <c r="D88" s="114"/>
      <c r="E88" s="114"/>
      <c r="F88" s="114"/>
      <c r="G88" s="114"/>
      <c r="H88" s="114"/>
      <c r="I88" s="114"/>
      <c r="J88" s="114"/>
      <c r="K88" s="114"/>
      <c r="L88" s="114"/>
      <c r="M88" s="114"/>
      <c r="N88" s="114"/>
      <c r="P88" s="114"/>
      <c r="Q88" s="114"/>
      <c r="R88" s="114"/>
      <c r="S88" s="114"/>
      <c r="T88" s="114"/>
      <c r="U88" s="114"/>
      <c r="V88" s="114"/>
      <c r="W88" s="114"/>
    </row>
    <row r="89" spans="1:23" s="12" customFormat="1">
      <c r="B89" s="114"/>
      <c r="C89" s="114"/>
      <c r="D89" s="114"/>
      <c r="E89" s="114"/>
      <c r="F89" s="114"/>
      <c r="G89" s="114"/>
      <c r="H89" s="114"/>
      <c r="I89" s="114"/>
      <c r="J89" s="114"/>
      <c r="K89" s="114"/>
      <c r="L89" s="114"/>
      <c r="M89" s="114"/>
      <c r="P89" s="114"/>
      <c r="Q89" s="114"/>
      <c r="R89" s="114"/>
      <c r="S89" s="114"/>
      <c r="T89" s="114"/>
      <c r="U89" s="114"/>
      <c r="V89" s="114"/>
      <c r="W89" s="114"/>
    </row>
    <row r="90" spans="1:23" s="12" customFormat="1"/>
    <row r="91" spans="1:23" s="12" customFormat="1"/>
    <row r="92" spans="1:23" s="12" customFormat="1"/>
    <row r="93" spans="1:23" s="12" customFormat="1"/>
    <row r="94" spans="1:23" s="12" customFormat="1"/>
    <row r="95" spans="1:23" s="12" customFormat="1"/>
    <row r="96" spans="1:23" s="12" customFormat="1"/>
    <row r="97" s="12" customFormat="1"/>
    <row r="98" s="12" customFormat="1"/>
    <row r="99" s="12" customFormat="1"/>
    <row r="100" s="12" customFormat="1"/>
    <row r="101" s="12" customFormat="1"/>
    <row r="102" s="12" customFormat="1"/>
    <row r="103" s="12" customFormat="1"/>
    <row r="104" s="12" customFormat="1"/>
    <row r="105" s="12" customFormat="1"/>
    <row r="106" s="12" customFormat="1"/>
    <row r="107" s="12" customFormat="1"/>
    <row r="108" s="12" customFormat="1"/>
    <row r="109" s="12" customFormat="1"/>
    <row r="110" s="12" customFormat="1"/>
    <row r="111" s="12" customFormat="1"/>
    <row r="112" s="12" customFormat="1"/>
    <row r="113" s="12" customFormat="1"/>
    <row r="114" s="12" customFormat="1"/>
    <row r="115" s="12" customFormat="1"/>
    <row r="116" s="12" customFormat="1"/>
    <row r="117" s="12" customFormat="1"/>
    <row r="118" s="12" customFormat="1"/>
    <row r="119" s="12" customFormat="1"/>
    <row r="120" s="12" customFormat="1"/>
    <row r="121" s="12" customFormat="1"/>
    <row r="122" s="12" customFormat="1"/>
    <row r="123" s="12" customFormat="1"/>
    <row r="124" s="12" customFormat="1"/>
    <row r="125" s="12" customFormat="1"/>
    <row r="126" s="12" customFormat="1"/>
    <row r="127" s="12" customFormat="1"/>
    <row r="128" s="12" customFormat="1"/>
    <row r="129" s="12" customFormat="1"/>
    <row r="130" s="12" customFormat="1"/>
    <row r="131" s="12" customFormat="1"/>
    <row r="132" s="12" customFormat="1"/>
    <row r="133" s="12" customFormat="1"/>
    <row r="134" s="12" customFormat="1"/>
    <row r="135" s="12" customFormat="1"/>
    <row r="136" s="12" customFormat="1"/>
    <row r="137" s="12" customFormat="1"/>
    <row r="138" s="12" customFormat="1"/>
    <row r="139" s="12" customFormat="1"/>
    <row r="140" s="12" customFormat="1"/>
    <row r="141" s="12" customFormat="1"/>
    <row r="142" s="12" customFormat="1"/>
    <row r="143" s="12" customFormat="1"/>
    <row r="144" s="12" customFormat="1"/>
    <row r="145" s="12" customFormat="1"/>
    <row r="146" s="12" customFormat="1"/>
    <row r="147" s="12" customFormat="1"/>
    <row r="148" s="12" customFormat="1"/>
    <row r="149" s="12" customFormat="1"/>
    <row r="150" s="12" customFormat="1"/>
    <row r="151" s="12" customFormat="1"/>
    <row r="152" s="12" customFormat="1"/>
    <row r="153" s="12" customFormat="1"/>
    <row r="154" s="12" customFormat="1"/>
    <row r="155" s="12" customFormat="1"/>
    <row r="156" s="12" customFormat="1"/>
    <row r="157" s="12" customFormat="1"/>
    <row r="158" s="12" customFormat="1"/>
    <row r="159" s="12" customFormat="1"/>
    <row r="160" s="12" customFormat="1"/>
    <row r="161" s="12" customFormat="1"/>
    <row r="162" s="12" customFormat="1"/>
    <row r="163" s="12" customFormat="1"/>
    <row r="164" s="12" customFormat="1"/>
    <row r="165" s="12" customFormat="1"/>
    <row r="166" s="12" customFormat="1"/>
    <row r="167" s="12" customFormat="1"/>
    <row r="168" s="12" customFormat="1"/>
    <row r="169" s="12" customFormat="1"/>
    <row r="170" s="12" customFormat="1"/>
    <row r="171" s="12" customFormat="1"/>
    <row r="172" s="12" customFormat="1"/>
    <row r="173" s="12" customFormat="1"/>
    <row r="174" s="12" customFormat="1"/>
    <row r="175" s="12" customFormat="1"/>
    <row r="176" s="12" customFormat="1"/>
    <row r="177" s="12" customFormat="1"/>
    <row r="178" s="12" customFormat="1"/>
    <row r="179" s="12" customFormat="1"/>
    <row r="180" s="12" customFormat="1"/>
    <row r="181" s="12" customFormat="1"/>
    <row r="182" s="12" customFormat="1"/>
    <row r="183" s="12" customFormat="1"/>
    <row r="184" s="12" customFormat="1"/>
    <row r="185" s="12" customFormat="1"/>
    <row r="186" s="12" customFormat="1"/>
    <row r="187" s="12" customFormat="1"/>
    <row r="188" s="12" customFormat="1"/>
    <row r="189" s="12" customFormat="1"/>
    <row r="190" s="12" customFormat="1"/>
    <row r="191" s="12" customFormat="1"/>
    <row r="192" s="12" customFormat="1"/>
    <row r="193" s="12" customFormat="1"/>
    <row r="194" s="12" customFormat="1"/>
    <row r="195" s="12" customFormat="1"/>
    <row r="196" s="12" customFormat="1"/>
    <row r="197" s="12" customFormat="1"/>
    <row r="198" s="12" customFormat="1"/>
    <row r="199" s="12" customFormat="1"/>
    <row r="200" s="12" customFormat="1"/>
    <row r="201" s="12" customFormat="1"/>
    <row r="202" s="12" customFormat="1"/>
    <row r="203" s="12" customFormat="1"/>
    <row r="204" s="12" customFormat="1"/>
    <row r="205" s="12" customFormat="1"/>
    <row r="206" s="12" customFormat="1"/>
    <row r="207" s="12" customFormat="1"/>
    <row r="208" s="12" customFormat="1"/>
    <row r="209" s="12" customFormat="1"/>
    <row r="210" s="12" customFormat="1"/>
    <row r="211" s="12" customFormat="1"/>
    <row r="212" s="12" customFormat="1"/>
    <row r="213" s="12" customFormat="1"/>
    <row r="214" s="12" customFormat="1"/>
    <row r="215" s="12" customFormat="1"/>
    <row r="216" s="12" customFormat="1"/>
    <row r="217" s="12" customFormat="1"/>
    <row r="218" s="12" customFormat="1"/>
    <row r="219" s="12" customFormat="1"/>
    <row r="220" s="12" customFormat="1"/>
    <row r="221" s="12" customFormat="1"/>
    <row r="222" s="12" customFormat="1"/>
    <row r="223" s="12" customFormat="1"/>
    <row r="224" s="12" customFormat="1"/>
    <row r="225" s="12" customFormat="1"/>
    <row r="226" s="12" customFormat="1"/>
    <row r="227" s="12" customFormat="1"/>
    <row r="228" s="12" customFormat="1"/>
    <row r="229" s="12" customFormat="1"/>
    <row r="230" s="12" customFormat="1"/>
    <row r="231" s="12" customFormat="1"/>
    <row r="232" s="12" customFormat="1"/>
    <row r="233" s="12" customFormat="1"/>
    <row r="234" s="12" customFormat="1"/>
    <row r="235" s="12" customFormat="1"/>
    <row r="236" s="12" customFormat="1"/>
    <row r="237" s="12" customFormat="1"/>
    <row r="238" s="12" customFormat="1"/>
    <row r="239" s="12" customFormat="1"/>
    <row r="240" s="12" customFormat="1"/>
    <row r="241" s="12" customFormat="1"/>
    <row r="242" s="12" customFormat="1"/>
    <row r="243" s="12" customFormat="1"/>
    <row r="244" s="12" customFormat="1"/>
    <row r="245" s="12" customFormat="1"/>
    <row r="246" s="12" customFormat="1"/>
    <row r="247" s="12" customFormat="1"/>
    <row r="248" s="12" customFormat="1"/>
    <row r="249" s="12" customFormat="1"/>
    <row r="250" s="12" customFormat="1"/>
    <row r="251" s="12" customFormat="1"/>
    <row r="252" s="12" customFormat="1"/>
    <row r="253" s="12" customFormat="1"/>
    <row r="254" s="12" customFormat="1"/>
    <row r="255" s="12" customFormat="1"/>
    <row r="256" s="12" customFormat="1"/>
    <row r="257" s="12" customFormat="1"/>
    <row r="258" s="12" customFormat="1"/>
    <row r="259" s="12" customFormat="1"/>
    <row r="260" s="12" customFormat="1"/>
    <row r="261" s="12" customFormat="1"/>
    <row r="262" s="12" customFormat="1"/>
    <row r="263" s="12" customFormat="1"/>
    <row r="264" s="12" customFormat="1"/>
    <row r="265" s="12" customFormat="1"/>
    <row r="266" s="12" customFormat="1"/>
    <row r="267" s="12" customFormat="1"/>
    <row r="268" s="12" customFormat="1"/>
    <row r="269" s="12" customFormat="1"/>
    <row r="270" s="12" customFormat="1"/>
    <row r="271" s="12" customFormat="1"/>
    <row r="272" s="12" customFormat="1"/>
    <row r="273" s="12" customFormat="1"/>
    <row r="274" s="12" customFormat="1"/>
    <row r="275" s="12" customFormat="1"/>
    <row r="276" s="12" customFormat="1"/>
    <row r="277" s="12" customFormat="1"/>
    <row r="278" s="12" customFormat="1"/>
    <row r="279" s="12" customFormat="1"/>
    <row r="280" s="12" customFormat="1"/>
    <row r="281" s="12" customFormat="1"/>
    <row r="282" s="12" customFormat="1"/>
    <row r="283" s="12" customFormat="1"/>
    <row r="284" s="12" customFormat="1"/>
    <row r="285" s="12" customFormat="1"/>
    <row r="286" s="12" customFormat="1"/>
    <row r="287" s="12" customFormat="1"/>
    <row r="288" s="12" customFormat="1"/>
    <row r="289" s="12" customFormat="1"/>
    <row r="290" s="12" customFormat="1"/>
    <row r="291" s="12" customFormat="1"/>
    <row r="292" s="12" customFormat="1"/>
    <row r="293" s="12" customFormat="1"/>
    <row r="294" s="12" customFormat="1"/>
    <row r="295" s="12" customFormat="1"/>
    <row r="296" s="12" customFormat="1"/>
    <row r="297" s="12" customFormat="1"/>
    <row r="298" s="12" customFormat="1"/>
    <row r="299" s="12" customFormat="1"/>
    <row r="300" s="12" customFormat="1"/>
    <row r="301" s="12" customFormat="1"/>
    <row r="302" s="12" customFormat="1"/>
    <row r="303" s="12" customFormat="1"/>
    <row r="304" s="12" customFormat="1"/>
    <row r="305" s="12" customFormat="1"/>
    <row r="306" s="12" customFormat="1"/>
    <row r="307" s="12" customFormat="1"/>
    <row r="308" s="12" customFormat="1"/>
    <row r="309" s="12" customFormat="1"/>
    <row r="310" s="12" customFormat="1"/>
    <row r="311" s="12" customFormat="1"/>
    <row r="312" s="12" customFormat="1"/>
    <row r="313" s="12" customFormat="1"/>
    <row r="314" s="12" customFormat="1"/>
    <row r="315" s="12" customFormat="1"/>
    <row r="316" s="12" customFormat="1"/>
    <row r="317" s="12" customFormat="1"/>
    <row r="318" s="12" customFormat="1"/>
    <row r="319" s="12" customFormat="1"/>
    <row r="320" s="12" customFormat="1"/>
    <row r="321" s="12" customFormat="1"/>
    <row r="322" s="12" customFormat="1"/>
    <row r="323" s="12" customFormat="1"/>
    <row r="324" s="12" customFormat="1"/>
    <row r="325" s="12" customFormat="1"/>
    <row r="326" s="12" customFormat="1"/>
    <row r="327" s="12" customFormat="1"/>
    <row r="328" s="12" customFormat="1"/>
    <row r="329" s="12" customFormat="1"/>
    <row r="330" s="12" customFormat="1"/>
    <row r="331" s="12" customFormat="1"/>
    <row r="332" s="12" customFormat="1"/>
    <row r="333" s="12" customFormat="1"/>
    <row r="334" s="12" customFormat="1"/>
    <row r="335" s="12" customFormat="1"/>
    <row r="336" s="12" customFormat="1"/>
    <row r="337" s="12" customFormat="1"/>
    <row r="338" s="12" customFormat="1"/>
    <row r="339" s="12" customFormat="1"/>
    <row r="340" s="12" customFormat="1"/>
    <row r="341" s="12" customFormat="1"/>
    <row r="342" s="12" customFormat="1"/>
    <row r="343" s="12" customFormat="1"/>
    <row r="344" s="12" customFormat="1"/>
    <row r="345" s="12" customFormat="1"/>
    <row r="346" s="12" customFormat="1"/>
    <row r="347" s="12" customFormat="1"/>
    <row r="348" s="12" customFormat="1"/>
    <row r="349" s="12" customFormat="1"/>
    <row r="350" s="12" customFormat="1"/>
    <row r="351" s="12" customFormat="1"/>
    <row r="352" s="12" customFormat="1"/>
    <row r="353" s="12" customFormat="1"/>
    <row r="354" s="12" customFormat="1"/>
    <row r="355" s="12" customFormat="1"/>
    <row r="356" s="12" customFormat="1"/>
    <row r="357" s="12" customFormat="1"/>
    <row r="358" s="12" customFormat="1"/>
    <row r="359" s="12" customFormat="1"/>
    <row r="360" s="12" customFormat="1"/>
    <row r="361" s="12" customFormat="1"/>
    <row r="362" s="12" customFormat="1"/>
    <row r="363" s="12" customFormat="1"/>
    <row r="364" s="12" customFormat="1"/>
    <row r="365" s="12" customFormat="1"/>
    <row r="366" s="12" customFormat="1"/>
    <row r="367" s="12" customFormat="1"/>
    <row r="368" s="12" customFormat="1"/>
    <row r="369" s="12" customFormat="1"/>
    <row r="370" s="12" customFormat="1"/>
    <row r="371" s="12" customFormat="1"/>
    <row r="372" s="12" customFormat="1"/>
    <row r="373" s="12" customFormat="1"/>
    <row r="374" s="12" customFormat="1"/>
    <row r="375" s="12" customFormat="1"/>
    <row r="376" s="12" customFormat="1"/>
    <row r="377" s="12" customFormat="1"/>
    <row r="378" s="12" customFormat="1"/>
    <row r="379" s="12" customFormat="1"/>
    <row r="380" s="12" customFormat="1"/>
    <row r="381" s="12" customFormat="1"/>
    <row r="382" s="12" customFormat="1"/>
    <row r="383" s="12" customFormat="1"/>
    <row r="384" s="12" customFormat="1"/>
    <row r="385" s="12" customFormat="1"/>
    <row r="386" s="12" customFormat="1"/>
    <row r="387" s="12" customFormat="1"/>
    <row r="388" s="12" customFormat="1"/>
    <row r="389" s="12" customFormat="1"/>
    <row r="390" s="12" customFormat="1"/>
    <row r="391" s="12" customFormat="1"/>
    <row r="392" s="12" customFormat="1"/>
    <row r="393" s="12" customFormat="1"/>
    <row r="394" s="12" customFormat="1"/>
    <row r="395" s="12" customFormat="1"/>
    <row r="396" s="12" customFormat="1"/>
    <row r="397" s="12" customFormat="1"/>
    <row r="398" s="12" customFormat="1"/>
    <row r="399" s="12" customFormat="1"/>
    <row r="400" s="12" customFormat="1"/>
    <row r="401" s="12" customFormat="1"/>
    <row r="402" s="12" customFormat="1"/>
    <row r="403" s="12" customFormat="1"/>
    <row r="404" s="12" customFormat="1"/>
    <row r="405" s="12" customFormat="1"/>
    <row r="406" s="12" customFormat="1"/>
    <row r="407" s="12" customFormat="1"/>
    <row r="408" s="12" customFormat="1"/>
    <row r="409" s="12" customFormat="1"/>
    <row r="410" s="12" customFormat="1"/>
    <row r="411" s="12" customFormat="1"/>
    <row r="412" s="12" customFormat="1"/>
    <row r="413" s="12" customFormat="1"/>
    <row r="414" s="12" customFormat="1"/>
    <row r="415" s="12" customFormat="1"/>
    <row r="416" s="12" customFormat="1"/>
    <row r="417" s="12" customFormat="1"/>
    <row r="418" s="12" customFormat="1"/>
    <row r="419" s="12" customFormat="1"/>
    <row r="420" s="12" customFormat="1"/>
    <row r="421" s="12" customFormat="1"/>
    <row r="422" s="12" customFormat="1"/>
    <row r="423" s="12" customFormat="1"/>
    <row r="424" s="12" customFormat="1"/>
    <row r="425" s="12" customFormat="1"/>
    <row r="426" s="12" customFormat="1"/>
    <row r="427" s="12" customFormat="1"/>
    <row r="428" s="12" customFormat="1"/>
    <row r="429" s="12" customFormat="1"/>
    <row r="430" s="12" customFormat="1"/>
    <row r="431" s="12" customFormat="1"/>
    <row r="432" s="12" customFormat="1"/>
    <row r="433" s="12" customFormat="1"/>
    <row r="434" s="12" customFormat="1"/>
    <row r="435" s="12" customFormat="1"/>
    <row r="436" s="12" customFormat="1"/>
    <row r="437" s="12" customFormat="1"/>
    <row r="438" s="12" customFormat="1"/>
    <row r="439" s="12" customFormat="1"/>
    <row r="440" s="12" customFormat="1"/>
    <row r="441" s="12" customFormat="1"/>
    <row r="442" s="12" customFormat="1"/>
    <row r="443" s="12" customFormat="1"/>
    <row r="444" s="12" customFormat="1"/>
    <row r="445" s="12" customFormat="1"/>
    <row r="446" s="12" customFormat="1"/>
    <row r="447" s="12" customFormat="1"/>
    <row r="448" s="12" customFormat="1"/>
    <row r="449" s="12" customFormat="1"/>
    <row r="450" s="12" customFormat="1"/>
    <row r="451" s="12" customFormat="1"/>
    <row r="452" s="12" customFormat="1"/>
    <row r="453" s="12" customFormat="1"/>
    <row r="454" s="12" customFormat="1"/>
    <row r="455" s="12" customFormat="1"/>
    <row r="456" s="12" customFormat="1"/>
    <row r="457" s="12" customFormat="1"/>
    <row r="458" s="12" customFormat="1"/>
    <row r="459" s="12" customFormat="1"/>
    <row r="460" s="12" customFormat="1"/>
    <row r="461" s="12" customFormat="1"/>
    <row r="462" s="12" customFormat="1"/>
    <row r="463" s="12" customFormat="1"/>
    <row r="464" s="12" customFormat="1"/>
    <row r="465" s="12" customFormat="1"/>
    <row r="466" s="12" customFormat="1"/>
    <row r="467" s="12" customFormat="1"/>
    <row r="468" s="12" customFormat="1"/>
    <row r="469" s="12" customFormat="1"/>
    <row r="470" s="12" customFormat="1"/>
    <row r="471" s="12" customFormat="1"/>
    <row r="472" s="12" customFormat="1"/>
    <row r="473" s="12" customFormat="1"/>
    <row r="474" s="12" customFormat="1"/>
    <row r="475" s="12" customFormat="1"/>
    <row r="476" s="12" customFormat="1"/>
    <row r="477" s="12" customFormat="1"/>
    <row r="478" s="12" customFormat="1"/>
    <row r="479" s="12" customFormat="1"/>
    <row r="480" s="12" customFormat="1"/>
    <row r="481" s="12" customFormat="1"/>
    <row r="482" s="12" customFormat="1"/>
    <row r="483" s="12" customFormat="1"/>
    <row r="484" s="12" customFormat="1"/>
    <row r="485" s="12" customFormat="1"/>
    <row r="486" s="12" customFormat="1"/>
    <row r="487" s="12" customFormat="1"/>
    <row r="488" s="12" customFormat="1"/>
    <row r="489" s="12" customFormat="1"/>
    <row r="490" s="12" customFormat="1"/>
    <row r="491" s="12" customFormat="1"/>
    <row r="492" s="12" customFormat="1"/>
    <row r="493" s="12" customFormat="1"/>
    <row r="494" s="12" customFormat="1"/>
    <row r="495" s="12" customFormat="1"/>
    <row r="496" s="12" customFormat="1"/>
    <row r="497" s="12" customFormat="1"/>
    <row r="498" s="12" customFormat="1"/>
    <row r="499" s="12" customFormat="1"/>
    <row r="500" s="12" customFormat="1"/>
    <row r="501" s="12" customFormat="1"/>
    <row r="502" s="12" customFormat="1"/>
    <row r="503" s="12" customFormat="1"/>
    <row r="504" s="12" customFormat="1"/>
    <row r="505" s="12" customFormat="1"/>
    <row r="506" s="12" customFormat="1"/>
    <row r="507" s="12" customFormat="1"/>
    <row r="508" s="12" customFormat="1"/>
    <row r="509" s="12" customFormat="1"/>
    <row r="510" s="12" customFormat="1"/>
    <row r="511" s="12" customFormat="1"/>
    <row r="512" s="12" customFormat="1"/>
    <row r="513" s="12" customFormat="1"/>
    <row r="514" s="12" customFormat="1"/>
    <row r="515" s="12" customFormat="1"/>
    <row r="516" s="12" customFormat="1"/>
    <row r="517" s="12" customFormat="1"/>
    <row r="518" s="12" customFormat="1"/>
    <row r="519" s="12" customFormat="1"/>
    <row r="520" s="12" customFormat="1"/>
    <row r="521" s="12" customFormat="1"/>
    <row r="522" s="12" customFormat="1"/>
    <row r="523" s="12" customFormat="1"/>
    <row r="524" s="12" customFormat="1"/>
    <row r="525" s="12" customFormat="1"/>
    <row r="526" s="12" customFormat="1"/>
    <row r="527" s="12" customFormat="1"/>
    <row r="528" s="12" customFormat="1"/>
    <row r="529" s="12" customFormat="1"/>
    <row r="530" s="12" customFormat="1"/>
    <row r="531" s="12" customFormat="1"/>
    <row r="532" s="12" customFormat="1"/>
    <row r="533" s="12" customFormat="1"/>
    <row r="534" s="12" customFormat="1"/>
    <row r="535" s="12" customFormat="1"/>
    <row r="536" s="12" customFormat="1"/>
    <row r="537" s="12" customFormat="1"/>
    <row r="538" s="12" customFormat="1"/>
    <row r="539" s="12" customFormat="1"/>
    <row r="540" s="12" customFormat="1"/>
    <row r="541" s="12" customFormat="1"/>
    <row r="542" s="12" customFormat="1"/>
    <row r="543" s="12" customFormat="1"/>
    <row r="544" s="12" customFormat="1"/>
    <row r="545" s="12" customFormat="1"/>
    <row r="546" s="12" customFormat="1"/>
    <row r="547" s="12" customFormat="1"/>
    <row r="548" s="12" customFormat="1"/>
    <row r="549" s="12" customFormat="1"/>
    <row r="550" s="12" customFormat="1"/>
    <row r="551" s="12" customFormat="1"/>
    <row r="552" s="12" customFormat="1"/>
    <row r="553" s="12" customFormat="1"/>
    <row r="554" s="12" customFormat="1"/>
    <row r="555" s="12" customFormat="1"/>
    <row r="556" s="12" customFormat="1"/>
    <row r="557" s="12" customFormat="1"/>
    <row r="558" s="12" customFormat="1"/>
    <row r="559" s="12" customFormat="1"/>
    <row r="560" s="12" customFormat="1"/>
    <row r="561" s="12" customFormat="1"/>
    <row r="562" s="12" customFormat="1"/>
    <row r="563" s="12" customFormat="1"/>
    <row r="564" s="12" customFormat="1"/>
    <row r="565" s="12" customFormat="1"/>
    <row r="566" s="12" customFormat="1"/>
    <row r="567" s="12" customFormat="1"/>
    <row r="568" s="12" customFormat="1"/>
    <row r="569" s="12" customFormat="1"/>
    <row r="570" s="12" customFormat="1"/>
    <row r="571" s="12" customFormat="1"/>
    <row r="572" s="12" customFormat="1"/>
    <row r="573" s="12" customFormat="1"/>
    <row r="574" s="12" customFormat="1"/>
    <row r="575" s="12" customFormat="1"/>
    <row r="576" s="12" customFormat="1"/>
    <row r="577" s="12" customFormat="1"/>
    <row r="578" s="12" customFormat="1"/>
    <row r="579" s="12" customFormat="1"/>
    <row r="580" s="12" customFormat="1"/>
    <row r="581" s="12" customFormat="1"/>
    <row r="582" s="12" customFormat="1"/>
    <row r="583" s="12" customFormat="1"/>
    <row r="584" s="12" customFormat="1"/>
    <row r="585" s="12" customFormat="1"/>
    <row r="586" s="12" customFormat="1"/>
    <row r="587" s="12" customFormat="1"/>
    <row r="588" s="12" customFormat="1"/>
    <row r="589" s="12" customFormat="1"/>
    <row r="590" s="12" customFormat="1"/>
    <row r="591" s="12" customFormat="1"/>
    <row r="592" s="12" customFormat="1"/>
    <row r="593" s="12" customFormat="1"/>
    <row r="594" s="12" customFormat="1"/>
    <row r="595" s="12" customFormat="1"/>
    <row r="596" s="12" customFormat="1"/>
    <row r="597" s="12" customFormat="1"/>
    <row r="598" s="12" customFormat="1"/>
    <row r="599" s="12" customFormat="1"/>
    <row r="600" s="12" customFormat="1"/>
    <row r="601" s="12" customFormat="1"/>
    <row r="602" s="12" customFormat="1"/>
    <row r="603" s="12" customFormat="1"/>
    <row r="604" s="12" customFormat="1"/>
    <row r="605" s="12" customFormat="1"/>
    <row r="606" s="12" customFormat="1"/>
    <row r="607" s="12" customFormat="1"/>
    <row r="608" s="12" customFormat="1"/>
    <row r="609" s="12" customFormat="1"/>
    <row r="610" s="12" customFormat="1"/>
    <row r="611" s="12" customFormat="1"/>
    <row r="612" s="12" customFormat="1"/>
    <row r="613" s="12" customFormat="1"/>
    <row r="614" s="12" customFormat="1"/>
    <row r="615" s="12" customFormat="1"/>
    <row r="616" s="12" customFormat="1"/>
    <row r="617" s="12" customFormat="1"/>
    <row r="618" s="12" customFormat="1"/>
    <row r="619" s="12" customFormat="1"/>
    <row r="620" s="12" customFormat="1"/>
    <row r="621" s="12" customFormat="1"/>
    <row r="622" s="12" customFormat="1"/>
    <row r="623" s="12" customFormat="1"/>
    <row r="624" s="12" customFormat="1"/>
    <row r="625" s="12" customFormat="1"/>
    <row r="626" s="12" customFormat="1"/>
    <row r="627" s="12" customFormat="1"/>
    <row r="628" s="12" customFormat="1"/>
    <row r="629" s="12" customFormat="1"/>
    <row r="630" s="12" customFormat="1"/>
    <row r="631" s="12" customFormat="1"/>
    <row r="632" s="12" customFormat="1"/>
    <row r="633" s="12" customFormat="1"/>
    <row r="634" s="12" customFormat="1"/>
    <row r="635" s="12" customFormat="1"/>
    <row r="636" s="12" customFormat="1"/>
    <row r="637" s="12" customFormat="1"/>
    <row r="638" s="12" customFormat="1"/>
    <row r="639" s="12" customFormat="1"/>
    <row r="640" s="12" customFormat="1"/>
    <row r="641" s="12" customFormat="1"/>
    <row r="642" s="12" customFormat="1"/>
    <row r="643" s="12" customFormat="1"/>
    <row r="644" s="12" customFormat="1"/>
    <row r="645" s="12" customFormat="1"/>
    <row r="646" s="12" customFormat="1"/>
    <row r="647" s="12" customFormat="1"/>
    <row r="648" s="12" customFormat="1"/>
    <row r="649" s="12" customFormat="1"/>
    <row r="650" s="12" customFormat="1"/>
    <row r="651" s="12" customFormat="1"/>
    <row r="652" s="12" customFormat="1"/>
    <row r="653" s="12" customFormat="1"/>
    <row r="654" s="12" customFormat="1"/>
    <row r="655" s="12" customFormat="1"/>
    <row r="656" s="12" customFormat="1"/>
    <row r="657" s="12" customFormat="1"/>
    <row r="658" s="12" customFormat="1"/>
    <row r="659" s="12" customFormat="1"/>
    <row r="660" s="12" customFormat="1"/>
    <row r="661" s="12" customFormat="1"/>
    <row r="662" s="12" customFormat="1"/>
    <row r="663" s="12" customFormat="1"/>
    <row r="664" s="12" customFormat="1"/>
    <row r="665" s="12" customFormat="1"/>
    <row r="666" s="12" customFormat="1"/>
    <row r="667" s="12" customFormat="1"/>
    <row r="668" s="12" customFormat="1"/>
    <row r="669" s="12" customFormat="1"/>
    <row r="670" s="12" customFormat="1"/>
    <row r="671" s="12" customFormat="1"/>
    <row r="672" s="12" customFormat="1"/>
    <row r="673" s="12" customFormat="1"/>
    <row r="674" s="12" customFormat="1"/>
    <row r="675" s="12" customFormat="1"/>
    <row r="676" s="12" customFormat="1"/>
    <row r="677" s="12" customFormat="1"/>
    <row r="678" s="12" customFormat="1"/>
    <row r="679" s="12" customFormat="1"/>
    <row r="680" s="12" customFormat="1"/>
    <row r="681" s="12" customFormat="1"/>
    <row r="682" s="12" customFormat="1"/>
    <row r="683" s="12" customFormat="1"/>
    <row r="684" s="12" customFormat="1"/>
    <row r="685" s="12" customFormat="1"/>
    <row r="686" s="12" customFormat="1"/>
    <row r="687" s="12" customFormat="1"/>
    <row r="688" s="12" customFormat="1"/>
    <row r="689" s="12" customFormat="1"/>
    <row r="690" s="12" customFormat="1"/>
    <row r="691" s="12" customFormat="1"/>
    <row r="692" s="12" customFormat="1"/>
    <row r="693" s="12" customFormat="1"/>
    <row r="694" s="12" customFormat="1"/>
    <row r="695" s="12" customFormat="1"/>
    <row r="696" s="12" customFormat="1"/>
    <row r="697" s="12" customFormat="1"/>
    <row r="698" s="12" customFormat="1"/>
    <row r="699" s="12" customFormat="1"/>
    <row r="700" s="12" customFormat="1"/>
    <row r="701" s="12" customFormat="1"/>
    <row r="702" s="12" customFormat="1"/>
    <row r="703" s="12" customFormat="1"/>
    <row r="704" s="12" customFormat="1"/>
    <row r="705" s="12" customFormat="1"/>
    <row r="706" s="12" customFormat="1"/>
    <row r="707" s="12" customFormat="1"/>
    <row r="708" s="12" customFormat="1"/>
    <row r="709" s="12" customFormat="1"/>
    <row r="710" s="12" customFormat="1"/>
    <row r="711" s="12" customFormat="1"/>
    <row r="712" s="12" customFormat="1"/>
    <row r="713" s="12" customFormat="1"/>
    <row r="714" s="12" customFormat="1"/>
    <row r="715" s="12" customFormat="1"/>
    <row r="716" s="12" customFormat="1"/>
    <row r="717" s="12" customFormat="1"/>
    <row r="718" s="12" customFormat="1"/>
    <row r="719" s="12" customFormat="1"/>
    <row r="720" s="12" customFormat="1"/>
    <row r="721" s="12" customFormat="1"/>
    <row r="722" s="12" customFormat="1"/>
    <row r="723" s="12" customFormat="1"/>
    <row r="724" s="12" customFormat="1"/>
    <row r="725" s="12" customFormat="1"/>
    <row r="726" s="12" customFormat="1"/>
    <row r="727" s="12" customFormat="1"/>
    <row r="728" s="12" customFormat="1"/>
    <row r="729" s="12" customFormat="1"/>
    <row r="730" s="12" customFormat="1"/>
    <row r="731" s="12" customFormat="1"/>
    <row r="732" s="12" customFormat="1"/>
    <row r="733" s="12" customFormat="1"/>
    <row r="734" s="12" customFormat="1"/>
    <row r="735" s="12" customFormat="1"/>
    <row r="736" s="12" customFormat="1"/>
    <row r="737" s="12" customFormat="1"/>
    <row r="738" s="12" customFormat="1"/>
    <row r="739" s="12" customFormat="1"/>
    <row r="740" s="12" customFormat="1"/>
    <row r="741" s="12" customFormat="1"/>
    <row r="742" s="12" customFormat="1"/>
    <row r="743" s="12" customFormat="1"/>
    <row r="744" s="12" customFormat="1"/>
    <row r="745" s="12" customFormat="1"/>
    <row r="746" s="12" customFormat="1"/>
    <row r="747" s="12" customFormat="1"/>
    <row r="748" s="12" customFormat="1"/>
    <row r="749" s="12" customFormat="1"/>
    <row r="750" s="12" customFormat="1"/>
    <row r="751" s="12" customFormat="1"/>
    <row r="752" s="12" customFormat="1"/>
    <row r="753" s="12" customFormat="1"/>
    <row r="754" s="12" customFormat="1"/>
    <row r="755" s="12" customFormat="1"/>
    <row r="756" s="12" customFormat="1"/>
    <row r="757" s="12" customFormat="1"/>
    <row r="758" s="12" customFormat="1"/>
    <row r="759" s="12" customFormat="1"/>
    <row r="760" s="12" customFormat="1"/>
    <row r="761" s="12" customFormat="1"/>
    <row r="762" s="12" customFormat="1"/>
    <row r="763" s="12" customFormat="1"/>
    <row r="764" s="12" customFormat="1"/>
    <row r="765" s="12" customFormat="1"/>
    <row r="766" s="12" customFormat="1"/>
    <row r="767" s="12" customFormat="1"/>
    <row r="768" s="12" customFormat="1"/>
    <row r="769" s="12" customFormat="1"/>
    <row r="770" s="12" customFormat="1"/>
    <row r="771" s="12" customFormat="1"/>
    <row r="772" s="12" customFormat="1"/>
    <row r="773" s="12" customFormat="1"/>
    <row r="774" s="12" customFormat="1"/>
    <row r="775" s="12" customFormat="1"/>
    <row r="776" s="12" customFormat="1"/>
    <row r="777" s="12" customFormat="1"/>
    <row r="778" s="12" customFormat="1"/>
    <row r="779" s="12" customFormat="1"/>
    <row r="780" s="12" customFormat="1"/>
    <row r="781" s="12" customFormat="1"/>
    <row r="782" s="12" customFormat="1"/>
    <row r="783" s="12" customFormat="1"/>
    <row r="784" s="12" customFormat="1"/>
    <row r="785" s="12" customFormat="1"/>
    <row r="786" s="12" customFormat="1"/>
    <row r="787" s="12" customFormat="1"/>
    <row r="788" s="12" customFormat="1"/>
    <row r="789" s="12" customFormat="1"/>
    <row r="790" s="12" customFormat="1"/>
    <row r="791" s="12" customFormat="1"/>
    <row r="792" s="12" customFormat="1"/>
    <row r="793" s="12" customFormat="1"/>
    <row r="794" s="12" customFormat="1"/>
    <row r="795" s="12" customFormat="1"/>
    <row r="796" s="12" customFormat="1"/>
    <row r="797" s="12" customFormat="1"/>
    <row r="798" s="12" customFormat="1"/>
    <row r="799" s="12" customFormat="1"/>
    <row r="800" s="12" customFormat="1"/>
    <row r="801" s="12" customFormat="1"/>
    <row r="802" s="12" customFormat="1"/>
    <row r="803" s="12" customFormat="1"/>
    <row r="804" s="12" customFormat="1"/>
    <row r="805" s="12" customFormat="1"/>
    <row r="806" s="12" customFormat="1"/>
    <row r="807" s="12" customFormat="1"/>
    <row r="808" s="12" customFormat="1"/>
    <row r="809" s="12" customFormat="1"/>
    <row r="810" s="12" customFormat="1"/>
    <row r="811" s="12" customFormat="1"/>
    <row r="812" s="12" customFormat="1"/>
    <row r="813" s="12" customFormat="1"/>
    <row r="814" s="12" customFormat="1"/>
    <row r="815" s="12" customFormat="1"/>
    <row r="816" s="12" customFormat="1"/>
    <row r="817" s="12" customFormat="1"/>
    <row r="818" s="12" customFormat="1"/>
    <row r="819" s="12" customFormat="1"/>
    <row r="820" s="12" customFormat="1"/>
    <row r="821" s="12" customFormat="1"/>
    <row r="822" s="12" customFormat="1"/>
    <row r="823" s="12" customFormat="1"/>
    <row r="824" s="12" customFormat="1"/>
    <row r="825" s="12" customFormat="1"/>
    <row r="826" s="12" customFormat="1"/>
    <row r="827" s="12" customFormat="1"/>
    <row r="828" s="12" customFormat="1"/>
    <row r="829" s="12" customFormat="1"/>
    <row r="830" s="12" customFormat="1"/>
    <row r="831" s="12" customFormat="1"/>
    <row r="832" s="12" customFormat="1"/>
    <row r="833" s="12" customFormat="1"/>
    <row r="834" s="12" customFormat="1"/>
    <row r="835" s="12" customFormat="1"/>
    <row r="836" s="12" customFormat="1"/>
    <row r="837" s="12" customFormat="1"/>
    <row r="838" s="12" customFormat="1"/>
    <row r="839" s="12" customFormat="1"/>
    <row r="840" s="12" customFormat="1"/>
    <row r="841" s="12" customFormat="1"/>
    <row r="842" s="12" customFormat="1"/>
    <row r="843" s="12" customFormat="1"/>
    <row r="844" s="12" customFormat="1"/>
    <row r="845" s="12" customFormat="1"/>
    <row r="846" s="12" customFormat="1"/>
    <row r="847" s="12" customFormat="1"/>
    <row r="848" s="12" customFormat="1"/>
    <row r="849" s="12" customFormat="1"/>
    <row r="850" s="12" customFormat="1"/>
    <row r="851" s="12" customFormat="1"/>
    <row r="852" s="12" customFormat="1"/>
    <row r="853" s="12" customFormat="1"/>
    <row r="854" s="12" customFormat="1"/>
    <row r="855" s="12" customFormat="1"/>
    <row r="856" s="12" customFormat="1"/>
    <row r="857" s="12" customFormat="1"/>
    <row r="858" s="12" customFormat="1"/>
    <row r="859" s="12" customFormat="1"/>
    <row r="860" s="12" customFormat="1"/>
    <row r="861" s="12" customFormat="1"/>
    <row r="862" s="12" customFormat="1"/>
    <row r="863" s="12" customFormat="1"/>
    <row r="864" s="12" customFormat="1"/>
    <row r="865" s="12" customFormat="1"/>
    <row r="866" s="12" customFormat="1"/>
    <row r="867" s="12" customFormat="1"/>
    <row r="868" s="12" customFormat="1"/>
    <row r="869" s="12" customFormat="1"/>
    <row r="870" s="12" customFormat="1"/>
    <row r="871" s="12" customFormat="1"/>
    <row r="872" s="12" customFormat="1"/>
    <row r="873" s="12" customFormat="1"/>
    <row r="874" s="12" customFormat="1"/>
    <row r="875" s="12" customFormat="1"/>
    <row r="876" s="12" customFormat="1"/>
    <row r="877" s="12" customFormat="1"/>
    <row r="878" s="12" customFormat="1"/>
    <row r="879" s="12" customFormat="1"/>
    <row r="880" s="12" customFormat="1"/>
    <row r="881" s="12" customFormat="1"/>
    <row r="882" s="12" customFormat="1"/>
    <row r="883" s="12" customFormat="1"/>
    <row r="884" s="12" customFormat="1"/>
    <row r="885" s="12" customFormat="1"/>
    <row r="886" s="12" customFormat="1"/>
    <row r="887" s="12" customFormat="1"/>
    <row r="888" s="12" customFormat="1"/>
    <row r="889" s="12" customFormat="1"/>
    <row r="890" s="12" customFormat="1"/>
    <row r="891" s="12" customFormat="1"/>
    <row r="892" s="12" customFormat="1"/>
    <row r="893" s="12" customFormat="1"/>
    <row r="894" s="12" customFormat="1"/>
    <row r="895" s="12" customFormat="1"/>
    <row r="896" s="12" customFormat="1"/>
    <row r="897" s="12" customFormat="1"/>
    <row r="898" s="12" customFormat="1"/>
    <row r="899" s="12" customFormat="1"/>
    <row r="900" s="12" customFormat="1"/>
    <row r="901" s="12" customFormat="1"/>
    <row r="902" s="12" customFormat="1"/>
    <row r="903" s="12" customFormat="1"/>
    <row r="904" s="12" customFormat="1"/>
    <row r="905" s="12" customFormat="1"/>
    <row r="906" s="12" customFormat="1"/>
    <row r="907" s="12" customFormat="1"/>
    <row r="908" s="12" customFormat="1"/>
    <row r="909" s="12" customFormat="1"/>
    <row r="910" s="12" customFormat="1"/>
    <row r="911" s="12" customFormat="1"/>
    <row r="912" s="12" customFormat="1"/>
    <row r="913" s="12" customFormat="1"/>
    <row r="914" s="12" customFormat="1"/>
    <row r="915" s="12" customFormat="1"/>
    <row r="916" s="12" customFormat="1"/>
    <row r="917" s="12" customFormat="1"/>
    <row r="918" s="12" customFormat="1"/>
    <row r="919" s="12" customFormat="1"/>
    <row r="920" s="12" customFormat="1"/>
    <row r="921" s="12" customFormat="1"/>
    <row r="922" s="12" customFormat="1"/>
    <row r="923" s="12" customFormat="1"/>
    <row r="924" s="12" customFormat="1"/>
    <row r="925" s="12" customFormat="1"/>
    <row r="926" s="12" customFormat="1"/>
    <row r="927" s="12" customFormat="1"/>
    <row r="928" s="12" customFormat="1"/>
    <row r="929" s="12" customFormat="1"/>
    <row r="930" s="12" customFormat="1"/>
    <row r="931" s="12" customFormat="1"/>
    <row r="932" s="12" customFormat="1"/>
    <row r="933" s="12" customFormat="1"/>
    <row r="934" s="12" customFormat="1"/>
    <row r="935" s="12" customFormat="1"/>
    <row r="936" s="12" customFormat="1"/>
    <row r="937" s="12" customFormat="1"/>
    <row r="938" s="12" customFormat="1"/>
    <row r="939" s="12" customFormat="1"/>
    <row r="940" s="12" customFormat="1"/>
    <row r="941" s="12" customFormat="1"/>
    <row r="942" s="12" customFormat="1"/>
    <row r="943" s="12" customFormat="1"/>
    <row r="944" s="12" customFormat="1"/>
    <row r="945" s="12" customFormat="1"/>
    <row r="946" s="12" customFormat="1"/>
    <row r="947" s="12" customFormat="1"/>
    <row r="948" s="12" customFormat="1"/>
    <row r="949" s="12" customFormat="1"/>
    <row r="950" s="12" customFormat="1"/>
    <row r="951" s="12" customFormat="1"/>
    <row r="952" s="12" customFormat="1"/>
    <row r="953" s="12" customFormat="1"/>
    <row r="954" s="12" customFormat="1"/>
    <row r="955" s="12" customFormat="1"/>
    <row r="956" s="12" customFormat="1"/>
    <row r="957" s="12" customFormat="1"/>
    <row r="958" s="12" customFormat="1"/>
    <row r="959" s="12" customFormat="1"/>
    <row r="960" s="12" customFormat="1"/>
    <row r="961" s="12" customFormat="1"/>
    <row r="962" s="12" customFormat="1"/>
    <row r="963" s="12" customFormat="1"/>
    <row r="964" s="12" customFormat="1"/>
    <row r="965" s="12" customFormat="1"/>
    <row r="966" s="12" customFormat="1"/>
    <row r="967" s="12" customFormat="1"/>
    <row r="968" s="12" customFormat="1"/>
    <row r="969" s="12" customFormat="1"/>
    <row r="970" s="12" customFormat="1"/>
    <row r="971" s="12" customFormat="1"/>
    <row r="972" s="12" customFormat="1"/>
    <row r="973" s="12" customFormat="1"/>
    <row r="974" s="12" customFormat="1"/>
    <row r="975" s="12" customFormat="1"/>
    <row r="976" s="12" customFormat="1"/>
    <row r="977" s="12" customFormat="1"/>
    <row r="978" s="12" customFormat="1"/>
    <row r="979" s="12" customFormat="1"/>
    <row r="980" s="12" customFormat="1"/>
    <row r="981" s="12" customFormat="1"/>
    <row r="982" s="12" customFormat="1"/>
    <row r="983" s="12" customFormat="1"/>
    <row r="984" s="12" customFormat="1"/>
    <row r="985" s="12" customFormat="1"/>
    <row r="986" s="12" customFormat="1"/>
    <row r="987" s="12" customFormat="1"/>
    <row r="988" s="12" customFormat="1"/>
    <row r="989" s="12" customFormat="1"/>
    <row r="990" s="12" customFormat="1"/>
    <row r="991" s="12" customFormat="1"/>
    <row r="992" s="12" customFormat="1"/>
    <row r="993" s="12" customFormat="1"/>
    <row r="994" s="12" customFormat="1"/>
    <row r="995" s="12" customFormat="1"/>
    <row r="996" s="12" customFormat="1"/>
    <row r="997" s="12" customFormat="1"/>
    <row r="998" s="12" customFormat="1"/>
    <row r="999" s="12" customFormat="1"/>
    <row r="1000" s="12" customFormat="1"/>
    <row r="1001" s="12" customFormat="1"/>
    <row r="1002" s="12" customFormat="1"/>
    <row r="1003" s="12" customFormat="1"/>
    <row r="1004" s="12" customFormat="1"/>
    <row r="1005" s="12" customFormat="1"/>
    <row r="1006" s="12" customFormat="1"/>
    <row r="1007" s="12" customFormat="1"/>
    <row r="1008" s="12" customFormat="1"/>
    <row r="1009" s="12" customFormat="1"/>
    <row r="1010" s="12" customFormat="1"/>
    <row r="1011" s="12" customFormat="1"/>
    <row r="1012" s="12" customFormat="1"/>
    <row r="1013" s="12" customFormat="1"/>
    <row r="1014" s="12" customFormat="1"/>
    <row r="1015" s="12" customFormat="1"/>
    <row r="1016" s="12" customFormat="1"/>
    <row r="1017" s="12" customFormat="1"/>
    <row r="1018" s="12" customFormat="1"/>
    <row r="1019" s="12" customFormat="1"/>
    <row r="1020" s="12" customFormat="1"/>
    <row r="1021" s="12" customFormat="1"/>
    <row r="1022" s="12" customFormat="1"/>
    <row r="1023" s="12" customFormat="1"/>
    <row r="1024" s="12" customFormat="1"/>
    <row r="1025" s="12" customFormat="1"/>
    <row r="1026" s="12" customFormat="1"/>
    <row r="1027" s="12" customFormat="1"/>
    <row r="1028" s="12" customFormat="1"/>
    <row r="1029" s="12" customFormat="1"/>
    <row r="1030" s="12" customFormat="1"/>
    <row r="1031" s="12" customFormat="1"/>
    <row r="1032" s="12" customFormat="1"/>
    <row r="1033" s="12" customFormat="1"/>
    <row r="1034" s="12" customFormat="1"/>
    <row r="1035" s="12" customFormat="1"/>
    <row r="1036" s="12" customFormat="1"/>
    <row r="1037" s="12" customFormat="1"/>
    <row r="1038" s="12" customFormat="1"/>
    <row r="1039" s="12" customFormat="1"/>
    <row r="1040" s="12" customFormat="1"/>
    <row r="1041" s="12" customFormat="1"/>
    <row r="1042" s="12" customFormat="1"/>
    <row r="1043" s="12" customFormat="1"/>
    <row r="1044" s="12" customFormat="1"/>
    <row r="1045" s="12" customFormat="1"/>
    <row r="1046" s="12" customFormat="1"/>
    <row r="1047" s="12" customFormat="1"/>
    <row r="1048" s="12" customFormat="1"/>
    <row r="1049" s="12" customFormat="1"/>
    <row r="1050" s="12" customFormat="1"/>
    <row r="1051" s="12" customFormat="1"/>
    <row r="1052" s="12" customFormat="1"/>
    <row r="1053" s="12" customFormat="1"/>
    <row r="1054" s="12" customFormat="1"/>
    <row r="1055" s="12" customFormat="1"/>
    <row r="1056" s="12" customFormat="1"/>
    <row r="1057" s="12" customFormat="1"/>
    <row r="1058" s="12" customFormat="1"/>
    <row r="1059" s="12" customFormat="1"/>
    <row r="1060" s="12" customFormat="1"/>
    <row r="1061" s="12" customFormat="1"/>
    <row r="1062" s="12" customFormat="1"/>
    <row r="1063" s="12" customFormat="1"/>
    <row r="1064" s="12" customFormat="1"/>
    <row r="1065" s="12" customFormat="1"/>
    <row r="1066" s="12" customFormat="1"/>
    <row r="1067" s="12" customFormat="1"/>
    <row r="1068" s="12" customFormat="1"/>
    <row r="1069" s="12" customFormat="1"/>
    <row r="1070" s="12" customFormat="1"/>
    <row r="1071" s="12" customFormat="1"/>
    <row r="1072" s="12" customFormat="1"/>
    <row r="1073" s="12" customFormat="1"/>
    <row r="1074" s="12" customFormat="1"/>
    <row r="1075" s="12" customFormat="1"/>
    <row r="1076" s="12" customFormat="1"/>
    <row r="1077" s="12" customFormat="1"/>
    <row r="1078" s="12" customFormat="1"/>
    <row r="1079" s="12" customFormat="1"/>
    <row r="1080" s="12" customFormat="1"/>
    <row r="1081" s="12" customFormat="1"/>
    <row r="1082" s="12" customFormat="1"/>
    <row r="1083" s="12" customFormat="1"/>
    <row r="1084" s="12" customFormat="1"/>
    <row r="1085" s="12" customFormat="1"/>
    <row r="1086" s="12" customFormat="1"/>
    <row r="1087" s="12" customFormat="1"/>
    <row r="1088" s="12" customFormat="1"/>
    <row r="1089" s="12" customFormat="1"/>
    <row r="1090" s="12" customFormat="1"/>
    <row r="1091" s="12" customFormat="1"/>
    <row r="1092" s="12" customFormat="1"/>
    <row r="1093" s="12" customFormat="1"/>
    <row r="1094" s="12" customFormat="1"/>
    <row r="1095" s="12" customFormat="1"/>
    <row r="1096" s="12" customFormat="1"/>
    <row r="1097" s="12" customFormat="1"/>
    <row r="1098" s="12" customFormat="1"/>
    <row r="1099" s="12" customFormat="1"/>
    <row r="1100" s="12" customFormat="1"/>
    <row r="1101" s="12" customFormat="1"/>
    <row r="1102" s="12" customFormat="1"/>
    <row r="1103" s="12" customFormat="1"/>
    <row r="1104" s="12" customFormat="1"/>
    <row r="1105" s="12" customFormat="1"/>
    <row r="1106" s="12" customFormat="1"/>
    <row r="1107" s="12" customFormat="1"/>
    <row r="1108" s="12" customFormat="1"/>
    <row r="1109" s="12" customFormat="1"/>
    <row r="1110" s="12" customFormat="1"/>
    <row r="1111" s="12" customFormat="1"/>
    <row r="1112" s="12" customFormat="1"/>
    <row r="1113" s="12" customFormat="1"/>
    <row r="1114" s="12" customFormat="1"/>
    <row r="1115" s="12" customFormat="1"/>
    <row r="1116" s="12" customFormat="1"/>
    <row r="1117" s="12" customFormat="1"/>
    <row r="1118" s="12" customFormat="1"/>
    <row r="1119" s="12" customFormat="1"/>
    <row r="1120" s="12" customFormat="1"/>
    <row r="1121" s="12" customFormat="1"/>
    <row r="1122" s="12" customFormat="1"/>
    <row r="1123" s="12" customFormat="1"/>
    <row r="1124" s="12" customFormat="1"/>
    <row r="1125" s="12" customFormat="1"/>
    <row r="1126" s="12" customFormat="1"/>
    <row r="1127" s="12" customFormat="1"/>
    <row r="1128" s="12" customFormat="1"/>
    <row r="1129" s="12" customFormat="1"/>
    <row r="1130" s="12" customFormat="1"/>
    <row r="1131" s="12" customFormat="1"/>
    <row r="1132" s="12" customFormat="1"/>
    <row r="1133" s="12" customFormat="1"/>
    <row r="1134" s="12" customFormat="1"/>
    <row r="1135" s="12" customFormat="1"/>
    <row r="1136" s="12" customFormat="1"/>
    <row r="1137" s="12" customFormat="1"/>
    <row r="1138" s="12" customFormat="1"/>
    <row r="1139" s="12" customFormat="1"/>
    <row r="1140" s="12" customFormat="1"/>
    <row r="1141" s="12" customFormat="1"/>
    <row r="1142" s="12" customFormat="1"/>
    <row r="1143" s="12" customFormat="1"/>
    <row r="1144" s="12" customFormat="1"/>
    <row r="1145" s="12" customFormat="1"/>
    <row r="1146" s="12" customFormat="1"/>
    <row r="1147" s="12" customFormat="1"/>
    <row r="1148" s="12" customFormat="1"/>
    <row r="1149" s="12" customFormat="1"/>
    <row r="1150" s="12" customFormat="1"/>
    <row r="1151" s="12" customFormat="1"/>
    <row r="1152" s="12" customFormat="1"/>
    <row r="1153" s="12" customFormat="1"/>
    <row r="1154" s="12" customFormat="1"/>
    <row r="1155" s="12" customFormat="1"/>
    <row r="1156" s="12" customFormat="1"/>
    <row r="1157" s="12" customFormat="1"/>
    <row r="1158" s="12" customFormat="1"/>
    <row r="1159" s="12" customFormat="1"/>
    <row r="1160" s="12" customFormat="1"/>
    <row r="1161" s="12" customFormat="1"/>
    <row r="1162" s="12" customFormat="1"/>
    <row r="1163" s="12" customFormat="1"/>
    <row r="1164" s="12" customFormat="1"/>
    <row r="1165" s="12" customFormat="1"/>
    <row r="1166" s="12" customFormat="1"/>
    <row r="1167" s="12" customFormat="1"/>
    <row r="1168" s="12" customFormat="1"/>
    <row r="1169" s="12" customFormat="1"/>
    <row r="1170" s="12" customFormat="1"/>
    <row r="1171" s="12" customFormat="1"/>
    <row r="1172" s="12" customFormat="1"/>
    <row r="1173" s="12" customFormat="1"/>
    <row r="1174" s="12" customFormat="1"/>
    <row r="1175" s="12" customFormat="1"/>
    <row r="1176" s="12" customFormat="1"/>
    <row r="1177" s="12" customFormat="1"/>
    <row r="1178" s="12" customFormat="1"/>
    <row r="1179" s="12" customFormat="1"/>
    <row r="1180" s="12" customFormat="1"/>
    <row r="1181" s="12" customFormat="1"/>
    <row r="1182" s="12" customFormat="1"/>
    <row r="1183" s="12" customFormat="1"/>
    <row r="1184" s="12" customFormat="1"/>
    <row r="1185" s="12" customFormat="1"/>
    <row r="1186" s="12" customFormat="1"/>
    <row r="1187" s="12" customFormat="1"/>
    <row r="1188" s="12" customFormat="1"/>
    <row r="1189" s="12" customFormat="1"/>
    <row r="1190" s="12" customFormat="1"/>
    <row r="1191" s="12" customFormat="1"/>
    <row r="1192" s="12" customFormat="1"/>
    <row r="1193" s="12" customFormat="1"/>
    <row r="1194" s="12" customFormat="1"/>
    <row r="1195" s="12" customFormat="1"/>
    <row r="1196" s="12" customFormat="1"/>
    <row r="1197" s="12" customFormat="1"/>
    <row r="1198" s="12" customFormat="1"/>
    <row r="1199" s="12" customFormat="1"/>
    <row r="1200" s="12" customFormat="1"/>
    <row r="1201" s="12" customFormat="1"/>
    <row r="1202" s="12" customFormat="1"/>
    <row r="1203" s="12" customFormat="1"/>
    <row r="1204" s="12" customFormat="1"/>
    <row r="1205" s="12" customFormat="1"/>
    <row r="1206" s="12" customFormat="1"/>
    <row r="1207" s="12" customFormat="1"/>
    <row r="1208" s="12" customFormat="1"/>
    <row r="1209" s="12" customFormat="1"/>
    <row r="1210" s="12" customFormat="1"/>
    <row r="1211" s="12" customFormat="1"/>
    <row r="1212" s="12" customFormat="1"/>
    <row r="1213" s="12" customFormat="1"/>
    <row r="1214" s="12" customFormat="1"/>
    <row r="1215" s="12" customFormat="1"/>
    <row r="1216" s="12" customFormat="1"/>
    <row r="1217" s="12" customFormat="1"/>
    <row r="1218" s="12" customFormat="1"/>
    <row r="1219" s="12" customFormat="1"/>
    <row r="1220" s="12" customFormat="1"/>
    <row r="1221" s="12" customFormat="1"/>
    <row r="1222" s="12" customFormat="1"/>
    <row r="1223" s="12" customFormat="1"/>
    <row r="1224" s="12" customFormat="1"/>
    <row r="1225" s="12" customFormat="1"/>
    <row r="1226" s="12" customFormat="1"/>
    <row r="1227" s="12" customFormat="1"/>
    <row r="1228" s="12" customFormat="1"/>
    <row r="1229" s="12" customFormat="1"/>
    <row r="1230" s="12" customFormat="1"/>
    <row r="1231" s="12" customFormat="1"/>
    <row r="1232" s="12" customFormat="1"/>
    <row r="1233" s="12" customFormat="1"/>
    <row r="1234" s="12" customFormat="1"/>
    <row r="1235" s="12" customFormat="1"/>
    <row r="1236" s="12" customFormat="1"/>
    <row r="1237" s="12" customFormat="1"/>
    <row r="1238" s="12" customFormat="1"/>
    <row r="1239" s="12" customFormat="1"/>
    <row r="1240" s="12" customFormat="1"/>
    <row r="1241" s="12" customFormat="1"/>
    <row r="1242" s="12" customFormat="1"/>
    <row r="1243" s="12" customFormat="1"/>
    <row r="1244" s="12" customFormat="1"/>
    <row r="1245" s="12" customFormat="1"/>
    <row r="1246" s="12" customFormat="1"/>
    <row r="1247" s="12" customFormat="1"/>
    <row r="1248" s="12" customFormat="1"/>
    <row r="1249" s="12" customFormat="1"/>
    <row r="1250" s="12" customFormat="1"/>
    <row r="1251" s="12" customFormat="1"/>
    <row r="1252" s="12" customFormat="1"/>
    <row r="1253" s="12" customFormat="1"/>
    <row r="1254" s="12" customFormat="1"/>
    <row r="1255" s="12" customFormat="1"/>
    <row r="1256" s="12" customFormat="1"/>
    <row r="1257" s="12" customFormat="1"/>
    <row r="1258" s="12" customFormat="1"/>
    <row r="1259" s="12" customFormat="1"/>
    <row r="1260" s="12" customFormat="1"/>
    <row r="1261" s="12" customFormat="1"/>
    <row r="1262" s="12" customFormat="1"/>
    <row r="1263" s="12" customFormat="1"/>
    <row r="1264" s="12" customFormat="1"/>
    <row r="1265" s="12" customFormat="1"/>
    <row r="1266" s="12" customFormat="1"/>
    <row r="1267" s="12" customFormat="1"/>
    <row r="1268" s="12" customFormat="1"/>
    <row r="1269" s="12" customFormat="1"/>
    <row r="1270" s="12" customFormat="1"/>
    <row r="1271" s="12" customFormat="1"/>
    <row r="1272" s="12" customFormat="1"/>
    <row r="1273" s="12" customFormat="1"/>
    <row r="1274" s="12" customFormat="1"/>
    <row r="1275" s="12" customFormat="1"/>
    <row r="1276" s="12" customFormat="1"/>
    <row r="1277" s="12" customFormat="1"/>
    <row r="1278" s="12" customFormat="1"/>
    <row r="1279" s="12" customFormat="1"/>
    <row r="1280" s="12" customFormat="1"/>
    <row r="1281" s="12" customFormat="1"/>
    <row r="1282" s="12" customFormat="1"/>
    <row r="1283" s="12" customFormat="1"/>
    <row r="1284" s="12" customFormat="1"/>
    <row r="1285" s="12" customFormat="1"/>
    <row r="1286" s="12" customFormat="1"/>
    <row r="1287" s="12" customFormat="1"/>
    <row r="1288" s="12" customFormat="1"/>
    <row r="1289" s="12" customFormat="1"/>
    <row r="1290" s="12" customFormat="1"/>
    <row r="1291" s="12" customFormat="1"/>
    <row r="1292" s="12" customFormat="1"/>
    <row r="1293" s="12" customFormat="1"/>
    <row r="1294" s="12" customFormat="1"/>
    <row r="1295" s="12" customFormat="1"/>
    <row r="1296" s="12" customFormat="1"/>
    <row r="1297" s="12" customFormat="1"/>
    <row r="1298" s="12" customFormat="1"/>
    <row r="1299" s="12" customFormat="1"/>
    <row r="1300" s="12" customFormat="1"/>
    <row r="1301" s="12" customFormat="1"/>
    <row r="1302" s="12" customFormat="1"/>
    <row r="1303" s="12" customFormat="1"/>
    <row r="1304" s="12" customFormat="1"/>
    <row r="1305" s="12" customFormat="1"/>
    <row r="1306" s="12" customFormat="1"/>
    <row r="1307" s="12" customFormat="1"/>
    <row r="1308" s="12" customFormat="1"/>
    <row r="1309" s="12" customFormat="1"/>
    <row r="1310" s="12" customFormat="1"/>
    <row r="1311" s="12" customFormat="1"/>
    <row r="1312" s="12" customFormat="1"/>
    <row r="1313" s="12" customFormat="1"/>
    <row r="1314" s="12" customFormat="1"/>
    <row r="1315" s="12" customFormat="1"/>
    <row r="1316" s="12" customFormat="1"/>
    <row r="1317" s="12" customFormat="1"/>
    <row r="1318" s="12" customFormat="1"/>
    <row r="1319" s="12" customFormat="1"/>
    <row r="1320" s="12" customFormat="1"/>
    <row r="1321" s="12" customFormat="1"/>
    <row r="1322" s="12" customFormat="1"/>
    <row r="1323" s="12" customFormat="1"/>
    <row r="1324" s="12" customFormat="1"/>
    <row r="1325" s="12" customFormat="1"/>
    <row r="1326" s="12" customFormat="1"/>
    <row r="1327" s="12" customFormat="1"/>
    <row r="1328" s="12" customFormat="1"/>
    <row r="1329" s="12" customFormat="1"/>
    <row r="1330" s="12" customFormat="1"/>
    <row r="1331" s="12" customFormat="1"/>
    <row r="1332" s="12" customFormat="1"/>
    <row r="1333" s="12" customFormat="1"/>
    <row r="1334" s="12" customFormat="1"/>
    <row r="1335" s="12" customFormat="1"/>
    <row r="1336" s="12" customFormat="1"/>
    <row r="1337" s="12" customFormat="1"/>
    <row r="1338" s="12" customFormat="1"/>
    <row r="1339" s="12" customFormat="1"/>
    <row r="1340" s="12" customFormat="1"/>
    <row r="1341" s="12" customFormat="1"/>
    <row r="1342" s="12" customFormat="1"/>
    <row r="1343" s="12" customFormat="1"/>
    <row r="1344" s="12" customFormat="1"/>
    <row r="1345" s="12" customFormat="1"/>
    <row r="1346" s="12" customFormat="1"/>
    <row r="1347" s="12" customFormat="1"/>
    <row r="1348" s="12" customFormat="1"/>
    <row r="1349" s="12" customFormat="1"/>
    <row r="1350" s="12" customFormat="1"/>
    <row r="1351" s="12" customFormat="1"/>
    <row r="1352" s="12" customFormat="1"/>
    <row r="1353" s="12" customFormat="1"/>
    <row r="1354" s="12" customFormat="1"/>
    <row r="1355" s="12" customFormat="1"/>
    <row r="1356" s="12" customFormat="1"/>
    <row r="1357" s="12" customFormat="1"/>
    <row r="1358" s="12" customFormat="1"/>
    <row r="1359" s="12" customFormat="1"/>
    <row r="1360" s="12" customFormat="1"/>
    <row r="1361" s="12" customFormat="1"/>
    <row r="1362" s="12" customFormat="1"/>
    <row r="1363" s="12" customFormat="1"/>
    <row r="1364" s="12" customFormat="1"/>
    <row r="1365" s="12" customFormat="1"/>
    <row r="1366" s="12" customFormat="1"/>
    <row r="1367" s="12" customFormat="1"/>
    <row r="1368" s="12" customFormat="1"/>
    <row r="1369" s="12" customFormat="1"/>
    <row r="1370" s="12" customFormat="1"/>
    <row r="1371" s="12" customFormat="1"/>
    <row r="1372" s="12" customFormat="1"/>
    <row r="1373" s="12" customFormat="1"/>
    <row r="1374" s="12" customFormat="1"/>
    <row r="1375" s="12" customFormat="1"/>
    <row r="1376" s="12" customFormat="1"/>
    <row r="1377" s="12" customFormat="1"/>
    <row r="1378" s="12" customFormat="1"/>
    <row r="1379" s="12" customFormat="1"/>
    <row r="1380" s="12" customFormat="1"/>
    <row r="1381" s="12" customFormat="1"/>
    <row r="1382" s="12" customFormat="1"/>
    <row r="1383" s="12" customFormat="1"/>
    <row r="1384" s="12" customFormat="1"/>
    <row r="1385" s="12" customFormat="1"/>
    <row r="1386" s="12" customFormat="1"/>
    <row r="1387" s="12" customFormat="1"/>
    <row r="1388" s="12" customFormat="1"/>
    <row r="1389" s="12" customFormat="1"/>
    <row r="1390" s="12" customFormat="1"/>
    <row r="1391" s="12" customFormat="1"/>
    <row r="1392" s="12" customFormat="1"/>
    <row r="1393" s="12" customFormat="1"/>
    <row r="1394" s="12" customFormat="1"/>
    <row r="1395" s="12" customFormat="1"/>
    <row r="1396" s="12" customFormat="1"/>
    <row r="1397" s="12" customFormat="1"/>
    <row r="1398" s="12" customFormat="1"/>
    <row r="1399" s="12" customFormat="1"/>
    <row r="1400" s="12" customFormat="1"/>
    <row r="1401" s="12" customFormat="1"/>
    <row r="1402" s="12" customFormat="1"/>
    <row r="1403" s="12" customFormat="1"/>
    <row r="1404" s="12" customFormat="1"/>
    <row r="1405" s="12" customFormat="1"/>
    <row r="1406" s="12" customFormat="1"/>
    <row r="1407" s="12" customFormat="1"/>
    <row r="1408" s="12" customFormat="1"/>
    <row r="1409" s="12" customFormat="1"/>
    <row r="1410" s="12" customFormat="1"/>
    <row r="1411" s="12" customFormat="1"/>
    <row r="1412" s="12" customFormat="1"/>
    <row r="1413" s="12" customFormat="1"/>
    <row r="1414" s="12" customFormat="1"/>
    <row r="1415" s="12" customFormat="1"/>
    <row r="1416" s="12" customFormat="1"/>
    <row r="1417" s="12" customFormat="1"/>
    <row r="1418" s="12" customFormat="1"/>
    <row r="1419" s="12" customFormat="1"/>
    <row r="1420" s="12" customFormat="1"/>
    <row r="1421" s="12" customFormat="1"/>
    <row r="1422" s="12" customFormat="1"/>
    <row r="1423" s="12" customFormat="1"/>
    <row r="1424" s="12" customFormat="1"/>
    <row r="1425" s="12" customFormat="1"/>
    <row r="1426" s="12" customFormat="1"/>
    <row r="1427" s="12" customFormat="1"/>
    <row r="1428" s="12" customFormat="1"/>
    <row r="1429" s="12" customFormat="1"/>
    <row r="1430" s="12" customFormat="1"/>
    <row r="1431" s="12" customFormat="1"/>
    <row r="1432" s="12" customFormat="1"/>
    <row r="1433" s="12" customFormat="1"/>
    <row r="1434" s="12" customFormat="1"/>
    <row r="1435" s="12" customFormat="1"/>
    <row r="1436" s="12" customFormat="1"/>
    <row r="1437" s="12" customFormat="1"/>
    <row r="1438" s="12" customFormat="1"/>
    <row r="1439" s="12" customFormat="1"/>
    <row r="1440" s="12" customFormat="1"/>
    <row r="1441" s="12" customFormat="1"/>
    <row r="1442" s="12" customFormat="1"/>
    <row r="1443" s="12" customFormat="1"/>
    <row r="1444" s="12" customFormat="1"/>
    <row r="1445" s="12" customFormat="1"/>
    <row r="1446" s="12" customFormat="1"/>
    <row r="1447" s="12" customFormat="1"/>
    <row r="1448" s="12" customFormat="1"/>
    <row r="1449" s="12" customFormat="1"/>
    <row r="1450" s="12" customFormat="1"/>
    <row r="1451" s="12" customFormat="1"/>
    <row r="1452" s="12" customFormat="1"/>
    <row r="1453" s="12" customFormat="1"/>
    <row r="1454" s="12" customFormat="1"/>
    <row r="1455" s="12" customFormat="1"/>
    <row r="1456" s="12" customFormat="1"/>
    <row r="1457" s="12" customFormat="1"/>
    <row r="1458" s="12" customFormat="1"/>
    <row r="1459" s="12" customFormat="1"/>
    <row r="1460" s="12" customFormat="1"/>
    <row r="1461" s="12" customFormat="1"/>
    <row r="1462" s="12" customFormat="1"/>
    <row r="1463" s="12" customFormat="1"/>
    <row r="1464" s="12" customFormat="1"/>
    <row r="1465" s="12" customFormat="1"/>
    <row r="1466" s="12" customFormat="1"/>
    <row r="1467" s="12" customFormat="1"/>
    <row r="1468" s="12" customFormat="1"/>
    <row r="1469" s="12" customFormat="1"/>
    <row r="1470" s="12" customFormat="1"/>
    <row r="1471" s="12" customFormat="1"/>
    <row r="1472" s="12" customFormat="1"/>
    <row r="1473" s="12" customFormat="1"/>
    <row r="1474" s="12" customFormat="1"/>
    <row r="1475" s="12" customFormat="1"/>
    <row r="1476" s="12" customFormat="1"/>
    <row r="1477" s="12" customFormat="1"/>
    <row r="1478" s="12" customFormat="1"/>
    <row r="1479" s="12" customFormat="1"/>
    <row r="1480" s="12" customFormat="1"/>
    <row r="1481" s="12" customFormat="1"/>
    <row r="1482" s="12" customFormat="1"/>
    <row r="1483" s="12" customFormat="1"/>
    <row r="1484" s="12" customFormat="1"/>
    <row r="1485" s="12" customFormat="1"/>
    <row r="1486" s="12" customFormat="1"/>
    <row r="1487" s="12" customFormat="1"/>
    <row r="1488" s="12" customFormat="1"/>
    <row r="1489" s="12" customFormat="1"/>
    <row r="1490" s="12" customFormat="1"/>
    <row r="1491" s="12" customFormat="1"/>
    <row r="1492" s="12" customFormat="1"/>
    <row r="1493" s="12" customFormat="1"/>
    <row r="1494" s="12" customFormat="1"/>
    <row r="1495" s="12" customFormat="1"/>
    <row r="1496" s="12" customFormat="1"/>
    <row r="1497" s="12" customFormat="1"/>
    <row r="1498" s="12" customFormat="1"/>
    <row r="1499" s="12" customFormat="1"/>
    <row r="1500" s="12" customFormat="1"/>
    <row r="1501" s="12" customFormat="1"/>
    <row r="1502" s="12" customFormat="1"/>
    <row r="1503" s="12" customFormat="1"/>
    <row r="1504" s="12" customFormat="1"/>
    <row r="1505" s="12" customFormat="1"/>
    <row r="1506" s="12" customFormat="1"/>
    <row r="1507" s="12" customFormat="1"/>
    <row r="1508" s="12" customFormat="1"/>
    <row r="1509" s="12" customFormat="1"/>
    <row r="1510" s="12" customFormat="1"/>
    <row r="1511" s="12" customFormat="1"/>
    <row r="1512" s="12" customFormat="1"/>
    <row r="1513" s="12" customFormat="1"/>
    <row r="1514" s="12" customFormat="1"/>
    <row r="1515" s="12" customFormat="1"/>
    <row r="1516" s="12" customFormat="1"/>
    <row r="1517" s="12" customFormat="1"/>
    <row r="1518" s="12" customFormat="1"/>
    <row r="1519" s="12" customFormat="1"/>
    <row r="1520" s="12" customFormat="1"/>
    <row r="1521" s="12" customFormat="1"/>
    <row r="1522" s="12" customFormat="1"/>
    <row r="1523" s="12" customFormat="1"/>
    <row r="1524" s="12" customFormat="1"/>
    <row r="1525" s="12" customFormat="1"/>
    <row r="1526" s="12" customFormat="1"/>
    <row r="1527" s="12" customFormat="1"/>
    <row r="1528" s="12" customFormat="1"/>
    <row r="1529" s="12" customFormat="1"/>
    <row r="1530" s="12" customFormat="1"/>
    <row r="1531" s="12" customFormat="1"/>
    <row r="1532" s="12" customFormat="1"/>
    <row r="1533" s="12" customFormat="1"/>
    <row r="1534" s="12" customFormat="1"/>
    <row r="1535" s="12" customFormat="1"/>
    <row r="1536" s="12" customFormat="1"/>
    <row r="1537" s="12" customFormat="1"/>
    <row r="1538" s="12" customFormat="1"/>
    <row r="1539" s="12" customFormat="1"/>
    <row r="1540" s="12" customFormat="1"/>
    <row r="1541" s="12" customFormat="1"/>
    <row r="1542" s="12" customFormat="1"/>
    <row r="1543" s="12" customFormat="1"/>
    <row r="1544" s="12" customFormat="1"/>
    <row r="1545" s="12" customFormat="1"/>
    <row r="1546" s="12" customFormat="1"/>
    <row r="1547" s="12" customFormat="1"/>
    <row r="1548" s="12" customFormat="1"/>
    <row r="1549" s="12" customFormat="1"/>
    <row r="1550" s="12" customFormat="1"/>
    <row r="1551" s="12" customFormat="1"/>
    <row r="1552" s="12" customFormat="1"/>
    <row r="1553" s="12" customFormat="1"/>
    <row r="1554" s="12" customFormat="1"/>
    <row r="1555" s="12" customFormat="1"/>
    <row r="1556" s="12" customFormat="1"/>
    <row r="1557" s="12" customFormat="1"/>
    <row r="1558" s="12" customFormat="1"/>
    <row r="1559" s="12" customFormat="1"/>
    <row r="1560" s="12" customFormat="1"/>
    <row r="1561" s="12" customFormat="1"/>
    <row r="1562" s="12" customFormat="1"/>
    <row r="1563" s="12" customFormat="1"/>
    <row r="1564" s="12" customFormat="1"/>
    <row r="1565" s="12" customFormat="1"/>
    <row r="1566" s="12" customFormat="1"/>
    <row r="1567" s="12" customFormat="1"/>
    <row r="1568" s="12" customFormat="1"/>
    <row r="1569" s="12" customFormat="1"/>
    <row r="1570" s="12" customFormat="1"/>
    <row r="1571" s="12" customFormat="1"/>
    <row r="1572" s="12" customFormat="1"/>
    <row r="1573" s="12" customFormat="1"/>
    <row r="1574" s="12" customFormat="1"/>
    <row r="1575" s="12" customFormat="1"/>
    <row r="1576" s="12" customFormat="1"/>
    <row r="1577" s="12" customFormat="1"/>
    <row r="1578" s="12" customFormat="1"/>
    <row r="1579" s="12" customFormat="1"/>
    <row r="1580" s="12" customFormat="1"/>
    <row r="1581" s="12" customFormat="1"/>
    <row r="1582" s="12" customFormat="1"/>
    <row r="1583" s="12" customFormat="1"/>
    <row r="1584" s="12" customFormat="1"/>
    <row r="1585" s="12" customFormat="1"/>
    <row r="1586" s="12" customFormat="1"/>
    <row r="1587" s="12" customFormat="1"/>
    <row r="1588" s="12" customFormat="1"/>
    <row r="1589" s="12" customFormat="1"/>
    <row r="1590" s="12" customFormat="1"/>
    <row r="1591" s="12" customFormat="1"/>
    <row r="1592" s="12" customFormat="1"/>
    <row r="1593" s="12" customFormat="1"/>
    <row r="1594" s="12" customFormat="1"/>
    <row r="1595" s="12" customFormat="1"/>
    <row r="1596" s="12" customFormat="1"/>
    <row r="1597" s="12" customFormat="1"/>
    <row r="1598" s="12" customFormat="1"/>
    <row r="1599" s="12" customFormat="1"/>
    <row r="1600" s="12" customFormat="1"/>
    <row r="1601" s="12" customFormat="1"/>
    <row r="1602" s="12" customFormat="1"/>
    <row r="1603" s="12" customFormat="1"/>
    <row r="1604" s="12" customFormat="1"/>
    <row r="1605" s="12" customFormat="1"/>
    <row r="1606" s="12" customFormat="1"/>
    <row r="1607" s="12" customFormat="1"/>
    <row r="1608" s="12" customFormat="1"/>
    <row r="1609" s="12" customFormat="1"/>
    <row r="1610" s="12" customFormat="1"/>
    <row r="1611" s="12" customFormat="1"/>
    <row r="1612" s="12" customFormat="1"/>
    <row r="1613" s="12" customFormat="1"/>
    <row r="1614" s="12" customFormat="1"/>
    <row r="1615" s="12" customFormat="1"/>
    <row r="1616" s="12" customFormat="1"/>
    <row r="1617" s="12" customFormat="1"/>
    <row r="1618" s="12" customFormat="1"/>
    <row r="1619" s="12" customFormat="1"/>
    <row r="1620" s="12" customFormat="1"/>
    <row r="1621" s="12" customFormat="1"/>
    <row r="1622" s="12" customFormat="1"/>
    <row r="1623" s="12" customFormat="1"/>
    <row r="1624" s="12" customFormat="1"/>
    <row r="1625" s="12" customFormat="1"/>
    <row r="1626" s="12" customFormat="1"/>
    <row r="1627" s="12" customFormat="1"/>
    <row r="1628" s="12" customFormat="1"/>
    <row r="1629" s="12" customFormat="1"/>
    <row r="1630" s="12" customFormat="1"/>
    <row r="1631" s="12" customFormat="1"/>
    <row r="1632" s="12" customFormat="1"/>
    <row r="1633" s="12" customFormat="1"/>
    <row r="1634" s="12" customFormat="1"/>
    <row r="1635" s="12" customFormat="1"/>
    <row r="1636" s="12" customFormat="1"/>
    <row r="1637" s="12" customFormat="1"/>
    <row r="1638" s="12" customFormat="1"/>
    <row r="1639" s="12" customFormat="1"/>
    <row r="1640" s="12" customFormat="1"/>
    <row r="1641" s="12" customFormat="1"/>
    <row r="1642" s="12" customFormat="1"/>
    <row r="1643" s="12" customFormat="1"/>
    <row r="1644" s="12" customFormat="1"/>
    <row r="1645" s="12" customFormat="1"/>
    <row r="1646" s="12" customFormat="1"/>
    <row r="1647" s="12" customFormat="1"/>
    <row r="1648" s="12" customFormat="1"/>
    <row r="1649" s="12" customFormat="1"/>
    <row r="1650" s="12" customFormat="1"/>
    <row r="1651" s="12" customFormat="1"/>
    <row r="1652" s="12" customFormat="1"/>
    <row r="1653" s="12" customFormat="1"/>
    <row r="1654" s="12" customFormat="1"/>
    <row r="1655" s="12" customFormat="1"/>
    <row r="1656" s="12" customFormat="1"/>
    <row r="1657" s="12" customFormat="1"/>
    <row r="1658" s="12" customFormat="1"/>
    <row r="1659" s="12" customFormat="1"/>
    <row r="1660" s="12" customFormat="1"/>
    <row r="1661" s="12" customFormat="1"/>
    <row r="1662" s="12" customFormat="1"/>
    <row r="1663" s="12" customFormat="1"/>
    <row r="1664" s="12" customFormat="1"/>
    <row r="1665" s="12" customFormat="1"/>
    <row r="1666" s="12" customFormat="1"/>
    <row r="1667" s="12" customFormat="1"/>
    <row r="1668" s="12" customFormat="1"/>
    <row r="1669" s="12" customFormat="1"/>
    <row r="1670" s="12" customFormat="1"/>
    <row r="1671" s="12" customFormat="1"/>
    <row r="1672" s="12" customFormat="1"/>
    <row r="1673" s="12" customFormat="1"/>
    <row r="1674" s="12" customFormat="1"/>
    <row r="1675" s="12" customFormat="1"/>
    <row r="1676" s="12" customFormat="1"/>
    <row r="1677" s="12" customFormat="1"/>
    <row r="1678" s="12" customFormat="1"/>
    <row r="1679" s="12" customFormat="1"/>
    <row r="1680" s="12" customFormat="1"/>
    <row r="1681" s="12" customFormat="1"/>
    <row r="1682" s="12" customFormat="1"/>
    <row r="1683" s="12" customFormat="1"/>
    <row r="1684" s="12" customFormat="1"/>
    <row r="1685" s="12" customFormat="1"/>
    <row r="1686" s="12" customFormat="1"/>
    <row r="1687" s="12" customFormat="1"/>
    <row r="1688" s="12" customFormat="1"/>
    <row r="1689" s="12" customFormat="1"/>
    <row r="1690" s="12" customFormat="1"/>
    <row r="1691" s="12" customFormat="1"/>
    <row r="1692" s="12" customFormat="1"/>
    <row r="1693" s="12" customFormat="1"/>
    <row r="1694" s="12" customFormat="1"/>
    <row r="1695" s="12" customFormat="1"/>
    <row r="1696" s="12" customFormat="1"/>
    <row r="1697" s="12" customFormat="1"/>
    <row r="1698" s="12" customFormat="1"/>
    <row r="1699" s="12" customFormat="1"/>
    <row r="1700" s="12" customFormat="1"/>
    <row r="1701" s="12" customFormat="1"/>
    <row r="1702" s="12" customFormat="1"/>
    <row r="1703" s="12" customFormat="1"/>
    <row r="1704" s="12" customFormat="1"/>
    <row r="1705" s="12" customFormat="1"/>
    <row r="1706" s="12" customFormat="1"/>
    <row r="1707" s="12" customFormat="1"/>
    <row r="1708" s="12" customFormat="1"/>
    <row r="1709" s="12" customFormat="1"/>
    <row r="1710" s="12" customFormat="1"/>
    <row r="1711" s="12" customFormat="1"/>
    <row r="1712" s="12" customFormat="1"/>
    <row r="1713" s="12" customFormat="1"/>
    <row r="1714" s="12" customFormat="1"/>
    <row r="1715" s="12" customFormat="1"/>
    <row r="1716" s="12" customFormat="1"/>
    <row r="1717" s="12" customFormat="1"/>
    <row r="1718" s="12" customFormat="1"/>
    <row r="1719" s="12" customFormat="1"/>
    <row r="1720" s="12" customFormat="1"/>
    <row r="1721" s="12" customFormat="1"/>
    <row r="1722" s="12" customFormat="1"/>
    <row r="1723" s="12" customFormat="1"/>
    <row r="1724" s="12" customFormat="1"/>
    <row r="1725" s="12" customFormat="1"/>
    <row r="1726" s="12" customFormat="1"/>
    <row r="1727" s="12" customFormat="1"/>
    <row r="1728" s="12" customFormat="1"/>
    <row r="1729" s="12" customFormat="1"/>
    <row r="1730" s="12" customFormat="1"/>
    <row r="1731" s="12" customFormat="1"/>
    <row r="1732" s="12" customFormat="1"/>
    <row r="1733" s="12" customFormat="1"/>
    <row r="1734" s="12" customFormat="1"/>
    <row r="1735" s="12" customFormat="1"/>
    <row r="1736" s="12" customFormat="1"/>
    <row r="1737" s="12" customFormat="1"/>
    <row r="1738" s="12" customFormat="1"/>
    <row r="1739" s="12" customFormat="1"/>
    <row r="1740" s="12" customFormat="1"/>
    <row r="1741" s="12" customFormat="1"/>
    <row r="1742" s="12" customFormat="1"/>
    <row r="1743" s="12" customFormat="1"/>
    <row r="1744" s="12" customFormat="1"/>
    <row r="1745" s="12" customFormat="1"/>
    <row r="1746" s="12" customFormat="1"/>
    <row r="1747" s="12" customFormat="1"/>
    <row r="1748" s="12" customFormat="1"/>
    <row r="1749" s="12" customFormat="1"/>
    <row r="1750" s="12" customFormat="1"/>
    <row r="1751" s="12" customFormat="1"/>
    <row r="1752" s="12" customFormat="1"/>
    <row r="1753" s="12" customFormat="1"/>
    <row r="1754" s="12" customFormat="1"/>
    <row r="1755" s="12" customFormat="1"/>
    <row r="1756" s="12" customFormat="1"/>
    <row r="1757" s="12" customFormat="1"/>
    <row r="1758" s="12" customFormat="1"/>
    <row r="1759" s="12" customFormat="1"/>
    <row r="1760" s="12" customFormat="1"/>
    <row r="1761" s="12" customFormat="1"/>
    <row r="1762" s="12" customFormat="1"/>
    <row r="1763" s="12" customFormat="1"/>
    <row r="1764" s="12" customFormat="1"/>
    <row r="1765" s="12" customFormat="1"/>
    <row r="1766" s="12" customFormat="1"/>
    <row r="1767" s="12" customFormat="1"/>
    <row r="1768" s="12" customFormat="1"/>
    <row r="1769" s="12" customFormat="1"/>
    <row r="1770" s="12" customFormat="1"/>
    <row r="1771" s="12" customFormat="1"/>
    <row r="1772" s="12" customFormat="1"/>
    <row r="1773" s="12" customFormat="1"/>
    <row r="1774" s="12" customFormat="1"/>
    <row r="1775" s="12" customFormat="1"/>
    <row r="1776" s="12" customFormat="1"/>
    <row r="1777" s="12" customFormat="1"/>
    <row r="1778" s="12" customFormat="1"/>
    <row r="1779" s="12" customFormat="1"/>
    <row r="1780" s="12" customFormat="1"/>
    <row r="1781" s="12" customFormat="1"/>
    <row r="1782" s="12" customFormat="1"/>
    <row r="1783" s="12" customFormat="1"/>
    <row r="1784" s="12" customFormat="1"/>
    <row r="1785" s="12" customFormat="1"/>
    <row r="1786" s="12" customFormat="1"/>
    <row r="1787" s="12" customFormat="1"/>
    <row r="1788" s="12" customFormat="1"/>
    <row r="1789" s="12" customFormat="1"/>
    <row r="1790" s="12" customFormat="1"/>
    <row r="1791" s="12" customFormat="1"/>
    <row r="1792" s="12" customFormat="1"/>
    <row r="1793" s="12" customFormat="1"/>
    <row r="1794" s="12" customFormat="1"/>
    <row r="1795" s="12" customFormat="1"/>
    <row r="1796" s="12" customFormat="1"/>
    <row r="1797" s="12" customFormat="1"/>
    <row r="1798" s="12" customFormat="1"/>
    <row r="1799" s="12" customFormat="1"/>
    <row r="1800" s="12" customFormat="1"/>
    <row r="1801" s="12" customFormat="1"/>
    <row r="1802" s="12" customFormat="1"/>
    <row r="1803" s="12" customFormat="1"/>
    <row r="1804" s="12" customFormat="1"/>
    <row r="1805" s="12" customFormat="1"/>
    <row r="1806" s="12" customFormat="1"/>
    <row r="1807" s="12" customFormat="1"/>
    <row r="1808" s="12" customFormat="1"/>
    <row r="1809" s="12" customFormat="1"/>
    <row r="1810" s="12" customFormat="1"/>
    <row r="1811" s="12" customFormat="1"/>
    <row r="1812" s="12" customFormat="1"/>
    <row r="1813" s="12" customFormat="1"/>
    <row r="1814" s="12" customFormat="1"/>
    <row r="1815" s="12" customFormat="1"/>
    <row r="1816" s="12" customFormat="1"/>
    <row r="1817" s="12" customFormat="1"/>
    <row r="1818" s="12" customFormat="1"/>
    <row r="1819" s="12" customFormat="1"/>
    <row r="1820" s="12" customFormat="1"/>
    <row r="1821" s="12" customFormat="1"/>
    <row r="1822" s="12" customFormat="1"/>
    <row r="1823" s="12" customFormat="1"/>
    <row r="1824" s="12" customFormat="1"/>
    <row r="1825" s="12" customFormat="1"/>
    <row r="1826" s="12" customFormat="1"/>
    <row r="1827" s="12" customFormat="1"/>
    <row r="1828" s="12" customFormat="1"/>
    <row r="1829" s="12" customFormat="1"/>
    <row r="1830" s="12" customFormat="1"/>
    <row r="1831" s="12" customFormat="1"/>
    <row r="1832" s="12" customFormat="1"/>
    <row r="1833" s="12" customFormat="1"/>
    <row r="1834" s="12" customFormat="1"/>
    <row r="1835" s="12" customFormat="1"/>
    <row r="1836" s="12" customFormat="1"/>
    <row r="1837" s="12" customFormat="1"/>
    <row r="1838" s="12" customFormat="1"/>
    <row r="1839" s="12" customFormat="1"/>
    <row r="1840" s="12" customFormat="1"/>
    <row r="1841" s="12" customFormat="1"/>
    <row r="1842" s="12" customFormat="1"/>
    <row r="1843" s="12" customFormat="1"/>
    <row r="1844" s="12" customFormat="1"/>
    <row r="1845" s="12" customFormat="1"/>
    <row r="1846" s="12" customFormat="1"/>
    <row r="1847" s="12" customFormat="1"/>
    <row r="1848" s="12" customFormat="1"/>
    <row r="1849" s="12" customFormat="1"/>
    <row r="1850" s="12" customFormat="1"/>
    <row r="1851" s="12" customFormat="1"/>
    <row r="1852" s="12" customFormat="1"/>
    <row r="1853" s="12" customFormat="1"/>
    <row r="1854" s="12" customFormat="1"/>
    <row r="1855" s="12" customFormat="1"/>
    <row r="1856" s="12" customFormat="1"/>
    <row r="1857" s="12" customFormat="1"/>
    <row r="1858" s="12" customFormat="1"/>
    <row r="1859" s="12" customFormat="1"/>
    <row r="1860" s="12" customFormat="1"/>
    <row r="1861" s="12" customFormat="1"/>
    <row r="1862" s="12" customFormat="1"/>
    <row r="1863" s="12" customFormat="1"/>
    <row r="1864" s="12" customFormat="1"/>
    <row r="1865" s="12" customFormat="1"/>
    <row r="1866" s="12" customFormat="1"/>
    <row r="1867" s="12" customFormat="1"/>
    <row r="1868" s="12" customFormat="1"/>
    <row r="1869" s="12" customFormat="1"/>
    <row r="1870" s="12" customFormat="1"/>
    <row r="1871" s="12" customFormat="1"/>
    <row r="1872" s="12" customFormat="1"/>
    <row r="1873" s="12" customFormat="1"/>
    <row r="1874" s="12" customFormat="1"/>
    <row r="1875" s="12" customFormat="1"/>
    <row r="1876" s="12" customFormat="1"/>
    <row r="1877" s="12" customFormat="1"/>
    <row r="1878" s="12" customFormat="1"/>
    <row r="1879" s="12" customFormat="1"/>
    <row r="1880" s="12" customFormat="1"/>
    <row r="1881" s="12" customFormat="1"/>
    <row r="1882" s="12" customFormat="1"/>
    <row r="1883" s="12" customFormat="1"/>
    <row r="1884" s="12" customFormat="1"/>
    <row r="1885" s="12" customFormat="1"/>
    <row r="1886" s="12" customFormat="1"/>
    <row r="1887" s="12" customFormat="1"/>
    <row r="1888" s="12" customFormat="1"/>
    <row r="1889" s="12" customFormat="1"/>
    <row r="1890" s="12" customFormat="1"/>
    <row r="1891" s="12" customFormat="1"/>
    <row r="1892" s="12" customFormat="1"/>
    <row r="1893" s="12" customFormat="1"/>
    <row r="1894" s="12" customFormat="1"/>
    <row r="1895" s="12" customFormat="1"/>
    <row r="1896" s="12" customFormat="1"/>
    <row r="1897" s="12" customFormat="1"/>
    <row r="1898" s="12" customFormat="1"/>
    <row r="1899" s="12" customFormat="1"/>
    <row r="1900" s="12" customFormat="1"/>
    <row r="1901" s="12" customFormat="1"/>
    <row r="1902" s="12" customFormat="1"/>
    <row r="1903" s="12" customFormat="1"/>
    <row r="1904" s="12" customFormat="1"/>
    <row r="1905" s="12" customFormat="1"/>
    <row r="1906" s="12" customFormat="1"/>
    <row r="1907" s="12" customFormat="1"/>
    <row r="1908" s="12" customFormat="1"/>
    <row r="1909" s="12" customFormat="1"/>
    <row r="1910" s="12" customFormat="1"/>
    <row r="1911" s="12" customFormat="1"/>
    <row r="1912" s="12" customFormat="1"/>
    <row r="1913" s="12" customFormat="1"/>
    <row r="1914" s="12" customFormat="1"/>
    <row r="1915" s="12" customFormat="1"/>
    <row r="1916" s="12" customFormat="1"/>
    <row r="1917" s="12" customFormat="1"/>
    <row r="1918" s="12" customFormat="1"/>
    <row r="1919" s="12" customFormat="1"/>
    <row r="1920" s="12" customFormat="1"/>
    <row r="1921" s="12" customFormat="1"/>
    <row r="1922" s="12" customFormat="1"/>
    <row r="1923" s="12" customFormat="1"/>
    <row r="1924" s="12" customFormat="1"/>
    <row r="1925" s="12" customFormat="1"/>
    <row r="1926" s="12" customFormat="1"/>
    <row r="1927" s="12" customFormat="1"/>
    <row r="1928" s="12" customFormat="1"/>
    <row r="1929" s="12" customFormat="1"/>
    <row r="1930" s="12" customFormat="1"/>
    <row r="1931" s="12" customFormat="1"/>
    <row r="1932" s="12" customFormat="1"/>
    <row r="1933" s="12" customFormat="1"/>
    <row r="1934" s="12" customFormat="1"/>
    <row r="1935" s="12" customFormat="1"/>
    <row r="1936" s="12" customFormat="1"/>
    <row r="1937" s="12" customFormat="1"/>
    <row r="1938" s="12" customFormat="1"/>
    <row r="1939" s="12" customFormat="1"/>
    <row r="1940" s="12" customFormat="1"/>
    <row r="1941" s="12" customFormat="1"/>
    <row r="1942" s="12" customFormat="1"/>
    <row r="1943" s="12" customFormat="1"/>
    <row r="1944" s="12" customFormat="1"/>
    <row r="1945" s="12" customFormat="1"/>
    <row r="1946" s="12" customFormat="1"/>
    <row r="1947" s="12" customFormat="1"/>
    <row r="1948" s="12" customFormat="1"/>
    <row r="1949" s="12" customFormat="1"/>
    <row r="1950" s="12" customFormat="1"/>
    <row r="1951" s="12" customFormat="1"/>
    <row r="1952" s="12" customFormat="1"/>
    <row r="1953" s="12" customFormat="1"/>
    <row r="1954" s="12" customFormat="1"/>
    <row r="1955" s="12" customFormat="1"/>
    <row r="1956" s="12" customFormat="1"/>
    <row r="1957" s="12" customFormat="1"/>
    <row r="1958" s="12" customFormat="1"/>
    <row r="1959" s="12" customFormat="1"/>
    <row r="1960" s="12" customFormat="1"/>
    <row r="1961" s="12" customFormat="1"/>
    <row r="1962" s="12" customFormat="1"/>
    <row r="1963" s="12" customFormat="1"/>
    <row r="1964" s="12" customFormat="1"/>
    <row r="1965" s="12" customFormat="1"/>
    <row r="1966" s="12" customFormat="1"/>
    <row r="1967" s="12" customFormat="1"/>
    <row r="1968" s="12" customFormat="1"/>
    <row r="1969" s="12" customFormat="1"/>
    <row r="1970" s="12" customFormat="1"/>
    <row r="1971" s="12" customFormat="1"/>
    <row r="1972" s="12" customFormat="1"/>
    <row r="1973" s="12" customFormat="1"/>
    <row r="1974" s="12" customFormat="1"/>
    <row r="1975" s="12" customFormat="1"/>
    <row r="1976" s="12" customFormat="1"/>
    <row r="1977" s="12" customFormat="1"/>
    <row r="1978" s="12" customFormat="1"/>
    <row r="1979" s="12" customFormat="1"/>
    <row r="1980" s="12" customFormat="1"/>
    <row r="1981" s="12" customFormat="1"/>
    <row r="1982" s="12" customFormat="1"/>
    <row r="1983" s="12" customFormat="1"/>
    <row r="1984" s="12" customFormat="1"/>
    <row r="1985" s="12" customFormat="1"/>
    <row r="1986" s="12" customFormat="1"/>
    <row r="1987" s="12" customFormat="1"/>
    <row r="1988" s="12" customFormat="1"/>
    <row r="1989" s="12" customFormat="1"/>
    <row r="1990" s="12" customFormat="1"/>
    <row r="1991" s="12" customFormat="1"/>
    <row r="1992" s="12" customFormat="1"/>
    <row r="1993" s="12" customFormat="1"/>
    <row r="1994" s="12" customFormat="1"/>
    <row r="1995" s="12" customFormat="1"/>
    <row r="1996" s="12" customFormat="1"/>
    <row r="1997" s="12" customFormat="1"/>
    <row r="1998" s="12" customFormat="1"/>
    <row r="1999" s="12" customFormat="1"/>
    <row r="2000" s="12" customFormat="1"/>
    <row r="2001" s="12" customFormat="1"/>
    <row r="2002" s="12" customFormat="1"/>
    <row r="2003" s="12" customFormat="1"/>
    <row r="2004" s="12" customFormat="1"/>
    <row r="2005" s="12" customFormat="1"/>
    <row r="2006" s="12" customFormat="1"/>
    <row r="2007" s="12" customFormat="1"/>
    <row r="2008" s="12" customFormat="1"/>
    <row r="2009" s="12" customFormat="1"/>
    <row r="2010" s="12" customFormat="1"/>
    <row r="2011" s="12" customFormat="1"/>
    <row r="2012" s="12" customFormat="1"/>
    <row r="2013" s="12" customFormat="1"/>
    <row r="2014" s="12" customFormat="1"/>
    <row r="2015" s="12" customFormat="1"/>
    <row r="2016" s="12" customFormat="1"/>
    <row r="2017" s="12" customFormat="1"/>
    <row r="2018" s="12" customFormat="1"/>
    <row r="2019" s="12" customFormat="1"/>
    <row r="2020" s="12" customFormat="1"/>
    <row r="2021" s="12" customFormat="1"/>
    <row r="2022" s="12" customFormat="1"/>
    <row r="2023" s="12" customFormat="1"/>
    <row r="2024" s="12" customFormat="1"/>
    <row r="2025" s="12" customFormat="1"/>
    <row r="2026" s="12" customFormat="1"/>
    <row r="2027" s="12" customFormat="1"/>
    <row r="2028" s="12" customFormat="1"/>
    <row r="2029" s="12" customFormat="1"/>
    <row r="2030" s="12" customFormat="1"/>
    <row r="2031" s="12" customFormat="1"/>
    <row r="2032" s="12" customFormat="1"/>
    <row r="2033" s="12" customFormat="1"/>
    <row r="2034" s="12" customFormat="1"/>
    <row r="2035" s="12" customFormat="1"/>
    <row r="2036" s="12" customFormat="1"/>
    <row r="2037" s="12" customFormat="1"/>
    <row r="2038" s="12" customFormat="1"/>
    <row r="2039" s="12" customFormat="1"/>
    <row r="2040" s="12" customFormat="1"/>
    <row r="2041" s="12" customFormat="1"/>
    <row r="2042" s="12" customFormat="1"/>
    <row r="2043" s="12" customFormat="1"/>
    <row r="2044" s="12" customFormat="1"/>
    <row r="2045" s="12" customFormat="1"/>
    <row r="2046" s="12" customFormat="1"/>
    <row r="2047" s="12" customFormat="1"/>
    <row r="2048" s="12" customFormat="1"/>
    <row r="2049" s="12" customFormat="1"/>
    <row r="2050" s="12" customFormat="1"/>
    <row r="2051" s="12" customFormat="1"/>
    <row r="2052" s="12" customFormat="1"/>
    <row r="2053" s="12" customFormat="1"/>
    <row r="2054" s="12" customFormat="1"/>
    <row r="2055" s="12" customFormat="1"/>
    <row r="2056" s="12" customFormat="1"/>
    <row r="2057" s="12" customFormat="1"/>
    <row r="2058" s="12" customFormat="1"/>
    <row r="2059" s="12" customFormat="1"/>
    <row r="2060" s="12" customFormat="1"/>
    <row r="2061" s="12" customFormat="1"/>
    <row r="2062" s="12" customFormat="1"/>
    <row r="2063" s="12" customFormat="1"/>
    <row r="2064" s="12" customFormat="1"/>
    <row r="2065" s="12" customFormat="1"/>
    <row r="2066" s="12" customFormat="1"/>
    <row r="2067" s="12" customFormat="1"/>
    <row r="2068" s="12" customFormat="1"/>
    <row r="2069" s="12" customFormat="1"/>
    <row r="2070" s="12" customFormat="1"/>
    <row r="2071" s="12" customFormat="1"/>
    <row r="2072" s="12" customFormat="1"/>
    <row r="2073" s="12" customFormat="1"/>
    <row r="2074" s="12" customFormat="1"/>
    <row r="2075" s="12" customFormat="1"/>
    <row r="2076" s="12" customFormat="1"/>
    <row r="2077" s="12" customFormat="1"/>
    <row r="2078" s="12" customFormat="1"/>
    <row r="2079" s="12" customFormat="1"/>
    <row r="2080" s="12" customFormat="1"/>
    <row r="2081" s="12" customFormat="1"/>
    <row r="2082" s="12" customFormat="1"/>
    <row r="2083" s="12" customFormat="1"/>
    <row r="2084" s="12" customFormat="1"/>
    <row r="2085" s="12" customFormat="1"/>
    <row r="2086" s="12" customFormat="1"/>
    <row r="2087" s="12" customFormat="1"/>
    <row r="2088" s="12" customFormat="1"/>
    <row r="2089" s="12" customFormat="1"/>
    <row r="2090" s="12" customFormat="1"/>
    <row r="2091" s="12" customFormat="1"/>
    <row r="2092" s="12" customFormat="1"/>
    <row r="2093" s="12" customFormat="1"/>
    <row r="2094" s="12" customFormat="1"/>
    <row r="2095" s="12" customFormat="1"/>
    <row r="2096" s="12" customFormat="1"/>
    <row r="2097" s="12" customFormat="1"/>
    <row r="2098" s="12" customFormat="1"/>
    <row r="2099" s="12" customFormat="1"/>
    <row r="2100" s="12" customFormat="1"/>
    <row r="2101" s="12" customFormat="1"/>
    <row r="2102" s="12" customFormat="1"/>
    <row r="2103" s="12" customFormat="1"/>
    <row r="2104" s="12" customFormat="1"/>
    <row r="2105" s="12" customFormat="1"/>
    <row r="2106" s="12" customFormat="1"/>
    <row r="2107" s="12" customFormat="1"/>
    <row r="2108" s="12" customFormat="1"/>
    <row r="2109" s="12" customFormat="1"/>
    <row r="2110" s="12" customFormat="1"/>
    <row r="2111" s="12" customFormat="1"/>
    <row r="2112" s="12" customFormat="1"/>
    <row r="2113" s="12" customFormat="1"/>
    <row r="2114" s="12" customFormat="1"/>
    <row r="2115" s="12" customFormat="1"/>
    <row r="2116" s="12" customFormat="1"/>
    <row r="2117" s="12" customFormat="1"/>
    <row r="2118" s="12" customFormat="1"/>
    <row r="2119" s="12" customFormat="1"/>
    <row r="2120" s="12" customFormat="1"/>
    <row r="2121" s="12" customFormat="1"/>
    <row r="2122" s="12" customFormat="1"/>
    <row r="2123" s="12" customFormat="1"/>
    <row r="2124" s="12" customFormat="1"/>
    <row r="2125" s="12" customFormat="1"/>
    <row r="2126" s="12" customFormat="1"/>
    <row r="2127" s="12" customFormat="1"/>
    <row r="2128" s="12" customFormat="1"/>
    <row r="2129" s="12" customFormat="1"/>
    <row r="2130" s="12" customFormat="1"/>
    <row r="2131" s="12" customFormat="1"/>
    <row r="2132" s="12" customFormat="1"/>
    <row r="2133" s="12" customFormat="1"/>
    <row r="2134" s="12" customFormat="1"/>
    <row r="2135" s="12" customFormat="1"/>
    <row r="2136" s="12" customFormat="1"/>
    <row r="2137" s="12" customFormat="1"/>
    <row r="2138" s="12" customFormat="1"/>
    <row r="2139" s="12" customFormat="1"/>
    <row r="2140" s="12" customFormat="1"/>
    <row r="2141" s="12" customFormat="1"/>
    <row r="2142" s="12" customFormat="1"/>
    <row r="2143" s="12" customFormat="1"/>
    <row r="2144" s="12" customFormat="1"/>
    <row r="2145" s="12" customFormat="1"/>
    <row r="2146" s="12" customFormat="1"/>
    <row r="2147" s="12" customFormat="1"/>
    <row r="2148" s="12" customFormat="1"/>
    <row r="2149" s="12" customFormat="1"/>
    <row r="2150" s="12" customFormat="1"/>
    <row r="2151" s="12" customFormat="1"/>
    <row r="2152" s="12" customFormat="1"/>
    <row r="2153" s="12" customFormat="1"/>
    <row r="2154" s="12" customFormat="1"/>
    <row r="2155" s="12" customFormat="1"/>
    <row r="2156" s="12" customFormat="1"/>
    <row r="2157" s="12" customFormat="1"/>
    <row r="2158" s="12" customFormat="1"/>
    <row r="2159" s="12" customFormat="1"/>
    <row r="2160" s="12" customFormat="1"/>
    <row r="2161" s="12" customFormat="1"/>
    <row r="2162" s="12" customFormat="1"/>
    <row r="2163" s="12" customFormat="1"/>
    <row r="2164" s="12" customFormat="1"/>
    <row r="2165" s="12" customFormat="1"/>
    <row r="2166" s="12" customFormat="1"/>
    <row r="2167" s="12" customFormat="1"/>
    <row r="2168" s="12" customFormat="1"/>
    <row r="2169" s="12" customFormat="1"/>
    <row r="2170" s="12" customFormat="1"/>
    <row r="2171" s="12" customFormat="1"/>
    <row r="2172" s="12" customFormat="1"/>
    <row r="2173" s="12" customFormat="1"/>
    <row r="2174" s="12" customFormat="1"/>
    <row r="2175" s="12" customFormat="1"/>
    <row r="2176" s="12" customFormat="1"/>
    <row r="2177" s="12" customFormat="1"/>
    <row r="2178" s="12" customFormat="1"/>
    <row r="2179" s="12" customFormat="1"/>
    <row r="2180" s="12" customFormat="1"/>
    <row r="2181" s="12" customFormat="1"/>
    <row r="2182" s="12" customFormat="1"/>
    <row r="2183" s="12" customFormat="1"/>
    <row r="2184" s="12" customFormat="1"/>
    <row r="2185" s="12" customFormat="1"/>
    <row r="2186" s="12" customFormat="1"/>
    <row r="2187" s="12" customFormat="1"/>
    <row r="2188" s="12" customFormat="1"/>
    <row r="2189" s="12" customFormat="1"/>
    <row r="2190" s="12" customFormat="1"/>
    <row r="2191" s="12" customFormat="1"/>
    <row r="2192" s="12" customFormat="1"/>
    <row r="2193" s="12" customFormat="1"/>
    <row r="2194" s="12" customFormat="1"/>
    <row r="2195" s="12" customFormat="1"/>
    <row r="2196" s="12" customFormat="1"/>
    <row r="2197" s="12" customFormat="1"/>
    <row r="2198" s="12" customFormat="1"/>
    <row r="2199" s="12" customFormat="1"/>
    <row r="2200" s="12" customFormat="1"/>
    <row r="2201" s="12" customFormat="1"/>
    <row r="2202" s="12" customFormat="1"/>
    <row r="2203" s="12" customFormat="1"/>
    <row r="2204" s="12" customFormat="1"/>
    <row r="2205" s="12" customFormat="1"/>
    <row r="2206" s="12" customFormat="1"/>
    <row r="2207" s="12" customFormat="1"/>
    <row r="2208" s="12" customFormat="1"/>
    <row r="2209" s="12" customFormat="1"/>
    <row r="2210" s="12" customFormat="1"/>
    <row r="2211" s="12" customFormat="1"/>
    <row r="2212" s="12" customFormat="1"/>
    <row r="2213" s="12" customFormat="1"/>
    <row r="2214" s="12" customFormat="1"/>
    <row r="2215" s="12" customFormat="1"/>
  </sheetData>
  <mergeCells count="2">
    <mergeCell ref="A1:N1"/>
    <mergeCell ref="A2:N2"/>
  </mergeCells>
  <pageMargins left="0.7" right="0.7" top="0.75" bottom="0.75" header="0.3" footer="0.3"/>
  <pageSetup paperSize="9" scale="53" orientation="portrait" r:id="rId1"/>
  <colBreaks count="1" manualBreakCount="1">
    <brk id="16" max="60"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2:CG38"/>
  <sheetViews>
    <sheetView view="pageBreakPreview" zoomScale="60" zoomScaleNormal="98" workbookViewId="0">
      <selection activeCell="CP6" sqref="CP6"/>
    </sheetView>
  </sheetViews>
  <sheetFormatPr defaultColWidth="4.85546875" defaultRowHeight="15"/>
  <cols>
    <col min="1" max="1" width="51.7109375" style="1" customWidth="1"/>
    <col min="2" max="12" width="0" style="1" hidden="1" customWidth="1"/>
    <col min="13" max="13" width="0" style="55" hidden="1" customWidth="1"/>
    <col min="14" max="18" width="0" style="1" hidden="1" customWidth="1"/>
    <col min="19" max="21" width="0" style="55" hidden="1" customWidth="1"/>
    <col min="22" max="23" width="0" style="1" hidden="1" customWidth="1"/>
    <col min="24" max="25" width="0" style="55" hidden="1" customWidth="1"/>
    <col min="26" max="30" width="0" style="1" hidden="1" customWidth="1"/>
    <col min="31" max="31" width="0" style="55" hidden="1" customWidth="1"/>
    <col min="32" max="36" width="0" style="1" hidden="1" customWidth="1"/>
    <col min="37" max="37" width="0" style="55" hidden="1" customWidth="1"/>
    <col min="38" max="42" width="0" style="1" hidden="1" customWidth="1"/>
    <col min="43" max="43" width="0" style="55" hidden="1" customWidth="1"/>
    <col min="44" max="48" width="6" style="1" hidden="1" customWidth="1"/>
    <col min="49" max="49" width="7.42578125" style="55" hidden="1" customWidth="1"/>
    <col min="50" max="54" width="6" style="1" hidden="1" customWidth="1"/>
    <col min="55" max="55" width="8.85546875" style="55" hidden="1" customWidth="1"/>
    <col min="56" max="60" width="6" style="1" hidden="1" customWidth="1"/>
    <col min="61" max="61" width="8.5703125" style="55" hidden="1" customWidth="1"/>
    <col min="62" max="66" width="6" style="1" customWidth="1"/>
    <col min="67" max="67" width="8.5703125" style="55" customWidth="1"/>
    <col min="68" max="72" width="6" style="1" customWidth="1"/>
    <col min="73" max="73" width="5" style="55" customWidth="1"/>
    <col min="74" max="78" width="6" style="1" customWidth="1"/>
    <col min="79" max="79" width="5" style="55" customWidth="1"/>
    <col min="80" max="80" width="53.85546875" style="1" customWidth="1"/>
    <col min="81" max="16384" width="4.85546875" style="1"/>
  </cols>
  <sheetData>
    <row r="2" spans="1:85" ht="18">
      <c r="A2" s="1104" t="s">
        <v>2170</v>
      </c>
      <c r="B2" s="1104"/>
      <c r="C2" s="1104"/>
      <c r="D2" s="1104"/>
      <c r="E2" s="1104"/>
      <c r="F2" s="1104"/>
      <c r="G2" s="1104"/>
      <c r="H2" s="1104"/>
      <c r="I2" s="1104"/>
      <c r="J2" s="1104"/>
      <c r="K2" s="1104"/>
      <c r="L2" s="1104"/>
      <c r="M2" s="1104"/>
      <c r="N2" s="1104"/>
      <c r="O2" s="1104"/>
      <c r="P2" s="1104"/>
      <c r="Q2" s="1104"/>
      <c r="R2" s="1104"/>
      <c r="S2" s="1104"/>
      <c r="T2" s="1104"/>
      <c r="U2" s="1104"/>
      <c r="V2" s="1104"/>
      <c r="W2" s="1104"/>
      <c r="X2" s="1104"/>
      <c r="Y2" s="1104"/>
      <c r="Z2" s="1104"/>
      <c r="AA2" s="1104"/>
      <c r="AB2" s="1104"/>
      <c r="AC2" s="1104"/>
      <c r="AD2" s="1104"/>
      <c r="AE2" s="1104"/>
      <c r="AF2" s="1104"/>
      <c r="AG2" s="1104"/>
      <c r="AH2" s="1104"/>
      <c r="AI2" s="1104"/>
      <c r="AJ2" s="1104"/>
      <c r="AK2" s="1104"/>
      <c r="AL2" s="1104"/>
      <c r="AM2" s="1104"/>
      <c r="AN2" s="1104"/>
      <c r="AO2" s="1104"/>
      <c r="AP2" s="1104"/>
      <c r="AQ2" s="1104"/>
      <c r="AR2" s="1104"/>
      <c r="AS2" s="1104"/>
      <c r="AT2" s="1104"/>
      <c r="AU2" s="1104"/>
      <c r="AV2" s="1104"/>
      <c r="AW2" s="1104"/>
      <c r="AX2" s="1104"/>
      <c r="AY2" s="1104"/>
      <c r="AZ2" s="1104"/>
      <c r="BA2" s="1104"/>
      <c r="BB2" s="1104"/>
      <c r="BC2" s="1104"/>
      <c r="BD2" s="1104"/>
      <c r="BE2" s="1104"/>
      <c r="BF2" s="1104"/>
      <c r="BG2" s="1104"/>
      <c r="BH2" s="1104"/>
      <c r="BI2" s="1104"/>
      <c r="BJ2" s="1104"/>
      <c r="BK2" s="1104"/>
      <c r="BL2" s="1104"/>
      <c r="BM2" s="1104"/>
      <c r="BN2" s="1104"/>
      <c r="BO2" s="1104"/>
      <c r="BP2" s="1104"/>
      <c r="BQ2" s="1104"/>
      <c r="BR2" s="1104"/>
      <c r="BS2" s="1104"/>
      <c r="BT2" s="1104"/>
      <c r="BU2" s="1104"/>
      <c r="BV2" s="1104"/>
      <c r="BW2" s="1104"/>
      <c r="BX2" s="1104"/>
      <c r="BY2" s="1104"/>
      <c r="BZ2" s="1104"/>
      <c r="CA2" s="1104"/>
      <c r="CB2" s="1104"/>
    </row>
    <row r="3" spans="1:85">
      <c r="A3" s="1105" t="s">
        <v>2169</v>
      </c>
      <c r="B3" s="1105"/>
      <c r="C3" s="1105"/>
      <c r="D3" s="1105"/>
      <c r="E3" s="1105"/>
      <c r="F3" s="1105"/>
      <c r="G3" s="1105"/>
      <c r="H3" s="1105"/>
      <c r="I3" s="1105"/>
      <c r="J3" s="1105"/>
      <c r="K3" s="1105"/>
      <c r="L3" s="1105"/>
      <c r="M3" s="1105"/>
      <c r="N3" s="1105"/>
      <c r="O3" s="1105"/>
      <c r="P3" s="1105"/>
      <c r="Q3" s="1105"/>
      <c r="R3" s="1105"/>
      <c r="S3" s="1105"/>
      <c r="T3" s="1105"/>
      <c r="U3" s="1105"/>
      <c r="V3" s="1105"/>
      <c r="W3" s="1105"/>
      <c r="X3" s="1105"/>
      <c r="Y3" s="1105"/>
      <c r="Z3" s="1105"/>
      <c r="AA3" s="1105"/>
      <c r="AB3" s="1105"/>
      <c r="AC3" s="1105"/>
      <c r="AD3" s="1105"/>
      <c r="AE3" s="1105"/>
      <c r="AF3" s="1105"/>
      <c r="AG3" s="1105"/>
      <c r="AH3" s="1105"/>
      <c r="AI3" s="1105"/>
      <c r="AJ3" s="1105"/>
      <c r="AK3" s="1105"/>
      <c r="AL3" s="1105"/>
      <c r="AM3" s="1105"/>
      <c r="AN3" s="1105"/>
      <c r="AO3" s="1105"/>
      <c r="AP3" s="1105"/>
      <c r="AQ3" s="1105"/>
      <c r="AR3" s="1105"/>
      <c r="AS3" s="1105"/>
      <c r="AT3" s="1105"/>
      <c r="AU3" s="1105"/>
      <c r="AV3" s="1105"/>
      <c r="AW3" s="1105"/>
      <c r="AX3" s="1105"/>
      <c r="AY3" s="1105"/>
      <c r="AZ3" s="1105"/>
      <c r="BA3" s="1105"/>
      <c r="BB3" s="1105"/>
      <c r="BC3" s="1105"/>
      <c r="BD3" s="1105"/>
      <c r="BE3" s="1105"/>
      <c r="BF3" s="1105"/>
      <c r="BG3" s="1105"/>
      <c r="BH3" s="1105"/>
      <c r="BI3" s="1105"/>
      <c r="BJ3" s="1105"/>
      <c r="BK3" s="1105"/>
      <c r="BL3" s="1105"/>
      <c r="BM3" s="1105"/>
      <c r="BN3" s="1105"/>
      <c r="BO3" s="1105"/>
      <c r="BP3" s="1105"/>
      <c r="BQ3" s="1105"/>
      <c r="BR3" s="1105"/>
      <c r="BS3" s="1105"/>
      <c r="BT3" s="1105"/>
      <c r="BU3" s="1105"/>
      <c r="BV3" s="1105"/>
      <c r="BW3" s="1105"/>
      <c r="BX3" s="1105"/>
      <c r="BY3" s="1105"/>
      <c r="BZ3" s="1105"/>
      <c r="CA3" s="1105"/>
      <c r="CB3" s="1105"/>
    </row>
    <row r="4" spans="1:85">
      <c r="A4" s="419"/>
      <c r="B4" s="419"/>
      <c r="C4" s="419"/>
      <c r="D4" s="419"/>
      <c r="E4" s="419"/>
      <c r="F4" s="419"/>
      <c r="G4" s="419"/>
      <c r="H4" s="419"/>
      <c r="N4" s="419"/>
      <c r="T4" s="419"/>
      <c r="Z4" s="420"/>
      <c r="AF4" s="420"/>
      <c r="AL4" s="420"/>
      <c r="AR4" s="420"/>
      <c r="AX4" s="420"/>
      <c r="BD4" s="420"/>
      <c r="BJ4" s="420"/>
      <c r="BP4" s="420"/>
      <c r="BV4" s="420"/>
    </row>
    <row r="5" spans="1:85" s="422" customFormat="1" ht="12.75" customHeight="1">
      <c r="A5" s="1106" t="s">
        <v>504</v>
      </c>
      <c r="B5" s="1108">
        <v>2008</v>
      </c>
      <c r="C5" s="1109"/>
      <c r="D5" s="1109"/>
      <c r="E5" s="1109"/>
      <c r="F5" s="1109"/>
      <c r="G5" s="1110"/>
      <c r="H5" s="1108">
        <v>2009</v>
      </c>
      <c r="I5" s="1109"/>
      <c r="J5" s="1109"/>
      <c r="K5" s="1109"/>
      <c r="L5" s="1109"/>
      <c r="M5" s="1110"/>
      <c r="N5" s="1108">
        <v>2010</v>
      </c>
      <c r="O5" s="1109"/>
      <c r="P5" s="1109"/>
      <c r="Q5" s="1109"/>
      <c r="R5" s="1109"/>
      <c r="S5" s="1111"/>
      <c r="T5" s="1108">
        <v>2011</v>
      </c>
      <c r="U5" s="1109"/>
      <c r="V5" s="1109"/>
      <c r="W5" s="1109"/>
      <c r="X5" s="1109"/>
      <c r="Y5" s="1111"/>
      <c r="Z5" s="1112">
        <v>2013</v>
      </c>
      <c r="AA5" s="1113"/>
      <c r="AB5" s="1113"/>
      <c r="AC5" s="1113"/>
      <c r="AD5" s="1113"/>
      <c r="AE5" s="1114"/>
      <c r="AF5" s="1112">
        <v>2014</v>
      </c>
      <c r="AG5" s="1113"/>
      <c r="AH5" s="1113"/>
      <c r="AI5" s="1113"/>
      <c r="AJ5" s="1113"/>
      <c r="AK5" s="1113"/>
      <c r="AL5" s="1099">
        <v>2015</v>
      </c>
      <c r="AM5" s="1099"/>
      <c r="AN5" s="1099"/>
      <c r="AO5" s="1099"/>
      <c r="AP5" s="1099"/>
      <c r="AQ5" s="1099"/>
      <c r="AR5" s="1099">
        <v>2016</v>
      </c>
      <c r="AS5" s="1099"/>
      <c r="AT5" s="1099"/>
      <c r="AU5" s="1099"/>
      <c r="AV5" s="1099"/>
      <c r="AW5" s="1100"/>
      <c r="AX5" s="1101">
        <v>2017</v>
      </c>
      <c r="AY5" s="1099"/>
      <c r="AZ5" s="1099"/>
      <c r="BA5" s="1099"/>
      <c r="BB5" s="1099"/>
      <c r="BC5" s="1100"/>
      <c r="BD5" s="1101">
        <v>2018</v>
      </c>
      <c r="BE5" s="1099"/>
      <c r="BF5" s="1099"/>
      <c r="BG5" s="1099"/>
      <c r="BH5" s="1099"/>
      <c r="BI5" s="1100"/>
      <c r="BJ5" s="1101">
        <v>2019</v>
      </c>
      <c r="BK5" s="1099"/>
      <c r="BL5" s="1099"/>
      <c r="BM5" s="1099"/>
      <c r="BN5" s="1099"/>
      <c r="BO5" s="1100"/>
      <c r="BP5" s="1101">
        <v>2020</v>
      </c>
      <c r="BQ5" s="1099"/>
      <c r="BR5" s="1099"/>
      <c r="BS5" s="1099"/>
      <c r="BT5" s="1099"/>
      <c r="BU5" s="1100"/>
      <c r="BV5" s="1101">
        <v>2021</v>
      </c>
      <c r="BW5" s="1099"/>
      <c r="BX5" s="1099"/>
      <c r="BY5" s="1099"/>
      <c r="BZ5" s="1099"/>
      <c r="CA5" s="1100"/>
      <c r="CB5" s="1102" t="s">
        <v>505</v>
      </c>
      <c r="CC5" s="421"/>
      <c r="CD5" s="421"/>
      <c r="CE5" s="421"/>
      <c r="CF5" s="421"/>
      <c r="CG5" s="421"/>
    </row>
    <row r="6" spans="1:85" ht="409.5" customHeight="1">
      <c r="A6" s="1107"/>
      <c r="B6" s="423" t="s">
        <v>506</v>
      </c>
      <c r="C6" s="424" t="s">
        <v>507</v>
      </c>
      <c r="D6" s="425" t="s">
        <v>508</v>
      </c>
      <c r="E6" s="426" t="s">
        <v>509</v>
      </c>
      <c r="F6" s="427" t="s">
        <v>510</v>
      </c>
      <c r="G6" s="428" t="s">
        <v>511</v>
      </c>
      <c r="H6" s="429" t="s">
        <v>512</v>
      </c>
      <c r="I6" s="430" t="s">
        <v>513</v>
      </c>
      <c r="J6" s="431" t="s">
        <v>514</v>
      </c>
      <c r="K6" s="432" t="s">
        <v>515</v>
      </c>
      <c r="L6" s="433" t="s">
        <v>516</v>
      </c>
      <c r="M6" s="434" t="s">
        <v>517</v>
      </c>
      <c r="N6" s="435" t="s">
        <v>518</v>
      </c>
      <c r="O6" s="436" t="s">
        <v>519</v>
      </c>
      <c r="P6" s="437" t="s">
        <v>520</v>
      </c>
      <c r="Q6" s="436" t="s">
        <v>521</v>
      </c>
      <c r="R6" s="436" t="s">
        <v>522</v>
      </c>
      <c r="S6" s="438" t="s">
        <v>523</v>
      </c>
      <c r="T6" s="439" t="s">
        <v>524</v>
      </c>
      <c r="U6" s="440" t="s">
        <v>525</v>
      </c>
      <c r="V6" s="437" t="s">
        <v>526</v>
      </c>
      <c r="W6" s="441" t="s">
        <v>527</v>
      </c>
      <c r="X6" s="440" t="s">
        <v>528</v>
      </c>
      <c r="Y6" s="438" t="s">
        <v>529</v>
      </c>
      <c r="Z6" s="442" t="s">
        <v>530</v>
      </c>
      <c r="AA6" s="443" t="s">
        <v>531</v>
      </c>
      <c r="AB6" s="444" t="s">
        <v>532</v>
      </c>
      <c r="AC6" s="443" t="s">
        <v>533</v>
      </c>
      <c r="AD6" s="443" t="s">
        <v>534</v>
      </c>
      <c r="AE6" s="445" t="s">
        <v>535</v>
      </c>
      <c r="AF6" s="442" t="s">
        <v>536</v>
      </c>
      <c r="AG6" s="443" t="s">
        <v>537</v>
      </c>
      <c r="AH6" s="444" t="s">
        <v>538</v>
      </c>
      <c r="AI6" s="430" t="s">
        <v>539</v>
      </c>
      <c r="AJ6" s="430" t="s">
        <v>540</v>
      </c>
      <c r="AK6" s="446" t="s">
        <v>541</v>
      </c>
      <c r="AL6" s="443" t="s">
        <v>542</v>
      </c>
      <c r="AM6" s="443" t="s">
        <v>543</v>
      </c>
      <c r="AN6" s="444" t="s">
        <v>544</v>
      </c>
      <c r="AO6" s="443" t="s">
        <v>545</v>
      </c>
      <c r="AP6" s="443" t="s">
        <v>546</v>
      </c>
      <c r="AQ6" s="446" t="s">
        <v>547</v>
      </c>
      <c r="AR6" s="443" t="s">
        <v>548</v>
      </c>
      <c r="AS6" s="443" t="s">
        <v>549</v>
      </c>
      <c r="AT6" s="444" t="s">
        <v>550</v>
      </c>
      <c r="AU6" s="443" t="s">
        <v>551</v>
      </c>
      <c r="AV6" s="443" t="s">
        <v>552</v>
      </c>
      <c r="AW6" s="445" t="s">
        <v>553</v>
      </c>
      <c r="AX6" s="447" t="s">
        <v>554</v>
      </c>
      <c r="AY6" s="448" t="s">
        <v>555</v>
      </c>
      <c r="AZ6" s="449" t="s">
        <v>556</v>
      </c>
      <c r="BA6" s="448" t="s">
        <v>557</v>
      </c>
      <c r="BB6" s="448" t="s">
        <v>558</v>
      </c>
      <c r="BC6" s="450" t="s">
        <v>559</v>
      </c>
      <c r="BD6" s="447" t="s">
        <v>560</v>
      </c>
      <c r="BE6" s="448" t="s">
        <v>561</v>
      </c>
      <c r="BF6" s="449" t="s">
        <v>562</v>
      </c>
      <c r="BG6" s="448" t="s">
        <v>563</v>
      </c>
      <c r="BH6" s="448" t="s">
        <v>564</v>
      </c>
      <c r="BI6" s="450" t="s">
        <v>565</v>
      </c>
      <c r="BJ6" s="447" t="s">
        <v>566</v>
      </c>
      <c r="BK6" s="448" t="s">
        <v>567</v>
      </c>
      <c r="BL6" s="449" t="s">
        <v>568</v>
      </c>
      <c r="BM6" s="448" t="s">
        <v>569</v>
      </c>
      <c r="BN6" s="448" t="s">
        <v>570</v>
      </c>
      <c r="BO6" s="1035" t="s">
        <v>571</v>
      </c>
      <c r="BP6" s="447" t="s">
        <v>572</v>
      </c>
      <c r="BQ6" s="448" t="s">
        <v>573</v>
      </c>
      <c r="BR6" s="449" t="s">
        <v>574</v>
      </c>
      <c r="BS6" s="448" t="s">
        <v>575</v>
      </c>
      <c r="BT6" s="448" t="s">
        <v>576</v>
      </c>
      <c r="BU6" s="1036" t="s">
        <v>577</v>
      </c>
      <c r="BV6" s="447" t="s">
        <v>572</v>
      </c>
      <c r="BW6" s="448" t="s">
        <v>573</v>
      </c>
      <c r="BX6" s="449" t="s">
        <v>574</v>
      </c>
      <c r="BY6" s="448" t="s">
        <v>575</v>
      </c>
      <c r="BZ6" s="448" t="s">
        <v>576</v>
      </c>
      <c r="CA6" s="1036" t="s">
        <v>577</v>
      </c>
      <c r="CB6" s="1103"/>
    </row>
    <row r="7" spans="1:85" s="454" customFormat="1" ht="21">
      <c r="A7" s="451" t="s">
        <v>1</v>
      </c>
      <c r="B7" s="452">
        <f>SUM(B8:B14)</f>
        <v>339</v>
      </c>
      <c r="C7" s="1122">
        <f>SUM(C8:D14)</f>
        <v>564</v>
      </c>
      <c r="D7" s="1122"/>
      <c r="E7" s="453">
        <f>SUM(E8:E14)</f>
        <v>226</v>
      </c>
      <c r="F7" s="1122">
        <f>C7-E7</f>
        <v>338</v>
      </c>
      <c r="G7" s="1123"/>
      <c r="H7" s="1038">
        <v>338</v>
      </c>
      <c r="I7" s="1037">
        <f>SUM(I8:I14)</f>
        <v>396</v>
      </c>
      <c r="J7" s="1122">
        <f>SUM(J8:K14)</f>
        <v>734</v>
      </c>
      <c r="K7" s="1122"/>
      <c r="L7" s="1037">
        <f>SUM(L8:L14)</f>
        <v>382</v>
      </c>
      <c r="M7" s="1037">
        <f>SUM(M8:M14)</f>
        <v>352</v>
      </c>
      <c r="N7" s="1039">
        <f>SUM(N8:N14)</f>
        <v>352</v>
      </c>
      <c r="O7" s="1040">
        <f>SUM(O8:O14)</f>
        <v>280</v>
      </c>
      <c r="P7" s="1124">
        <f>SUM(P8:Q14)</f>
        <v>632</v>
      </c>
      <c r="Q7" s="1124"/>
      <c r="R7" s="1040">
        <f>SUM(R8:R14)</f>
        <v>180</v>
      </c>
      <c r="S7" s="1040">
        <f>SUM(S8:S14)</f>
        <v>452</v>
      </c>
      <c r="T7" s="1041">
        <f>SUM(T8:T14)</f>
        <v>452</v>
      </c>
      <c r="U7" s="1042">
        <f>SUM(U8:U14)</f>
        <v>327</v>
      </c>
      <c r="V7" s="1125">
        <f>SUM(V8:W14)</f>
        <v>779</v>
      </c>
      <c r="W7" s="1125"/>
      <c r="X7" s="1042">
        <f>SUM(X8:X14)</f>
        <v>313</v>
      </c>
      <c r="Y7" s="1042">
        <f>SUM(Y8:Y14)</f>
        <v>466</v>
      </c>
      <c r="Z7" s="1043">
        <v>277</v>
      </c>
      <c r="AA7" s="1044">
        <v>401</v>
      </c>
      <c r="AB7" s="1121">
        <v>678</v>
      </c>
      <c r="AC7" s="1121"/>
      <c r="AD7" s="1044">
        <v>389</v>
      </c>
      <c r="AE7" s="1044">
        <v>289</v>
      </c>
      <c r="AF7" s="1043">
        <f>SUM(AF8:AF14)</f>
        <v>289</v>
      </c>
      <c r="AG7" s="1044">
        <f>SUM(AG8:AG14)</f>
        <v>365</v>
      </c>
      <c r="AH7" s="1121">
        <v>654</v>
      </c>
      <c r="AI7" s="1121"/>
      <c r="AJ7" s="1044">
        <v>414</v>
      </c>
      <c r="AK7" s="1044">
        <v>238</v>
      </c>
      <c r="AL7" s="1043">
        <v>238</v>
      </c>
      <c r="AM7" s="1044">
        <v>413</v>
      </c>
      <c r="AN7" s="1121">
        <v>651</v>
      </c>
      <c r="AO7" s="1121"/>
      <c r="AP7" s="1044">
        <v>329</v>
      </c>
      <c r="AQ7" s="1044">
        <v>323</v>
      </c>
      <c r="AR7" s="1044">
        <v>323</v>
      </c>
      <c r="AS7" s="1044">
        <v>615</v>
      </c>
      <c r="AT7" s="1121">
        <v>938</v>
      </c>
      <c r="AU7" s="1121"/>
      <c r="AV7" s="1044">
        <v>373</v>
      </c>
      <c r="AW7" s="1045">
        <v>563</v>
      </c>
      <c r="AX7" s="1043">
        <v>563</v>
      </c>
      <c r="AY7" s="1044">
        <v>473</v>
      </c>
      <c r="AZ7" s="1121">
        <v>1036</v>
      </c>
      <c r="BA7" s="1121"/>
      <c r="BB7" s="1044">
        <v>552</v>
      </c>
      <c r="BC7" s="1044">
        <v>484</v>
      </c>
      <c r="BD7" s="1043">
        <v>476</v>
      </c>
      <c r="BE7" s="1044">
        <v>484</v>
      </c>
      <c r="BF7" s="1121">
        <v>960</v>
      </c>
      <c r="BG7" s="1121"/>
      <c r="BH7" s="1044">
        <v>311</v>
      </c>
      <c r="BI7" s="1045">
        <v>646</v>
      </c>
      <c r="BJ7" s="1046">
        <v>646</v>
      </c>
      <c r="BK7" s="1047">
        <v>713</v>
      </c>
      <c r="BL7" s="1115">
        <v>1359</v>
      </c>
      <c r="BM7" s="1115"/>
      <c r="BN7" s="1047">
        <v>477</v>
      </c>
      <c r="BO7" s="1047">
        <v>882</v>
      </c>
      <c r="BP7" s="1048">
        <v>882</v>
      </c>
      <c r="BQ7" s="1047">
        <v>340</v>
      </c>
      <c r="BR7" s="1115">
        <v>1222</v>
      </c>
      <c r="BS7" s="1115"/>
      <c r="BT7" s="1047">
        <v>443</v>
      </c>
      <c r="BU7" s="1049">
        <v>781</v>
      </c>
      <c r="BV7" s="1048">
        <v>781</v>
      </c>
      <c r="BW7" s="1047">
        <v>536</v>
      </c>
      <c r="BX7" s="1115">
        <v>1305</v>
      </c>
      <c r="BY7" s="1115"/>
      <c r="BZ7" s="1047">
        <v>638</v>
      </c>
      <c r="CA7" s="1049">
        <v>679</v>
      </c>
      <c r="CB7" s="1050" t="s">
        <v>49</v>
      </c>
    </row>
    <row r="8" spans="1:85" s="468" customFormat="1" ht="42">
      <c r="A8" s="455" t="s">
        <v>578</v>
      </c>
      <c r="B8" s="456">
        <v>311</v>
      </c>
      <c r="C8" s="1116">
        <v>520</v>
      </c>
      <c r="D8" s="1116"/>
      <c r="E8" s="457">
        <v>196</v>
      </c>
      <c r="F8" s="1116">
        <f t="shared" ref="F8:F14" si="0">C8-E8</f>
        <v>324</v>
      </c>
      <c r="G8" s="1117"/>
      <c r="H8" s="456">
        <v>324</v>
      </c>
      <c r="I8" s="457">
        <v>289</v>
      </c>
      <c r="J8" s="1116">
        <v>613</v>
      </c>
      <c r="K8" s="1116"/>
      <c r="L8" s="457">
        <v>345</v>
      </c>
      <c r="M8" s="1051">
        <v>268</v>
      </c>
      <c r="N8" s="459">
        <v>268</v>
      </c>
      <c r="O8" s="460">
        <v>245</v>
      </c>
      <c r="P8" s="1118">
        <v>513</v>
      </c>
      <c r="Q8" s="1118"/>
      <c r="R8" s="460">
        <v>150</v>
      </c>
      <c r="S8" s="1052">
        <v>363</v>
      </c>
      <c r="T8" s="461">
        <v>363</v>
      </c>
      <c r="U8" s="462">
        <v>247</v>
      </c>
      <c r="V8" s="1119">
        <v>610</v>
      </c>
      <c r="W8" s="1119"/>
      <c r="X8" s="462">
        <v>238</v>
      </c>
      <c r="Y8" s="1053">
        <v>372</v>
      </c>
      <c r="Z8" s="463">
        <v>232</v>
      </c>
      <c r="AA8" s="464">
        <v>306</v>
      </c>
      <c r="AB8" s="1120">
        <v>538</v>
      </c>
      <c r="AC8" s="1120"/>
      <c r="AD8" s="464">
        <v>325</v>
      </c>
      <c r="AE8" s="1054">
        <f>AB8-AD8</f>
        <v>213</v>
      </c>
      <c r="AF8" s="463">
        <v>213</v>
      </c>
      <c r="AG8" s="464">
        <v>280</v>
      </c>
      <c r="AH8" s="1120">
        <v>493</v>
      </c>
      <c r="AI8" s="1120"/>
      <c r="AJ8" s="464">
        <v>302</v>
      </c>
      <c r="AK8" s="464">
        <v>198</v>
      </c>
      <c r="AL8" s="463">
        <v>198</v>
      </c>
      <c r="AM8" s="464">
        <v>355</v>
      </c>
      <c r="AN8" s="1120">
        <v>553</v>
      </c>
      <c r="AO8" s="1120"/>
      <c r="AP8" s="464">
        <v>277</v>
      </c>
      <c r="AQ8" s="464">
        <v>276</v>
      </c>
      <c r="AR8" s="465">
        <v>276</v>
      </c>
      <c r="AS8" s="464">
        <v>455</v>
      </c>
      <c r="AT8" s="1120">
        <v>731</v>
      </c>
      <c r="AU8" s="1120"/>
      <c r="AV8" s="464">
        <v>251</v>
      </c>
      <c r="AW8" s="1054">
        <v>481</v>
      </c>
      <c r="AX8" s="466">
        <v>481</v>
      </c>
      <c r="AY8" s="467">
        <v>254</v>
      </c>
      <c r="AZ8" s="1126">
        <v>735</v>
      </c>
      <c r="BA8" s="1126"/>
      <c r="BB8" s="467">
        <v>339</v>
      </c>
      <c r="BC8" s="467">
        <v>396</v>
      </c>
      <c r="BD8" s="466">
        <v>391</v>
      </c>
      <c r="BE8" s="467">
        <v>292</v>
      </c>
      <c r="BF8" s="1126">
        <v>683</v>
      </c>
      <c r="BG8" s="1126"/>
      <c r="BH8" s="467">
        <v>178</v>
      </c>
      <c r="BI8" s="1055">
        <v>493</v>
      </c>
      <c r="BJ8" s="466">
        <v>493</v>
      </c>
      <c r="BK8" s="926">
        <v>453</v>
      </c>
      <c r="BL8" s="1126">
        <v>946</v>
      </c>
      <c r="BM8" s="1126"/>
      <c r="BN8" s="926">
        <v>272</v>
      </c>
      <c r="BO8" s="926">
        <v>674</v>
      </c>
      <c r="BP8" s="1056">
        <v>674</v>
      </c>
      <c r="BQ8" s="926">
        <v>227</v>
      </c>
      <c r="BR8" s="1126">
        <v>901</v>
      </c>
      <c r="BS8" s="1126"/>
      <c r="BT8" s="926">
        <v>264</v>
      </c>
      <c r="BU8" s="1057">
        <v>640</v>
      </c>
      <c r="BV8" s="1056">
        <v>640</v>
      </c>
      <c r="BW8" s="926">
        <v>346</v>
      </c>
      <c r="BX8" s="1126">
        <v>986</v>
      </c>
      <c r="BY8" s="1126"/>
      <c r="BZ8" s="926">
        <v>424</v>
      </c>
      <c r="CA8" s="1057">
        <v>107</v>
      </c>
      <c r="CB8" s="1058" t="s">
        <v>579</v>
      </c>
    </row>
    <row r="9" spans="1:85" s="468" customFormat="1" ht="18">
      <c r="A9" s="455" t="s">
        <v>580</v>
      </c>
      <c r="B9" s="456">
        <v>7</v>
      </c>
      <c r="C9" s="1116">
        <v>23</v>
      </c>
      <c r="D9" s="1116"/>
      <c r="E9" s="457">
        <v>11</v>
      </c>
      <c r="F9" s="1116">
        <f t="shared" si="0"/>
        <v>12</v>
      </c>
      <c r="G9" s="1117"/>
      <c r="H9" s="456">
        <v>12</v>
      </c>
      <c r="I9" s="457">
        <v>81</v>
      </c>
      <c r="J9" s="1116">
        <v>93</v>
      </c>
      <c r="K9" s="1116"/>
      <c r="L9" s="457">
        <v>12</v>
      </c>
      <c r="M9" s="1051">
        <v>81</v>
      </c>
      <c r="N9" s="459">
        <v>81</v>
      </c>
      <c r="O9" s="460">
        <v>33</v>
      </c>
      <c r="P9" s="1118">
        <v>114</v>
      </c>
      <c r="Q9" s="1118"/>
      <c r="R9" s="460">
        <v>27</v>
      </c>
      <c r="S9" s="1052">
        <v>87</v>
      </c>
      <c r="T9" s="461">
        <v>87</v>
      </c>
      <c r="U9" s="462">
        <v>49</v>
      </c>
      <c r="V9" s="1119">
        <v>136</v>
      </c>
      <c r="W9" s="1119"/>
      <c r="X9" s="462">
        <v>53</v>
      </c>
      <c r="Y9" s="1053">
        <v>83</v>
      </c>
      <c r="Z9" s="463">
        <v>37</v>
      </c>
      <c r="AA9" s="464">
        <v>84</v>
      </c>
      <c r="AB9" s="1120">
        <v>121</v>
      </c>
      <c r="AC9" s="1120"/>
      <c r="AD9" s="464">
        <v>55</v>
      </c>
      <c r="AE9" s="1054">
        <f t="shared" ref="AE9:AE14" si="1">AB9-AD9</f>
        <v>66</v>
      </c>
      <c r="AF9" s="463">
        <v>66</v>
      </c>
      <c r="AG9" s="464">
        <v>64</v>
      </c>
      <c r="AH9" s="1120">
        <v>130</v>
      </c>
      <c r="AI9" s="1120"/>
      <c r="AJ9" s="464">
        <v>89</v>
      </c>
      <c r="AK9" s="464">
        <v>33</v>
      </c>
      <c r="AL9" s="463">
        <v>33</v>
      </c>
      <c r="AM9" s="464">
        <v>51</v>
      </c>
      <c r="AN9" s="1120">
        <v>84</v>
      </c>
      <c r="AO9" s="1120"/>
      <c r="AP9" s="464">
        <v>46</v>
      </c>
      <c r="AQ9" s="464">
        <v>38</v>
      </c>
      <c r="AR9" s="465">
        <v>38</v>
      </c>
      <c r="AS9" s="464">
        <v>133</v>
      </c>
      <c r="AT9" s="1120">
        <v>171</v>
      </c>
      <c r="AU9" s="1120"/>
      <c r="AV9" s="464">
        <v>95</v>
      </c>
      <c r="AW9" s="1054">
        <v>75</v>
      </c>
      <c r="AX9" s="466">
        <v>75</v>
      </c>
      <c r="AY9" s="467">
        <v>198</v>
      </c>
      <c r="AZ9" s="1126">
        <v>273</v>
      </c>
      <c r="BA9" s="1126"/>
      <c r="BB9" s="467">
        <v>192</v>
      </c>
      <c r="BC9" s="467">
        <v>81</v>
      </c>
      <c r="BD9" s="466">
        <v>81</v>
      </c>
      <c r="BE9" s="467">
        <v>146</v>
      </c>
      <c r="BF9" s="1126">
        <v>227</v>
      </c>
      <c r="BG9" s="1126"/>
      <c r="BH9" s="467">
        <v>129</v>
      </c>
      <c r="BI9" s="1055">
        <v>108</v>
      </c>
      <c r="BJ9" s="466">
        <v>108</v>
      </c>
      <c r="BK9" s="926">
        <v>211</v>
      </c>
      <c r="BL9" s="1126">
        <v>319</v>
      </c>
      <c r="BM9" s="1126"/>
      <c r="BN9" s="926">
        <v>140</v>
      </c>
      <c r="BO9" s="926">
        <v>179</v>
      </c>
      <c r="BP9" s="1056">
        <v>179</v>
      </c>
      <c r="BQ9" s="926">
        <v>84</v>
      </c>
      <c r="BR9" s="1126">
        <v>263</v>
      </c>
      <c r="BS9" s="1126"/>
      <c r="BT9" s="926">
        <v>145</v>
      </c>
      <c r="BU9" s="1057">
        <v>117</v>
      </c>
      <c r="BV9" s="1056">
        <v>117</v>
      </c>
      <c r="BW9" s="926">
        <v>168</v>
      </c>
      <c r="BX9" s="1126">
        <v>168</v>
      </c>
      <c r="BY9" s="1126"/>
      <c r="BZ9" s="926">
        <v>178</v>
      </c>
      <c r="CA9" s="1057">
        <v>7</v>
      </c>
      <c r="CB9" s="1059" t="s">
        <v>581</v>
      </c>
    </row>
    <row r="10" spans="1:85" s="929" customFormat="1" ht="23.25" customHeight="1">
      <c r="A10" s="928" t="s">
        <v>582</v>
      </c>
      <c r="B10" s="456">
        <v>7</v>
      </c>
      <c r="C10" s="1116">
        <v>7</v>
      </c>
      <c r="D10" s="1116"/>
      <c r="E10" s="457">
        <v>7</v>
      </c>
      <c r="F10" s="1116">
        <f t="shared" si="0"/>
        <v>0</v>
      </c>
      <c r="G10" s="1117"/>
      <c r="H10" s="456">
        <v>0</v>
      </c>
      <c r="I10" s="457">
        <v>0</v>
      </c>
      <c r="J10" s="1116">
        <v>0</v>
      </c>
      <c r="K10" s="1116"/>
      <c r="L10" s="457">
        <v>0</v>
      </c>
      <c r="M10" s="1051">
        <v>0</v>
      </c>
      <c r="N10" s="459">
        <v>0</v>
      </c>
      <c r="O10" s="460">
        <v>0</v>
      </c>
      <c r="P10" s="1118">
        <v>0</v>
      </c>
      <c r="Q10" s="1118"/>
      <c r="R10" s="460">
        <v>0</v>
      </c>
      <c r="S10" s="1052">
        <v>0</v>
      </c>
      <c r="T10" s="461">
        <v>0</v>
      </c>
      <c r="U10" s="462">
        <v>2</v>
      </c>
      <c r="V10" s="1119">
        <v>2</v>
      </c>
      <c r="W10" s="1119"/>
      <c r="X10" s="462">
        <v>0</v>
      </c>
      <c r="Y10" s="1053">
        <v>2</v>
      </c>
      <c r="Z10" s="463">
        <v>1</v>
      </c>
      <c r="AA10" s="464">
        <v>1</v>
      </c>
      <c r="AB10" s="1120">
        <v>2</v>
      </c>
      <c r="AC10" s="1120"/>
      <c r="AD10" s="464">
        <v>1</v>
      </c>
      <c r="AE10" s="1054">
        <f t="shared" si="1"/>
        <v>1</v>
      </c>
      <c r="AF10" s="463">
        <v>1</v>
      </c>
      <c r="AG10" s="464">
        <v>0</v>
      </c>
      <c r="AH10" s="1120">
        <v>1</v>
      </c>
      <c r="AI10" s="1120"/>
      <c r="AJ10" s="464">
        <v>1</v>
      </c>
      <c r="AK10" s="464">
        <v>0</v>
      </c>
      <c r="AL10" s="463">
        <v>0</v>
      </c>
      <c r="AM10" s="464">
        <v>5</v>
      </c>
      <c r="AN10" s="1120">
        <v>5</v>
      </c>
      <c r="AO10" s="1120"/>
      <c r="AP10" s="464">
        <v>0</v>
      </c>
      <c r="AQ10" s="464">
        <v>5</v>
      </c>
      <c r="AR10" s="465">
        <v>5</v>
      </c>
      <c r="AS10" s="464">
        <v>1</v>
      </c>
      <c r="AT10" s="1120">
        <v>6</v>
      </c>
      <c r="AU10" s="1120"/>
      <c r="AV10" s="464">
        <v>1</v>
      </c>
      <c r="AW10" s="1054">
        <v>5</v>
      </c>
      <c r="AX10" s="466">
        <v>5</v>
      </c>
      <c r="AY10" s="467">
        <v>0</v>
      </c>
      <c r="AZ10" s="1126">
        <v>5</v>
      </c>
      <c r="BA10" s="1126"/>
      <c r="BB10" s="467">
        <v>0</v>
      </c>
      <c r="BC10" s="467">
        <v>5</v>
      </c>
      <c r="BD10" s="466">
        <v>2</v>
      </c>
      <c r="BE10" s="467">
        <v>1</v>
      </c>
      <c r="BF10" s="1126">
        <v>3</v>
      </c>
      <c r="BG10" s="1126"/>
      <c r="BH10" s="467">
        <v>1</v>
      </c>
      <c r="BI10" s="1055">
        <v>1</v>
      </c>
      <c r="BJ10" s="466">
        <v>1</v>
      </c>
      <c r="BK10" s="926">
        <v>1</v>
      </c>
      <c r="BL10" s="1126">
        <v>2</v>
      </c>
      <c r="BM10" s="1126"/>
      <c r="BN10" s="926">
        <v>0</v>
      </c>
      <c r="BO10" s="926">
        <v>2</v>
      </c>
      <c r="BP10" s="1056">
        <v>2</v>
      </c>
      <c r="BQ10" s="926">
        <v>1</v>
      </c>
      <c r="BR10" s="1126">
        <v>3</v>
      </c>
      <c r="BS10" s="1126"/>
      <c r="BT10" s="926">
        <v>1</v>
      </c>
      <c r="BU10" s="1057">
        <v>2</v>
      </c>
      <c r="BV10" s="1056">
        <v>2</v>
      </c>
      <c r="BW10" s="926">
        <v>9</v>
      </c>
      <c r="BX10" s="1126">
        <v>9</v>
      </c>
      <c r="BY10" s="1126"/>
      <c r="BZ10" s="926">
        <v>4</v>
      </c>
      <c r="CA10" s="1057">
        <v>1</v>
      </c>
      <c r="CB10" s="470" t="s">
        <v>583</v>
      </c>
      <c r="CC10" s="470"/>
    </row>
    <row r="11" spans="1:85" s="468" customFormat="1" ht="42">
      <c r="A11" s="469" t="s">
        <v>584</v>
      </c>
      <c r="B11" s="456"/>
      <c r="C11" s="457"/>
      <c r="D11" s="457"/>
      <c r="E11" s="457"/>
      <c r="F11" s="457"/>
      <c r="G11" s="458"/>
      <c r="H11" s="456"/>
      <c r="I11" s="457"/>
      <c r="J11" s="457"/>
      <c r="K11" s="457"/>
      <c r="L11" s="457"/>
      <c r="M11" s="1051"/>
      <c r="N11" s="459"/>
      <c r="O11" s="460"/>
      <c r="P11" s="460"/>
      <c r="Q11" s="460"/>
      <c r="R11" s="460"/>
      <c r="S11" s="1052"/>
      <c r="T11" s="461"/>
      <c r="U11" s="462"/>
      <c r="V11" s="462"/>
      <c r="W11" s="462"/>
      <c r="X11" s="462"/>
      <c r="Y11" s="1053"/>
      <c r="Z11" s="463"/>
      <c r="AA11" s="464"/>
      <c r="AB11" s="464"/>
      <c r="AC11" s="464"/>
      <c r="AD11" s="464"/>
      <c r="AE11" s="1054"/>
      <c r="AF11" s="463"/>
      <c r="AG11" s="464"/>
      <c r="AH11" s="464"/>
      <c r="AI11" s="464"/>
      <c r="AJ11" s="464"/>
      <c r="AK11" s="464"/>
      <c r="AL11" s="463"/>
      <c r="AM11" s="464"/>
      <c r="AN11" s="464"/>
      <c r="AO11" s="464"/>
      <c r="AP11" s="464"/>
      <c r="AQ11" s="464"/>
      <c r="AR11" s="465"/>
      <c r="AS11" s="464"/>
      <c r="AT11" s="464"/>
      <c r="AU11" s="464"/>
      <c r="AV11" s="464"/>
      <c r="AW11" s="1054"/>
      <c r="AX11" s="466">
        <v>0</v>
      </c>
      <c r="AY11" s="467">
        <v>0</v>
      </c>
      <c r="AZ11" s="1126">
        <v>0</v>
      </c>
      <c r="BA11" s="1126">
        <v>0</v>
      </c>
      <c r="BB11" s="467">
        <v>0</v>
      </c>
      <c r="BC11" s="467">
        <v>0</v>
      </c>
      <c r="BD11" s="466">
        <v>0</v>
      </c>
      <c r="BE11" s="467">
        <v>0</v>
      </c>
      <c r="BF11" s="1126">
        <v>0</v>
      </c>
      <c r="BG11" s="1126"/>
      <c r="BH11" s="467">
        <v>0</v>
      </c>
      <c r="BI11" s="1055">
        <v>0</v>
      </c>
      <c r="BJ11" s="466">
        <v>0</v>
      </c>
      <c r="BK11" s="926">
        <v>5</v>
      </c>
      <c r="BL11" s="1126">
        <v>5</v>
      </c>
      <c r="BM11" s="1126"/>
      <c r="BN11" s="926">
        <v>2</v>
      </c>
      <c r="BO11" s="926">
        <v>3</v>
      </c>
      <c r="BP11" s="1056">
        <v>3</v>
      </c>
      <c r="BQ11" s="926">
        <v>10</v>
      </c>
      <c r="BR11" s="1126">
        <v>13</v>
      </c>
      <c r="BS11" s="1126"/>
      <c r="BT11" s="926">
        <v>3</v>
      </c>
      <c r="BU11" s="1057">
        <v>10</v>
      </c>
      <c r="BV11" s="1056">
        <v>10</v>
      </c>
      <c r="BW11" s="926">
        <v>0</v>
      </c>
      <c r="BX11" s="1126">
        <v>0</v>
      </c>
      <c r="BY11" s="1126"/>
      <c r="BZ11" s="926">
        <v>9</v>
      </c>
      <c r="CA11" s="1057">
        <v>0</v>
      </c>
      <c r="CB11" s="1058" t="s">
        <v>585</v>
      </c>
      <c r="CC11" s="470"/>
    </row>
    <row r="12" spans="1:85" s="468" customFormat="1" ht="21">
      <c r="A12" s="455" t="s">
        <v>586</v>
      </c>
      <c r="B12" s="456">
        <v>0</v>
      </c>
      <c r="C12" s="1116">
        <v>0</v>
      </c>
      <c r="D12" s="1116"/>
      <c r="E12" s="457">
        <v>0</v>
      </c>
      <c r="F12" s="1116">
        <v>0</v>
      </c>
      <c r="G12" s="1117"/>
      <c r="H12" s="456">
        <v>0</v>
      </c>
      <c r="I12" s="457">
        <v>22</v>
      </c>
      <c r="J12" s="1116">
        <v>22</v>
      </c>
      <c r="K12" s="1116"/>
      <c r="L12" s="457">
        <v>22</v>
      </c>
      <c r="M12" s="1051">
        <v>0</v>
      </c>
      <c r="N12" s="459">
        <v>0</v>
      </c>
      <c r="O12" s="460">
        <v>1</v>
      </c>
      <c r="P12" s="1118">
        <v>1</v>
      </c>
      <c r="Q12" s="1118"/>
      <c r="R12" s="460">
        <v>1</v>
      </c>
      <c r="S12" s="1052">
        <v>0</v>
      </c>
      <c r="T12" s="461">
        <v>0</v>
      </c>
      <c r="U12" s="462">
        <v>20</v>
      </c>
      <c r="V12" s="1119">
        <v>20</v>
      </c>
      <c r="W12" s="1119"/>
      <c r="X12" s="462">
        <v>20</v>
      </c>
      <c r="Y12" s="1053">
        <v>0</v>
      </c>
      <c r="Z12" s="463">
        <v>0</v>
      </c>
      <c r="AA12" s="464">
        <v>2</v>
      </c>
      <c r="AB12" s="1120">
        <v>2</v>
      </c>
      <c r="AC12" s="1120"/>
      <c r="AD12" s="464">
        <v>2</v>
      </c>
      <c r="AE12" s="1054">
        <f t="shared" si="1"/>
        <v>0</v>
      </c>
      <c r="AF12" s="463">
        <v>0</v>
      </c>
      <c r="AG12" s="464">
        <v>15</v>
      </c>
      <c r="AH12" s="1120">
        <v>0</v>
      </c>
      <c r="AI12" s="1120"/>
      <c r="AJ12" s="464">
        <v>15</v>
      </c>
      <c r="AK12" s="464">
        <v>0</v>
      </c>
      <c r="AL12" s="463">
        <v>0</v>
      </c>
      <c r="AM12" s="464">
        <v>0</v>
      </c>
      <c r="AN12" s="1120">
        <v>0</v>
      </c>
      <c r="AO12" s="1120"/>
      <c r="AP12" s="464">
        <v>0</v>
      </c>
      <c r="AQ12" s="464">
        <v>0</v>
      </c>
      <c r="AR12" s="465">
        <v>0</v>
      </c>
      <c r="AS12" s="464">
        <v>0</v>
      </c>
      <c r="AT12" s="1120">
        <v>0</v>
      </c>
      <c r="AU12" s="1120"/>
      <c r="AV12" s="464">
        <v>0</v>
      </c>
      <c r="AW12" s="1054">
        <v>0</v>
      </c>
      <c r="AX12" s="466">
        <v>0</v>
      </c>
      <c r="AY12" s="467">
        <v>1</v>
      </c>
      <c r="AZ12" s="1126">
        <v>1</v>
      </c>
      <c r="BA12" s="1126"/>
      <c r="BB12" s="467">
        <v>1</v>
      </c>
      <c r="BC12" s="467">
        <v>0</v>
      </c>
      <c r="BD12" s="466">
        <v>0</v>
      </c>
      <c r="BE12" s="467">
        <v>0</v>
      </c>
      <c r="BF12" s="1126">
        <v>0</v>
      </c>
      <c r="BG12" s="1126"/>
      <c r="BH12" s="467">
        <v>0</v>
      </c>
      <c r="BI12" s="1055">
        <v>0</v>
      </c>
      <c r="BJ12" s="466">
        <v>0</v>
      </c>
      <c r="BK12" s="926">
        <v>7</v>
      </c>
      <c r="BL12" s="1126">
        <v>7</v>
      </c>
      <c r="BM12" s="1126"/>
      <c r="BN12" s="926">
        <v>7</v>
      </c>
      <c r="BO12" s="926">
        <v>0</v>
      </c>
      <c r="BP12" s="1056">
        <v>0</v>
      </c>
      <c r="BQ12" s="926">
        <v>0</v>
      </c>
      <c r="BR12" s="1126">
        <v>0</v>
      </c>
      <c r="BS12" s="1126"/>
      <c r="BT12" s="926">
        <v>0</v>
      </c>
      <c r="BU12" s="1057">
        <v>0</v>
      </c>
      <c r="BV12" s="1056">
        <v>0</v>
      </c>
      <c r="BW12" s="926">
        <v>7</v>
      </c>
      <c r="BX12" s="1126">
        <v>7</v>
      </c>
      <c r="BY12" s="1126"/>
      <c r="BZ12" s="926">
        <v>7</v>
      </c>
      <c r="CA12" s="1057">
        <v>0</v>
      </c>
      <c r="CB12" s="284" t="s">
        <v>587</v>
      </c>
    </row>
    <row r="13" spans="1:85" s="468" customFormat="1" ht="21">
      <c r="A13" s="455" t="s">
        <v>588</v>
      </c>
      <c r="B13" s="456">
        <v>0</v>
      </c>
      <c r="C13" s="1116">
        <v>0</v>
      </c>
      <c r="D13" s="1116"/>
      <c r="E13" s="457">
        <v>0</v>
      </c>
      <c r="F13" s="1116">
        <v>0</v>
      </c>
      <c r="G13" s="1117"/>
      <c r="H13" s="456">
        <v>0</v>
      </c>
      <c r="I13" s="457">
        <v>0</v>
      </c>
      <c r="J13" s="1116">
        <v>0</v>
      </c>
      <c r="K13" s="1116"/>
      <c r="L13" s="457">
        <v>0</v>
      </c>
      <c r="M13" s="1051">
        <v>0</v>
      </c>
      <c r="N13" s="459">
        <v>0</v>
      </c>
      <c r="O13" s="460">
        <v>0</v>
      </c>
      <c r="P13" s="1118">
        <v>0</v>
      </c>
      <c r="Q13" s="1118"/>
      <c r="R13" s="460">
        <v>0</v>
      </c>
      <c r="S13" s="1052">
        <v>0</v>
      </c>
      <c r="T13" s="461">
        <v>0</v>
      </c>
      <c r="U13" s="462">
        <v>1</v>
      </c>
      <c r="V13" s="1119">
        <v>1</v>
      </c>
      <c r="W13" s="1119"/>
      <c r="X13" s="462">
        <v>0</v>
      </c>
      <c r="Y13" s="1053">
        <v>1</v>
      </c>
      <c r="Z13" s="463">
        <v>0</v>
      </c>
      <c r="AA13" s="464">
        <v>0</v>
      </c>
      <c r="AB13" s="1120">
        <v>0</v>
      </c>
      <c r="AC13" s="1120"/>
      <c r="AD13" s="464">
        <v>0</v>
      </c>
      <c r="AE13" s="1054">
        <f t="shared" si="1"/>
        <v>0</v>
      </c>
      <c r="AF13" s="463">
        <v>0</v>
      </c>
      <c r="AG13" s="464">
        <v>0</v>
      </c>
      <c r="AH13" s="1120">
        <v>0</v>
      </c>
      <c r="AI13" s="1120"/>
      <c r="AJ13" s="464">
        <v>0</v>
      </c>
      <c r="AK13" s="464">
        <v>0</v>
      </c>
      <c r="AL13" s="463">
        <v>0</v>
      </c>
      <c r="AM13" s="464">
        <v>0</v>
      </c>
      <c r="AN13" s="1120">
        <v>0</v>
      </c>
      <c r="AO13" s="1120"/>
      <c r="AP13" s="464">
        <v>0</v>
      </c>
      <c r="AQ13" s="464">
        <v>0</v>
      </c>
      <c r="AR13" s="465">
        <v>0</v>
      </c>
      <c r="AS13" s="464">
        <v>0</v>
      </c>
      <c r="AT13" s="1120">
        <v>0</v>
      </c>
      <c r="AU13" s="1120"/>
      <c r="AV13" s="464">
        <v>0</v>
      </c>
      <c r="AW13" s="1054">
        <v>0</v>
      </c>
      <c r="AX13" s="466">
        <v>0</v>
      </c>
      <c r="AY13" s="467">
        <v>0</v>
      </c>
      <c r="AZ13" s="1126">
        <v>0</v>
      </c>
      <c r="BA13" s="1126"/>
      <c r="BB13" s="467">
        <v>0</v>
      </c>
      <c r="BC13" s="467">
        <v>0</v>
      </c>
      <c r="BD13" s="466">
        <v>0</v>
      </c>
      <c r="BE13" s="467">
        <v>1</v>
      </c>
      <c r="BF13" s="1126">
        <v>1</v>
      </c>
      <c r="BG13" s="1126"/>
      <c r="BH13" s="467">
        <v>0</v>
      </c>
      <c r="BI13" s="1055">
        <v>1</v>
      </c>
      <c r="BJ13" s="466">
        <v>1</v>
      </c>
      <c r="BK13" s="926">
        <v>0</v>
      </c>
      <c r="BL13" s="1126">
        <v>0</v>
      </c>
      <c r="BM13" s="1126"/>
      <c r="BN13" s="926">
        <v>0</v>
      </c>
      <c r="BO13" s="926">
        <v>0</v>
      </c>
      <c r="BP13" s="1056">
        <v>0</v>
      </c>
      <c r="BQ13" s="926">
        <v>0</v>
      </c>
      <c r="BR13" s="1126">
        <v>0</v>
      </c>
      <c r="BS13" s="1126"/>
      <c r="BT13" s="926">
        <v>0</v>
      </c>
      <c r="BU13" s="1057">
        <v>0</v>
      </c>
      <c r="BV13" s="1056">
        <v>0</v>
      </c>
      <c r="BW13" s="926">
        <v>0</v>
      </c>
      <c r="BX13" s="1126">
        <v>0</v>
      </c>
      <c r="BY13" s="1126"/>
      <c r="BZ13" s="926">
        <v>0</v>
      </c>
      <c r="CA13" s="1057">
        <v>0</v>
      </c>
      <c r="CB13" s="284" t="s">
        <v>589</v>
      </c>
    </row>
    <row r="14" spans="1:85" s="468" customFormat="1" ht="21">
      <c r="A14" s="471" t="s">
        <v>590</v>
      </c>
      <c r="B14" s="472">
        <v>14</v>
      </c>
      <c r="C14" s="1128">
        <v>14</v>
      </c>
      <c r="D14" s="1128"/>
      <c r="E14" s="473">
        <v>12</v>
      </c>
      <c r="F14" s="1128">
        <f t="shared" si="0"/>
        <v>2</v>
      </c>
      <c r="G14" s="1129"/>
      <c r="H14" s="472">
        <v>2</v>
      </c>
      <c r="I14" s="473">
        <v>4</v>
      </c>
      <c r="J14" s="1128">
        <v>6</v>
      </c>
      <c r="K14" s="1128"/>
      <c r="L14" s="473">
        <v>3</v>
      </c>
      <c r="M14" s="474">
        <v>3</v>
      </c>
      <c r="N14" s="475">
        <v>3</v>
      </c>
      <c r="O14" s="476">
        <v>1</v>
      </c>
      <c r="P14" s="1130">
        <v>4</v>
      </c>
      <c r="Q14" s="1130"/>
      <c r="R14" s="476">
        <v>2</v>
      </c>
      <c r="S14" s="477">
        <v>2</v>
      </c>
      <c r="T14" s="478">
        <v>2</v>
      </c>
      <c r="U14" s="479">
        <v>8</v>
      </c>
      <c r="V14" s="1131">
        <v>10</v>
      </c>
      <c r="W14" s="1131"/>
      <c r="X14" s="479">
        <v>2</v>
      </c>
      <c r="Y14" s="480">
        <v>8</v>
      </c>
      <c r="Z14" s="481">
        <v>7</v>
      </c>
      <c r="AA14" s="482">
        <v>6</v>
      </c>
      <c r="AB14" s="1127">
        <v>13</v>
      </c>
      <c r="AC14" s="1127"/>
      <c r="AD14" s="482">
        <v>4</v>
      </c>
      <c r="AE14" s="483">
        <f t="shared" si="1"/>
        <v>9</v>
      </c>
      <c r="AF14" s="481">
        <v>9</v>
      </c>
      <c r="AG14" s="482">
        <v>6</v>
      </c>
      <c r="AH14" s="1127">
        <v>15</v>
      </c>
      <c r="AI14" s="1127"/>
      <c r="AJ14" s="482">
        <v>7</v>
      </c>
      <c r="AK14" s="482">
        <v>7</v>
      </c>
      <c r="AL14" s="463">
        <v>7</v>
      </c>
      <c r="AM14" s="464">
        <v>2</v>
      </c>
      <c r="AN14" s="1120">
        <v>9</v>
      </c>
      <c r="AO14" s="1120"/>
      <c r="AP14" s="464">
        <v>6</v>
      </c>
      <c r="AQ14" s="464">
        <v>4</v>
      </c>
      <c r="AR14" s="465">
        <v>4</v>
      </c>
      <c r="AS14" s="464">
        <v>2</v>
      </c>
      <c r="AT14" s="1120">
        <v>6</v>
      </c>
      <c r="AU14" s="1120"/>
      <c r="AV14" s="464">
        <v>2</v>
      </c>
      <c r="AW14" s="1054">
        <v>2</v>
      </c>
      <c r="AX14" s="466">
        <v>2</v>
      </c>
      <c r="AY14" s="467">
        <v>1</v>
      </c>
      <c r="AZ14" s="1126">
        <v>3</v>
      </c>
      <c r="BA14" s="1126"/>
      <c r="BB14" s="467">
        <v>2</v>
      </c>
      <c r="BC14" s="467">
        <v>1</v>
      </c>
      <c r="BD14" s="466">
        <v>1</v>
      </c>
      <c r="BE14" s="467">
        <v>1</v>
      </c>
      <c r="BF14" s="1126">
        <v>2</v>
      </c>
      <c r="BG14" s="1126"/>
      <c r="BH14" s="467">
        <v>1</v>
      </c>
      <c r="BI14" s="1055">
        <v>1</v>
      </c>
      <c r="BJ14" s="466">
        <v>2</v>
      </c>
      <c r="BK14" s="926">
        <v>2</v>
      </c>
      <c r="BL14" s="1126">
        <v>3</v>
      </c>
      <c r="BM14" s="1126"/>
      <c r="BN14" s="926">
        <v>1</v>
      </c>
      <c r="BO14" s="926">
        <v>1</v>
      </c>
      <c r="BP14" s="1056">
        <v>1</v>
      </c>
      <c r="BQ14" s="926">
        <v>6</v>
      </c>
      <c r="BR14" s="1126">
        <v>7</v>
      </c>
      <c r="BS14" s="1126"/>
      <c r="BT14" s="926">
        <v>1</v>
      </c>
      <c r="BU14" s="1057">
        <v>6</v>
      </c>
      <c r="BV14" s="1056">
        <v>6</v>
      </c>
      <c r="BW14" s="926">
        <v>0</v>
      </c>
      <c r="BX14" s="1126">
        <v>6</v>
      </c>
      <c r="BY14" s="1126"/>
      <c r="BZ14" s="926">
        <v>5</v>
      </c>
      <c r="CA14" s="1057">
        <v>1</v>
      </c>
      <c r="CB14" s="1059" t="s">
        <v>591</v>
      </c>
    </row>
    <row r="15" spans="1:85" s="468" customFormat="1" ht="21">
      <c r="A15" s="471" t="s">
        <v>592</v>
      </c>
      <c r="B15" s="457"/>
      <c r="C15" s="457"/>
      <c r="D15" s="457"/>
      <c r="E15" s="457"/>
      <c r="F15" s="457"/>
      <c r="G15" s="457"/>
      <c r="H15" s="457"/>
      <c r="I15" s="457"/>
      <c r="J15" s="457"/>
      <c r="K15" s="457"/>
      <c r="L15" s="457"/>
      <c r="M15" s="457"/>
      <c r="N15" s="54"/>
      <c r="O15" s="460"/>
      <c r="P15" s="460"/>
      <c r="Q15" s="460"/>
      <c r="R15" s="460"/>
      <c r="S15" s="460"/>
      <c r="T15" s="484"/>
      <c r="U15" s="462"/>
      <c r="V15" s="462"/>
      <c r="W15" s="462"/>
      <c r="X15" s="462"/>
      <c r="Y15" s="462"/>
      <c r="Z15" s="465"/>
      <c r="AA15" s="464"/>
      <c r="AB15" s="464"/>
      <c r="AC15" s="464"/>
      <c r="AD15" s="464"/>
      <c r="AE15" s="464"/>
      <c r="AF15" s="465"/>
      <c r="AG15" s="464"/>
      <c r="AH15" s="464"/>
      <c r="AI15" s="464"/>
      <c r="AJ15" s="464"/>
      <c r="AK15" s="464"/>
      <c r="AL15" s="463">
        <v>0</v>
      </c>
      <c r="AM15" s="464">
        <v>0</v>
      </c>
      <c r="AN15" s="1120">
        <v>0</v>
      </c>
      <c r="AO15" s="1120"/>
      <c r="AP15" s="464">
        <v>0</v>
      </c>
      <c r="AQ15" s="464">
        <v>0</v>
      </c>
      <c r="AR15" s="465">
        <v>0</v>
      </c>
      <c r="AS15" s="464">
        <v>0</v>
      </c>
      <c r="AT15" s="1120">
        <v>0</v>
      </c>
      <c r="AU15" s="1120"/>
      <c r="AV15" s="464">
        <v>0</v>
      </c>
      <c r="AW15" s="1054">
        <v>0</v>
      </c>
      <c r="AX15" s="466">
        <v>0</v>
      </c>
      <c r="AY15" s="467">
        <v>19</v>
      </c>
      <c r="AZ15" s="1126">
        <v>19</v>
      </c>
      <c r="BA15" s="1126"/>
      <c r="BB15" s="467">
        <v>18</v>
      </c>
      <c r="BC15" s="467">
        <v>1</v>
      </c>
      <c r="BD15" s="466">
        <v>1</v>
      </c>
      <c r="BE15" s="467">
        <v>0</v>
      </c>
      <c r="BF15" s="1126">
        <v>1</v>
      </c>
      <c r="BG15" s="1126"/>
      <c r="BH15" s="467">
        <v>1</v>
      </c>
      <c r="BI15" s="1055">
        <v>0</v>
      </c>
      <c r="BJ15" s="466">
        <v>0</v>
      </c>
      <c r="BK15" s="926">
        <v>0</v>
      </c>
      <c r="BL15" s="1126">
        <v>0</v>
      </c>
      <c r="BM15" s="1126"/>
      <c r="BN15" s="926">
        <v>0</v>
      </c>
      <c r="BO15" s="926">
        <v>0</v>
      </c>
      <c r="BP15" s="1056">
        <v>0</v>
      </c>
      <c r="BQ15" s="926">
        <v>9</v>
      </c>
      <c r="BR15" s="1126">
        <v>9</v>
      </c>
      <c r="BS15" s="1126"/>
      <c r="BT15" s="926">
        <v>9</v>
      </c>
      <c r="BU15" s="1057">
        <v>0</v>
      </c>
      <c r="BV15" s="1056">
        <v>0</v>
      </c>
      <c r="BW15" s="926">
        <v>6</v>
      </c>
      <c r="BX15" s="1126">
        <v>6</v>
      </c>
      <c r="BY15" s="1126"/>
      <c r="BZ15" s="926">
        <v>6</v>
      </c>
      <c r="CA15" s="1057">
        <v>0</v>
      </c>
      <c r="CB15" s="284" t="s">
        <v>593</v>
      </c>
    </row>
    <row r="16" spans="1:85" s="468" customFormat="1" ht="21">
      <c r="A16" s="485" t="s">
        <v>594</v>
      </c>
      <c r="B16" s="473"/>
      <c r="C16" s="473"/>
      <c r="D16" s="473"/>
      <c r="E16" s="473"/>
      <c r="F16" s="473"/>
      <c r="G16" s="473"/>
      <c r="H16" s="473"/>
      <c r="I16" s="473"/>
      <c r="J16" s="473"/>
      <c r="K16" s="473"/>
      <c r="L16" s="473"/>
      <c r="M16" s="473"/>
      <c r="N16" s="56"/>
      <c r="O16" s="476"/>
      <c r="P16" s="476"/>
      <c r="Q16" s="476"/>
      <c r="R16" s="476"/>
      <c r="S16" s="476"/>
      <c r="T16" s="486"/>
      <c r="U16" s="479"/>
      <c r="V16" s="479"/>
      <c r="W16" s="479"/>
      <c r="X16" s="479"/>
      <c r="Y16" s="479"/>
      <c r="Z16" s="487"/>
      <c r="AA16" s="482"/>
      <c r="AB16" s="482"/>
      <c r="AC16" s="482"/>
      <c r="AD16" s="482"/>
      <c r="AE16" s="482"/>
      <c r="AF16" s="487"/>
      <c r="AG16" s="482"/>
      <c r="AH16" s="482"/>
      <c r="AI16" s="482"/>
      <c r="AJ16" s="482"/>
      <c r="AK16" s="482"/>
      <c r="AL16" s="481">
        <v>0</v>
      </c>
      <c r="AM16" s="482">
        <v>0</v>
      </c>
      <c r="AN16" s="1127">
        <v>0</v>
      </c>
      <c r="AO16" s="1127"/>
      <c r="AP16" s="482">
        <v>0</v>
      </c>
      <c r="AQ16" s="482">
        <v>0</v>
      </c>
      <c r="AR16" s="487">
        <v>0</v>
      </c>
      <c r="AS16" s="482">
        <v>0</v>
      </c>
      <c r="AT16" s="1127">
        <v>0</v>
      </c>
      <c r="AU16" s="1127"/>
      <c r="AV16" s="482">
        <v>0</v>
      </c>
      <c r="AW16" s="483">
        <v>0</v>
      </c>
      <c r="AX16" s="488">
        <v>0</v>
      </c>
      <c r="AY16" s="489">
        <v>0</v>
      </c>
      <c r="AZ16" s="1132">
        <v>0</v>
      </c>
      <c r="BA16" s="1132"/>
      <c r="BB16" s="489">
        <v>0</v>
      </c>
      <c r="BC16" s="489">
        <v>0</v>
      </c>
      <c r="BD16" s="488">
        <v>0</v>
      </c>
      <c r="BE16" s="489">
        <v>43</v>
      </c>
      <c r="BF16" s="1132">
        <v>43</v>
      </c>
      <c r="BG16" s="1132"/>
      <c r="BH16" s="489">
        <v>1</v>
      </c>
      <c r="BI16" s="490">
        <v>42</v>
      </c>
      <c r="BJ16" s="488">
        <v>42</v>
      </c>
      <c r="BK16" s="927">
        <v>34</v>
      </c>
      <c r="BL16" s="1132">
        <v>76</v>
      </c>
      <c r="BM16" s="1132"/>
      <c r="BN16" s="927">
        <v>53</v>
      </c>
      <c r="BO16" s="927">
        <v>23</v>
      </c>
      <c r="BP16" s="1060">
        <v>23</v>
      </c>
      <c r="BQ16" s="927">
        <v>3</v>
      </c>
      <c r="BR16" s="1132">
        <v>26</v>
      </c>
      <c r="BS16" s="1132"/>
      <c r="BT16" s="927">
        <v>20</v>
      </c>
      <c r="BU16" s="1061">
        <v>6</v>
      </c>
      <c r="BV16" s="1060">
        <v>6</v>
      </c>
      <c r="BW16" s="927">
        <v>0</v>
      </c>
      <c r="BX16" s="1132">
        <v>6</v>
      </c>
      <c r="BY16" s="1132"/>
      <c r="BZ16" s="927">
        <v>5</v>
      </c>
      <c r="CA16" s="1061">
        <v>1</v>
      </c>
      <c r="CB16" s="1062" t="s">
        <v>595</v>
      </c>
    </row>
    <row r="17" spans="1:80" s="493" customFormat="1" ht="15.75">
      <c r="A17" s="491" t="s">
        <v>596</v>
      </c>
      <c r="B17" s="492"/>
      <c r="C17" s="492"/>
      <c r="D17" s="492"/>
      <c r="E17" s="492"/>
      <c r="F17" s="492"/>
      <c r="G17" s="492"/>
      <c r="M17" s="494"/>
      <c r="S17" s="494"/>
      <c r="T17" s="494"/>
      <c r="U17" s="494"/>
      <c r="X17" s="494"/>
      <c r="Y17" s="494"/>
      <c r="Z17" s="3"/>
      <c r="AA17" s="3"/>
      <c r="AC17" s="3"/>
      <c r="AD17" s="3"/>
      <c r="AE17" s="495"/>
      <c r="AF17" s="3"/>
      <c r="AG17" s="3"/>
      <c r="AI17" s="3"/>
      <c r="AJ17" s="3"/>
      <c r="AK17" s="495"/>
      <c r="AL17" s="3"/>
      <c r="AM17" s="3"/>
      <c r="AO17" s="3"/>
      <c r="AP17" s="3"/>
      <c r="AQ17" s="495"/>
      <c r="AR17" s="3"/>
      <c r="AS17" s="3"/>
      <c r="AU17" s="3"/>
      <c r="AV17" s="3"/>
      <c r="AW17" s="495"/>
      <c r="AX17" s="3"/>
      <c r="AY17" s="3"/>
      <c r="BA17" s="3"/>
      <c r="BB17" s="3"/>
      <c r="BC17" s="495"/>
      <c r="BD17" s="3"/>
      <c r="BE17" s="3"/>
      <c r="BG17" s="3"/>
      <c r="BH17" s="3"/>
      <c r="BI17" s="495"/>
      <c r="BJ17" s="3"/>
      <c r="BK17" s="3"/>
      <c r="BM17" s="3"/>
      <c r="BN17" s="3"/>
      <c r="BO17" s="495"/>
      <c r="BP17" s="3"/>
      <c r="BQ17" s="3"/>
      <c r="BS17" s="3"/>
      <c r="BT17" s="3"/>
      <c r="BU17" s="495"/>
      <c r="BV17" s="3"/>
      <c r="BW17" s="3"/>
      <c r="BY17" s="3"/>
      <c r="BZ17" s="3"/>
      <c r="CA17" s="495"/>
      <c r="CB17" s="496" t="s">
        <v>597</v>
      </c>
    </row>
    <row r="18" spans="1:80" s="468" customFormat="1">
      <c r="M18" s="497"/>
      <c r="Q18" s="468" t="s">
        <v>598</v>
      </c>
      <c r="S18" s="497"/>
      <c r="T18" s="497"/>
      <c r="U18" s="497"/>
      <c r="W18" s="468" t="s">
        <v>598</v>
      </c>
      <c r="X18" s="497"/>
      <c r="Y18" s="497"/>
      <c r="Z18" s="498"/>
      <c r="AA18" s="498"/>
      <c r="AB18" s="498"/>
      <c r="AC18" s="498" t="s">
        <v>598</v>
      </c>
      <c r="AD18" s="498"/>
      <c r="AE18" s="499"/>
      <c r="AF18" s="498"/>
      <c r="AG18" s="498"/>
      <c r="AH18" s="498"/>
      <c r="AI18" s="498"/>
      <c r="AJ18" s="498"/>
      <c r="AK18" s="499"/>
      <c r="AL18" s="498"/>
      <c r="AM18" s="498"/>
      <c r="AN18" s="498"/>
      <c r="AO18" s="498"/>
      <c r="AP18" s="498"/>
      <c r="AQ18" s="499"/>
      <c r="AR18" s="498"/>
      <c r="AS18" s="498"/>
      <c r="AT18" s="498"/>
      <c r="AU18" s="498"/>
      <c r="AV18" s="498"/>
      <c r="AW18" s="499"/>
      <c r="AX18" s="498"/>
      <c r="AY18" s="498"/>
      <c r="AZ18" s="498"/>
      <c r="BA18" s="498"/>
      <c r="BB18" s="498"/>
      <c r="BC18" s="499"/>
      <c r="BD18" s="498"/>
      <c r="BE18" s="498"/>
      <c r="BF18" s="498"/>
      <c r="BG18" s="498"/>
      <c r="BH18" s="498"/>
      <c r="BI18" s="1"/>
      <c r="BJ18" s="1"/>
      <c r="BK18" s="1"/>
      <c r="BL18" s="1"/>
      <c r="BM18" s="1"/>
      <c r="BN18" s="1"/>
      <c r="BO18" s="1"/>
      <c r="BP18" s="1"/>
      <c r="BQ18" s="1"/>
      <c r="BR18" s="1"/>
      <c r="BS18" s="1"/>
      <c r="BT18" s="1"/>
      <c r="BU18" s="1"/>
      <c r="BV18" s="1"/>
      <c r="BW18" s="1"/>
      <c r="BX18" s="1"/>
      <c r="BY18" s="1"/>
      <c r="BZ18" s="1"/>
      <c r="CA18" s="1"/>
      <c r="CB18" s="1"/>
    </row>
    <row r="19" spans="1:80" s="468" customFormat="1">
      <c r="M19" s="497"/>
      <c r="S19" s="497"/>
      <c r="T19" s="497"/>
      <c r="U19" s="497"/>
      <c r="X19" s="497"/>
      <c r="Y19" s="497"/>
      <c r="Z19" s="498"/>
      <c r="AA19" s="498"/>
      <c r="AB19" s="498"/>
      <c r="AC19" s="498"/>
      <c r="AD19" s="498"/>
      <c r="AE19" s="499"/>
      <c r="AF19" s="498"/>
      <c r="AG19" s="498"/>
      <c r="AH19" s="498"/>
      <c r="AI19" s="498"/>
      <c r="AJ19" s="498"/>
      <c r="AK19" s="498"/>
      <c r="AL19" s="498"/>
      <c r="AM19" s="498"/>
      <c r="AN19" s="498"/>
      <c r="AO19" s="498"/>
      <c r="AP19" s="498"/>
      <c r="AQ19" s="498"/>
      <c r="AR19" s="498"/>
      <c r="AS19" s="498"/>
      <c r="AT19" s="498"/>
      <c r="AU19" s="498"/>
      <c r="AV19" s="498"/>
      <c r="AW19" s="499"/>
      <c r="AX19" s="498"/>
      <c r="AY19" s="498"/>
      <c r="AZ19" s="498"/>
      <c r="BA19" s="498"/>
      <c r="BB19" s="498"/>
      <c r="BC19" s="499"/>
      <c r="BD19" s="498"/>
      <c r="BE19" s="498"/>
      <c r="BF19" s="498"/>
      <c r="BG19" s="498"/>
      <c r="BH19" s="498"/>
      <c r="BI19" s="1"/>
      <c r="BJ19" s="1"/>
      <c r="BK19" s="1"/>
      <c r="BL19" s="1"/>
      <c r="BM19" s="1"/>
      <c r="BN19" s="1"/>
      <c r="BO19" s="1"/>
      <c r="BP19" s="1"/>
      <c r="BQ19" s="1"/>
      <c r="BR19" s="1"/>
      <c r="BS19" s="1"/>
      <c r="BT19" s="1"/>
      <c r="BU19" s="1"/>
      <c r="BV19" s="1"/>
      <c r="BW19" s="1"/>
      <c r="BX19" s="1"/>
      <c r="BY19" s="1"/>
      <c r="BZ19" s="1"/>
      <c r="CA19" s="1"/>
      <c r="CB19" s="1"/>
    </row>
    <row r="23" spans="1:80" ht="24" customHeight="1"/>
    <row r="24" spans="1:80" ht="24" customHeight="1"/>
    <row r="25" spans="1:80" ht="24" customHeight="1"/>
    <row r="26" spans="1:80" ht="24" customHeight="1"/>
    <row r="27" spans="1:80" ht="24" customHeight="1"/>
    <row r="28" spans="1:80" ht="24" customHeight="1"/>
    <row r="29" spans="1:80" ht="42" customHeight="1"/>
    <row r="30" spans="1:80" ht="24" customHeight="1"/>
    <row r="31" spans="1:80" ht="24" customHeight="1"/>
    <row r="32" spans="1:80" ht="24" customHeight="1"/>
    <row r="33" ht="24" customHeight="1"/>
    <row r="34" ht="24" customHeight="1"/>
    <row r="35" ht="24" customHeight="1"/>
    <row r="36" ht="24" customHeight="1"/>
    <row r="37" ht="24" customHeight="1"/>
    <row r="38" ht="24" customHeight="1"/>
  </sheetData>
  <mergeCells count="134">
    <mergeCell ref="BX16:BY16"/>
    <mergeCell ref="BX7:BY7"/>
    <mergeCell ref="BX8:BY8"/>
    <mergeCell ref="BX9:BY9"/>
    <mergeCell ref="BX10:BY10"/>
    <mergeCell ref="BX11:BY11"/>
    <mergeCell ref="BX12:BY12"/>
    <mergeCell ref="BX13:BY13"/>
    <mergeCell ref="BX14:BY14"/>
    <mergeCell ref="BX15:BY15"/>
    <mergeCell ref="BF15:BG15"/>
    <mergeCell ref="BL15:BM15"/>
    <mergeCell ref="BR15:BS15"/>
    <mergeCell ref="AN16:AO16"/>
    <mergeCell ref="AT16:AU16"/>
    <mergeCell ref="AZ16:BA16"/>
    <mergeCell ref="BF16:BG16"/>
    <mergeCell ref="BL16:BM16"/>
    <mergeCell ref="BR16:BS16"/>
    <mergeCell ref="C14:D14"/>
    <mergeCell ref="F14:G14"/>
    <mergeCell ref="J14:K14"/>
    <mergeCell ref="P14:Q14"/>
    <mergeCell ref="V14:W14"/>
    <mergeCell ref="AB14:AC14"/>
    <mergeCell ref="AN15:AO15"/>
    <mergeCell ref="AT15:AU15"/>
    <mergeCell ref="AZ15:BA15"/>
    <mergeCell ref="BR14:BS14"/>
    <mergeCell ref="AH14:AI14"/>
    <mergeCell ref="AN14:AO14"/>
    <mergeCell ref="AT14:AU14"/>
    <mergeCell ref="AZ14:BA14"/>
    <mergeCell ref="BF14:BG14"/>
    <mergeCell ref="BL14:BM14"/>
    <mergeCell ref="AH12:AI12"/>
    <mergeCell ref="AN12:AO12"/>
    <mergeCell ref="AT12:AU12"/>
    <mergeCell ref="AZ12:BA12"/>
    <mergeCell ref="BF12:BG12"/>
    <mergeCell ref="BL12:BM12"/>
    <mergeCell ref="AH13:AI13"/>
    <mergeCell ref="C12:D12"/>
    <mergeCell ref="F12:G12"/>
    <mergeCell ref="J12:K12"/>
    <mergeCell ref="P12:Q12"/>
    <mergeCell ref="V12:W12"/>
    <mergeCell ref="AB12:AC12"/>
    <mergeCell ref="AN13:AO13"/>
    <mergeCell ref="AT13:AU13"/>
    <mergeCell ref="AZ10:BA10"/>
    <mergeCell ref="C10:D10"/>
    <mergeCell ref="F10:G10"/>
    <mergeCell ref="J10:K10"/>
    <mergeCell ref="P10:Q10"/>
    <mergeCell ref="V10:W10"/>
    <mergeCell ref="AB10:AC10"/>
    <mergeCell ref="AH10:AI10"/>
    <mergeCell ref="AN10:AO10"/>
    <mergeCell ref="AT10:AU10"/>
    <mergeCell ref="C13:D13"/>
    <mergeCell ref="F13:G13"/>
    <mergeCell ref="J13:K13"/>
    <mergeCell ref="P13:Q13"/>
    <mergeCell ref="V13:W13"/>
    <mergeCell ref="AB13:AC13"/>
    <mergeCell ref="BF10:BG10"/>
    <mergeCell ref="BL10:BM10"/>
    <mergeCell ref="BR10:BS10"/>
    <mergeCell ref="BL11:BM11"/>
    <mergeCell ref="BR11:BS11"/>
    <mergeCell ref="AZ11:BA11"/>
    <mergeCell ref="BF11:BG11"/>
    <mergeCell ref="BR12:BS12"/>
    <mergeCell ref="AZ13:BA13"/>
    <mergeCell ref="BF13:BG13"/>
    <mergeCell ref="BL13:BM13"/>
    <mergeCell ref="BR13:BS13"/>
    <mergeCell ref="BL8:BM8"/>
    <mergeCell ref="BR8:BS8"/>
    <mergeCell ref="C9:D9"/>
    <mergeCell ref="F9:G9"/>
    <mergeCell ref="J9:K9"/>
    <mergeCell ref="P9:Q9"/>
    <mergeCell ref="V9:W9"/>
    <mergeCell ref="AB9:AC9"/>
    <mergeCell ref="BR9:BS9"/>
    <mergeCell ref="AH9:AI9"/>
    <mergeCell ref="AN9:AO9"/>
    <mergeCell ref="AT9:AU9"/>
    <mergeCell ref="AZ9:BA9"/>
    <mergeCell ref="BF9:BG9"/>
    <mergeCell ref="BL9:BM9"/>
    <mergeCell ref="BR7:BS7"/>
    <mergeCell ref="C8:D8"/>
    <mergeCell ref="F8:G8"/>
    <mergeCell ref="J8:K8"/>
    <mergeCell ref="P8:Q8"/>
    <mergeCell ref="V8:W8"/>
    <mergeCell ref="AB8:AC8"/>
    <mergeCell ref="AH8:AI8"/>
    <mergeCell ref="AN8:AO8"/>
    <mergeCell ref="AT8:AU8"/>
    <mergeCell ref="AH7:AI7"/>
    <mergeCell ref="AN7:AO7"/>
    <mergeCell ref="AT7:AU7"/>
    <mergeCell ref="AZ7:BA7"/>
    <mergeCell ref="BF7:BG7"/>
    <mergeCell ref="BL7:BM7"/>
    <mergeCell ref="C7:D7"/>
    <mergeCell ref="F7:G7"/>
    <mergeCell ref="J7:K7"/>
    <mergeCell ref="P7:Q7"/>
    <mergeCell ref="V7:W7"/>
    <mergeCell ref="AB7:AC7"/>
    <mergeCell ref="AZ8:BA8"/>
    <mergeCell ref="BF8:BG8"/>
    <mergeCell ref="AR5:AW5"/>
    <mergeCell ref="AX5:BC5"/>
    <mergeCell ref="BD5:BI5"/>
    <mergeCell ref="BJ5:BO5"/>
    <mergeCell ref="BP5:BU5"/>
    <mergeCell ref="CB5:CB6"/>
    <mergeCell ref="A2:CB2"/>
    <mergeCell ref="A3:CB3"/>
    <mergeCell ref="A5:A6"/>
    <mergeCell ref="B5:G5"/>
    <mergeCell ref="H5:M5"/>
    <mergeCell ref="N5:S5"/>
    <mergeCell ref="T5:Y5"/>
    <mergeCell ref="Z5:AE5"/>
    <mergeCell ref="AF5:AK5"/>
    <mergeCell ref="AL5:AQ5"/>
    <mergeCell ref="BV5:CA5"/>
  </mergeCells>
  <pageMargins left="0.7" right="0.7" top="0.75" bottom="0.75" header="0.3" footer="0.3"/>
  <pageSetup paperSize="9" scale="3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BO507"/>
  <sheetViews>
    <sheetView view="pageBreakPreview" zoomScale="60" zoomScaleNormal="69" workbookViewId="0">
      <selection activeCell="AC13" sqref="AC13"/>
    </sheetView>
  </sheetViews>
  <sheetFormatPr defaultColWidth="12.28515625" defaultRowHeight="15"/>
  <cols>
    <col min="1" max="1" width="8.5703125" style="55" customWidth="1"/>
    <col min="2" max="2" width="19.85546875" style="1" customWidth="1"/>
    <col min="3" max="7" width="9.85546875" style="1" customWidth="1"/>
    <col min="8" max="8" width="1.5703125" style="1" customWidth="1"/>
    <col min="9" max="13" width="10.42578125" style="1" customWidth="1"/>
    <col min="14" max="14" width="2" style="1" customWidth="1"/>
    <col min="15" max="19" width="10.42578125" style="1" customWidth="1"/>
    <col min="20" max="20" width="1.7109375" style="1" customWidth="1"/>
    <col min="21" max="24" width="10" style="1" customWidth="1"/>
    <col min="25" max="25" width="10" style="22" customWidth="1"/>
    <col min="26" max="33" width="12.28515625" style="1"/>
    <col min="34" max="36" width="13.7109375" style="1" customWidth="1"/>
    <col min="37" max="16384" width="12.28515625" style="1"/>
  </cols>
  <sheetData>
    <row r="1" spans="1:67" ht="21">
      <c r="A1" s="1133" t="s">
        <v>2172</v>
      </c>
      <c r="B1" s="1133"/>
      <c r="C1" s="1133"/>
      <c r="D1" s="1133"/>
      <c r="E1" s="1133"/>
      <c r="F1" s="1133"/>
      <c r="G1" s="1133"/>
      <c r="H1" s="1133"/>
      <c r="I1" s="1133"/>
      <c r="J1" s="1133"/>
      <c r="K1" s="1133"/>
      <c r="L1" s="1133"/>
      <c r="M1" s="1133"/>
      <c r="N1" s="1133"/>
      <c r="O1" s="1133"/>
      <c r="P1" s="1133"/>
      <c r="Q1" s="1133"/>
      <c r="R1" s="1133"/>
      <c r="S1" s="1133"/>
      <c r="T1" s="1133"/>
      <c r="U1" s="1133"/>
      <c r="V1" s="1133"/>
      <c r="W1" s="1133"/>
      <c r="X1" s="1133"/>
      <c r="Y1" s="1133"/>
    </row>
    <row r="2" spans="1:67">
      <c r="A2" s="1098" t="s">
        <v>2171</v>
      </c>
      <c r="B2" s="1098"/>
      <c r="C2" s="1098"/>
      <c r="D2" s="1098"/>
      <c r="E2" s="1098"/>
      <c r="F2" s="1098"/>
      <c r="G2" s="1098"/>
      <c r="H2" s="1098"/>
      <c r="I2" s="1098"/>
      <c r="J2" s="1098"/>
      <c r="K2" s="1098"/>
      <c r="L2" s="1098"/>
      <c r="M2" s="1098"/>
      <c r="N2" s="1098"/>
      <c r="O2" s="1098"/>
      <c r="P2" s="1098"/>
      <c r="Q2" s="1098"/>
      <c r="R2" s="1098"/>
      <c r="S2" s="1098"/>
      <c r="T2" s="1098"/>
      <c r="U2" s="1098"/>
      <c r="V2" s="1098"/>
      <c r="W2" s="1098"/>
      <c r="X2" s="1098"/>
      <c r="Y2" s="1098"/>
    </row>
    <row r="3" spans="1:67">
      <c r="A3" s="1134" t="s">
        <v>182</v>
      </c>
      <c r="B3" s="1134" t="s">
        <v>161</v>
      </c>
      <c r="C3" s="1135" t="s">
        <v>183</v>
      </c>
      <c r="D3" s="1135"/>
      <c r="E3" s="1135"/>
      <c r="F3" s="1135"/>
      <c r="G3" s="1135"/>
      <c r="H3" s="154"/>
      <c r="I3" s="1136" t="s">
        <v>184</v>
      </c>
      <c r="J3" s="1135"/>
      <c r="K3" s="1135"/>
      <c r="L3" s="1135"/>
      <c r="M3" s="1135"/>
      <c r="N3" s="155"/>
      <c r="O3" s="1135" t="s">
        <v>185</v>
      </c>
      <c r="P3" s="1135"/>
      <c r="Q3" s="1135"/>
      <c r="R3" s="1135"/>
      <c r="S3" s="1135"/>
      <c r="T3" s="155"/>
      <c r="U3" s="1135" t="s">
        <v>186</v>
      </c>
      <c r="V3" s="1135"/>
      <c r="W3" s="1135"/>
      <c r="X3" s="1135"/>
      <c r="Y3" s="1135"/>
    </row>
    <row r="4" spans="1:67" ht="25.5">
      <c r="A4" s="1089"/>
      <c r="B4" s="1089"/>
      <c r="C4" s="156" t="s">
        <v>187</v>
      </c>
      <c r="D4" s="156" t="s">
        <v>188</v>
      </c>
      <c r="E4" s="156" t="s">
        <v>73</v>
      </c>
      <c r="F4" s="156" t="s">
        <v>189</v>
      </c>
      <c r="G4" s="156" t="s">
        <v>190</v>
      </c>
      <c r="H4" s="156"/>
      <c r="I4" s="1022" t="s">
        <v>187</v>
      </c>
      <c r="J4" s="156" t="s">
        <v>188</v>
      </c>
      <c r="K4" s="156" t="s">
        <v>73</v>
      </c>
      <c r="L4" s="157" t="s">
        <v>189</v>
      </c>
      <c r="M4" s="156" t="s">
        <v>190</v>
      </c>
      <c r="N4" s="158"/>
      <c r="O4" s="156" t="s">
        <v>187</v>
      </c>
      <c r="P4" s="156" t="s">
        <v>188</v>
      </c>
      <c r="Q4" s="156" t="s">
        <v>73</v>
      </c>
      <c r="R4" s="156" t="s">
        <v>189</v>
      </c>
      <c r="S4" s="156" t="s">
        <v>190</v>
      </c>
      <c r="T4" s="158"/>
      <c r="U4" s="156" t="s">
        <v>187</v>
      </c>
      <c r="V4" s="156" t="s">
        <v>188</v>
      </c>
      <c r="W4" s="156" t="s">
        <v>73</v>
      </c>
      <c r="X4" s="156" t="s">
        <v>189</v>
      </c>
      <c r="Y4" s="156" t="s">
        <v>190</v>
      </c>
    </row>
    <row r="5" spans="1:67">
      <c r="A5" s="84"/>
      <c r="B5" s="159" t="s">
        <v>191</v>
      </c>
      <c r="C5" s="160">
        <f>C6+C14</f>
        <v>4125</v>
      </c>
      <c r="D5" s="160">
        <f>D6+D14</f>
        <v>2929</v>
      </c>
      <c r="E5" s="160">
        <f>E6+E14</f>
        <v>7054</v>
      </c>
      <c r="F5" s="160">
        <f>F6+F14</f>
        <v>2815</v>
      </c>
      <c r="G5" s="160">
        <f>G6+G14</f>
        <v>4239</v>
      </c>
      <c r="H5" s="160"/>
      <c r="I5" s="161">
        <f>I6+I14</f>
        <v>60</v>
      </c>
      <c r="J5" s="160">
        <f>J6+J14</f>
        <v>51</v>
      </c>
      <c r="K5" s="160">
        <f>K6+K14</f>
        <v>111</v>
      </c>
      <c r="L5" s="160">
        <f>L6+L14</f>
        <v>52</v>
      </c>
      <c r="M5" s="160">
        <f>M6+M14</f>
        <v>59</v>
      </c>
      <c r="N5" s="162"/>
      <c r="O5" s="160">
        <f>O6+O14</f>
        <v>3746</v>
      </c>
      <c r="P5" s="160">
        <f>P6+P14</f>
        <v>6500</v>
      </c>
      <c r="Q5" s="160">
        <f>Q6+Q14</f>
        <v>10279</v>
      </c>
      <c r="R5" s="160">
        <f>R6+R14</f>
        <v>6533</v>
      </c>
      <c r="S5" s="160">
        <f>S6+S14</f>
        <v>3746</v>
      </c>
      <c r="T5" s="162"/>
      <c r="U5" s="160">
        <f>U6+U14</f>
        <v>2569</v>
      </c>
      <c r="V5" s="160">
        <f>V6+V14</f>
        <v>8984</v>
      </c>
      <c r="W5" s="160">
        <f>W6+W14</f>
        <v>11553</v>
      </c>
      <c r="X5" s="160">
        <f>X6+X14</f>
        <v>9450</v>
      </c>
      <c r="Y5" s="160">
        <f>Y6+Y14</f>
        <v>2103</v>
      </c>
      <c r="AG5" s="55"/>
    </row>
    <row r="6" spans="1:67">
      <c r="A6" s="1137" t="s">
        <v>21</v>
      </c>
      <c r="B6" s="159" t="s">
        <v>192</v>
      </c>
      <c r="C6" s="163">
        <f>SUM(C8:C12)</f>
        <v>2093</v>
      </c>
      <c r="D6" s="163">
        <f t="shared" ref="D6:Y6" si="0">SUM(D8:D12)</f>
        <v>1532</v>
      </c>
      <c r="E6" s="163">
        <f t="shared" si="0"/>
        <v>3625</v>
      </c>
      <c r="F6" s="163">
        <f t="shared" si="0"/>
        <v>1619</v>
      </c>
      <c r="G6" s="163">
        <f t="shared" si="0"/>
        <v>2006</v>
      </c>
      <c r="H6" s="163"/>
      <c r="I6" s="164">
        <f t="shared" si="0"/>
        <v>41</v>
      </c>
      <c r="J6" s="163">
        <f t="shared" si="0"/>
        <v>51</v>
      </c>
      <c r="K6" s="163">
        <f t="shared" si="0"/>
        <v>92</v>
      </c>
      <c r="L6" s="163">
        <f t="shared" si="0"/>
        <v>35</v>
      </c>
      <c r="M6" s="163">
        <f t="shared" si="0"/>
        <v>57</v>
      </c>
      <c r="N6" s="165"/>
      <c r="O6" s="163">
        <f t="shared" si="0"/>
        <v>2756</v>
      </c>
      <c r="P6" s="163">
        <f t="shared" si="0"/>
        <v>4630</v>
      </c>
      <c r="Q6" s="163">
        <f t="shared" si="0"/>
        <v>7386</v>
      </c>
      <c r="R6" s="163">
        <f t="shared" si="0"/>
        <v>4646</v>
      </c>
      <c r="S6" s="163">
        <f t="shared" si="0"/>
        <v>2740</v>
      </c>
      <c r="T6" s="165"/>
      <c r="U6" s="163">
        <f t="shared" si="0"/>
        <v>660</v>
      </c>
      <c r="V6" s="163">
        <f t="shared" si="0"/>
        <v>2408</v>
      </c>
      <c r="W6" s="163">
        <f t="shared" si="0"/>
        <v>3068</v>
      </c>
      <c r="X6" s="163">
        <f t="shared" si="0"/>
        <v>2608</v>
      </c>
      <c r="Y6" s="163">
        <f t="shared" si="0"/>
        <v>460</v>
      </c>
      <c r="AG6" s="55"/>
    </row>
    <row r="7" spans="1:67">
      <c r="A7" s="1137"/>
      <c r="B7" s="159" t="s">
        <v>173</v>
      </c>
      <c r="C7" s="163"/>
      <c r="D7" s="163"/>
      <c r="E7" s="163"/>
      <c r="F7" s="163"/>
      <c r="G7" s="163"/>
      <c r="H7" s="163"/>
      <c r="I7" s="164"/>
      <c r="J7" s="163"/>
      <c r="K7" s="163"/>
      <c r="L7" s="163"/>
      <c r="M7" s="163"/>
      <c r="N7" s="165"/>
      <c r="O7" s="163"/>
      <c r="P7" s="163"/>
      <c r="Q7" s="163"/>
      <c r="R7" s="163"/>
      <c r="S7" s="163"/>
      <c r="T7" s="165"/>
      <c r="U7" s="163"/>
      <c r="V7" s="163"/>
      <c r="W7" s="163"/>
      <c r="X7" s="163"/>
      <c r="Y7" s="163"/>
      <c r="AH7" s="166"/>
      <c r="AI7" s="166"/>
      <c r="AJ7" s="166"/>
    </row>
    <row r="8" spans="1:67">
      <c r="A8" s="40" t="s">
        <v>21</v>
      </c>
      <c r="B8" s="167" t="s">
        <v>193</v>
      </c>
      <c r="C8" s="185">
        <v>0</v>
      </c>
      <c r="D8" s="185">
        <v>0</v>
      </c>
      <c r="E8" s="185">
        <v>0</v>
      </c>
      <c r="F8" s="185">
        <v>0</v>
      </c>
      <c r="G8" s="185">
        <f>E8-F8</f>
        <v>0</v>
      </c>
      <c r="H8" s="163"/>
      <c r="I8" s="1023">
        <v>0</v>
      </c>
      <c r="J8" s="185">
        <v>0</v>
      </c>
      <c r="K8" s="185">
        <f>SUM(I8:J8)</f>
        <v>0</v>
      </c>
      <c r="L8" s="185">
        <v>0</v>
      </c>
      <c r="M8" s="185">
        <f t="shared" ref="M8:M13" si="1">K8-L8</f>
        <v>0</v>
      </c>
      <c r="N8" s="165"/>
      <c r="O8" s="174">
        <v>2756</v>
      </c>
      <c r="P8" s="174">
        <v>4630</v>
      </c>
      <c r="Q8" s="174">
        <f t="shared" ref="Q8:Q13" si="2">SUM(O8:P8)</f>
        <v>7386</v>
      </c>
      <c r="R8" s="185">
        <v>4646</v>
      </c>
      <c r="S8" s="174">
        <f t="shared" ref="S8:S13" si="3">Q8-R8</f>
        <v>2740</v>
      </c>
      <c r="T8" s="165"/>
      <c r="U8" s="185">
        <v>0</v>
      </c>
      <c r="V8" s="185">
        <v>0</v>
      </c>
      <c r="W8" s="185">
        <f t="shared" ref="W8:W13" si="4">SUM(U8:V8)</f>
        <v>0</v>
      </c>
      <c r="X8" s="185">
        <v>0</v>
      </c>
      <c r="Y8" s="185">
        <f t="shared" ref="Y8:Y13" si="5">W8-X8</f>
        <v>0</v>
      </c>
      <c r="AH8" s="166"/>
      <c r="AI8" s="166"/>
      <c r="AJ8" s="166"/>
    </row>
    <row r="9" spans="1:67">
      <c r="A9" s="40" t="s">
        <v>21</v>
      </c>
      <c r="B9" s="167" t="s">
        <v>194</v>
      </c>
      <c r="C9" s="185">
        <v>1732</v>
      </c>
      <c r="D9" s="185">
        <v>773</v>
      </c>
      <c r="E9" s="174">
        <f t="shared" ref="E9:E72" si="6">SUM(C9:D9)</f>
        <v>2505</v>
      </c>
      <c r="F9" s="185">
        <v>701</v>
      </c>
      <c r="G9" s="174">
        <f t="shared" ref="G9:G72" si="7">E9-F9</f>
        <v>1804</v>
      </c>
      <c r="H9" s="163"/>
      <c r="I9" s="1023">
        <v>0</v>
      </c>
      <c r="J9" s="185">
        <v>0</v>
      </c>
      <c r="K9" s="185">
        <f>SUM(I9:J9)</f>
        <v>0</v>
      </c>
      <c r="L9" s="185">
        <v>0</v>
      </c>
      <c r="M9" s="185">
        <f t="shared" si="1"/>
        <v>0</v>
      </c>
      <c r="N9" s="165"/>
      <c r="O9" s="185">
        <v>0</v>
      </c>
      <c r="P9" s="185">
        <v>0</v>
      </c>
      <c r="Q9" s="185">
        <f t="shared" si="2"/>
        <v>0</v>
      </c>
      <c r="R9" s="185">
        <v>0</v>
      </c>
      <c r="S9" s="185">
        <f t="shared" si="3"/>
        <v>0</v>
      </c>
      <c r="T9" s="165"/>
      <c r="U9" s="185">
        <v>0</v>
      </c>
      <c r="V9" s="185">
        <v>0</v>
      </c>
      <c r="W9" s="185">
        <f t="shared" si="4"/>
        <v>0</v>
      </c>
      <c r="X9" s="185">
        <v>0</v>
      </c>
      <c r="Y9" s="185">
        <f t="shared" si="5"/>
        <v>0</v>
      </c>
      <c r="AH9" s="166"/>
      <c r="AI9" s="166"/>
      <c r="AJ9" s="166"/>
    </row>
    <row r="10" spans="1:67">
      <c r="A10" s="40" t="s">
        <v>21</v>
      </c>
      <c r="B10" s="167" t="s">
        <v>195</v>
      </c>
      <c r="C10" s="185">
        <v>0</v>
      </c>
      <c r="D10" s="185">
        <v>0</v>
      </c>
      <c r="E10" s="185">
        <v>0</v>
      </c>
      <c r="F10" s="185">
        <v>0</v>
      </c>
      <c r="G10" s="185">
        <v>0</v>
      </c>
      <c r="H10" s="163"/>
      <c r="I10" s="1023">
        <v>0</v>
      </c>
      <c r="J10" s="185">
        <v>0</v>
      </c>
      <c r="K10" s="185">
        <f>SUM(I10:J10)</f>
        <v>0</v>
      </c>
      <c r="L10" s="185">
        <v>0</v>
      </c>
      <c r="M10" s="185">
        <f t="shared" si="1"/>
        <v>0</v>
      </c>
      <c r="N10" s="165"/>
      <c r="O10" s="185">
        <v>0</v>
      </c>
      <c r="P10" s="185">
        <v>0</v>
      </c>
      <c r="Q10" s="185">
        <f t="shared" si="2"/>
        <v>0</v>
      </c>
      <c r="R10" s="185">
        <v>0</v>
      </c>
      <c r="S10" s="185">
        <f t="shared" si="3"/>
        <v>0</v>
      </c>
      <c r="T10" s="165"/>
      <c r="U10" s="174">
        <v>660</v>
      </c>
      <c r="V10" s="174">
        <v>2408</v>
      </c>
      <c r="W10" s="174">
        <f t="shared" si="4"/>
        <v>3068</v>
      </c>
      <c r="X10" s="174">
        <v>2608</v>
      </c>
      <c r="Y10" s="163">
        <f t="shared" si="5"/>
        <v>460</v>
      </c>
      <c r="AH10" s="166"/>
      <c r="AI10" s="166"/>
      <c r="AJ10" s="166"/>
    </row>
    <row r="11" spans="1:67">
      <c r="A11" s="40" t="s">
        <v>21</v>
      </c>
      <c r="B11" s="167" t="s">
        <v>196</v>
      </c>
      <c r="C11" s="185">
        <v>0</v>
      </c>
      <c r="D11" s="185">
        <v>0</v>
      </c>
      <c r="E11" s="185">
        <v>0</v>
      </c>
      <c r="F11" s="185">
        <v>0</v>
      </c>
      <c r="G11" s="185">
        <v>0</v>
      </c>
      <c r="H11" s="163"/>
      <c r="I11" s="1023">
        <v>41</v>
      </c>
      <c r="J11" s="185">
        <v>51</v>
      </c>
      <c r="K11" s="174">
        <f>SUM(I11:J11)</f>
        <v>92</v>
      </c>
      <c r="L11" s="185">
        <v>35</v>
      </c>
      <c r="M11" s="174">
        <f t="shared" si="1"/>
        <v>57</v>
      </c>
      <c r="N11" s="165"/>
      <c r="O11" s="185">
        <v>0</v>
      </c>
      <c r="P11" s="185">
        <v>0</v>
      </c>
      <c r="Q11" s="185">
        <f t="shared" si="2"/>
        <v>0</v>
      </c>
      <c r="R11" s="185">
        <v>0</v>
      </c>
      <c r="S11" s="185">
        <f t="shared" si="3"/>
        <v>0</v>
      </c>
      <c r="T11" s="165"/>
      <c r="U11" s="185">
        <v>0</v>
      </c>
      <c r="V11" s="185">
        <v>0</v>
      </c>
      <c r="W11" s="185">
        <f t="shared" si="4"/>
        <v>0</v>
      </c>
      <c r="X11" s="185">
        <v>0</v>
      </c>
      <c r="Y11" s="185">
        <f t="shared" si="5"/>
        <v>0</v>
      </c>
    </row>
    <row r="12" spans="1:67">
      <c r="A12" s="40" t="s">
        <v>21</v>
      </c>
      <c r="B12" s="167" t="s">
        <v>163</v>
      </c>
      <c r="C12" s="185">
        <v>361</v>
      </c>
      <c r="D12" s="185">
        <v>759</v>
      </c>
      <c r="E12" s="174">
        <f t="shared" si="6"/>
        <v>1120</v>
      </c>
      <c r="F12" s="185">
        <v>918</v>
      </c>
      <c r="G12" s="174">
        <f t="shared" si="7"/>
        <v>202</v>
      </c>
      <c r="H12" s="163"/>
      <c r="I12" s="1023">
        <v>0</v>
      </c>
      <c r="J12" s="185">
        <v>0</v>
      </c>
      <c r="K12" s="185">
        <v>0</v>
      </c>
      <c r="L12" s="185">
        <v>0</v>
      </c>
      <c r="M12" s="185">
        <f t="shared" si="1"/>
        <v>0</v>
      </c>
      <c r="N12" s="165"/>
      <c r="O12" s="185">
        <v>0</v>
      </c>
      <c r="P12" s="185">
        <v>0</v>
      </c>
      <c r="Q12" s="185">
        <f t="shared" si="2"/>
        <v>0</v>
      </c>
      <c r="R12" s="185">
        <v>0</v>
      </c>
      <c r="S12" s="185">
        <f t="shared" si="3"/>
        <v>0</v>
      </c>
      <c r="T12" s="165"/>
      <c r="U12" s="185">
        <v>0</v>
      </c>
      <c r="V12" s="185">
        <v>0</v>
      </c>
      <c r="W12" s="185">
        <f t="shared" si="4"/>
        <v>0</v>
      </c>
      <c r="X12" s="185">
        <v>0</v>
      </c>
      <c r="Y12" s="185">
        <f t="shared" si="5"/>
        <v>0</v>
      </c>
    </row>
    <row r="13" spans="1:67" ht="15" customHeight="1">
      <c r="A13" s="168" t="s">
        <v>197</v>
      </c>
      <c r="B13" s="169" t="s">
        <v>198</v>
      </c>
      <c r="C13" s="187">
        <v>216</v>
      </c>
      <c r="D13" s="187">
        <v>144</v>
      </c>
      <c r="E13" s="187">
        <f t="shared" si="6"/>
        <v>360</v>
      </c>
      <c r="F13" s="187">
        <v>84</v>
      </c>
      <c r="G13" s="187">
        <f t="shared" si="7"/>
        <v>276</v>
      </c>
      <c r="H13" s="189"/>
      <c r="I13" s="191">
        <v>0</v>
      </c>
      <c r="J13" s="187">
        <v>0</v>
      </c>
      <c r="K13" s="187">
        <f>SUM(I13:J13)</f>
        <v>0</v>
      </c>
      <c r="L13" s="187">
        <v>0</v>
      </c>
      <c r="M13" s="187">
        <f t="shared" si="1"/>
        <v>0</v>
      </c>
      <c r="N13" s="188"/>
      <c r="O13" s="187">
        <v>0</v>
      </c>
      <c r="P13" s="187">
        <v>0</v>
      </c>
      <c r="Q13" s="187">
        <f t="shared" si="2"/>
        <v>0</v>
      </c>
      <c r="R13" s="187">
        <v>0</v>
      </c>
      <c r="S13" s="187">
        <f t="shared" si="3"/>
        <v>0</v>
      </c>
      <c r="T13" s="188"/>
      <c r="U13" s="187">
        <v>58</v>
      </c>
      <c r="V13" s="187">
        <v>495</v>
      </c>
      <c r="W13" s="187">
        <f t="shared" si="4"/>
        <v>553</v>
      </c>
      <c r="X13" s="187">
        <v>470</v>
      </c>
      <c r="Y13" s="189">
        <f t="shared" si="5"/>
        <v>83</v>
      </c>
      <c r="AQ13" s="1090"/>
      <c r="AR13" s="1090"/>
      <c r="AS13" s="1138"/>
      <c r="AT13" s="1138"/>
      <c r="AU13" s="1138"/>
      <c r="AV13" s="1138"/>
      <c r="AW13" s="1138"/>
      <c r="AX13" s="170"/>
      <c r="AY13" s="1138"/>
      <c r="AZ13" s="1138"/>
      <c r="BA13" s="1138"/>
      <c r="BB13" s="1138"/>
      <c r="BC13" s="1138"/>
      <c r="BD13" s="170"/>
      <c r="BE13" s="1138"/>
      <c r="BF13" s="1138"/>
      <c r="BG13" s="1138"/>
      <c r="BH13" s="1138"/>
      <c r="BI13" s="1138"/>
      <c r="BJ13" s="170"/>
      <c r="BK13" s="1138"/>
      <c r="BL13" s="1138"/>
      <c r="BM13" s="1138"/>
      <c r="BN13" s="1138"/>
      <c r="BO13" s="1138"/>
    </row>
    <row r="14" spans="1:67" s="22" customFormat="1">
      <c r="A14" s="171"/>
      <c r="B14" s="159" t="s">
        <v>199</v>
      </c>
      <c r="C14" s="163">
        <f>C15+C30+C44+C59+C73+C89+C103+C108+C118+C127+C138+C144+C153+C159+C166+C180+C192+C202+C212+C214+C13</f>
        <v>2032</v>
      </c>
      <c r="D14" s="163">
        <f t="shared" ref="D14:Y14" si="8">D15+D30+D44+D59+D73+D89+D103+D108+D118+D127+D138+D144+D153+D159+D166+D180+D192+D202+D212+D214+D13</f>
        <v>1397</v>
      </c>
      <c r="E14" s="163">
        <f t="shared" si="6"/>
        <v>3429</v>
      </c>
      <c r="F14" s="163">
        <f t="shared" si="8"/>
        <v>1196</v>
      </c>
      <c r="G14" s="163">
        <f t="shared" si="7"/>
        <v>2233</v>
      </c>
      <c r="H14" s="163"/>
      <c r="I14" s="164">
        <f t="shared" si="8"/>
        <v>19</v>
      </c>
      <c r="J14" s="163">
        <f t="shared" si="8"/>
        <v>0</v>
      </c>
      <c r="K14" s="163">
        <f t="shared" si="8"/>
        <v>19</v>
      </c>
      <c r="L14" s="163">
        <f t="shared" si="8"/>
        <v>17</v>
      </c>
      <c r="M14" s="163">
        <f t="shared" si="8"/>
        <v>2</v>
      </c>
      <c r="N14" s="165"/>
      <c r="O14" s="163">
        <f t="shared" si="8"/>
        <v>990</v>
      </c>
      <c r="P14" s="163">
        <f t="shared" si="8"/>
        <v>1870</v>
      </c>
      <c r="Q14" s="163">
        <f t="shared" si="8"/>
        <v>2893</v>
      </c>
      <c r="R14" s="163">
        <f t="shared" si="8"/>
        <v>1887</v>
      </c>
      <c r="S14" s="163">
        <f t="shared" si="8"/>
        <v>1006</v>
      </c>
      <c r="T14" s="165"/>
      <c r="U14" s="163">
        <f t="shared" si="8"/>
        <v>1909</v>
      </c>
      <c r="V14" s="163">
        <f t="shared" si="8"/>
        <v>6576</v>
      </c>
      <c r="W14" s="163">
        <f t="shared" si="8"/>
        <v>8485</v>
      </c>
      <c r="X14" s="163">
        <f t="shared" si="8"/>
        <v>6842</v>
      </c>
      <c r="Y14" s="163">
        <f t="shared" si="8"/>
        <v>1643</v>
      </c>
      <c r="AA14" s="1"/>
      <c r="AB14" s="1"/>
      <c r="AC14" s="1"/>
      <c r="AD14" s="1"/>
      <c r="AE14" s="1"/>
      <c r="AQ14" s="1090"/>
      <c r="AR14" s="1090"/>
      <c r="AS14" s="172"/>
      <c r="AT14" s="172"/>
      <c r="AU14" s="172"/>
      <c r="AV14" s="172"/>
      <c r="AW14" s="172"/>
      <c r="AX14" s="172"/>
      <c r="AY14" s="172"/>
      <c r="AZ14" s="172"/>
      <c r="BA14" s="172"/>
      <c r="BB14" s="170"/>
      <c r="BC14" s="172"/>
      <c r="BD14" s="172"/>
      <c r="BE14" s="172"/>
      <c r="BF14" s="172"/>
      <c r="BG14" s="172"/>
      <c r="BH14" s="172"/>
      <c r="BI14" s="172"/>
      <c r="BJ14" s="172"/>
      <c r="BK14" s="172"/>
      <c r="BL14" s="172"/>
      <c r="BM14" s="172"/>
      <c r="BN14" s="173"/>
      <c r="BO14" s="173"/>
    </row>
    <row r="15" spans="1:67" s="22" customFormat="1">
      <c r="A15" s="84" t="s">
        <v>26</v>
      </c>
      <c r="B15" s="159" t="s">
        <v>1</v>
      </c>
      <c r="C15" s="163">
        <f>SUM(C16:C29)</f>
        <v>65</v>
      </c>
      <c r="D15" s="163">
        <f>SUM(D16:D29)</f>
        <v>40</v>
      </c>
      <c r="E15" s="163">
        <f t="shared" si="6"/>
        <v>105</v>
      </c>
      <c r="F15" s="163">
        <f>SUM(F16:F29)</f>
        <v>36</v>
      </c>
      <c r="G15" s="163">
        <f t="shared" si="7"/>
        <v>69</v>
      </c>
      <c r="H15" s="163"/>
      <c r="I15" s="164">
        <f>SUM(I16:I29)</f>
        <v>1</v>
      </c>
      <c r="J15" s="163">
        <f>SUM(J16:J29)</f>
        <v>0</v>
      </c>
      <c r="K15" s="163">
        <f>SUM(K16:K29)</f>
        <v>1</v>
      </c>
      <c r="L15" s="163">
        <f>SUM(L16:L29)</f>
        <v>0</v>
      </c>
      <c r="M15" s="163">
        <f>SUM(M16:M29)</f>
        <v>1</v>
      </c>
      <c r="N15" s="165"/>
      <c r="O15" s="163">
        <f>SUM(O16:O29)</f>
        <v>40</v>
      </c>
      <c r="P15" s="163">
        <f>SUM(P16:P29)</f>
        <v>87</v>
      </c>
      <c r="Q15" s="163">
        <f>SUM(Q16:Q29)</f>
        <v>127</v>
      </c>
      <c r="R15" s="163">
        <f>SUM(R16:R29)</f>
        <v>73</v>
      </c>
      <c r="S15" s="163">
        <f>SUM(S16:S29)</f>
        <v>54</v>
      </c>
      <c r="T15" s="165"/>
      <c r="U15" s="163">
        <f>SUM(U16:U29)</f>
        <v>112</v>
      </c>
      <c r="V15" s="163">
        <f>SUM(V16:V29)</f>
        <v>275</v>
      </c>
      <c r="W15" s="163">
        <f>SUM(W16:W29)</f>
        <v>387</v>
      </c>
      <c r="X15" s="163">
        <f>SUM(X16:X29)</f>
        <v>292</v>
      </c>
      <c r="Y15" s="163">
        <f>SUM(Y16:Y29)</f>
        <v>95</v>
      </c>
      <c r="AA15" s="1"/>
      <c r="AB15" s="1"/>
      <c r="AC15" s="1"/>
      <c r="AD15" s="1"/>
      <c r="AE15" s="1"/>
      <c r="AQ15" s="84"/>
      <c r="AR15" s="159"/>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row>
    <row r="16" spans="1:67">
      <c r="A16" s="40" t="s">
        <v>26</v>
      </c>
      <c r="B16" s="167" t="s">
        <v>78</v>
      </c>
      <c r="C16" s="174">
        <v>0</v>
      </c>
      <c r="D16" s="174">
        <v>0</v>
      </c>
      <c r="E16" s="174">
        <f t="shared" si="6"/>
        <v>0</v>
      </c>
      <c r="F16" s="174">
        <v>0</v>
      </c>
      <c r="G16" s="174">
        <f t="shared" si="7"/>
        <v>0</v>
      </c>
      <c r="H16" s="174"/>
      <c r="I16" s="186">
        <v>0</v>
      </c>
      <c r="J16" s="174">
        <v>0</v>
      </c>
      <c r="K16" s="174">
        <f t="shared" ref="K16:K43" si="9">SUM(I16:J16)</f>
        <v>0</v>
      </c>
      <c r="L16" s="174">
        <v>0</v>
      </c>
      <c r="M16" s="174">
        <f t="shared" ref="M16:M43" si="10">K16-L16</f>
        <v>0</v>
      </c>
      <c r="N16" s="190"/>
      <c r="O16" s="174">
        <v>0</v>
      </c>
      <c r="P16" s="174">
        <v>0</v>
      </c>
      <c r="Q16" s="174">
        <f t="shared" ref="Q16:Q29" si="11">SUM(O16:P16)</f>
        <v>0</v>
      </c>
      <c r="R16" s="174">
        <v>0</v>
      </c>
      <c r="S16" s="174">
        <f t="shared" ref="S16:S29" si="12">Q16-R16</f>
        <v>0</v>
      </c>
      <c r="T16" s="190"/>
      <c r="U16" s="174">
        <v>1</v>
      </c>
      <c r="V16" s="174">
        <v>1</v>
      </c>
      <c r="W16" s="174">
        <f t="shared" ref="W16:W29" si="13">SUM(U16:V16)</f>
        <v>2</v>
      </c>
      <c r="X16" s="174">
        <v>2</v>
      </c>
      <c r="Y16" s="174">
        <f t="shared" ref="Y16:Y29" si="14">W16-X16</f>
        <v>0</v>
      </c>
      <c r="AQ16" s="40"/>
      <c r="AR16" s="167"/>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row>
    <row r="17" spans="1:67">
      <c r="A17" s="40" t="s">
        <v>26</v>
      </c>
      <c r="B17" s="167" t="s">
        <v>200</v>
      </c>
      <c r="C17" s="174">
        <v>0</v>
      </c>
      <c r="D17" s="174">
        <v>0</v>
      </c>
      <c r="E17" s="174">
        <f t="shared" si="6"/>
        <v>0</v>
      </c>
      <c r="F17" s="174">
        <v>0</v>
      </c>
      <c r="G17" s="174">
        <f t="shared" si="7"/>
        <v>0</v>
      </c>
      <c r="H17" s="174"/>
      <c r="I17" s="186">
        <v>0</v>
      </c>
      <c r="J17" s="174">
        <v>0</v>
      </c>
      <c r="K17" s="174">
        <f t="shared" si="9"/>
        <v>0</v>
      </c>
      <c r="L17" s="174">
        <v>0</v>
      </c>
      <c r="M17" s="174">
        <f t="shared" si="10"/>
        <v>0</v>
      </c>
      <c r="N17" s="190"/>
      <c r="O17" s="174">
        <v>1</v>
      </c>
      <c r="P17" s="174">
        <v>0</v>
      </c>
      <c r="Q17" s="174">
        <f t="shared" si="11"/>
        <v>1</v>
      </c>
      <c r="R17" s="174">
        <v>1</v>
      </c>
      <c r="S17" s="174">
        <f t="shared" si="12"/>
        <v>0</v>
      </c>
      <c r="T17" s="190"/>
      <c r="U17" s="174">
        <v>1</v>
      </c>
      <c r="V17" s="174">
        <v>0</v>
      </c>
      <c r="W17" s="174">
        <f t="shared" si="13"/>
        <v>1</v>
      </c>
      <c r="X17" s="174">
        <v>1</v>
      </c>
      <c r="Y17" s="174">
        <f t="shared" si="14"/>
        <v>0</v>
      </c>
      <c r="AQ17" s="175"/>
      <c r="AR17" s="167"/>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row>
    <row r="18" spans="1:67">
      <c r="A18" s="40" t="s">
        <v>26</v>
      </c>
      <c r="B18" s="167" t="s">
        <v>201</v>
      </c>
      <c r="C18" s="174">
        <v>2</v>
      </c>
      <c r="D18" s="174">
        <v>0</v>
      </c>
      <c r="E18" s="174">
        <f t="shared" si="6"/>
        <v>2</v>
      </c>
      <c r="F18" s="174">
        <v>0</v>
      </c>
      <c r="G18" s="174">
        <f t="shared" si="7"/>
        <v>2</v>
      </c>
      <c r="H18" s="174"/>
      <c r="I18" s="186">
        <v>0</v>
      </c>
      <c r="J18" s="174">
        <v>0</v>
      </c>
      <c r="K18" s="174">
        <f t="shared" si="9"/>
        <v>0</v>
      </c>
      <c r="L18" s="174">
        <v>0</v>
      </c>
      <c r="M18" s="174">
        <f t="shared" si="10"/>
        <v>0</v>
      </c>
      <c r="N18" s="190"/>
      <c r="O18" s="174">
        <v>0</v>
      </c>
      <c r="P18" s="174">
        <v>1</v>
      </c>
      <c r="Q18" s="174">
        <f t="shared" si="11"/>
        <v>1</v>
      </c>
      <c r="R18" s="174">
        <v>1</v>
      </c>
      <c r="S18" s="174">
        <f t="shared" si="12"/>
        <v>0</v>
      </c>
      <c r="T18" s="190"/>
      <c r="U18" s="174">
        <v>3</v>
      </c>
      <c r="V18" s="174">
        <v>3</v>
      </c>
      <c r="W18" s="174">
        <f t="shared" si="13"/>
        <v>6</v>
      </c>
      <c r="X18" s="174">
        <v>3</v>
      </c>
      <c r="Y18" s="174">
        <f t="shared" si="14"/>
        <v>3</v>
      </c>
      <c r="AQ18" s="40"/>
      <c r="AR18" s="167"/>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row>
    <row r="19" spans="1:67">
      <c r="A19" s="40" t="s">
        <v>26</v>
      </c>
      <c r="B19" s="167" t="s">
        <v>202</v>
      </c>
      <c r="C19" s="174">
        <v>3</v>
      </c>
      <c r="D19" s="174">
        <v>14</v>
      </c>
      <c r="E19" s="174">
        <f t="shared" si="6"/>
        <v>17</v>
      </c>
      <c r="F19" s="174">
        <v>6</v>
      </c>
      <c r="G19" s="174">
        <f t="shared" si="7"/>
        <v>11</v>
      </c>
      <c r="H19" s="174"/>
      <c r="I19" s="186">
        <v>0</v>
      </c>
      <c r="J19" s="174">
        <v>0</v>
      </c>
      <c r="K19" s="174">
        <f t="shared" si="9"/>
        <v>0</v>
      </c>
      <c r="L19" s="174">
        <v>0</v>
      </c>
      <c r="M19" s="174">
        <f t="shared" si="10"/>
        <v>0</v>
      </c>
      <c r="N19" s="190"/>
      <c r="O19" s="174">
        <v>8</v>
      </c>
      <c r="P19" s="174">
        <v>14</v>
      </c>
      <c r="Q19" s="174">
        <f t="shared" si="11"/>
        <v>22</v>
      </c>
      <c r="R19" s="174">
        <v>13</v>
      </c>
      <c r="S19" s="174">
        <f t="shared" si="12"/>
        <v>9</v>
      </c>
      <c r="T19" s="190"/>
      <c r="U19" s="174">
        <v>21</v>
      </c>
      <c r="V19" s="174">
        <v>56</v>
      </c>
      <c r="W19" s="174">
        <f t="shared" si="13"/>
        <v>77</v>
      </c>
      <c r="X19" s="174">
        <v>59</v>
      </c>
      <c r="Y19" s="174">
        <f t="shared" si="14"/>
        <v>18</v>
      </c>
      <c r="AQ19" s="40"/>
      <c r="AR19" s="167"/>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row>
    <row r="20" spans="1:67">
      <c r="A20" s="40" t="s">
        <v>26</v>
      </c>
      <c r="B20" s="167" t="s">
        <v>203</v>
      </c>
      <c r="C20" s="174">
        <v>11</v>
      </c>
      <c r="D20" s="174">
        <v>4</v>
      </c>
      <c r="E20" s="174">
        <f t="shared" si="6"/>
        <v>15</v>
      </c>
      <c r="F20" s="174">
        <v>6</v>
      </c>
      <c r="G20" s="174">
        <f t="shared" si="7"/>
        <v>9</v>
      </c>
      <c r="H20" s="174"/>
      <c r="I20" s="186">
        <v>0</v>
      </c>
      <c r="J20" s="174">
        <v>0</v>
      </c>
      <c r="K20" s="174">
        <f t="shared" si="9"/>
        <v>0</v>
      </c>
      <c r="L20" s="174">
        <v>0</v>
      </c>
      <c r="M20" s="174">
        <f t="shared" si="10"/>
        <v>0</v>
      </c>
      <c r="N20" s="190"/>
      <c r="O20" s="174">
        <v>10</v>
      </c>
      <c r="P20" s="174">
        <v>32</v>
      </c>
      <c r="Q20" s="174">
        <f t="shared" si="11"/>
        <v>42</v>
      </c>
      <c r="R20" s="174">
        <v>25</v>
      </c>
      <c r="S20" s="174">
        <f t="shared" si="12"/>
        <v>17</v>
      </c>
      <c r="T20" s="190"/>
      <c r="U20" s="174">
        <v>14</v>
      </c>
      <c r="V20" s="174">
        <v>35</v>
      </c>
      <c r="W20" s="174">
        <f t="shared" si="13"/>
        <v>49</v>
      </c>
      <c r="X20" s="174">
        <v>41</v>
      </c>
      <c r="Y20" s="174">
        <f t="shared" si="14"/>
        <v>8</v>
      </c>
      <c r="AQ20" s="40"/>
      <c r="AR20" s="167"/>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row>
    <row r="21" spans="1:67">
      <c r="A21" s="40" t="s">
        <v>26</v>
      </c>
      <c r="B21" s="167" t="s">
        <v>204</v>
      </c>
      <c r="C21" s="174">
        <v>13</v>
      </c>
      <c r="D21" s="174">
        <v>8</v>
      </c>
      <c r="E21" s="174">
        <f t="shared" si="6"/>
        <v>21</v>
      </c>
      <c r="F21" s="174">
        <v>6</v>
      </c>
      <c r="G21" s="174">
        <f t="shared" si="7"/>
        <v>15</v>
      </c>
      <c r="H21" s="174"/>
      <c r="I21" s="186">
        <v>1</v>
      </c>
      <c r="J21" s="174">
        <v>0</v>
      </c>
      <c r="K21" s="174">
        <f t="shared" si="9"/>
        <v>1</v>
      </c>
      <c r="L21" s="174">
        <v>0</v>
      </c>
      <c r="M21" s="174">
        <f t="shared" si="10"/>
        <v>1</v>
      </c>
      <c r="N21" s="190"/>
      <c r="O21" s="174">
        <v>3</v>
      </c>
      <c r="P21" s="174">
        <v>6</v>
      </c>
      <c r="Q21" s="174">
        <f t="shared" si="11"/>
        <v>9</v>
      </c>
      <c r="R21" s="174">
        <v>6</v>
      </c>
      <c r="S21" s="174">
        <f t="shared" si="12"/>
        <v>3</v>
      </c>
      <c r="T21" s="190"/>
      <c r="U21" s="174">
        <v>11</v>
      </c>
      <c r="V21" s="174">
        <v>20</v>
      </c>
      <c r="W21" s="174">
        <f t="shared" si="13"/>
        <v>31</v>
      </c>
      <c r="X21" s="174">
        <v>22</v>
      </c>
      <c r="Y21" s="174">
        <f t="shared" si="14"/>
        <v>9</v>
      </c>
      <c r="AQ21" s="40"/>
      <c r="AR21" s="167"/>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row>
    <row r="22" spans="1:67">
      <c r="A22" s="40" t="s">
        <v>26</v>
      </c>
      <c r="B22" s="167" t="s">
        <v>205</v>
      </c>
      <c r="C22" s="174">
        <v>3</v>
      </c>
      <c r="D22" s="174">
        <v>0</v>
      </c>
      <c r="E22" s="174">
        <f t="shared" si="6"/>
        <v>3</v>
      </c>
      <c r="F22" s="174">
        <v>0</v>
      </c>
      <c r="G22" s="174">
        <f t="shared" si="7"/>
        <v>3</v>
      </c>
      <c r="H22" s="174"/>
      <c r="I22" s="186">
        <v>0</v>
      </c>
      <c r="J22" s="174">
        <v>0</v>
      </c>
      <c r="K22" s="174">
        <f t="shared" si="9"/>
        <v>0</v>
      </c>
      <c r="L22" s="174">
        <v>0</v>
      </c>
      <c r="M22" s="174">
        <f t="shared" si="10"/>
        <v>0</v>
      </c>
      <c r="N22" s="190"/>
      <c r="O22" s="174">
        <v>0</v>
      </c>
      <c r="P22" s="174">
        <v>8</v>
      </c>
      <c r="Q22" s="174">
        <f t="shared" si="11"/>
        <v>8</v>
      </c>
      <c r="R22" s="174">
        <v>5</v>
      </c>
      <c r="S22" s="174">
        <f t="shared" si="12"/>
        <v>3</v>
      </c>
      <c r="T22" s="190"/>
      <c r="U22" s="174">
        <v>8</v>
      </c>
      <c r="V22" s="174">
        <v>14</v>
      </c>
      <c r="W22" s="174">
        <f t="shared" si="13"/>
        <v>22</v>
      </c>
      <c r="X22" s="174">
        <v>17</v>
      </c>
      <c r="Y22" s="174">
        <f t="shared" si="14"/>
        <v>5</v>
      </c>
      <c r="AQ22" s="40"/>
      <c r="AR22" s="167"/>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row>
    <row r="23" spans="1:67">
      <c r="A23" s="40" t="s">
        <v>26</v>
      </c>
      <c r="B23" s="167" t="s">
        <v>79</v>
      </c>
      <c r="C23" s="174">
        <v>8</v>
      </c>
      <c r="D23" s="174">
        <v>2</v>
      </c>
      <c r="E23" s="174">
        <f t="shared" si="6"/>
        <v>10</v>
      </c>
      <c r="F23" s="174">
        <v>6</v>
      </c>
      <c r="G23" s="174">
        <f t="shared" si="7"/>
        <v>4</v>
      </c>
      <c r="H23" s="174"/>
      <c r="I23" s="186">
        <v>0</v>
      </c>
      <c r="J23" s="174">
        <v>0</v>
      </c>
      <c r="K23" s="174">
        <f t="shared" si="9"/>
        <v>0</v>
      </c>
      <c r="L23" s="174">
        <v>0</v>
      </c>
      <c r="M23" s="174">
        <f t="shared" si="10"/>
        <v>0</v>
      </c>
      <c r="N23" s="190"/>
      <c r="O23" s="174">
        <v>13</v>
      </c>
      <c r="P23" s="174">
        <v>6</v>
      </c>
      <c r="Q23" s="174">
        <f t="shared" si="11"/>
        <v>19</v>
      </c>
      <c r="R23" s="174">
        <v>7</v>
      </c>
      <c r="S23" s="174">
        <f t="shared" si="12"/>
        <v>12</v>
      </c>
      <c r="T23" s="190"/>
      <c r="U23" s="174">
        <v>20</v>
      </c>
      <c r="V23" s="174">
        <v>58</v>
      </c>
      <c r="W23" s="174">
        <f t="shared" si="13"/>
        <v>78</v>
      </c>
      <c r="X23" s="174">
        <v>57</v>
      </c>
      <c r="Y23" s="174">
        <f t="shared" si="14"/>
        <v>21</v>
      </c>
      <c r="AQ23" s="40"/>
      <c r="AR23" s="167"/>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row>
    <row r="24" spans="1:67">
      <c r="A24" s="40" t="s">
        <v>26</v>
      </c>
      <c r="B24" s="167" t="s">
        <v>80</v>
      </c>
      <c r="C24" s="174">
        <v>3</v>
      </c>
      <c r="D24" s="174">
        <v>5</v>
      </c>
      <c r="E24" s="174">
        <f t="shared" si="6"/>
        <v>8</v>
      </c>
      <c r="F24" s="174">
        <v>2</v>
      </c>
      <c r="G24" s="174">
        <f t="shared" si="7"/>
        <v>6</v>
      </c>
      <c r="H24" s="174"/>
      <c r="I24" s="186">
        <v>0</v>
      </c>
      <c r="J24" s="174">
        <v>0</v>
      </c>
      <c r="K24" s="174">
        <f t="shared" si="9"/>
        <v>0</v>
      </c>
      <c r="L24" s="174">
        <v>0</v>
      </c>
      <c r="M24" s="174">
        <f t="shared" si="10"/>
        <v>0</v>
      </c>
      <c r="N24" s="190"/>
      <c r="O24" s="174">
        <v>1</v>
      </c>
      <c r="P24" s="174">
        <v>6</v>
      </c>
      <c r="Q24" s="174">
        <f t="shared" si="11"/>
        <v>7</v>
      </c>
      <c r="R24" s="174">
        <v>4</v>
      </c>
      <c r="S24" s="174">
        <f t="shared" si="12"/>
        <v>3</v>
      </c>
      <c r="T24" s="190"/>
      <c r="U24" s="174">
        <v>5</v>
      </c>
      <c r="V24" s="174">
        <v>17</v>
      </c>
      <c r="W24" s="174">
        <f t="shared" si="13"/>
        <v>22</v>
      </c>
      <c r="X24" s="174">
        <v>20</v>
      </c>
      <c r="Y24" s="174">
        <f t="shared" si="14"/>
        <v>2</v>
      </c>
      <c r="AQ24" s="40"/>
      <c r="AR24" s="167"/>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row>
    <row r="25" spans="1:67">
      <c r="A25" s="40" t="s">
        <v>26</v>
      </c>
      <c r="B25" s="167" t="s">
        <v>206</v>
      </c>
      <c r="C25" s="174">
        <v>3</v>
      </c>
      <c r="D25" s="174">
        <v>0</v>
      </c>
      <c r="E25" s="174">
        <f t="shared" si="6"/>
        <v>3</v>
      </c>
      <c r="F25" s="174">
        <v>2</v>
      </c>
      <c r="G25" s="174">
        <f t="shared" si="7"/>
        <v>1</v>
      </c>
      <c r="H25" s="174"/>
      <c r="I25" s="186">
        <v>0</v>
      </c>
      <c r="J25" s="174">
        <v>0</v>
      </c>
      <c r="K25" s="174">
        <f t="shared" si="9"/>
        <v>0</v>
      </c>
      <c r="L25" s="174">
        <v>0</v>
      </c>
      <c r="M25" s="174">
        <f t="shared" si="10"/>
        <v>0</v>
      </c>
      <c r="N25" s="190"/>
      <c r="O25" s="174">
        <v>1</v>
      </c>
      <c r="P25" s="174">
        <v>4</v>
      </c>
      <c r="Q25" s="174">
        <f t="shared" si="11"/>
        <v>5</v>
      </c>
      <c r="R25" s="174">
        <v>3</v>
      </c>
      <c r="S25" s="174">
        <f t="shared" si="12"/>
        <v>2</v>
      </c>
      <c r="T25" s="190"/>
      <c r="U25" s="174">
        <v>5</v>
      </c>
      <c r="V25" s="174">
        <v>17</v>
      </c>
      <c r="W25" s="174">
        <f t="shared" si="13"/>
        <v>22</v>
      </c>
      <c r="X25" s="174">
        <v>19</v>
      </c>
      <c r="Y25" s="174">
        <f t="shared" si="14"/>
        <v>3</v>
      </c>
      <c r="AQ25" s="40"/>
      <c r="AR25" s="167"/>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row>
    <row r="26" spans="1:67">
      <c r="A26" s="40" t="s">
        <v>26</v>
      </c>
      <c r="B26" s="167" t="s">
        <v>207</v>
      </c>
      <c r="C26" s="174">
        <v>5</v>
      </c>
      <c r="D26" s="174">
        <v>0</v>
      </c>
      <c r="E26" s="174">
        <f t="shared" si="6"/>
        <v>5</v>
      </c>
      <c r="F26" s="174">
        <v>0</v>
      </c>
      <c r="G26" s="174">
        <f t="shared" si="7"/>
        <v>5</v>
      </c>
      <c r="H26" s="174"/>
      <c r="I26" s="186">
        <v>0</v>
      </c>
      <c r="J26" s="174">
        <v>0</v>
      </c>
      <c r="K26" s="174">
        <f t="shared" si="9"/>
        <v>0</v>
      </c>
      <c r="L26" s="174">
        <v>0</v>
      </c>
      <c r="M26" s="174">
        <f t="shared" si="10"/>
        <v>0</v>
      </c>
      <c r="N26" s="190"/>
      <c r="O26" s="174">
        <v>0</v>
      </c>
      <c r="P26" s="174">
        <v>3</v>
      </c>
      <c r="Q26" s="174">
        <f t="shared" si="11"/>
        <v>3</v>
      </c>
      <c r="R26" s="174">
        <v>0</v>
      </c>
      <c r="S26" s="174">
        <f t="shared" si="12"/>
        <v>3</v>
      </c>
      <c r="T26" s="190"/>
      <c r="U26" s="174">
        <v>4</v>
      </c>
      <c r="V26" s="174">
        <v>8</v>
      </c>
      <c r="W26" s="174">
        <f t="shared" si="13"/>
        <v>12</v>
      </c>
      <c r="X26" s="174">
        <v>4</v>
      </c>
      <c r="Y26" s="174">
        <f t="shared" si="14"/>
        <v>8</v>
      </c>
      <c r="AQ26" s="40"/>
      <c r="AR26" s="167"/>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row>
    <row r="27" spans="1:67">
      <c r="A27" s="40" t="s">
        <v>26</v>
      </c>
      <c r="B27" s="167" t="s">
        <v>208</v>
      </c>
      <c r="C27" s="174">
        <v>0</v>
      </c>
      <c r="D27" s="174">
        <v>0</v>
      </c>
      <c r="E27" s="174">
        <f t="shared" si="6"/>
        <v>0</v>
      </c>
      <c r="F27" s="174">
        <v>0</v>
      </c>
      <c r="G27" s="174">
        <f t="shared" si="7"/>
        <v>0</v>
      </c>
      <c r="H27" s="174"/>
      <c r="I27" s="186">
        <v>0</v>
      </c>
      <c r="J27" s="174">
        <v>0</v>
      </c>
      <c r="K27" s="174">
        <f t="shared" si="9"/>
        <v>0</v>
      </c>
      <c r="L27" s="174">
        <v>0</v>
      </c>
      <c r="M27" s="174">
        <f t="shared" si="10"/>
        <v>0</v>
      </c>
      <c r="N27" s="190"/>
      <c r="O27" s="174">
        <v>0</v>
      </c>
      <c r="P27" s="174">
        <v>1</v>
      </c>
      <c r="Q27" s="174">
        <f t="shared" si="11"/>
        <v>1</v>
      </c>
      <c r="R27" s="174">
        <v>1</v>
      </c>
      <c r="S27" s="174">
        <f t="shared" si="12"/>
        <v>0</v>
      </c>
      <c r="T27" s="190"/>
      <c r="U27" s="174">
        <v>5</v>
      </c>
      <c r="V27" s="174">
        <v>9</v>
      </c>
      <c r="W27" s="174">
        <f t="shared" si="13"/>
        <v>14</v>
      </c>
      <c r="X27" s="174">
        <v>13</v>
      </c>
      <c r="Y27" s="174">
        <f t="shared" si="14"/>
        <v>1</v>
      </c>
      <c r="AQ27" s="40"/>
      <c r="AR27" s="167"/>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row>
    <row r="28" spans="1:67">
      <c r="A28" s="40" t="s">
        <v>26</v>
      </c>
      <c r="B28" s="167" t="s">
        <v>81</v>
      </c>
      <c r="C28" s="174">
        <v>1</v>
      </c>
      <c r="D28" s="174">
        <v>2</v>
      </c>
      <c r="E28" s="174">
        <f t="shared" si="6"/>
        <v>3</v>
      </c>
      <c r="F28" s="174">
        <v>2</v>
      </c>
      <c r="G28" s="174">
        <f t="shared" si="7"/>
        <v>1</v>
      </c>
      <c r="H28" s="174"/>
      <c r="I28" s="186">
        <v>0</v>
      </c>
      <c r="J28" s="174">
        <v>0</v>
      </c>
      <c r="K28" s="174">
        <f t="shared" si="9"/>
        <v>0</v>
      </c>
      <c r="L28" s="174">
        <v>0</v>
      </c>
      <c r="M28" s="174">
        <f t="shared" si="10"/>
        <v>0</v>
      </c>
      <c r="N28" s="190"/>
      <c r="O28" s="174">
        <v>0</v>
      </c>
      <c r="P28" s="174">
        <v>0</v>
      </c>
      <c r="Q28" s="174">
        <f t="shared" si="11"/>
        <v>0</v>
      </c>
      <c r="R28" s="174">
        <v>0</v>
      </c>
      <c r="S28" s="174">
        <f t="shared" si="12"/>
        <v>0</v>
      </c>
      <c r="T28" s="190"/>
      <c r="U28" s="174">
        <v>7</v>
      </c>
      <c r="V28" s="174">
        <v>11</v>
      </c>
      <c r="W28" s="174">
        <f t="shared" si="13"/>
        <v>18</v>
      </c>
      <c r="X28" s="174">
        <v>15</v>
      </c>
      <c r="Y28" s="174">
        <f t="shared" si="14"/>
        <v>3</v>
      </c>
      <c r="AQ28" s="40"/>
      <c r="AR28" s="167"/>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row>
    <row r="29" spans="1:67">
      <c r="A29" s="168" t="s">
        <v>26</v>
      </c>
      <c r="B29" s="169" t="s">
        <v>209</v>
      </c>
      <c r="C29" s="187">
        <v>13</v>
      </c>
      <c r="D29" s="187">
        <v>5</v>
      </c>
      <c r="E29" s="187">
        <f t="shared" si="6"/>
        <v>18</v>
      </c>
      <c r="F29" s="187">
        <v>6</v>
      </c>
      <c r="G29" s="187">
        <f t="shared" si="7"/>
        <v>12</v>
      </c>
      <c r="H29" s="187"/>
      <c r="I29" s="191">
        <v>0</v>
      </c>
      <c r="J29" s="187">
        <v>0</v>
      </c>
      <c r="K29" s="187">
        <f t="shared" si="9"/>
        <v>0</v>
      </c>
      <c r="L29" s="187">
        <v>0</v>
      </c>
      <c r="M29" s="187">
        <f t="shared" si="10"/>
        <v>0</v>
      </c>
      <c r="N29" s="192"/>
      <c r="O29" s="187">
        <v>3</v>
      </c>
      <c r="P29" s="187">
        <v>6</v>
      </c>
      <c r="Q29" s="187">
        <f t="shared" si="11"/>
        <v>9</v>
      </c>
      <c r="R29" s="187">
        <v>7</v>
      </c>
      <c r="S29" s="187">
        <f t="shared" si="12"/>
        <v>2</v>
      </c>
      <c r="T29" s="192"/>
      <c r="U29" s="187">
        <v>7</v>
      </c>
      <c r="V29" s="187">
        <v>26</v>
      </c>
      <c r="W29" s="187">
        <f t="shared" si="13"/>
        <v>33</v>
      </c>
      <c r="X29" s="187">
        <v>19</v>
      </c>
      <c r="Y29" s="187">
        <f t="shared" si="14"/>
        <v>14</v>
      </c>
      <c r="AQ29" s="40"/>
      <c r="AR29" s="167"/>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row>
    <row r="30" spans="1:67" s="22" customFormat="1">
      <c r="A30" s="84" t="s">
        <v>27</v>
      </c>
      <c r="B30" s="159" t="s">
        <v>1</v>
      </c>
      <c r="C30" s="163">
        <f>SUM(C31:C43)</f>
        <v>149</v>
      </c>
      <c r="D30" s="163">
        <f>SUM(D31:D43)</f>
        <v>62</v>
      </c>
      <c r="E30" s="163">
        <f t="shared" si="6"/>
        <v>211</v>
      </c>
      <c r="F30" s="163">
        <f>SUM(F31:F43)</f>
        <v>52</v>
      </c>
      <c r="G30" s="163">
        <f t="shared" si="7"/>
        <v>159</v>
      </c>
      <c r="H30" s="163"/>
      <c r="I30" s="164">
        <f>SUM(I31:I43)</f>
        <v>1</v>
      </c>
      <c r="J30" s="163">
        <f>SUM(J31:J43)</f>
        <v>0</v>
      </c>
      <c r="K30" s="163">
        <f>SUM(K31:K43)</f>
        <v>1</v>
      </c>
      <c r="L30" s="163">
        <f>SUM(L31:L43)</f>
        <v>0</v>
      </c>
      <c r="M30" s="163">
        <f>SUM(M31:M43)</f>
        <v>1</v>
      </c>
      <c r="N30" s="165"/>
      <c r="O30" s="163">
        <f>SUM(O31:O43)</f>
        <v>106</v>
      </c>
      <c r="P30" s="163">
        <f>SUM(P31:P43)</f>
        <v>105</v>
      </c>
      <c r="Q30" s="163">
        <f>SUM(Q31:Q43)</f>
        <v>211</v>
      </c>
      <c r="R30" s="163">
        <f>SUM(R31:R43)</f>
        <v>108</v>
      </c>
      <c r="S30" s="163">
        <f>SUM(S31:S43)</f>
        <v>103</v>
      </c>
      <c r="T30" s="165"/>
      <c r="U30" s="163">
        <f>SUM(U31:U43)</f>
        <v>169</v>
      </c>
      <c r="V30" s="163">
        <f>SUM(V31:V43)</f>
        <v>460</v>
      </c>
      <c r="W30" s="163">
        <f>SUM(W31:W43)</f>
        <v>629</v>
      </c>
      <c r="X30" s="163">
        <f>SUM(X31:X43)</f>
        <v>491</v>
      </c>
      <c r="Y30" s="163">
        <f>SUM(Y31:Y43)</f>
        <v>138</v>
      </c>
      <c r="AA30" s="1"/>
      <c r="AB30" s="1"/>
      <c r="AC30" s="1"/>
      <c r="AD30" s="1"/>
      <c r="AE30" s="1"/>
      <c r="AQ30" s="84"/>
      <c r="AR30" s="159"/>
      <c r="AS30" s="163"/>
      <c r="AT30" s="163"/>
      <c r="AU30" s="163"/>
      <c r="AV30" s="163"/>
      <c r="AW30" s="163"/>
      <c r="AX30" s="163"/>
      <c r="AY30" s="163"/>
      <c r="AZ30" s="163"/>
      <c r="BA30" s="163"/>
      <c r="BB30" s="163"/>
      <c r="BC30" s="163"/>
      <c r="BD30" s="163"/>
      <c r="BE30" s="163"/>
      <c r="BF30" s="163"/>
      <c r="BG30" s="163"/>
      <c r="BH30" s="163"/>
      <c r="BI30" s="163"/>
      <c r="BJ30" s="163"/>
      <c r="BK30" s="163"/>
      <c r="BL30" s="163"/>
      <c r="BM30" s="163"/>
      <c r="BN30" s="163"/>
      <c r="BO30" s="163"/>
    </row>
    <row r="31" spans="1:67">
      <c r="A31" s="40" t="s">
        <v>27</v>
      </c>
      <c r="B31" s="167" t="s">
        <v>82</v>
      </c>
      <c r="C31" s="174">
        <v>2</v>
      </c>
      <c r="D31" s="174">
        <v>0</v>
      </c>
      <c r="E31" s="174">
        <f t="shared" si="6"/>
        <v>2</v>
      </c>
      <c r="F31" s="174">
        <v>0</v>
      </c>
      <c r="G31" s="174">
        <f t="shared" si="7"/>
        <v>2</v>
      </c>
      <c r="H31" s="174"/>
      <c r="I31" s="186">
        <v>0</v>
      </c>
      <c r="J31" s="174">
        <v>0</v>
      </c>
      <c r="K31" s="174">
        <f t="shared" si="9"/>
        <v>0</v>
      </c>
      <c r="L31" s="174">
        <v>0</v>
      </c>
      <c r="M31" s="174">
        <f t="shared" si="10"/>
        <v>0</v>
      </c>
      <c r="N31" s="190"/>
      <c r="O31" s="174">
        <v>2</v>
      </c>
      <c r="P31" s="174">
        <v>1</v>
      </c>
      <c r="Q31" s="174">
        <f t="shared" ref="Q31:Q43" si="15">SUM(O31:P31)</f>
        <v>3</v>
      </c>
      <c r="R31" s="174">
        <v>2</v>
      </c>
      <c r="S31" s="174">
        <f t="shared" ref="S31:S43" si="16">Q31-R31</f>
        <v>1</v>
      </c>
      <c r="T31" s="190"/>
      <c r="U31" s="174">
        <v>3</v>
      </c>
      <c r="V31" s="174">
        <v>6</v>
      </c>
      <c r="W31" s="174">
        <f t="shared" ref="W31:W43" si="17">SUM(U31:V31)</f>
        <v>9</v>
      </c>
      <c r="X31" s="174">
        <v>6</v>
      </c>
      <c r="Y31" s="174">
        <f t="shared" ref="Y31:Y43" si="18">W31-X31</f>
        <v>3</v>
      </c>
      <c r="AQ31" s="40"/>
      <c r="AR31" s="167"/>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row>
    <row r="32" spans="1:67">
      <c r="A32" s="40" t="s">
        <v>27</v>
      </c>
      <c r="B32" s="167" t="s">
        <v>210</v>
      </c>
      <c r="C32" s="174">
        <v>1</v>
      </c>
      <c r="D32" s="174">
        <v>3</v>
      </c>
      <c r="E32" s="174">
        <f t="shared" si="6"/>
        <v>4</v>
      </c>
      <c r="F32" s="174">
        <v>2</v>
      </c>
      <c r="G32" s="174">
        <f t="shared" si="7"/>
        <v>2</v>
      </c>
      <c r="H32" s="174"/>
      <c r="I32" s="186">
        <v>0</v>
      </c>
      <c r="J32" s="174">
        <v>0</v>
      </c>
      <c r="K32" s="174">
        <f t="shared" si="9"/>
        <v>0</v>
      </c>
      <c r="L32" s="174">
        <v>0</v>
      </c>
      <c r="M32" s="174">
        <f t="shared" si="10"/>
        <v>0</v>
      </c>
      <c r="N32" s="190"/>
      <c r="O32" s="174">
        <v>2</v>
      </c>
      <c r="P32" s="174">
        <v>8</v>
      </c>
      <c r="Q32" s="174">
        <f t="shared" si="15"/>
        <v>10</v>
      </c>
      <c r="R32" s="174">
        <v>6</v>
      </c>
      <c r="S32" s="174">
        <f t="shared" si="16"/>
        <v>4</v>
      </c>
      <c r="T32" s="190"/>
      <c r="U32" s="174">
        <v>3</v>
      </c>
      <c r="V32" s="174">
        <v>36</v>
      </c>
      <c r="W32" s="174">
        <f t="shared" si="17"/>
        <v>39</v>
      </c>
      <c r="X32" s="174">
        <v>34</v>
      </c>
      <c r="Y32" s="174">
        <f t="shared" si="18"/>
        <v>5</v>
      </c>
      <c r="AQ32" s="40"/>
      <c r="AR32" s="167"/>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row>
    <row r="33" spans="1:67">
      <c r="A33" s="40" t="s">
        <v>27</v>
      </c>
      <c r="B33" s="167" t="s">
        <v>211</v>
      </c>
      <c r="C33" s="174">
        <v>0</v>
      </c>
      <c r="D33" s="174">
        <v>0</v>
      </c>
      <c r="E33" s="174">
        <f t="shared" si="6"/>
        <v>0</v>
      </c>
      <c r="F33" s="174">
        <v>0</v>
      </c>
      <c r="G33" s="174">
        <f t="shared" si="7"/>
        <v>0</v>
      </c>
      <c r="H33" s="174"/>
      <c r="I33" s="186">
        <v>0</v>
      </c>
      <c r="J33" s="174">
        <v>0</v>
      </c>
      <c r="K33" s="174">
        <f t="shared" si="9"/>
        <v>0</v>
      </c>
      <c r="L33" s="174">
        <v>0</v>
      </c>
      <c r="M33" s="174">
        <f t="shared" si="10"/>
        <v>0</v>
      </c>
      <c r="N33" s="190"/>
      <c r="O33" s="174">
        <v>0</v>
      </c>
      <c r="P33" s="174">
        <v>1</v>
      </c>
      <c r="Q33" s="174">
        <f t="shared" si="15"/>
        <v>1</v>
      </c>
      <c r="R33" s="174">
        <v>0</v>
      </c>
      <c r="S33" s="174">
        <f t="shared" si="16"/>
        <v>1</v>
      </c>
      <c r="T33" s="190"/>
      <c r="U33" s="174">
        <v>8</v>
      </c>
      <c r="V33" s="174">
        <v>12</v>
      </c>
      <c r="W33" s="174">
        <f t="shared" si="17"/>
        <v>20</v>
      </c>
      <c r="X33" s="174">
        <v>16</v>
      </c>
      <c r="Y33" s="174">
        <f t="shared" si="18"/>
        <v>4</v>
      </c>
      <c r="AQ33" s="40"/>
      <c r="AR33" s="167"/>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row>
    <row r="34" spans="1:67">
      <c r="A34" s="40" t="s">
        <v>27</v>
      </c>
      <c r="B34" s="167" t="s">
        <v>212</v>
      </c>
      <c r="C34" s="174">
        <v>3</v>
      </c>
      <c r="D34" s="174">
        <v>0</v>
      </c>
      <c r="E34" s="174">
        <f t="shared" si="6"/>
        <v>3</v>
      </c>
      <c r="F34" s="174">
        <v>1</v>
      </c>
      <c r="G34" s="174">
        <f t="shared" si="7"/>
        <v>2</v>
      </c>
      <c r="H34" s="174"/>
      <c r="I34" s="186">
        <v>0</v>
      </c>
      <c r="J34" s="174">
        <v>0</v>
      </c>
      <c r="K34" s="174">
        <f t="shared" si="9"/>
        <v>0</v>
      </c>
      <c r="L34" s="174">
        <v>0</v>
      </c>
      <c r="M34" s="174">
        <f t="shared" si="10"/>
        <v>0</v>
      </c>
      <c r="N34" s="190"/>
      <c r="O34" s="174">
        <v>1</v>
      </c>
      <c r="P34" s="174">
        <v>5</v>
      </c>
      <c r="Q34" s="174">
        <f t="shared" si="15"/>
        <v>6</v>
      </c>
      <c r="R34" s="174">
        <v>5</v>
      </c>
      <c r="S34" s="174">
        <f t="shared" si="16"/>
        <v>1</v>
      </c>
      <c r="T34" s="190"/>
      <c r="U34" s="174">
        <v>2</v>
      </c>
      <c r="V34" s="174">
        <v>18</v>
      </c>
      <c r="W34" s="174">
        <f t="shared" si="17"/>
        <v>20</v>
      </c>
      <c r="X34" s="174">
        <v>18</v>
      </c>
      <c r="Y34" s="174">
        <f t="shared" si="18"/>
        <v>2</v>
      </c>
      <c r="AQ34" s="40"/>
      <c r="AR34" s="167"/>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row>
    <row r="35" spans="1:67">
      <c r="A35" s="40" t="s">
        <v>27</v>
      </c>
      <c r="B35" s="167" t="s">
        <v>83</v>
      </c>
      <c r="C35" s="174">
        <v>89</v>
      </c>
      <c r="D35" s="174">
        <v>46</v>
      </c>
      <c r="E35" s="174">
        <f t="shared" si="6"/>
        <v>135</v>
      </c>
      <c r="F35" s="174">
        <v>36</v>
      </c>
      <c r="G35" s="174">
        <f t="shared" si="7"/>
        <v>99</v>
      </c>
      <c r="H35" s="174"/>
      <c r="I35" s="186">
        <v>1</v>
      </c>
      <c r="J35" s="174">
        <v>0</v>
      </c>
      <c r="K35" s="174">
        <f t="shared" si="9"/>
        <v>1</v>
      </c>
      <c r="L35" s="174">
        <v>0</v>
      </c>
      <c r="M35" s="174">
        <f t="shared" si="10"/>
        <v>1</v>
      </c>
      <c r="N35" s="190"/>
      <c r="O35" s="174">
        <v>54</v>
      </c>
      <c r="P35" s="174">
        <v>54</v>
      </c>
      <c r="Q35" s="174">
        <f t="shared" si="15"/>
        <v>108</v>
      </c>
      <c r="R35" s="174">
        <v>76</v>
      </c>
      <c r="S35" s="174">
        <f t="shared" si="16"/>
        <v>32</v>
      </c>
      <c r="T35" s="190"/>
      <c r="U35" s="174">
        <v>87</v>
      </c>
      <c r="V35" s="174">
        <v>203</v>
      </c>
      <c r="W35" s="174">
        <f t="shared" si="17"/>
        <v>290</v>
      </c>
      <c r="X35" s="174">
        <v>242</v>
      </c>
      <c r="Y35" s="174">
        <f t="shared" si="18"/>
        <v>48</v>
      </c>
      <c r="AQ35" s="40"/>
      <c r="AR35" s="167"/>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row>
    <row r="36" spans="1:67">
      <c r="A36" s="40" t="s">
        <v>27</v>
      </c>
      <c r="B36" s="167" t="s">
        <v>213</v>
      </c>
      <c r="C36" s="174">
        <v>3</v>
      </c>
      <c r="D36" s="174">
        <v>0</v>
      </c>
      <c r="E36" s="174">
        <f t="shared" si="6"/>
        <v>3</v>
      </c>
      <c r="F36" s="174">
        <v>2</v>
      </c>
      <c r="G36" s="174">
        <f t="shared" si="7"/>
        <v>1</v>
      </c>
      <c r="H36" s="174"/>
      <c r="I36" s="186">
        <v>0</v>
      </c>
      <c r="J36" s="174">
        <v>0</v>
      </c>
      <c r="K36" s="174">
        <f t="shared" si="9"/>
        <v>0</v>
      </c>
      <c r="L36" s="174">
        <v>0</v>
      </c>
      <c r="M36" s="174">
        <f t="shared" si="10"/>
        <v>0</v>
      </c>
      <c r="N36" s="190"/>
      <c r="O36" s="174">
        <v>0</v>
      </c>
      <c r="P36" s="174">
        <v>0</v>
      </c>
      <c r="Q36" s="174">
        <f t="shared" si="15"/>
        <v>0</v>
      </c>
      <c r="R36" s="174">
        <v>0</v>
      </c>
      <c r="S36" s="174">
        <f t="shared" si="16"/>
        <v>0</v>
      </c>
      <c r="T36" s="190"/>
      <c r="U36" s="174">
        <v>0</v>
      </c>
      <c r="V36" s="174">
        <v>4</v>
      </c>
      <c r="W36" s="174">
        <f t="shared" si="17"/>
        <v>4</v>
      </c>
      <c r="X36" s="174">
        <v>2</v>
      </c>
      <c r="Y36" s="174">
        <f t="shared" si="18"/>
        <v>2</v>
      </c>
      <c r="AQ36" s="40"/>
      <c r="AR36" s="167"/>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row>
    <row r="37" spans="1:67">
      <c r="A37" s="40" t="s">
        <v>27</v>
      </c>
      <c r="B37" s="167" t="s">
        <v>214</v>
      </c>
      <c r="C37" s="174">
        <v>6</v>
      </c>
      <c r="D37" s="174">
        <v>3</v>
      </c>
      <c r="E37" s="174">
        <f t="shared" si="6"/>
        <v>9</v>
      </c>
      <c r="F37" s="174">
        <v>1</v>
      </c>
      <c r="G37" s="174">
        <f t="shared" si="7"/>
        <v>8</v>
      </c>
      <c r="H37" s="174"/>
      <c r="I37" s="186">
        <v>0</v>
      </c>
      <c r="J37" s="174">
        <v>0</v>
      </c>
      <c r="K37" s="174">
        <f t="shared" si="9"/>
        <v>0</v>
      </c>
      <c r="L37" s="174">
        <v>0</v>
      </c>
      <c r="M37" s="174">
        <f t="shared" si="10"/>
        <v>0</v>
      </c>
      <c r="N37" s="190"/>
      <c r="O37" s="174">
        <v>0</v>
      </c>
      <c r="P37" s="174">
        <v>6</v>
      </c>
      <c r="Q37" s="174">
        <f t="shared" si="15"/>
        <v>6</v>
      </c>
      <c r="R37" s="174">
        <v>4</v>
      </c>
      <c r="S37" s="174">
        <f t="shared" si="16"/>
        <v>2</v>
      </c>
      <c r="T37" s="190"/>
      <c r="U37" s="174">
        <v>3</v>
      </c>
      <c r="V37" s="174">
        <v>25</v>
      </c>
      <c r="W37" s="174">
        <f t="shared" si="17"/>
        <v>28</v>
      </c>
      <c r="X37" s="174">
        <v>22</v>
      </c>
      <c r="Y37" s="174">
        <f t="shared" si="18"/>
        <v>6</v>
      </c>
      <c r="AQ37" s="40"/>
      <c r="AR37" s="167"/>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row>
    <row r="38" spans="1:67">
      <c r="A38" s="40" t="s">
        <v>27</v>
      </c>
      <c r="B38" s="167" t="s">
        <v>84</v>
      </c>
      <c r="C38" s="174">
        <v>3</v>
      </c>
      <c r="D38" s="174">
        <v>2</v>
      </c>
      <c r="E38" s="174">
        <f t="shared" si="6"/>
        <v>5</v>
      </c>
      <c r="F38" s="174">
        <v>5</v>
      </c>
      <c r="G38" s="174">
        <f t="shared" si="7"/>
        <v>0</v>
      </c>
      <c r="H38" s="174"/>
      <c r="I38" s="186">
        <v>0</v>
      </c>
      <c r="J38" s="174">
        <v>0</v>
      </c>
      <c r="K38" s="174">
        <f t="shared" si="9"/>
        <v>0</v>
      </c>
      <c r="L38" s="174">
        <v>0</v>
      </c>
      <c r="M38" s="174">
        <f t="shared" si="10"/>
        <v>0</v>
      </c>
      <c r="N38" s="190"/>
      <c r="O38" s="174">
        <v>0</v>
      </c>
      <c r="P38" s="174">
        <v>0</v>
      </c>
      <c r="Q38" s="174">
        <f t="shared" si="15"/>
        <v>0</v>
      </c>
      <c r="R38" s="174">
        <v>0</v>
      </c>
      <c r="S38" s="174">
        <f t="shared" si="16"/>
        <v>0</v>
      </c>
      <c r="T38" s="190"/>
      <c r="U38" s="174">
        <v>9</v>
      </c>
      <c r="V38" s="174">
        <v>39</v>
      </c>
      <c r="W38" s="174">
        <f t="shared" si="17"/>
        <v>48</v>
      </c>
      <c r="X38" s="174">
        <v>36</v>
      </c>
      <c r="Y38" s="174">
        <f t="shared" si="18"/>
        <v>12</v>
      </c>
    </row>
    <row r="39" spans="1:67">
      <c r="A39" s="40" t="s">
        <v>27</v>
      </c>
      <c r="B39" s="167" t="s">
        <v>85</v>
      </c>
      <c r="C39" s="174">
        <v>23</v>
      </c>
      <c r="D39" s="174">
        <v>2</v>
      </c>
      <c r="E39" s="174">
        <f t="shared" si="6"/>
        <v>25</v>
      </c>
      <c r="F39" s="174">
        <v>0</v>
      </c>
      <c r="G39" s="174">
        <f t="shared" si="7"/>
        <v>25</v>
      </c>
      <c r="H39" s="174"/>
      <c r="I39" s="186">
        <v>0</v>
      </c>
      <c r="J39" s="174">
        <v>0</v>
      </c>
      <c r="K39" s="174">
        <f t="shared" si="9"/>
        <v>0</v>
      </c>
      <c r="L39" s="174">
        <v>0</v>
      </c>
      <c r="M39" s="174">
        <f t="shared" si="10"/>
        <v>0</v>
      </c>
      <c r="N39" s="190"/>
      <c r="O39" s="174">
        <v>9</v>
      </c>
      <c r="P39" s="174">
        <v>16</v>
      </c>
      <c r="Q39" s="174">
        <f t="shared" si="15"/>
        <v>25</v>
      </c>
      <c r="R39" s="174">
        <v>10</v>
      </c>
      <c r="S39" s="174">
        <f t="shared" si="16"/>
        <v>15</v>
      </c>
      <c r="T39" s="190"/>
      <c r="U39" s="174">
        <v>14</v>
      </c>
      <c r="V39" s="174">
        <v>40</v>
      </c>
      <c r="W39" s="174">
        <f t="shared" si="17"/>
        <v>54</v>
      </c>
      <c r="X39" s="174">
        <v>40</v>
      </c>
      <c r="Y39" s="174">
        <f t="shared" si="18"/>
        <v>14</v>
      </c>
    </row>
    <row r="40" spans="1:67">
      <c r="A40" s="40" t="s">
        <v>27</v>
      </c>
      <c r="B40" s="167" t="s">
        <v>215</v>
      </c>
      <c r="C40" s="174">
        <v>2</v>
      </c>
      <c r="D40" s="174">
        <v>0</v>
      </c>
      <c r="E40" s="174">
        <f t="shared" si="6"/>
        <v>2</v>
      </c>
      <c r="F40" s="174">
        <v>0</v>
      </c>
      <c r="G40" s="174">
        <f t="shared" si="7"/>
        <v>2</v>
      </c>
      <c r="H40" s="174"/>
      <c r="I40" s="186">
        <v>0</v>
      </c>
      <c r="J40" s="174">
        <v>0</v>
      </c>
      <c r="K40" s="174">
        <f t="shared" si="9"/>
        <v>0</v>
      </c>
      <c r="L40" s="174">
        <v>0</v>
      </c>
      <c r="M40" s="174">
        <f t="shared" si="10"/>
        <v>0</v>
      </c>
      <c r="N40" s="190"/>
      <c r="O40" s="174">
        <v>0</v>
      </c>
      <c r="P40" s="174">
        <v>4</v>
      </c>
      <c r="Q40" s="174">
        <f t="shared" si="15"/>
        <v>4</v>
      </c>
      <c r="R40" s="174">
        <v>2</v>
      </c>
      <c r="S40" s="174">
        <f t="shared" si="16"/>
        <v>2</v>
      </c>
      <c r="T40" s="190"/>
      <c r="U40" s="174">
        <v>6</v>
      </c>
      <c r="V40" s="174">
        <v>10</v>
      </c>
      <c r="W40" s="174">
        <f t="shared" si="17"/>
        <v>16</v>
      </c>
      <c r="X40" s="174">
        <v>10</v>
      </c>
      <c r="Y40" s="174">
        <f t="shared" si="18"/>
        <v>6</v>
      </c>
    </row>
    <row r="41" spans="1:67">
      <c r="A41" s="40" t="s">
        <v>27</v>
      </c>
      <c r="B41" s="167" t="s">
        <v>216</v>
      </c>
      <c r="C41" s="174">
        <v>11</v>
      </c>
      <c r="D41" s="174">
        <v>4</v>
      </c>
      <c r="E41" s="174">
        <f t="shared" si="6"/>
        <v>15</v>
      </c>
      <c r="F41" s="174">
        <v>4</v>
      </c>
      <c r="G41" s="174">
        <f t="shared" si="7"/>
        <v>11</v>
      </c>
      <c r="H41" s="174"/>
      <c r="I41" s="186">
        <v>0</v>
      </c>
      <c r="J41" s="174">
        <v>0</v>
      </c>
      <c r="K41" s="174">
        <f t="shared" si="9"/>
        <v>0</v>
      </c>
      <c r="L41" s="174">
        <v>0</v>
      </c>
      <c r="M41" s="174">
        <f t="shared" si="10"/>
        <v>0</v>
      </c>
      <c r="N41" s="190"/>
      <c r="O41" s="174">
        <v>34</v>
      </c>
      <c r="P41" s="174">
        <v>4</v>
      </c>
      <c r="Q41" s="174">
        <f t="shared" si="15"/>
        <v>38</v>
      </c>
      <c r="R41" s="174">
        <v>1</v>
      </c>
      <c r="S41" s="174">
        <f t="shared" si="16"/>
        <v>37</v>
      </c>
      <c r="T41" s="190"/>
      <c r="U41" s="174">
        <v>20</v>
      </c>
      <c r="V41" s="174">
        <v>27</v>
      </c>
      <c r="W41" s="174">
        <f t="shared" si="17"/>
        <v>47</v>
      </c>
      <c r="X41" s="174">
        <v>29</v>
      </c>
      <c r="Y41" s="174">
        <f t="shared" si="18"/>
        <v>18</v>
      </c>
    </row>
    <row r="42" spans="1:67">
      <c r="A42" s="40" t="s">
        <v>27</v>
      </c>
      <c r="B42" s="167" t="s">
        <v>217</v>
      </c>
      <c r="C42" s="174">
        <v>6</v>
      </c>
      <c r="D42" s="174">
        <v>2</v>
      </c>
      <c r="E42" s="174">
        <f t="shared" si="6"/>
        <v>8</v>
      </c>
      <c r="F42" s="174">
        <v>1</v>
      </c>
      <c r="G42" s="174">
        <f t="shared" si="7"/>
        <v>7</v>
      </c>
      <c r="H42" s="174"/>
      <c r="I42" s="186">
        <v>0</v>
      </c>
      <c r="J42" s="174">
        <v>0</v>
      </c>
      <c r="K42" s="174">
        <f t="shared" si="9"/>
        <v>0</v>
      </c>
      <c r="L42" s="174">
        <v>0</v>
      </c>
      <c r="M42" s="174">
        <f t="shared" si="10"/>
        <v>0</v>
      </c>
      <c r="N42" s="190"/>
      <c r="O42" s="174">
        <v>3</v>
      </c>
      <c r="P42" s="174">
        <v>0</v>
      </c>
      <c r="Q42" s="174">
        <f t="shared" si="15"/>
        <v>3</v>
      </c>
      <c r="R42" s="174">
        <v>0</v>
      </c>
      <c r="S42" s="174">
        <f t="shared" si="16"/>
        <v>3</v>
      </c>
      <c r="T42" s="190"/>
      <c r="U42" s="174">
        <v>8</v>
      </c>
      <c r="V42" s="174">
        <v>19</v>
      </c>
      <c r="W42" s="174">
        <f t="shared" si="17"/>
        <v>27</v>
      </c>
      <c r="X42" s="174">
        <v>12</v>
      </c>
      <c r="Y42" s="174">
        <f t="shared" si="18"/>
        <v>15</v>
      </c>
    </row>
    <row r="43" spans="1:67">
      <c r="A43" s="168" t="s">
        <v>27</v>
      </c>
      <c r="B43" s="169" t="s">
        <v>218</v>
      </c>
      <c r="C43" s="187">
        <v>0</v>
      </c>
      <c r="D43" s="187">
        <v>0</v>
      </c>
      <c r="E43" s="187">
        <f t="shared" si="6"/>
        <v>0</v>
      </c>
      <c r="F43" s="187">
        <v>0</v>
      </c>
      <c r="G43" s="187">
        <f t="shared" si="7"/>
        <v>0</v>
      </c>
      <c r="H43" s="187"/>
      <c r="I43" s="191">
        <v>0</v>
      </c>
      <c r="J43" s="187">
        <v>0</v>
      </c>
      <c r="K43" s="187">
        <f t="shared" si="9"/>
        <v>0</v>
      </c>
      <c r="L43" s="187">
        <v>0</v>
      </c>
      <c r="M43" s="187">
        <f t="shared" si="10"/>
        <v>0</v>
      </c>
      <c r="N43" s="192"/>
      <c r="O43" s="187">
        <v>1</v>
      </c>
      <c r="P43" s="187">
        <v>6</v>
      </c>
      <c r="Q43" s="187">
        <f t="shared" si="15"/>
        <v>7</v>
      </c>
      <c r="R43" s="187">
        <v>2</v>
      </c>
      <c r="S43" s="187">
        <f t="shared" si="16"/>
        <v>5</v>
      </c>
      <c r="T43" s="192"/>
      <c r="U43" s="187">
        <v>6</v>
      </c>
      <c r="V43" s="187">
        <v>21</v>
      </c>
      <c r="W43" s="187">
        <f t="shared" si="17"/>
        <v>27</v>
      </c>
      <c r="X43" s="187">
        <v>24</v>
      </c>
      <c r="Y43" s="187">
        <f t="shared" si="18"/>
        <v>3</v>
      </c>
    </row>
    <row r="44" spans="1:67" s="22" customFormat="1">
      <c r="A44" s="84" t="s">
        <v>28</v>
      </c>
      <c r="B44" s="159" t="s">
        <v>1</v>
      </c>
      <c r="C44" s="163">
        <f>SUM(C45:C58)</f>
        <v>39</v>
      </c>
      <c r="D44" s="163">
        <f>SUM(D45:D58)</f>
        <v>40</v>
      </c>
      <c r="E44" s="163">
        <f t="shared" si="6"/>
        <v>79</v>
      </c>
      <c r="F44" s="163">
        <f>SUM(F45:F58)</f>
        <v>29</v>
      </c>
      <c r="G44" s="163">
        <f t="shared" si="7"/>
        <v>50</v>
      </c>
      <c r="H44" s="163"/>
      <c r="I44" s="164">
        <f>SUM(I45:I58)</f>
        <v>0</v>
      </c>
      <c r="J44" s="163">
        <f>SUM(J45:J58)</f>
        <v>0</v>
      </c>
      <c r="K44" s="163">
        <f>SUM(K45:K58)</f>
        <v>0</v>
      </c>
      <c r="L44" s="163">
        <f>SUM(L45:L58)</f>
        <v>0</v>
      </c>
      <c r="M44" s="163">
        <f>SUM(M45:M58)</f>
        <v>0</v>
      </c>
      <c r="N44" s="165"/>
      <c r="O44" s="163">
        <f>SUM(O45:O58)</f>
        <v>16</v>
      </c>
      <c r="P44" s="163">
        <f>SUM(P45:P58)</f>
        <v>84</v>
      </c>
      <c r="Q44" s="163">
        <f>SUM(Q45:Q58)</f>
        <v>100</v>
      </c>
      <c r="R44" s="163">
        <f>SUM(R45:R58)</f>
        <v>64</v>
      </c>
      <c r="S44" s="163">
        <f>SUM(S45:S58)</f>
        <v>36</v>
      </c>
      <c r="T44" s="165"/>
      <c r="U44" s="163">
        <f>SUM(U45:U58)</f>
        <v>80</v>
      </c>
      <c r="V44" s="163">
        <f>SUM(V45:V58)</f>
        <v>336</v>
      </c>
      <c r="W44" s="163">
        <f>SUM(W45:W58)</f>
        <v>416</v>
      </c>
      <c r="X44" s="163">
        <f>SUM(X45:X58)</f>
        <v>340</v>
      </c>
      <c r="Y44" s="163">
        <f>SUM(Y45:Y58)</f>
        <v>76</v>
      </c>
      <c r="AA44" s="1"/>
      <c r="AB44" s="1"/>
      <c r="AC44" s="1"/>
      <c r="AD44" s="1"/>
      <c r="AE44" s="1"/>
    </row>
    <row r="45" spans="1:67">
      <c r="A45" s="40" t="s">
        <v>28</v>
      </c>
      <c r="B45" s="167" t="s">
        <v>219</v>
      </c>
      <c r="C45" s="174">
        <v>3</v>
      </c>
      <c r="D45" s="174">
        <v>12</v>
      </c>
      <c r="E45" s="174">
        <f t="shared" si="6"/>
        <v>15</v>
      </c>
      <c r="F45" s="174">
        <v>3</v>
      </c>
      <c r="G45" s="174">
        <f t="shared" si="7"/>
        <v>12</v>
      </c>
      <c r="H45" s="174"/>
      <c r="I45" s="186">
        <v>0</v>
      </c>
      <c r="J45" s="174">
        <v>0</v>
      </c>
      <c r="K45" s="174">
        <f t="shared" ref="K45:K58" si="19">SUM(I45:J45)</f>
        <v>0</v>
      </c>
      <c r="L45" s="174">
        <v>0</v>
      </c>
      <c r="M45" s="174">
        <f t="shared" ref="M45:M58" si="20">K45-L45</f>
        <v>0</v>
      </c>
      <c r="N45" s="190"/>
      <c r="O45" s="174">
        <v>0</v>
      </c>
      <c r="P45" s="174">
        <v>5</v>
      </c>
      <c r="Q45" s="174">
        <f t="shared" ref="Q45:Q58" si="21">SUM(O45:P45)</f>
        <v>5</v>
      </c>
      <c r="R45" s="174">
        <v>5</v>
      </c>
      <c r="S45" s="174">
        <f t="shared" ref="S45:S58" si="22">Q45-R45</f>
        <v>0</v>
      </c>
      <c r="T45" s="190"/>
      <c r="U45" s="174">
        <v>3</v>
      </c>
      <c r="V45" s="174">
        <v>27</v>
      </c>
      <c r="W45" s="174">
        <f t="shared" ref="W45:W58" si="23">SUM(U45:V45)</f>
        <v>30</v>
      </c>
      <c r="X45" s="174">
        <v>30</v>
      </c>
      <c r="Y45" s="174">
        <f t="shared" ref="Y45:Y58" si="24">W45-X45</f>
        <v>0</v>
      </c>
    </row>
    <row r="46" spans="1:67">
      <c r="A46" s="40" t="s">
        <v>28</v>
      </c>
      <c r="B46" s="167" t="s">
        <v>220</v>
      </c>
      <c r="C46" s="174">
        <v>0</v>
      </c>
      <c r="D46" s="174">
        <v>0</v>
      </c>
      <c r="E46" s="174">
        <f t="shared" si="6"/>
        <v>0</v>
      </c>
      <c r="F46" s="174">
        <v>0</v>
      </c>
      <c r="G46" s="174">
        <f t="shared" si="7"/>
        <v>0</v>
      </c>
      <c r="H46" s="174"/>
      <c r="I46" s="186">
        <v>0</v>
      </c>
      <c r="J46" s="174">
        <v>0</v>
      </c>
      <c r="K46" s="174">
        <f t="shared" si="19"/>
        <v>0</v>
      </c>
      <c r="L46" s="174">
        <v>0</v>
      </c>
      <c r="M46" s="174">
        <f t="shared" si="20"/>
        <v>0</v>
      </c>
      <c r="N46" s="190"/>
      <c r="O46" s="174">
        <v>0</v>
      </c>
      <c r="P46" s="174">
        <v>0</v>
      </c>
      <c r="Q46" s="174">
        <f t="shared" si="21"/>
        <v>0</v>
      </c>
      <c r="R46" s="174">
        <v>0</v>
      </c>
      <c r="S46" s="174">
        <f t="shared" si="22"/>
        <v>0</v>
      </c>
      <c r="T46" s="190"/>
      <c r="U46" s="174">
        <v>0</v>
      </c>
      <c r="V46" s="174">
        <v>6</v>
      </c>
      <c r="W46" s="174">
        <f t="shared" si="23"/>
        <v>6</v>
      </c>
      <c r="X46" s="174">
        <v>5</v>
      </c>
      <c r="Y46" s="174">
        <f t="shared" si="24"/>
        <v>1</v>
      </c>
    </row>
    <row r="47" spans="1:67">
      <c r="A47" s="40" t="s">
        <v>28</v>
      </c>
      <c r="B47" s="167" t="s">
        <v>221</v>
      </c>
      <c r="C47" s="174">
        <v>0</v>
      </c>
      <c r="D47" s="174">
        <v>0</v>
      </c>
      <c r="E47" s="174">
        <f t="shared" si="6"/>
        <v>0</v>
      </c>
      <c r="F47" s="174">
        <v>0</v>
      </c>
      <c r="G47" s="174">
        <f t="shared" si="7"/>
        <v>0</v>
      </c>
      <c r="H47" s="174"/>
      <c r="I47" s="186">
        <v>0</v>
      </c>
      <c r="J47" s="174">
        <v>0</v>
      </c>
      <c r="K47" s="174">
        <f t="shared" si="19"/>
        <v>0</v>
      </c>
      <c r="L47" s="174">
        <v>0</v>
      </c>
      <c r="M47" s="174">
        <f t="shared" si="20"/>
        <v>0</v>
      </c>
      <c r="N47" s="190"/>
      <c r="O47" s="174">
        <v>4</v>
      </c>
      <c r="P47" s="174">
        <v>10</v>
      </c>
      <c r="Q47" s="174">
        <f t="shared" si="21"/>
        <v>14</v>
      </c>
      <c r="R47" s="174">
        <v>8</v>
      </c>
      <c r="S47" s="174">
        <f t="shared" si="22"/>
        <v>6</v>
      </c>
      <c r="T47" s="190"/>
      <c r="U47" s="174">
        <v>1</v>
      </c>
      <c r="V47" s="174">
        <v>21</v>
      </c>
      <c r="W47" s="174">
        <f t="shared" si="23"/>
        <v>22</v>
      </c>
      <c r="X47" s="174">
        <v>17</v>
      </c>
      <c r="Y47" s="174">
        <f t="shared" si="24"/>
        <v>5</v>
      </c>
    </row>
    <row r="48" spans="1:67">
      <c r="A48" s="40" t="s">
        <v>28</v>
      </c>
      <c r="B48" s="167" t="s">
        <v>86</v>
      </c>
      <c r="C48" s="174">
        <v>4</v>
      </c>
      <c r="D48" s="174">
        <v>2</v>
      </c>
      <c r="E48" s="174">
        <f t="shared" si="6"/>
        <v>6</v>
      </c>
      <c r="F48" s="174">
        <v>1</v>
      </c>
      <c r="G48" s="174">
        <f t="shared" si="7"/>
        <v>5</v>
      </c>
      <c r="H48" s="174"/>
      <c r="I48" s="186">
        <v>0</v>
      </c>
      <c r="J48" s="174">
        <v>0</v>
      </c>
      <c r="K48" s="174">
        <f t="shared" si="19"/>
        <v>0</v>
      </c>
      <c r="L48" s="174">
        <v>0</v>
      </c>
      <c r="M48" s="174">
        <f t="shared" si="20"/>
        <v>0</v>
      </c>
      <c r="N48" s="190"/>
      <c r="O48" s="174">
        <v>2</v>
      </c>
      <c r="P48" s="174">
        <v>7</v>
      </c>
      <c r="Q48" s="174">
        <f t="shared" si="21"/>
        <v>9</v>
      </c>
      <c r="R48" s="174">
        <v>6</v>
      </c>
      <c r="S48" s="174">
        <f t="shared" si="22"/>
        <v>3</v>
      </c>
      <c r="T48" s="190"/>
      <c r="U48" s="174">
        <v>8</v>
      </c>
      <c r="V48" s="174">
        <v>28</v>
      </c>
      <c r="W48" s="174">
        <f t="shared" si="23"/>
        <v>36</v>
      </c>
      <c r="X48" s="174">
        <v>33</v>
      </c>
      <c r="Y48" s="174">
        <f t="shared" si="24"/>
        <v>3</v>
      </c>
    </row>
    <row r="49" spans="1:31">
      <c r="A49" s="40" t="s">
        <v>28</v>
      </c>
      <c r="B49" s="167" t="s">
        <v>222</v>
      </c>
      <c r="C49" s="174">
        <v>1</v>
      </c>
      <c r="D49" s="174">
        <v>5</v>
      </c>
      <c r="E49" s="174">
        <f t="shared" si="6"/>
        <v>6</v>
      </c>
      <c r="F49" s="174">
        <v>4</v>
      </c>
      <c r="G49" s="174">
        <f t="shared" si="7"/>
        <v>2</v>
      </c>
      <c r="H49" s="174"/>
      <c r="I49" s="186">
        <v>0</v>
      </c>
      <c r="J49" s="174">
        <v>0</v>
      </c>
      <c r="K49" s="174">
        <f t="shared" si="19"/>
        <v>0</v>
      </c>
      <c r="L49" s="174">
        <v>0</v>
      </c>
      <c r="M49" s="174">
        <f t="shared" si="20"/>
        <v>0</v>
      </c>
      <c r="N49" s="190"/>
      <c r="O49" s="174">
        <v>0</v>
      </c>
      <c r="P49" s="174">
        <v>3</v>
      </c>
      <c r="Q49" s="174">
        <f t="shared" si="21"/>
        <v>3</v>
      </c>
      <c r="R49" s="174">
        <v>0</v>
      </c>
      <c r="S49" s="174">
        <f t="shared" si="22"/>
        <v>3</v>
      </c>
      <c r="T49" s="190"/>
      <c r="U49" s="174">
        <v>6</v>
      </c>
      <c r="V49" s="174">
        <v>5</v>
      </c>
      <c r="W49" s="174">
        <f t="shared" si="23"/>
        <v>11</v>
      </c>
      <c r="X49" s="174">
        <v>8</v>
      </c>
      <c r="Y49" s="174">
        <f t="shared" si="24"/>
        <v>3</v>
      </c>
    </row>
    <row r="50" spans="1:31">
      <c r="A50" s="40" t="s">
        <v>28</v>
      </c>
      <c r="B50" s="167" t="s">
        <v>223</v>
      </c>
      <c r="C50" s="174">
        <v>5</v>
      </c>
      <c r="D50" s="174">
        <v>0</v>
      </c>
      <c r="E50" s="174">
        <f t="shared" si="6"/>
        <v>5</v>
      </c>
      <c r="F50" s="174">
        <v>0</v>
      </c>
      <c r="G50" s="174">
        <f t="shared" si="7"/>
        <v>5</v>
      </c>
      <c r="H50" s="174"/>
      <c r="I50" s="186">
        <v>0</v>
      </c>
      <c r="J50" s="174">
        <v>0</v>
      </c>
      <c r="K50" s="174">
        <f t="shared" si="19"/>
        <v>0</v>
      </c>
      <c r="L50" s="174">
        <v>0</v>
      </c>
      <c r="M50" s="174">
        <f t="shared" si="20"/>
        <v>0</v>
      </c>
      <c r="N50" s="190"/>
      <c r="O50" s="174">
        <v>0</v>
      </c>
      <c r="P50" s="174">
        <v>8</v>
      </c>
      <c r="Q50" s="174">
        <f t="shared" si="21"/>
        <v>8</v>
      </c>
      <c r="R50" s="174">
        <v>2</v>
      </c>
      <c r="S50" s="174">
        <f t="shared" si="22"/>
        <v>6</v>
      </c>
      <c r="T50" s="190"/>
      <c r="U50" s="174">
        <v>10</v>
      </c>
      <c r="V50" s="174">
        <v>12</v>
      </c>
      <c r="W50" s="174">
        <f t="shared" si="23"/>
        <v>22</v>
      </c>
      <c r="X50" s="174">
        <v>20</v>
      </c>
      <c r="Y50" s="174">
        <f t="shared" si="24"/>
        <v>2</v>
      </c>
    </row>
    <row r="51" spans="1:31">
      <c r="A51" s="40" t="s">
        <v>28</v>
      </c>
      <c r="B51" s="167" t="s">
        <v>87</v>
      </c>
      <c r="C51" s="174">
        <v>18</v>
      </c>
      <c r="D51" s="174">
        <v>5</v>
      </c>
      <c r="E51" s="174">
        <f t="shared" si="6"/>
        <v>23</v>
      </c>
      <c r="F51" s="174">
        <v>7</v>
      </c>
      <c r="G51" s="174">
        <f t="shared" si="7"/>
        <v>16</v>
      </c>
      <c r="H51" s="174"/>
      <c r="I51" s="186">
        <v>0</v>
      </c>
      <c r="J51" s="174">
        <v>0</v>
      </c>
      <c r="K51" s="174">
        <f t="shared" si="19"/>
        <v>0</v>
      </c>
      <c r="L51" s="174">
        <v>0</v>
      </c>
      <c r="M51" s="174">
        <f t="shared" si="20"/>
        <v>0</v>
      </c>
      <c r="N51" s="190"/>
      <c r="O51" s="174">
        <v>3</v>
      </c>
      <c r="P51" s="174">
        <v>7</v>
      </c>
      <c r="Q51" s="174">
        <f t="shared" si="21"/>
        <v>10</v>
      </c>
      <c r="R51" s="174">
        <v>5</v>
      </c>
      <c r="S51" s="174">
        <f t="shared" si="22"/>
        <v>5</v>
      </c>
      <c r="T51" s="190"/>
      <c r="U51" s="174">
        <v>16</v>
      </c>
      <c r="V51" s="174">
        <v>72</v>
      </c>
      <c r="W51" s="174">
        <f t="shared" si="23"/>
        <v>88</v>
      </c>
      <c r="X51" s="174">
        <v>68</v>
      </c>
      <c r="Y51" s="174">
        <f t="shared" si="24"/>
        <v>20</v>
      </c>
    </row>
    <row r="52" spans="1:31">
      <c r="A52" s="40" t="s">
        <v>28</v>
      </c>
      <c r="B52" s="167" t="s">
        <v>224</v>
      </c>
      <c r="C52" s="174">
        <v>1</v>
      </c>
      <c r="D52" s="174">
        <v>0</v>
      </c>
      <c r="E52" s="174">
        <f t="shared" si="6"/>
        <v>1</v>
      </c>
      <c r="F52" s="174">
        <v>0</v>
      </c>
      <c r="G52" s="174">
        <f t="shared" si="7"/>
        <v>1</v>
      </c>
      <c r="H52" s="174"/>
      <c r="I52" s="186">
        <v>0</v>
      </c>
      <c r="J52" s="174">
        <v>0</v>
      </c>
      <c r="K52" s="174">
        <f t="shared" si="19"/>
        <v>0</v>
      </c>
      <c r="L52" s="174">
        <v>0</v>
      </c>
      <c r="M52" s="174">
        <f t="shared" si="20"/>
        <v>0</v>
      </c>
      <c r="N52" s="190"/>
      <c r="O52" s="174">
        <v>3</v>
      </c>
      <c r="P52" s="174">
        <v>5</v>
      </c>
      <c r="Q52" s="174">
        <f t="shared" si="21"/>
        <v>8</v>
      </c>
      <c r="R52" s="174">
        <v>4</v>
      </c>
      <c r="S52" s="174">
        <f t="shared" si="22"/>
        <v>4</v>
      </c>
      <c r="T52" s="190"/>
      <c r="U52" s="174">
        <v>5</v>
      </c>
      <c r="V52" s="174">
        <v>10</v>
      </c>
      <c r="W52" s="174">
        <f t="shared" si="23"/>
        <v>15</v>
      </c>
      <c r="X52" s="174">
        <v>9</v>
      </c>
      <c r="Y52" s="174">
        <f t="shared" si="24"/>
        <v>6</v>
      </c>
    </row>
    <row r="53" spans="1:31">
      <c r="A53" s="40" t="s">
        <v>28</v>
      </c>
      <c r="B53" s="167" t="s">
        <v>88</v>
      </c>
      <c r="C53" s="174">
        <v>3</v>
      </c>
      <c r="D53" s="174">
        <v>7</v>
      </c>
      <c r="E53" s="174">
        <f t="shared" si="6"/>
        <v>10</v>
      </c>
      <c r="F53" s="174">
        <v>8</v>
      </c>
      <c r="G53" s="174">
        <f t="shared" si="7"/>
        <v>2</v>
      </c>
      <c r="H53" s="174"/>
      <c r="I53" s="186">
        <v>0</v>
      </c>
      <c r="J53" s="174">
        <v>0</v>
      </c>
      <c r="K53" s="174">
        <f t="shared" si="19"/>
        <v>0</v>
      </c>
      <c r="L53" s="174">
        <v>0</v>
      </c>
      <c r="M53" s="174">
        <f t="shared" si="20"/>
        <v>0</v>
      </c>
      <c r="N53" s="190"/>
      <c r="O53" s="174">
        <v>0</v>
      </c>
      <c r="P53" s="174">
        <v>9</v>
      </c>
      <c r="Q53" s="174">
        <f t="shared" si="21"/>
        <v>9</v>
      </c>
      <c r="R53" s="174">
        <v>9</v>
      </c>
      <c r="S53" s="174">
        <f t="shared" si="22"/>
        <v>0</v>
      </c>
      <c r="T53" s="190"/>
      <c r="U53" s="174">
        <v>1</v>
      </c>
      <c r="V53" s="174">
        <v>30</v>
      </c>
      <c r="W53" s="174">
        <f t="shared" si="23"/>
        <v>31</v>
      </c>
      <c r="X53" s="174">
        <v>31</v>
      </c>
      <c r="Y53" s="174">
        <f t="shared" si="24"/>
        <v>0</v>
      </c>
    </row>
    <row r="54" spans="1:31">
      <c r="A54" s="40" t="s">
        <v>28</v>
      </c>
      <c r="B54" s="167" t="s">
        <v>225</v>
      </c>
      <c r="C54" s="174">
        <v>2</v>
      </c>
      <c r="D54" s="174">
        <v>3</v>
      </c>
      <c r="E54" s="174">
        <f t="shared" si="6"/>
        <v>5</v>
      </c>
      <c r="F54" s="174">
        <v>4</v>
      </c>
      <c r="G54" s="174">
        <f t="shared" si="7"/>
        <v>1</v>
      </c>
      <c r="H54" s="174"/>
      <c r="I54" s="186">
        <v>0</v>
      </c>
      <c r="J54" s="174">
        <v>0</v>
      </c>
      <c r="K54" s="174">
        <f t="shared" si="19"/>
        <v>0</v>
      </c>
      <c r="L54" s="174">
        <v>0</v>
      </c>
      <c r="M54" s="174">
        <f t="shared" si="20"/>
        <v>0</v>
      </c>
      <c r="N54" s="190"/>
      <c r="O54" s="174">
        <v>0</v>
      </c>
      <c r="P54" s="174">
        <v>3</v>
      </c>
      <c r="Q54" s="174">
        <f t="shared" si="21"/>
        <v>3</v>
      </c>
      <c r="R54" s="174">
        <v>2</v>
      </c>
      <c r="S54" s="174">
        <f t="shared" si="22"/>
        <v>1</v>
      </c>
      <c r="T54" s="190"/>
      <c r="U54" s="174">
        <v>2</v>
      </c>
      <c r="V54" s="174">
        <v>19</v>
      </c>
      <c r="W54" s="174">
        <f t="shared" si="23"/>
        <v>21</v>
      </c>
      <c r="X54" s="174">
        <v>18</v>
      </c>
      <c r="Y54" s="174">
        <f t="shared" si="24"/>
        <v>3</v>
      </c>
    </row>
    <row r="55" spans="1:31">
      <c r="A55" s="40" t="s">
        <v>28</v>
      </c>
      <c r="B55" s="167" t="s">
        <v>226</v>
      </c>
      <c r="C55" s="174">
        <v>0</v>
      </c>
      <c r="D55" s="174">
        <v>0</v>
      </c>
      <c r="E55" s="174">
        <f t="shared" si="6"/>
        <v>0</v>
      </c>
      <c r="F55" s="174">
        <v>0</v>
      </c>
      <c r="G55" s="174">
        <f t="shared" si="7"/>
        <v>0</v>
      </c>
      <c r="H55" s="174"/>
      <c r="I55" s="186">
        <v>0</v>
      </c>
      <c r="J55" s="174">
        <v>0</v>
      </c>
      <c r="K55" s="174">
        <f t="shared" si="19"/>
        <v>0</v>
      </c>
      <c r="L55" s="174">
        <v>0</v>
      </c>
      <c r="M55" s="174">
        <f t="shared" si="20"/>
        <v>0</v>
      </c>
      <c r="N55" s="190"/>
      <c r="O55" s="174">
        <v>0</v>
      </c>
      <c r="P55" s="174">
        <v>3</v>
      </c>
      <c r="Q55" s="174">
        <f t="shared" si="21"/>
        <v>3</v>
      </c>
      <c r="R55" s="174">
        <v>2</v>
      </c>
      <c r="S55" s="174">
        <f t="shared" si="22"/>
        <v>1</v>
      </c>
      <c r="T55" s="190"/>
      <c r="U55" s="174">
        <v>2</v>
      </c>
      <c r="V55" s="174">
        <v>1</v>
      </c>
      <c r="W55" s="174">
        <f t="shared" si="23"/>
        <v>3</v>
      </c>
      <c r="X55" s="174">
        <v>2</v>
      </c>
      <c r="Y55" s="174">
        <f t="shared" si="24"/>
        <v>1</v>
      </c>
    </row>
    <row r="56" spans="1:31">
      <c r="A56" s="40" t="s">
        <v>28</v>
      </c>
      <c r="B56" s="167" t="s">
        <v>227</v>
      </c>
      <c r="C56" s="174">
        <v>0</v>
      </c>
      <c r="D56" s="174">
        <v>0</v>
      </c>
      <c r="E56" s="174">
        <f t="shared" si="6"/>
        <v>0</v>
      </c>
      <c r="F56" s="174">
        <v>0</v>
      </c>
      <c r="G56" s="174">
        <f t="shared" si="7"/>
        <v>0</v>
      </c>
      <c r="H56" s="174"/>
      <c r="I56" s="186">
        <v>0</v>
      </c>
      <c r="J56" s="174">
        <v>0</v>
      </c>
      <c r="K56" s="174">
        <f t="shared" si="19"/>
        <v>0</v>
      </c>
      <c r="L56" s="174">
        <v>0</v>
      </c>
      <c r="M56" s="174">
        <f t="shared" si="20"/>
        <v>0</v>
      </c>
      <c r="N56" s="190"/>
      <c r="O56" s="174">
        <v>1</v>
      </c>
      <c r="P56" s="174">
        <v>0</v>
      </c>
      <c r="Q56" s="174">
        <f t="shared" si="21"/>
        <v>1</v>
      </c>
      <c r="R56" s="174">
        <v>0</v>
      </c>
      <c r="S56" s="174">
        <f t="shared" si="22"/>
        <v>1</v>
      </c>
      <c r="T56" s="190"/>
      <c r="U56" s="174">
        <v>3</v>
      </c>
      <c r="V56" s="174">
        <v>2</v>
      </c>
      <c r="W56" s="174">
        <f t="shared" si="23"/>
        <v>5</v>
      </c>
      <c r="X56" s="174">
        <v>4</v>
      </c>
      <c r="Y56" s="174">
        <f t="shared" si="24"/>
        <v>1</v>
      </c>
    </row>
    <row r="57" spans="1:31">
      <c r="A57" s="40" t="s">
        <v>28</v>
      </c>
      <c r="B57" s="167" t="s">
        <v>228</v>
      </c>
      <c r="C57" s="174">
        <v>2</v>
      </c>
      <c r="D57" s="174">
        <v>2</v>
      </c>
      <c r="E57" s="174">
        <f t="shared" si="6"/>
        <v>4</v>
      </c>
      <c r="F57" s="174">
        <v>0</v>
      </c>
      <c r="G57" s="174">
        <f t="shared" si="7"/>
        <v>4</v>
      </c>
      <c r="H57" s="174"/>
      <c r="I57" s="186">
        <v>0</v>
      </c>
      <c r="J57" s="174">
        <v>0</v>
      </c>
      <c r="K57" s="174">
        <f t="shared" si="19"/>
        <v>0</v>
      </c>
      <c r="L57" s="174">
        <v>0</v>
      </c>
      <c r="M57" s="174">
        <f t="shared" si="20"/>
        <v>0</v>
      </c>
      <c r="N57" s="190"/>
      <c r="O57" s="174">
        <v>0</v>
      </c>
      <c r="P57" s="174">
        <v>8</v>
      </c>
      <c r="Q57" s="174">
        <f t="shared" si="21"/>
        <v>8</v>
      </c>
      <c r="R57" s="174">
        <v>4</v>
      </c>
      <c r="S57" s="174">
        <f t="shared" si="22"/>
        <v>4</v>
      </c>
      <c r="T57" s="190"/>
      <c r="U57" s="174">
        <v>14</v>
      </c>
      <c r="V57" s="174">
        <v>23</v>
      </c>
      <c r="W57" s="174">
        <f t="shared" si="23"/>
        <v>37</v>
      </c>
      <c r="X57" s="174">
        <v>18</v>
      </c>
      <c r="Y57" s="174">
        <f t="shared" si="24"/>
        <v>19</v>
      </c>
    </row>
    <row r="58" spans="1:31">
      <c r="A58" s="168" t="s">
        <v>28</v>
      </c>
      <c r="B58" s="169" t="s">
        <v>89</v>
      </c>
      <c r="C58" s="187">
        <v>0</v>
      </c>
      <c r="D58" s="187">
        <v>4</v>
      </c>
      <c r="E58" s="187">
        <f t="shared" si="6"/>
        <v>4</v>
      </c>
      <c r="F58" s="187">
        <v>2</v>
      </c>
      <c r="G58" s="187">
        <f t="shared" si="7"/>
        <v>2</v>
      </c>
      <c r="H58" s="187"/>
      <c r="I58" s="191">
        <v>0</v>
      </c>
      <c r="J58" s="187">
        <v>0</v>
      </c>
      <c r="K58" s="187">
        <f t="shared" si="19"/>
        <v>0</v>
      </c>
      <c r="L58" s="187">
        <v>0</v>
      </c>
      <c r="M58" s="187">
        <f t="shared" si="20"/>
        <v>0</v>
      </c>
      <c r="N58" s="192"/>
      <c r="O58" s="187">
        <v>3</v>
      </c>
      <c r="P58" s="187">
        <v>16</v>
      </c>
      <c r="Q58" s="187">
        <f t="shared" si="21"/>
        <v>19</v>
      </c>
      <c r="R58" s="187">
        <v>17</v>
      </c>
      <c r="S58" s="187">
        <f t="shared" si="22"/>
        <v>2</v>
      </c>
      <c r="T58" s="192"/>
      <c r="U58" s="187">
        <v>9</v>
      </c>
      <c r="V58" s="187">
        <v>80</v>
      </c>
      <c r="W58" s="187">
        <f t="shared" si="23"/>
        <v>89</v>
      </c>
      <c r="X58" s="187">
        <v>77</v>
      </c>
      <c r="Y58" s="187">
        <f t="shared" si="24"/>
        <v>12</v>
      </c>
    </row>
    <row r="59" spans="1:31" s="22" customFormat="1">
      <c r="A59" s="84" t="s">
        <v>30</v>
      </c>
      <c r="B59" s="159" t="s">
        <v>1</v>
      </c>
      <c r="C59" s="163">
        <f>SUM(C60:C72)</f>
        <v>118</v>
      </c>
      <c r="D59" s="163">
        <f>SUM(D60:D72)</f>
        <v>59</v>
      </c>
      <c r="E59" s="163">
        <f t="shared" si="6"/>
        <v>177</v>
      </c>
      <c r="F59" s="163">
        <f>SUM(F60:F72)</f>
        <v>62</v>
      </c>
      <c r="G59" s="163">
        <f t="shared" si="7"/>
        <v>115</v>
      </c>
      <c r="H59" s="163"/>
      <c r="I59" s="164">
        <f>SUM(I60:I72)</f>
        <v>1</v>
      </c>
      <c r="J59" s="163">
        <f>SUM(J60:J72)</f>
        <v>0</v>
      </c>
      <c r="K59" s="163">
        <f>SUM(K60:K72)</f>
        <v>1</v>
      </c>
      <c r="L59" s="163">
        <f>SUM(L60:L72)</f>
        <v>1</v>
      </c>
      <c r="M59" s="163">
        <f>SUM(M60:M72)</f>
        <v>0</v>
      </c>
      <c r="N59" s="165"/>
      <c r="O59" s="163">
        <f>SUM(O60:O72)</f>
        <v>69</v>
      </c>
      <c r="P59" s="163">
        <f>SUM(P60:P72)</f>
        <v>67</v>
      </c>
      <c r="Q59" s="163">
        <f>SUM(Q60:Q72)</f>
        <v>136</v>
      </c>
      <c r="R59" s="163">
        <f>SUM(R60:R72)</f>
        <v>92</v>
      </c>
      <c r="S59" s="163">
        <f>SUM(S60:S72)</f>
        <v>44</v>
      </c>
      <c r="T59" s="165"/>
      <c r="U59" s="163">
        <f>SUM(U60:U72)</f>
        <v>165</v>
      </c>
      <c r="V59" s="163">
        <f>SUM(V60:V72)</f>
        <v>341</v>
      </c>
      <c r="W59" s="163">
        <f>SUM(W60:W72)</f>
        <v>506</v>
      </c>
      <c r="X59" s="163">
        <f>SUM(X60:X72)</f>
        <v>413</v>
      </c>
      <c r="Y59" s="163">
        <f>SUM(Y60:Y72)</f>
        <v>93</v>
      </c>
      <c r="AA59" s="1"/>
      <c r="AB59" s="1"/>
      <c r="AC59" s="1"/>
      <c r="AD59" s="1"/>
      <c r="AE59" s="1"/>
    </row>
    <row r="60" spans="1:31">
      <c r="A60" s="40" t="s">
        <v>30</v>
      </c>
      <c r="B60" s="167" t="s">
        <v>229</v>
      </c>
      <c r="C60" s="174">
        <v>3</v>
      </c>
      <c r="D60" s="174">
        <v>1</v>
      </c>
      <c r="E60" s="174">
        <f t="shared" si="6"/>
        <v>4</v>
      </c>
      <c r="F60" s="174">
        <v>0</v>
      </c>
      <c r="G60" s="174">
        <f t="shared" si="7"/>
        <v>4</v>
      </c>
      <c r="H60" s="174"/>
      <c r="I60" s="186">
        <v>0</v>
      </c>
      <c r="J60" s="174">
        <v>0</v>
      </c>
      <c r="K60" s="174">
        <f t="shared" ref="K60:K72" si="25">SUM(I60:J60)</f>
        <v>0</v>
      </c>
      <c r="L60" s="174">
        <v>0</v>
      </c>
      <c r="M60" s="174">
        <f t="shared" ref="M60:M72" si="26">K60-L60</f>
        <v>0</v>
      </c>
      <c r="N60" s="190"/>
      <c r="O60" s="174">
        <v>0</v>
      </c>
      <c r="P60" s="174">
        <v>1</v>
      </c>
      <c r="Q60" s="174">
        <f t="shared" ref="Q60:Q72" si="27">SUM(O60:P60)</f>
        <v>1</v>
      </c>
      <c r="R60" s="174">
        <v>0</v>
      </c>
      <c r="S60" s="174">
        <f t="shared" ref="S60:S72" si="28">Q60-R60</f>
        <v>1</v>
      </c>
      <c r="T60" s="190"/>
      <c r="U60" s="174">
        <v>4</v>
      </c>
      <c r="V60" s="174">
        <v>12</v>
      </c>
      <c r="W60" s="174">
        <f t="shared" ref="W60:W72" si="29">SUM(U60:V60)</f>
        <v>16</v>
      </c>
      <c r="X60" s="174">
        <v>9</v>
      </c>
      <c r="Y60" s="174">
        <f t="shared" ref="Y60:Y72" si="30">W60-X60</f>
        <v>7</v>
      </c>
    </row>
    <row r="61" spans="1:31">
      <c r="A61" s="40" t="s">
        <v>30</v>
      </c>
      <c r="B61" s="167" t="s">
        <v>90</v>
      </c>
      <c r="C61" s="174">
        <v>6</v>
      </c>
      <c r="D61" s="174">
        <v>1</v>
      </c>
      <c r="E61" s="174">
        <f t="shared" si="6"/>
        <v>7</v>
      </c>
      <c r="F61" s="174">
        <v>1</v>
      </c>
      <c r="G61" s="174">
        <f t="shared" si="7"/>
        <v>6</v>
      </c>
      <c r="H61" s="174"/>
      <c r="I61" s="186">
        <v>0</v>
      </c>
      <c r="J61" s="174">
        <v>0</v>
      </c>
      <c r="K61" s="174">
        <f t="shared" si="25"/>
        <v>0</v>
      </c>
      <c r="L61" s="174">
        <v>0</v>
      </c>
      <c r="M61" s="174">
        <f t="shared" si="26"/>
        <v>0</v>
      </c>
      <c r="N61" s="190"/>
      <c r="O61" s="174">
        <v>1</v>
      </c>
      <c r="P61" s="174">
        <v>2</v>
      </c>
      <c r="Q61" s="174">
        <f t="shared" si="27"/>
        <v>3</v>
      </c>
      <c r="R61" s="174">
        <v>2</v>
      </c>
      <c r="S61" s="174">
        <f t="shared" si="28"/>
        <v>1</v>
      </c>
      <c r="T61" s="190"/>
      <c r="U61" s="174">
        <v>5</v>
      </c>
      <c r="V61" s="174">
        <v>27</v>
      </c>
      <c r="W61" s="174">
        <f t="shared" si="29"/>
        <v>32</v>
      </c>
      <c r="X61" s="174">
        <v>30</v>
      </c>
      <c r="Y61" s="174">
        <f t="shared" si="30"/>
        <v>2</v>
      </c>
    </row>
    <row r="62" spans="1:31">
      <c r="A62" s="40" t="s">
        <v>30</v>
      </c>
      <c r="B62" s="167" t="s">
        <v>230</v>
      </c>
      <c r="C62" s="174">
        <v>5</v>
      </c>
      <c r="D62" s="174">
        <v>5</v>
      </c>
      <c r="E62" s="174">
        <f t="shared" si="6"/>
        <v>10</v>
      </c>
      <c r="F62" s="174">
        <v>5</v>
      </c>
      <c r="G62" s="174">
        <f t="shared" si="7"/>
        <v>5</v>
      </c>
      <c r="H62" s="174"/>
      <c r="I62" s="186">
        <v>0</v>
      </c>
      <c r="J62" s="174">
        <v>0</v>
      </c>
      <c r="K62" s="174">
        <f t="shared" si="25"/>
        <v>0</v>
      </c>
      <c r="L62" s="174">
        <v>0</v>
      </c>
      <c r="M62" s="174">
        <f t="shared" si="26"/>
        <v>0</v>
      </c>
      <c r="N62" s="190"/>
      <c r="O62" s="174">
        <v>0</v>
      </c>
      <c r="P62" s="174">
        <v>2</v>
      </c>
      <c r="Q62" s="174">
        <f t="shared" si="27"/>
        <v>2</v>
      </c>
      <c r="R62" s="174">
        <v>2</v>
      </c>
      <c r="S62" s="174">
        <f t="shared" si="28"/>
        <v>0</v>
      </c>
      <c r="T62" s="190"/>
      <c r="U62" s="174">
        <v>6</v>
      </c>
      <c r="V62" s="174">
        <v>11</v>
      </c>
      <c r="W62" s="174">
        <f t="shared" si="29"/>
        <v>17</v>
      </c>
      <c r="X62" s="174">
        <v>14</v>
      </c>
      <c r="Y62" s="174">
        <f t="shared" si="30"/>
        <v>3</v>
      </c>
    </row>
    <row r="63" spans="1:31">
      <c r="A63" s="40" t="s">
        <v>30</v>
      </c>
      <c r="B63" s="167" t="s">
        <v>231</v>
      </c>
      <c r="C63" s="174">
        <v>4</v>
      </c>
      <c r="D63" s="174">
        <v>1</v>
      </c>
      <c r="E63" s="174">
        <f t="shared" si="6"/>
        <v>5</v>
      </c>
      <c r="F63" s="174">
        <v>0</v>
      </c>
      <c r="G63" s="174">
        <f t="shared" si="7"/>
        <v>5</v>
      </c>
      <c r="H63" s="174"/>
      <c r="I63" s="186">
        <v>0</v>
      </c>
      <c r="J63" s="174">
        <v>0</v>
      </c>
      <c r="K63" s="174">
        <f t="shared" si="25"/>
        <v>0</v>
      </c>
      <c r="L63" s="174">
        <v>0</v>
      </c>
      <c r="M63" s="174">
        <f t="shared" si="26"/>
        <v>0</v>
      </c>
      <c r="N63" s="190"/>
      <c r="O63" s="174">
        <v>4</v>
      </c>
      <c r="P63" s="174">
        <v>1</v>
      </c>
      <c r="Q63" s="174">
        <f t="shared" si="27"/>
        <v>5</v>
      </c>
      <c r="R63" s="174">
        <v>4</v>
      </c>
      <c r="S63" s="174">
        <f t="shared" si="28"/>
        <v>1</v>
      </c>
      <c r="T63" s="190"/>
      <c r="U63" s="174">
        <v>10</v>
      </c>
      <c r="V63" s="174">
        <v>12</v>
      </c>
      <c r="W63" s="174">
        <f t="shared" si="29"/>
        <v>22</v>
      </c>
      <c r="X63" s="174">
        <v>19</v>
      </c>
      <c r="Y63" s="174">
        <f t="shared" si="30"/>
        <v>3</v>
      </c>
    </row>
    <row r="64" spans="1:31">
      <c r="A64" s="40" t="s">
        <v>30</v>
      </c>
      <c r="B64" s="167" t="s">
        <v>232</v>
      </c>
      <c r="C64" s="174">
        <v>7</v>
      </c>
      <c r="D64" s="174">
        <v>9</v>
      </c>
      <c r="E64" s="174">
        <f t="shared" si="6"/>
        <v>16</v>
      </c>
      <c r="F64" s="174">
        <v>3</v>
      </c>
      <c r="G64" s="174">
        <f t="shared" si="7"/>
        <v>13</v>
      </c>
      <c r="H64" s="174"/>
      <c r="I64" s="186">
        <v>0</v>
      </c>
      <c r="J64" s="174">
        <v>0</v>
      </c>
      <c r="K64" s="174">
        <f t="shared" si="25"/>
        <v>0</v>
      </c>
      <c r="L64" s="174">
        <v>0</v>
      </c>
      <c r="M64" s="174">
        <f t="shared" si="26"/>
        <v>0</v>
      </c>
      <c r="N64" s="190"/>
      <c r="O64" s="174">
        <v>19</v>
      </c>
      <c r="P64" s="174">
        <v>4</v>
      </c>
      <c r="Q64" s="174">
        <f t="shared" si="27"/>
        <v>23</v>
      </c>
      <c r="R64" s="174">
        <v>11</v>
      </c>
      <c r="S64" s="174">
        <f t="shared" si="28"/>
        <v>12</v>
      </c>
      <c r="T64" s="190"/>
      <c r="U64" s="174">
        <v>19</v>
      </c>
      <c r="V64" s="174">
        <v>23</v>
      </c>
      <c r="W64" s="174">
        <f t="shared" si="29"/>
        <v>42</v>
      </c>
      <c r="X64" s="174">
        <v>31</v>
      </c>
      <c r="Y64" s="174">
        <f t="shared" si="30"/>
        <v>11</v>
      </c>
    </row>
    <row r="65" spans="1:34">
      <c r="A65" s="40" t="s">
        <v>30</v>
      </c>
      <c r="B65" s="167" t="s">
        <v>233</v>
      </c>
      <c r="C65" s="174">
        <v>14</v>
      </c>
      <c r="D65" s="174">
        <v>11</v>
      </c>
      <c r="E65" s="174">
        <f t="shared" si="6"/>
        <v>25</v>
      </c>
      <c r="F65" s="174">
        <v>7</v>
      </c>
      <c r="G65" s="174">
        <f t="shared" si="7"/>
        <v>18</v>
      </c>
      <c r="H65" s="174"/>
      <c r="I65" s="186">
        <v>0</v>
      </c>
      <c r="J65" s="174">
        <v>0</v>
      </c>
      <c r="K65" s="174">
        <f t="shared" si="25"/>
        <v>0</v>
      </c>
      <c r="L65" s="174">
        <v>0</v>
      </c>
      <c r="M65" s="174">
        <f t="shared" si="26"/>
        <v>0</v>
      </c>
      <c r="N65" s="190"/>
      <c r="O65" s="174">
        <v>10</v>
      </c>
      <c r="P65" s="174">
        <v>3</v>
      </c>
      <c r="Q65" s="174">
        <f t="shared" si="27"/>
        <v>13</v>
      </c>
      <c r="R65" s="174">
        <v>6</v>
      </c>
      <c r="S65" s="174">
        <f t="shared" si="28"/>
        <v>7</v>
      </c>
      <c r="T65" s="190"/>
      <c r="U65" s="174">
        <v>25</v>
      </c>
      <c r="V65" s="174">
        <v>23</v>
      </c>
      <c r="W65" s="174">
        <f t="shared" si="29"/>
        <v>48</v>
      </c>
      <c r="X65" s="174">
        <v>36</v>
      </c>
      <c r="Y65" s="174">
        <f t="shared" si="30"/>
        <v>12</v>
      </c>
    </row>
    <row r="66" spans="1:34">
      <c r="A66" s="40" t="s">
        <v>30</v>
      </c>
      <c r="B66" s="167" t="s">
        <v>234</v>
      </c>
      <c r="C66" s="174">
        <v>13</v>
      </c>
      <c r="D66" s="174">
        <v>2</v>
      </c>
      <c r="E66" s="174">
        <f t="shared" si="6"/>
        <v>15</v>
      </c>
      <c r="F66" s="174">
        <v>7</v>
      </c>
      <c r="G66" s="174">
        <f t="shared" si="7"/>
        <v>8</v>
      </c>
      <c r="H66" s="174"/>
      <c r="I66" s="186">
        <v>0</v>
      </c>
      <c r="J66" s="174">
        <v>0</v>
      </c>
      <c r="K66" s="174">
        <f t="shared" si="25"/>
        <v>0</v>
      </c>
      <c r="L66" s="174">
        <v>0</v>
      </c>
      <c r="M66" s="174">
        <f t="shared" si="26"/>
        <v>0</v>
      </c>
      <c r="N66" s="190"/>
      <c r="O66" s="174">
        <v>5</v>
      </c>
      <c r="P66" s="174">
        <v>0</v>
      </c>
      <c r="Q66" s="174">
        <f t="shared" si="27"/>
        <v>5</v>
      </c>
      <c r="R66" s="174">
        <v>3</v>
      </c>
      <c r="S66" s="174">
        <f t="shared" si="28"/>
        <v>2</v>
      </c>
      <c r="T66" s="190"/>
      <c r="U66" s="174">
        <v>8</v>
      </c>
      <c r="V66" s="174">
        <v>15</v>
      </c>
      <c r="W66" s="174">
        <f t="shared" si="29"/>
        <v>23</v>
      </c>
      <c r="X66" s="174">
        <v>13</v>
      </c>
      <c r="Y66" s="174">
        <f t="shared" si="30"/>
        <v>10</v>
      </c>
    </row>
    <row r="67" spans="1:34">
      <c r="A67" s="40" t="s">
        <v>30</v>
      </c>
      <c r="B67" s="167" t="s">
        <v>91</v>
      </c>
      <c r="C67" s="174">
        <v>5</v>
      </c>
      <c r="D67" s="174">
        <v>2</v>
      </c>
      <c r="E67" s="174">
        <f t="shared" si="6"/>
        <v>7</v>
      </c>
      <c r="F67" s="174">
        <v>4</v>
      </c>
      <c r="G67" s="174">
        <f t="shared" si="7"/>
        <v>3</v>
      </c>
      <c r="H67" s="174"/>
      <c r="I67" s="186">
        <v>0</v>
      </c>
      <c r="J67" s="174">
        <v>0</v>
      </c>
      <c r="K67" s="174">
        <f t="shared" si="25"/>
        <v>0</v>
      </c>
      <c r="L67" s="174">
        <v>0</v>
      </c>
      <c r="M67" s="174">
        <f t="shared" si="26"/>
        <v>0</v>
      </c>
      <c r="N67" s="190"/>
      <c r="O67" s="174">
        <v>7</v>
      </c>
      <c r="P67" s="174">
        <v>8</v>
      </c>
      <c r="Q67" s="174">
        <f t="shared" si="27"/>
        <v>15</v>
      </c>
      <c r="R67" s="174">
        <v>8</v>
      </c>
      <c r="S67" s="174">
        <f t="shared" si="28"/>
        <v>7</v>
      </c>
      <c r="T67" s="190"/>
      <c r="U67" s="174">
        <v>14</v>
      </c>
      <c r="V67" s="174">
        <v>34</v>
      </c>
      <c r="W67" s="174">
        <f t="shared" si="29"/>
        <v>48</v>
      </c>
      <c r="X67" s="174">
        <v>42</v>
      </c>
      <c r="Y67" s="174">
        <f t="shared" si="30"/>
        <v>6</v>
      </c>
    </row>
    <row r="68" spans="1:34">
      <c r="A68" s="40" t="s">
        <v>30</v>
      </c>
      <c r="B68" s="167" t="s">
        <v>235</v>
      </c>
      <c r="C68" s="174">
        <v>0</v>
      </c>
      <c r="D68" s="174">
        <v>0</v>
      </c>
      <c r="E68" s="174">
        <f t="shared" si="6"/>
        <v>0</v>
      </c>
      <c r="F68" s="174">
        <v>0</v>
      </c>
      <c r="G68" s="174">
        <f t="shared" si="7"/>
        <v>0</v>
      </c>
      <c r="H68" s="174"/>
      <c r="I68" s="186">
        <v>0</v>
      </c>
      <c r="J68" s="174">
        <v>0</v>
      </c>
      <c r="K68" s="174">
        <f t="shared" si="25"/>
        <v>0</v>
      </c>
      <c r="L68" s="174">
        <v>0</v>
      </c>
      <c r="M68" s="174">
        <f t="shared" si="26"/>
        <v>0</v>
      </c>
      <c r="N68" s="190"/>
      <c r="O68" s="174">
        <v>0</v>
      </c>
      <c r="P68" s="174">
        <v>3</v>
      </c>
      <c r="Q68" s="174">
        <f t="shared" si="27"/>
        <v>3</v>
      </c>
      <c r="R68" s="174">
        <v>1</v>
      </c>
      <c r="S68" s="174">
        <f t="shared" si="28"/>
        <v>2</v>
      </c>
      <c r="T68" s="190"/>
      <c r="U68" s="174">
        <v>3</v>
      </c>
      <c r="V68" s="174">
        <v>7</v>
      </c>
      <c r="W68" s="174">
        <f t="shared" si="29"/>
        <v>10</v>
      </c>
      <c r="X68" s="174">
        <v>9</v>
      </c>
      <c r="Y68" s="174">
        <f t="shared" si="30"/>
        <v>1</v>
      </c>
    </row>
    <row r="69" spans="1:34">
      <c r="A69" s="40" t="s">
        <v>30</v>
      </c>
      <c r="B69" s="167" t="s">
        <v>236</v>
      </c>
      <c r="C69" s="174">
        <v>12</v>
      </c>
      <c r="D69" s="174">
        <v>8</v>
      </c>
      <c r="E69" s="174">
        <f t="shared" si="6"/>
        <v>20</v>
      </c>
      <c r="F69" s="174">
        <v>9</v>
      </c>
      <c r="G69" s="174">
        <f t="shared" si="7"/>
        <v>11</v>
      </c>
      <c r="H69" s="174"/>
      <c r="I69" s="186">
        <v>0</v>
      </c>
      <c r="J69" s="174">
        <v>0</v>
      </c>
      <c r="K69" s="174">
        <f t="shared" si="25"/>
        <v>0</v>
      </c>
      <c r="L69" s="174">
        <v>0</v>
      </c>
      <c r="M69" s="174">
        <f t="shared" si="26"/>
        <v>0</v>
      </c>
      <c r="N69" s="190"/>
      <c r="O69" s="174">
        <v>13</v>
      </c>
      <c r="P69" s="174">
        <v>13</v>
      </c>
      <c r="Q69" s="174">
        <f t="shared" si="27"/>
        <v>26</v>
      </c>
      <c r="R69" s="174">
        <v>22</v>
      </c>
      <c r="S69" s="174">
        <f t="shared" si="28"/>
        <v>4</v>
      </c>
      <c r="T69" s="190"/>
      <c r="U69" s="174">
        <v>25</v>
      </c>
      <c r="V69" s="174">
        <v>54</v>
      </c>
      <c r="W69" s="174">
        <f t="shared" si="29"/>
        <v>79</v>
      </c>
      <c r="X69" s="174">
        <v>64</v>
      </c>
      <c r="Y69" s="174">
        <f t="shared" si="30"/>
        <v>15</v>
      </c>
    </row>
    <row r="70" spans="1:34">
      <c r="A70" s="40" t="s">
        <v>30</v>
      </c>
      <c r="B70" s="167" t="s">
        <v>237</v>
      </c>
      <c r="C70" s="174">
        <v>31</v>
      </c>
      <c r="D70" s="174">
        <v>6</v>
      </c>
      <c r="E70" s="174">
        <f t="shared" si="6"/>
        <v>37</v>
      </c>
      <c r="F70" s="174">
        <v>6</v>
      </c>
      <c r="G70" s="174">
        <f t="shared" si="7"/>
        <v>31</v>
      </c>
      <c r="H70" s="174"/>
      <c r="I70" s="186">
        <v>0</v>
      </c>
      <c r="J70" s="174">
        <v>0</v>
      </c>
      <c r="K70" s="174">
        <f t="shared" si="25"/>
        <v>0</v>
      </c>
      <c r="L70" s="174">
        <v>0</v>
      </c>
      <c r="M70" s="174">
        <f t="shared" si="26"/>
        <v>0</v>
      </c>
      <c r="N70" s="190"/>
      <c r="O70" s="174">
        <v>5</v>
      </c>
      <c r="P70" s="174">
        <v>6</v>
      </c>
      <c r="Q70" s="174">
        <f t="shared" si="27"/>
        <v>11</v>
      </c>
      <c r="R70" s="174">
        <v>8</v>
      </c>
      <c r="S70" s="174">
        <f t="shared" si="28"/>
        <v>3</v>
      </c>
      <c r="T70" s="190"/>
      <c r="U70" s="174">
        <v>23</v>
      </c>
      <c r="V70" s="174">
        <v>51</v>
      </c>
      <c r="W70" s="174">
        <f t="shared" si="29"/>
        <v>74</v>
      </c>
      <c r="X70" s="174">
        <v>57</v>
      </c>
      <c r="Y70" s="174">
        <f t="shared" si="30"/>
        <v>17</v>
      </c>
    </row>
    <row r="71" spans="1:34">
      <c r="A71" s="40" t="s">
        <v>30</v>
      </c>
      <c r="B71" s="167" t="s">
        <v>238</v>
      </c>
      <c r="C71" s="174">
        <v>2</v>
      </c>
      <c r="D71" s="174">
        <v>0</v>
      </c>
      <c r="E71" s="174">
        <f t="shared" si="6"/>
        <v>2</v>
      </c>
      <c r="F71" s="174">
        <v>1</v>
      </c>
      <c r="G71" s="174">
        <f t="shared" si="7"/>
        <v>1</v>
      </c>
      <c r="H71" s="174"/>
      <c r="I71" s="186">
        <v>0</v>
      </c>
      <c r="J71" s="174">
        <v>0</v>
      </c>
      <c r="K71" s="174">
        <f t="shared" si="25"/>
        <v>0</v>
      </c>
      <c r="L71" s="174">
        <v>0</v>
      </c>
      <c r="M71" s="174">
        <f t="shared" si="26"/>
        <v>0</v>
      </c>
      <c r="N71" s="190"/>
      <c r="O71" s="174">
        <v>0</v>
      </c>
      <c r="P71" s="174">
        <v>1</v>
      </c>
      <c r="Q71" s="174">
        <f t="shared" si="27"/>
        <v>1</v>
      </c>
      <c r="R71" s="174">
        <v>1</v>
      </c>
      <c r="S71" s="174">
        <f t="shared" si="28"/>
        <v>0</v>
      </c>
      <c r="T71" s="190"/>
      <c r="U71" s="174">
        <v>3</v>
      </c>
      <c r="V71" s="174">
        <v>3</v>
      </c>
      <c r="W71" s="174">
        <f t="shared" si="29"/>
        <v>6</v>
      </c>
      <c r="X71" s="174">
        <v>6</v>
      </c>
      <c r="Y71" s="174">
        <f t="shared" si="30"/>
        <v>0</v>
      </c>
    </row>
    <row r="72" spans="1:34">
      <c r="A72" s="168" t="s">
        <v>30</v>
      </c>
      <c r="B72" s="169" t="s">
        <v>239</v>
      </c>
      <c r="C72" s="187">
        <v>16</v>
      </c>
      <c r="D72" s="187">
        <v>13</v>
      </c>
      <c r="E72" s="187">
        <f t="shared" si="6"/>
        <v>29</v>
      </c>
      <c r="F72" s="187">
        <v>19</v>
      </c>
      <c r="G72" s="187">
        <f t="shared" si="7"/>
        <v>10</v>
      </c>
      <c r="H72" s="187"/>
      <c r="I72" s="191">
        <v>1</v>
      </c>
      <c r="J72" s="187">
        <v>0</v>
      </c>
      <c r="K72" s="187">
        <f t="shared" si="25"/>
        <v>1</v>
      </c>
      <c r="L72" s="187">
        <v>1</v>
      </c>
      <c r="M72" s="187">
        <f t="shared" si="26"/>
        <v>0</v>
      </c>
      <c r="N72" s="192"/>
      <c r="O72" s="187">
        <v>5</v>
      </c>
      <c r="P72" s="187">
        <v>23</v>
      </c>
      <c r="Q72" s="187">
        <f t="shared" si="27"/>
        <v>28</v>
      </c>
      <c r="R72" s="187">
        <v>24</v>
      </c>
      <c r="S72" s="187">
        <f t="shared" si="28"/>
        <v>4</v>
      </c>
      <c r="T72" s="192"/>
      <c r="U72" s="187">
        <v>20</v>
      </c>
      <c r="V72" s="187">
        <v>69</v>
      </c>
      <c r="W72" s="187">
        <f t="shared" si="29"/>
        <v>89</v>
      </c>
      <c r="X72" s="187">
        <v>83</v>
      </c>
      <c r="Y72" s="187">
        <f t="shared" si="30"/>
        <v>6</v>
      </c>
    </row>
    <row r="73" spans="1:34" s="22" customFormat="1">
      <c r="A73" s="84" t="s">
        <v>31</v>
      </c>
      <c r="B73" s="159" t="s">
        <v>1</v>
      </c>
      <c r="C73" s="163">
        <f>SUM(C74:C88)</f>
        <v>83</v>
      </c>
      <c r="D73" s="163">
        <f>SUM(D74:D88)</f>
        <v>85</v>
      </c>
      <c r="E73" s="163">
        <f t="shared" ref="E73:E136" si="31">SUM(C73:D73)</f>
        <v>168</v>
      </c>
      <c r="F73" s="163">
        <f>SUM(F74:F88)</f>
        <v>78</v>
      </c>
      <c r="G73" s="163">
        <f t="shared" ref="G73:G136" si="32">E73-F73</f>
        <v>90</v>
      </c>
      <c r="H73" s="163"/>
      <c r="I73" s="164">
        <f>SUM(I74:I88)</f>
        <v>1</v>
      </c>
      <c r="J73" s="163">
        <f>SUM(J74:J88)</f>
        <v>0</v>
      </c>
      <c r="K73" s="163">
        <f>SUM(K74:K88)</f>
        <v>1</v>
      </c>
      <c r="L73" s="163">
        <f>SUM(L74:L88)</f>
        <v>1</v>
      </c>
      <c r="M73" s="163">
        <f>SUM(M74:M88)</f>
        <v>0</v>
      </c>
      <c r="N73" s="165"/>
      <c r="O73" s="163">
        <f>SUM(O74:O88)</f>
        <v>54</v>
      </c>
      <c r="P73" s="163">
        <f>SUM(P74:P88)</f>
        <v>141</v>
      </c>
      <c r="Q73" s="163">
        <f>SUM(Q74:Q88)</f>
        <v>195</v>
      </c>
      <c r="R73" s="163">
        <f>SUM(R74:R88)</f>
        <v>152</v>
      </c>
      <c r="S73" s="163">
        <f>SUM(S74:S88)</f>
        <v>43</v>
      </c>
      <c r="T73" s="165"/>
      <c r="U73" s="163">
        <f>SUM(U74:U88)</f>
        <v>47</v>
      </c>
      <c r="V73" s="163">
        <f>SUM(V74:V88)</f>
        <v>424</v>
      </c>
      <c r="W73" s="163">
        <f>SUM(W74:W88)</f>
        <v>471</v>
      </c>
      <c r="X73" s="163">
        <f>SUM(X74:X88)</f>
        <v>416</v>
      </c>
      <c r="Y73" s="163">
        <f>SUM(Y74:Y88)</f>
        <v>55</v>
      </c>
      <c r="AA73" s="1"/>
      <c r="AB73" s="1"/>
      <c r="AC73" s="1"/>
      <c r="AD73" s="1"/>
      <c r="AE73" s="1"/>
    </row>
    <row r="74" spans="1:34">
      <c r="A74" s="40" t="s">
        <v>31</v>
      </c>
      <c r="B74" s="167" t="s">
        <v>240</v>
      </c>
      <c r="C74" s="174">
        <v>10</v>
      </c>
      <c r="D74" s="174">
        <v>5</v>
      </c>
      <c r="E74" s="174">
        <f t="shared" si="31"/>
        <v>15</v>
      </c>
      <c r="F74" s="174">
        <v>7</v>
      </c>
      <c r="G74" s="174">
        <f t="shared" si="32"/>
        <v>8</v>
      </c>
      <c r="H74" s="174"/>
      <c r="I74" s="186">
        <v>0</v>
      </c>
      <c r="J74" s="174">
        <v>0</v>
      </c>
      <c r="K74" s="174">
        <f t="shared" ref="K74:K88" si="33">SUM(I74:J74)</f>
        <v>0</v>
      </c>
      <c r="L74" s="174">
        <v>0</v>
      </c>
      <c r="M74" s="174">
        <f t="shared" ref="M74:M88" si="34">K74-L74</f>
        <v>0</v>
      </c>
      <c r="N74" s="190"/>
      <c r="O74" s="174">
        <v>9</v>
      </c>
      <c r="P74" s="174">
        <v>5</v>
      </c>
      <c r="Q74" s="174">
        <f t="shared" ref="Q74:Q88" si="35">SUM(O74:P74)</f>
        <v>14</v>
      </c>
      <c r="R74" s="174">
        <v>10</v>
      </c>
      <c r="S74" s="174">
        <f t="shared" ref="S74:S88" si="36">Q74-R74</f>
        <v>4</v>
      </c>
      <c r="T74" s="190"/>
      <c r="U74" s="174">
        <v>12</v>
      </c>
      <c r="V74" s="174">
        <v>42</v>
      </c>
      <c r="W74" s="174">
        <f t="shared" ref="W74:W88" si="37">SUM(U74:V74)</f>
        <v>54</v>
      </c>
      <c r="X74" s="174">
        <v>45</v>
      </c>
      <c r="Y74" s="174">
        <f t="shared" ref="Y74:Y88" si="38">W74-X74</f>
        <v>9</v>
      </c>
    </row>
    <row r="75" spans="1:34">
      <c r="A75" s="40" t="s">
        <v>31</v>
      </c>
      <c r="B75" s="167" t="s">
        <v>92</v>
      </c>
      <c r="C75" s="174">
        <v>3</v>
      </c>
      <c r="D75" s="174">
        <v>1</v>
      </c>
      <c r="E75" s="174">
        <f t="shared" si="31"/>
        <v>4</v>
      </c>
      <c r="F75" s="174">
        <v>1</v>
      </c>
      <c r="G75" s="174">
        <f t="shared" si="32"/>
        <v>3</v>
      </c>
      <c r="H75" s="174"/>
      <c r="I75" s="186">
        <v>0</v>
      </c>
      <c r="J75" s="174">
        <v>0</v>
      </c>
      <c r="K75" s="174">
        <f t="shared" si="33"/>
        <v>0</v>
      </c>
      <c r="L75" s="174">
        <v>0</v>
      </c>
      <c r="M75" s="174">
        <f t="shared" si="34"/>
        <v>0</v>
      </c>
      <c r="N75" s="190"/>
      <c r="O75" s="174">
        <v>0</v>
      </c>
      <c r="P75" s="174">
        <v>2</v>
      </c>
      <c r="Q75" s="174">
        <f t="shared" si="35"/>
        <v>2</v>
      </c>
      <c r="R75" s="174">
        <v>1</v>
      </c>
      <c r="S75" s="174">
        <f t="shared" si="36"/>
        <v>1</v>
      </c>
      <c r="T75" s="190"/>
      <c r="U75" s="174">
        <v>1</v>
      </c>
      <c r="V75" s="174">
        <v>13</v>
      </c>
      <c r="W75" s="174">
        <f t="shared" si="37"/>
        <v>14</v>
      </c>
      <c r="X75" s="174">
        <v>13</v>
      </c>
      <c r="Y75" s="174">
        <f t="shared" si="38"/>
        <v>1</v>
      </c>
    </row>
    <row r="76" spans="1:34">
      <c r="A76" s="40" t="s">
        <v>31</v>
      </c>
      <c r="B76" s="167" t="s">
        <v>241</v>
      </c>
      <c r="C76" s="174">
        <v>5</v>
      </c>
      <c r="D76" s="174">
        <v>5</v>
      </c>
      <c r="E76" s="174">
        <f t="shared" si="31"/>
        <v>10</v>
      </c>
      <c r="F76" s="174">
        <v>9</v>
      </c>
      <c r="G76" s="174">
        <f t="shared" si="32"/>
        <v>1</v>
      </c>
      <c r="H76" s="174"/>
      <c r="I76" s="186">
        <v>0</v>
      </c>
      <c r="J76" s="174">
        <v>0</v>
      </c>
      <c r="K76" s="174">
        <f t="shared" si="33"/>
        <v>0</v>
      </c>
      <c r="L76" s="174">
        <v>0</v>
      </c>
      <c r="M76" s="174">
        <f t="shared" si="34"/>
        <v>0</v>
      </c>
      <c r="N76" s="190"/>
      <c r="O76" s="174">
        <v>0</v>
      </c>
      <c r="P76" s="174">
        <v>9</v>
      </c>
      <c r="Q76" s="174">
        <f t="shared" si="35"/>
        <v>9</v>
      </c>
      <c r="R76" s="174">
        <v>7</v>
      </c>
      <c r="S76" s="174">
        <f t="shared" si="36"/>
        <v>2</v>
      </c>
      <c r="T76" s="190"/>
      <c r="U76" s="174">
        <v>0</v>
      </c>
      <c r="V76" s="174">
        <v>22</v>
      </c>
      <c r="W76" s="174">
        <f t="shared" si="37"/>
        <v>22</v>
      </c>
      <c r="X76" s="174">
        <v>21</v>
      </c>
      <c r="Y76" s="174">
        <f t="shared" si="38"/>
        <v>1</v>
      </c>
    </row>
    <row r="77" spans="1:34">
      <c r="A77" s="40" t="s">
        <v>31</v>
      </c>
      <c r="B77" s="167" t="s">
        <v>93</v>
      </c>
      <c r="C77" s="174">
        <v>0</v>
      </c>
      <c r="D77" s="174">
        <v>1</v>
      </c>
      <c r="E77" s="174">
        <f t="shared" si="31"/>
        <v>1</v>
      </c>
      <c r="F77" s="174">
        <v>0</v>
      </c>
      <c r="G77" s="174">
        <f t="shared" si="32"/>
        <v>1</v>
      </c>
      <c r="H77" s="174"/>
      <c r="I77" s="186">
        <v>0</v>
      </c>
      <c r="J77" s="174">
        <v>0</v>
      </c>
      <c r="K77" s="174">
        <f t="shared" si="33"/>
        <v>0</v>
      </c>
      <c r="L77" s="174">
        <v>0</v>
      </c>
      <c r="M77" s="174">
        <f t="shared" si="34"/>
        <v>0</v>
      </c>
      <c r="N77" s="190"/>
      <c r="O77" s="174">
        <v>3</v>
      </c>
      <c r="P77" s="174">
        <v>1</v>
      </c>
      <c r="Q77" s="174">
        <f t="shared" si="35"/>
        <v>4</v>
      </c>
      <c r="R77" s="174">
        <v>4</v>
      </c>
      <c r="S77" s="174">
        <f t="shared" si="36"/>
        <v>0</v>
      </c>
      <c r="T77" s="190"/>
      <c r="U77" s="174">
        <v>4</v>
      </c>
      <c r="V77" s="174">
        <v>8</v>
      </c>
      <c r="W77" s="174">
        <f t="shared" si="37"/>
        <v>12</v>
      </c>
      <c r="X77" s="174">
        <v>10</v>
      </c>
      <c r="Y77" s="174">
        <f t="shared" si="38"/>
        <v>2</v>
      </c>
    </row>
    <row r="78" spans="1:34">
      <c r="A78" s="40" t="s">
        <v>31</v>
      </c>
      <c r="B78" s="167" t="s">
        <v>242</v>
      </c>
      <c r="C78" s="174">
        <v>5</v>
      </c>
      <c r="D78" s="174">
        <v>7</v>
      </c>
      <c r="E78" s="174">
        <f t="shared" si="31"/>
        <v>12</v>
      </c>
      <c r="F78" s="174">
        <v>12</v>
      </c>
      <c r="G78" s="174">
        <f t="shared" si="32"/>
        <v>0</v>
      </c>
      <c r="H78" s="174"/>
      <c r="I78" s="186">
        <v>0</v>
      </c>
      <c r="J78" s="174">
        <v>0</v>
      </c>
      <c r="K78" s="174">
        <f t="shared" si="33"/>
        <v>0</v>
      </c>
      <c r="L78" s="174">
        <v>0</v>
      </c>
      <c r="M78" s="174">
        <f t="shared" si="34"/>
        <v>0</v>
      </c>
      <c r="N78" s="190"/>
      <c r="O78" s="174">
        <v>0</v>
      </c>
      <c r="P78" s="174">
        <v>5</v>
      </c>
      <c r="Q78" s="174">
        <f t="shared" si="35"/>
        <v>5</v>
      </c>
      <c r="R78" s="174">
        <v>5</v>
      </c>
      <c r="S78" s="174">
        <f t="shared" si="36"/>
        <v>0</v>
      </c>
      <c r="T78" s="190"/>
      <c r="U78" s="174">
        <v>0</v>
      </c>
      <c r="V78" s="174">
        <v>29</v>
      </c>
      <c r="W78" s="174">
        <f t="shared" si="37"/>
        <v>29</v>
      </c>
      <c r="X78" s="174">
        <v>29</v>
      </c>
      <c r="Y78" s="174">
        <f t="shared" si="38"/>
        <v>0</v>
      </c>
    </row>
    <row r="79" spans="1:34">
      <c r="A79" s="40" t="s">
        <v>31</v>
      </c>
      <c r="B79" s="167" t="s">
        <v>94</v>
      </c>
      <c r="C79" s="174">
        <v>4</v>
      </c>
      <c r="D79" s="174">
        <v>26</v>
      </c>
      <c r="E79" s="174">
        <f t="shared" si="31"/>
        <v>30</v>
      </c>
      <c r="F79" s="174">
        <v>22</v>
      </c>
      <c r="G79" s="174">
        <f t="shared" si="32"/>
        <v>8</v>
      </c>
      <c r="H79" s="174"/>
      <c r="I79" s="186">
        <v>0</v>
      </c>
      <c r="J79" s="174">
        <v>0</v>
      </c>
      <c r="K79" s="174">
        <f t="shared" si="33"/>
        <v>0</v>
      </c>
      <c r="L79" s="174">
        <v>0</v>
      </c>
      <c r="M79" s="174">
        <f t="shared" si="34"/>
        <v>0</v>
      </c>
      <c r="N79" s="190"/>
      <c r="O79" s="174">
        <v>4</v>
      </c>
      <c r="P79" s="174">
        <v>16</v>
      </c>
      <c r="Q79" s="174">
        <f t="shared" si="35"/>
        <v>20</v>
      </c>
      <c r="R79" s="174">
        <v>18</v>
      </c>
      <c r="S79" s="174">
        <f t="shared" si="36"/>
        <v>2</v>
      </c>
      <c r="T79" s="190"/>
      <c r="U79" s="174">
        <v>0</v>
      </c>
      <c r="V79" s="174">
        <v>37</v>
      </c>
      <c r="W79" s="174">
        <f t="shared" si="37"/>
        <v>37</v>
      </c>
      <c r="X79" s="174">
        <v>36</v>
      </c>
      <c r="Y79" s="174">
        <f t="shared" si="38"/>
        <v>1</v>
      </c>
      <c r="AH79" s="11"/>
    </row>
    <row r="80" spans="1:34">
      <c r="A80" s="40" t="s">
        <v>31</v>
      </c>
      <c r="B80" s="167" t="s">
        <v>243</v>
      </c>
      <c r="C80" s="174">
        <v>12</v>
      </c>
      <c r="D80" s="174">
        <v>10</v>
      </c>
      <c r="E80" s="174">
        <f t="shared" si="31"/>
        <v>22</v>
      </c>
      <c r="F80" s="174">
        <v>9</v>
      </c>
      <c r="G80" s="174">
        <f t="shared" si="32"/>
        <v>13</v>
      </c>
      <c r="H80" s="174"/>
      <c r="I80" s="186">
        <v>0</v>
      </c>
      <c r="J80" s="174">
        <v>0</v>
      </c>
      <c r="K80" s="174">
        <f t="shared" si="33"/>
        <v>0</v>
      </c>
      <c r="L80" s="174">
        <v>0</v>
      </c>
      <c r="M80" s="174">
        <f t="shared" si="34"/>
        <v>0</v>
      </c>
      <c r="N80" s="190"/>
      <c r="O80" s="174">
        <v>9</v>
      </c>
      <c r="P80" s="174">
        <v>32</v>
      </c>
      <c r="Q80" s="174">
        <f t="shared" si="35"/>
        <v>41</v>
      </c>
      <c r="R80" s="174">
        <v>39</v>
      </c>
      <c r="S80" s="174">
        <f t="shared" si="36"/>
        <v>2</v>
      </c>
      <c r="T80" s="190"/>
      <c r="U80" s="174">
        <v>2</v>
      </c>
      <c r="V80" s="174">
        <v>108</v>
      </c>
      <c r="W80" s="174">
        <f t="shared" si="37"/>
        <v>110</v>
      </c>
      <c r="X80" s="174">
        <v>106</v>
      </c>
      <c r="Y80" s="174">
        <f t="shared" si="38"/>
        <v>4</v>
      </c>
      <c r="AH80" s="11"/>
    </row>
    <row r="81" spans="1:34">
      <c r="A81" s="40" t="s">
        <v>31</v>
      </c>
      <c r="B81" s="167" t="s">
        <v>244</v>
      </c>
      <c r="C81" s="174">
        <v>2</v>
      </c>
      <c r="D81" s="174">
        <v>3</v>
      </c>
      <c r="E81" s="174">
        <f t="shared" si="31"/>
        <v>5</v>
      </c>
      <c r="F81" s="174">
        <v>1</v>
      </c>
      <c r="G81" s="174">
        <f t="shared" si="32"/>
        <v>4</v>
      </c>
      <c r="H81" s="174"/>
      <c r="I81" s="186">
        <v>0</v>
      </c>
      <c r="J81" s="174">
        <v>0</v>
      </c>
      <c r="K81" s="174">
        <f t="shared" si="33"/>
        <v>0</v>
      </c>
      <c r="L81" s="174">
        <v>0</v>
      </c>
      <c r="M81" s="174">
        <f t="shared" si="34"/>
        <v>0</v>
      </c>
      <c r="N81" s="190"/>
      <c r="O81" s="174">
        <v>2</v>
      </c>
      <c r="P81" s="174">
        <v>4</v>
      </c>
      <c r="Q81" s="174">
        <f t="shared" si="35"/>
        <v>6</v>
      </c>
      <c r="R81" s="174">
        <v>5</v>
      </c>
      <c r="S81" s="174">
        <f t="shared" si="36"/>
        <v>1</v>
      </c>
      <c r="T81" s="190"/>
      <c r="U81" s="174">
        <v>2</v>
      </c>
      <c r="V81" s="174">
        <v>19</v>
      </c>
      <c r="W81" s="174">
        <f t="shared" si="37"/>
        <v>21</v>
      </c>
      <c r="X81" s="174">
        <v>21</v>
      </c>
      <c r="Y81" s="174">
        <f t="shared" si="38"/>
        <v>0</v>
      </c>
      <c r="AH81" s="11"/>
    </row>
    <row r="82" spans="1:34">
      <c r="A82" s="40" t="s">
        <v>31</v>
      </c>
      <c r="B82" s="167" t="s">
        <v>245</v>
      </c>
      <c r="C82" s="174">
        <v>5</v>
      </c>
      <c r="D82" s="174">
        <v>0</v>
      </c>
      <c r="E82" s="174">
        <f t="shared" si="31"/>
        <v>5</v>
      </c>
      <c r="F82" s="174">
        <v>1</v>
      </c>
      <c r="G82" s="174">
        <f t="shared" si="32"/>
        <v>4</v>
      </c>
      <c r="H82" s="174"/>
      <c r="I82" s="186">
        <v>0</v>
      </c>
      <c r="J82" s="174">
        <v>0</v>
      </c>
      <c r="K82" s="174">
        <f t="shared" si="33"/>
        <v>0</v>
      </c>
      <c r="L82" s="174">
        <v>0</v>
      </c>
      <c r="M82" s="174">
        <f t="shared" si="34"/>
        <v>0</v>
      </c>
      <c r="N82" s="190"/>
      <c r="O82" s="174">
        <v>2</v>
      </c>
      <c r="P82" s="174">
        <v>10</v>
      </c>
      <c r="Q82" s="174">
        <f t="shared" si="35"/>
        <v>12</v>
      </c>
      <c r="R82" s="174">
        <v>11</v>
      </c>
      <c r="S82" s="174">
        <f t="shared" si="36"/>
        <v>1</v>
      </c>
      <c r="T82" s="190"/>
      <c r="U82" s="174">
        <v>0</v>
      </c>
      <c r="V82" s="174">
        <v>17</v>
      </c>
      <c r="W82" s="174">
        <f t="shared" si="37"/>
        <v>17</v>
      </c>
      <c r="X82" s="174">
        <v>17</v>
      </c>
      <c r="Y82" s="174">
        <f t="shared" si="38"/>
        <v>0</v>
      </c>
      <c r="AH82" s="11"/>
    </row>
    <row r="83" spans="1:34">
      <c r="A83" s="40" t="s">
        <v>31</v>
      </c>
      <c r="B83" s="167" t="s">
        <v>246</v>
      </c>
      <c r="C83" s="174">
        <v>2</v>
      </c>
      <c r="D83" s="174">
        <v>1</v>
      </c>
      <c r="E83" s="174">
        <f t="shared" si="31"/>
        <v>3</v>
      </c>
      <c r="F83" s="174">
        <v>1</v>
      </c>
      <c r="G83" s="174">
        <f t="shared" si="32"/>
        <v>2</v>
      </c>
      <c r="H83" s="174"/>
      <c r="I83" s="186">
        <v>0</v>
      </c>
      <c r="J83" s="174">
        <v>0</v>
      </c>
      <c r="K83" s="174">
        <f t="shared" si="33"/>
        <v>0</v>
      </c>
      <c r="L83" s="174">
        <v>0</v>
      </c>
      <c r="M83" s="174">
        <f t="shared" si="34"/>
        <v>0</v>
      </c>
      <c r="N83" s="190"/>
      <c r="O83" s="174">
        <v>0</v>
      </c>
      <c r="P83" s="174">
        <v>15</v>
      </c>
      <c r="Q83" s="174">
        <f t="shared" si="35"/>
        <v>15</v>
      </c>
      <c r="R83" s="174">
        <v>15</v>
      </c>
      <c r="S83" s="174">
        <f t="shared" si="36"/>
        <v>0</v>
      </c>
      <c r="T83" s="190"/>
      <c r="U83" s="174">
        <v>0</v>
      </c>
      <c r="V83" s="174">
        <v>13</v>
      </c>
      <c r="W83" s="174">
        <f t="shared" si="37"/>
        <v>13</v>
      </c>
      <c r="X83" s="174">
        <v>13</v>
      </c>
      <c r="Y83" s="174">
        <f t="shared" si="38"/>
        <v>0</v>
      </c>
      <c r="AH83" s="11"/>
    </row>
    <row r="84" spans="1:34">
      <c r="A84" s="40" t="s">
        <v>31</v>
      </c>
      <c r="B84" s="167" t="s">
        <v>247</v>
      </c>
      <c r="C84" s="174">
        <v>18</v>
      </c>
      <c r="D84" s="174">
        <v>14</v>
      </c>
      <c r="E84" s="174">
        <f t="shared" si="31"/>
        <v>32</v>
      </c>
      <c r="F84" s="174">
        <v>5</v>
      </c>
      <c r="G84" s="174">
        <f t="shared" si="32"/>
        <v>27</v>
      </c>
      <c r="H84" s="174"/>
      <c r="I84" s="186">
        <v>1</v>
      </c>
      <c r="J84" s="174">
        <v>0</v>
      </c>
      <c r="K84" s="174">
        <f t="shared" si="33"/>
        <v>1</v>
      </c>
      <c r="L84" s="174">
        <v>1</v>
      </c>
      <c r="M84" s="174">
        <f t="shared" si="34"/>
        <v>0</v>
      </c>
      <c r="N84" s="190"/>
      <c r="O84" s="174">
        <v>11</v>
      </c>
      <c r="P84" s="174">
        <v>18</v>
      </c>
      <c r="Q84" s="174">
        <f t="shared" si="35"/>
        <v>29</v>
      </c>
      <c r="R84" s="174">
        <v>9</v>
      </c>
      <c r="S84" s="174">
        <f t="shared" si="36"/>
        <v>20</v>
      </c>
      <c r="T84" s="190"/>
      <c r="U84" s="174">
        <v>19</v>
      </c>
      <c r="V84" s="174">
        <v>52</v>
      </c>
      <c r="W84" s="174">
        <f t="shared" si="37"/>
        <v>71</v>
      </c>
      <c r="X84" s="174">
        <v>43</v>
      </c>
      <c r="Y84" s="174">
        <f t="shared" si="38"/>
        <v>28</v>
      </c>
      <c r="AH84" s="11"/>
    </row>
    <row r="85" spans="1:34">
      <c r="A85" s="40" t="s">
        <v>31</v>
      </c>
      <c r="B85" s="167" t="s">
        <v>248</v>
      </c>
      <c r="C85" s="174">
        <v>15</v>
      </c>
      <c r="D85" s="174">
        <v>12</v>
      </c>
      <c r="E85" s="174">
        <f t="shared" si="31"/>
        <v>27</v>
      </c>
      <c r="F85" s="174">
        <v>8</v>
      </c>
      <c r="G85" s="174">
        <f t="shared" si="32"/>
        <v>19</v>
      </c>
      <c r="H85" s="174"/>
      <c r="I85" s="186">
        <v>0</v>
      </c>
      <c r="J85" s="174">
        <v>0</v>
      </c>
      <c r="K85" s="174">
        <f t="shared" si="33"/>
        <v>0</v>
      </c>
      <c r="L85" s="174">
        <v>0</v>
      </c>
      <c r="M85" s="174">
        <f t="shared" si="34"/>
        <v>0</v>
      </c>
      <c r="N85" s="190"/>
      <c r="O85" s="174">
        <v>11</v>
      </c>
      <c r="P85" s="174">
        <v>11</v>
      </c>
      <c r="Q85" s="174">
        <f t="shared" si="35"/>
        <v>22</v>
      </c>
      <c r="R85" s="174">
        <v>14</v>
      </c>
      <c r="S85" s="174">
        <f t="shared" si="36"/>
        <v>8</v>
      </c>
      <c r="T85" s="190"/>
      <c r="U85" s="174">
        <v>3</v>
      </c>
      <c r="V85" s="174">
        <v>32</v>
      </c>
      <c r="W85" s="174">
        <f t="shared" si="37"/>
        <v>35</v>
      </c>
      <c r="X85" s="174">
        <v>31</v>
      </c>
      <c r="Y85" s="174">
        <f t="shared" si="38"/>
        <v>4</v>
      </c>
      <c r="AH85" s="11"/>
    </row>
    <row r="86" spans="1:34">
      <c r="A86" s="40" t="s">
        <v>31</v>
      </c>
      <c r="B86" s="167" t="s">
        <v>249</v>
      </c>
      <c r="C86" s="174">
        <v>0</v>
      </c>
      <c r="D86" s="174">
        <v>0</v>
      </c>
      <c r="E86" s="174">
        <f t="shared" si="31"/>
        <v>0</v>
      </c>
      <c r="F86" s="174">
        <v>0</v>
      </c>
      <c r="G86" s="174">
        <f t="shared" si="32"/>
        <v>0</v>
      </c>
      <c r="H86" s="174"/>
      <c r="I86" s="186">
        <v>0</v>
      </c>
      <c r="J86" s="174">
        <v>0</v>
      </c>
      <c r="K86" s="174">
        <f t="shared" si="33"/>
        <v>0</v>
      </c>
      <c r="L86" s="174">
        <v>0</v>
      </c>
      <c r="M86" s="174">
        <f t="shared" si="34"/>
        <v>0</v>
      </c>
      <c r="N86" s="190"/>
      <c r="O86" s="174">
        <v>2</v>
      </c>
      <c r="P86" s="174">
        <v>1</v>
      </c>
      <c r="Q86" s="174">
        <f t="shared" si="35"/>
        <v>3</v>
      </c>
      <c r="R86" s="174">
        <v>3</v>
      </c>
      <c r="S86" s="174">
        <f t="shared" si="36"/>
        <v>0</v>
      </c>
      <c r="T86" s="190"/>
      <c r="U86" s="174">
        <v>0</v>
      </c>
      <c r="V86" s="174">
        <v>2</v>
      </c>
      <c r="W86" s="174">
        <f t="shared" si="37"/>
        <v>2</v>
      </c>
      <c r="X86" s="174">
        <v>2</v>
      </c>
      <c r="Y86" s="174">
        <f t="shared" si="38"/>
        <v>0</v>
      </c>
      <c r="AH86" s="11"/>
    </row>
    <row r="87" spans="1:34">
      <c r="A87" s="40" t="s">
        <v>31</v>
      </c>
      <c r="B87" s="167" t="s">
        <v>250</v>
      </c>
      <c r="C87" s="174">
        <v>2</v>
      </c>
      <c r="D87" s="174">
        <v>0</v>
      </c>
      <c r="E87" s="174">
        <f t="shared" si="31"/>
        <v>2</v>
      </c>
      <c r="F87" s="174">
        <v>2</v>
      </c>
      <c r="G87" s="174">
        <f t="shared" si="32"/>
        <v>0</v>
      </c>
      <c r="H87" s="174"/>
      <c r="I87" s="186">
        <v>0</v>
      </c>
      <c r="J87" s="174">
        <v>0</v>
      </c>
      <c r="K87" s="174">
        <f t="shared" si="33"/>
        <v>0</v>
      </c>
      <c r="L87" s="174">
        <v>0</v>
      </c>
      <c r="M87" s="174">
        <f t="shared" si="34"/>
        <v>0</v>
      </c>
      <c r="N87" s="190"/>
      <c r="O87" s="174">
        <v>1</v>
      </c>
      <c r="P87" s="174">
        <v>9</v>
      </c>
      <c r="Q87" s="174">
        <f t="shared" si="35"/>
        <v>10</v>
      </c>
      <c r="R87" s="174">
        <v>8</v>
      </c>
      <c r="S87" s="174">
        <f t="shared" si="36"/>
        <v>2</v>
      </c>
      <c r="T87" s="190"/>
      <c r="U87" s="174">
        <v>3</v>
      </c>
      <c r="V87" s="174">
        <v>20</v>
      </c>
      <c r="W87" s="174">
        <f t="shared" si="37"/>
        <v>23</v>
      </c>
      <c r="X87" s="174">
        <v>18</v>
      </c>
      <c r="Y87" s="174">
        <f t="shared" si="38"/>
        <v>5</v>
      </c>
      <c r="AH87" s="11"/>
    </row>
    <row r="88" spans="1:34">
      <c r="A88" s="168" t="s">
        <v>31</v>
      </c>
      <c r="B88" s="169" t="s">
        <v>251</v>
      </c>
      <c r="C88" s="187">
        <v>0</v>
      </c>
      <c r="D88" s="187">
        <v>0</v>
      </c>
      <c r="E88" s="187">
        <f t="shared" si="31"/>
        <v>0</v>
      </c>
      <c r="F88" s="187">
        <v>0</v>
      </c>
      <c r="G88" s="187">
        <f t="shared" si="32"/>
        <v>0</v>
      </c>
      <c r="H88" s="187"/>
      <c r="I88" s="191">
        <v>0</v>
      </c>
      <c r="J88" s="187">
        <v>0</v>
      </c>
      <c r="K88" s="187">
        <f t="shared" si="33"/>
        <v>0</v>
      </c>
      <c r="L88" s="187">
        <v>0</v>
      </c>
      <c r="M88" s="187">
        <f t="shared" si="34"/>
        <v>0</v>
      </c>
      <c r="N88" s="192"/>
      <c r="O88" s="187">
        <v>0</v>
      </c>
      <c r="P88" s="187">
        <v>3</v>
      </c>
      <c r="Q88" s="187">
        <f t="shared" si="35"/>
        <v>3</v>
      </c>
      <c r="R88" s="187">
        <v>3</v>
      </c>
      <c r="S88" s="187">
        <f t="shared" si="36"/>
        <v>0</v>
      </c>
      <c r="T88" s="192"/>
      <c r="U88" s="187">
        <v>1</v>
      </c>
      <c r="V88" s="187">
        <v>10</v>
      </c>
      <c r="W88" s="187">
        <f t="shared" si="37"/>
        <v>11</v>
      </c>
      <c r="X88" s="187">
        <v>11</v>
      </c>
      <c r="Y88" s="187">
        <f t="shared" si="38"/>
        <v>0</v>
      </c>
      <c r="AH88" s="11"/>
    </row>
    <row r="89" spans="1:34" s="22" customFormat="1">
      <c r="A89" s="84" t="s">
        <v>32</v>
      </c>
      <c r="B89" s="159" t="s">
        <v>1</v>
      </c>
      <c r="C89" s="163">
        <f>SUM(C90:C102)</f>
        <v>46</v>
      </c>
      <c r="D89" s="163">
        <f>SUM(D90:D102)</f>
        <v>20</v>
      </c>
      <c r="E89" s="163">
        <f t="shared" si="31"/>
        <v>66</v>
      </c>
      <c r="F89" s="163">
        <f>SUM(F90:F102)</f>
        <v>13</v>
      </c>
      <c r="G89" s="163">
        <f t="shared" si="32"/>
        <v>53</v>
      </c>
      <c r="H89" s="163"/>
      <c r="I89" s="164">
        <f>SUM(I90:I102)</f>
        <v>0</v>
      </c>
      <c r="J89" s="163">
        <f>SUM(J90:J102)</f>
        <v>0</v>
      </c>
      <c r="K89" s="163">
        <f>SUM(K90:K102)</f>
        <v>0</v>
      </c>
      <c r="L89" s="163">
        <f>SUM(L90:L102)</f>
        <v>0</v>
      </c>
      <c r="M89" s="163">
        <f>SUM(M90:M102)</f>
        <v>0</v>
      </c>
      <c r="N89" s="165"/>
      <c r="O89" s="163">
        <f>SUM(O90:O102)</f>
        <v>23</v>
      </c>
      <c r="P89" s="163">
        <f>SUM(P90:P102)</f>
        <v>102</v>
      </c>
      <c r="Q89" s="163">
        <f>SUM(Q90:Q102)</f>
        <v>125</v>
      </c>
      <c r="R89" s="163">
        <f>SUM(R90:R102)</f>
        <v>88</v>
      </c>
      <c r="S89" s="163">
        <f>SUM(S90:S102)</f>
        <v>37</v>
      </c>
      <c r="T89" s="165"/>
      <c r="U89" s="163">
        <f>SUM(U90:U102)</f>
        <v>63</v>
      </c>
      <c r="V89" s="163">
        <f>SUM(V90:V102)</f>
        <v>220</v>
      </c>
      <c r="W89" s="163">
        <f>SUM(W90:W102)</f>
        <v>283</v>
      </c>
      <c r="X89" s="163">
        <f>SUM(X90:X102)</f>
        <v>216</v>
      </c>
      <c r="Y89" s="163">
        <f>SUM(Y90:Y102)</f>
        <v>67</v>
      </c>
      <c r="AA89" s="1"/>
      <c r="AB89" s="1"/>
      <c r="AC89" s="1"/>
      <c r="AD89" s="1"/>
      <c r="AE89" s="1"/>
      <c r="AH89" s="11"/>
    </row>
    <row r="90" spans="1:34">
      <c r="A90" s="40" t="s">
        <v>32</v>
      </c>
      <c r="B90" s="167" t="s">
        <v>95</v>
      </c>
      <c r="C90" s="174">
        <v>0</v>
      </c>
      <c r="D90" s="174">
        <v>0</v>
      </c>
      <c r="E90" s="174">
        <f t="shared" si="31"/>
        <v>0</v>
      </c>
      <c r="F90" s="174">
        <v>0</v>
      </c>
      <c r="G90" s="174">
        <f t="shared" si="32"/>
        <v>0</v>
      </c>
      <c r="H90" s="174"/>
      <c r="I90" s="186">
        <v>0</v>
      </c>
      <c r="J90" s="174">
        <v>0</v>
      </c>
      <c r="K90" s="174">
        <f t="shared" ref="K90:K102" si="39">SUM(I90:J90)</f>
        <v>0</v>
      </c>
      <c r="L90" s="174">
        <v>0</v>
      </c>
      <c r="M90" s="174">
        <f t="shared" ref="M90:M102" si="40">K90-L90</f>
        <v>0</v>
      </c>
      <c r="N90" s="190"/>
      <c r="O90" s="174">
        <v>0</v>
      </c>
      <c r="P90" s="174">
        <v>7</v>
      </c>
      <c r="Q90" s="174">
        <f t="shared" ref="Q90:Q102" si="41">SUM(O90:P90)</f>
        <v>7</v>
      </c>
      <c r="R90" s="174">
        <v>5</v>
      </c>
      <c r="S90" s="174">
        <f t="shared" ref="S90:S102" si="42">Q90-R90</f>
        <v>2</v>
      </c>
      <c r="T90" s="190"/>
      <c r="U90" s="174">
        <v>1</v>
      </c>
      <c r="V90" s="174">
        <v>3</v>
      </c>
      <c r="W90" s="174">
        <f t="shared" ref="W90:W102" si="43">SUM(U90:V90)</f>
        <v>4</v>
      </c>
      <c r="X90" s="174">
        <v>3</v>
      </c>
      <c r="Y90" s="174">
        <f t="shared" ref="Y90:Y102" si="44">W90-X90</f>
        <v>1</v>
      </c>
      <c r="AH90" s="11"/>
    </row>
    <row r="91" spans="1:34">
      <c r="A91" s="40" t="s">
        <v>32</v>
      </c>
      <c r="B91" s="167" t="s">
        <v>252</v>
      </c>
      <c r="C91" s="174">
        <v>6</v>
      </c>
      <c r="D91" s="174">
        <v>4</v>
      </c>
      <c r="E91" s="174">
        <f t="shared" si="31"/>
        <v>10</v>
      </c>
      <c r="F91" s="174">
        <v>3</v>
      </c>
      <c r="G91" s="174">
        <f t="shared" si="32"/>
        <v>7</v>
      </c>
      <c r="H91" s="174"/>
      <c r="I91" s="186">
        <v>0</v>
      </c>
      <c r="J91" s="174">
        <v>0</v>
      </c>
      <c r="K91" s="174">
        <f t="shared" si="39"/>
        <v>0</v>
      </c>
      <c r="L91" s="174">
        <v>0</v>
      </c>
      <c r="M91" s="174">
        <f t="shared" si="40"/>
        <v>0</v>
      </c>
      <c r="N91" s="190"/>
      <c r="O91" s="174">
        <v>1</v>
      </c>
      <c r="P91" s="174">
        <v>2</v>
      </c>
      <c r="Q91" s="174">
        <f t="shared" si="41"/>
        <v>3</v>
      </c>
      <c r="R91" s="174">
        <v>2</v>
      </c>
      <c r="S91" s="174">
        <f t="shared" si="42"/>
        <v>1</v>
      </c>
      <c r="T91" s="190"/>
      <c r="U91" s="174">
        <v>1</v>
      </c>
      <c r="V91" s="174">
        <v>14</v>
      </c>
      <c r="W91" s="174">
        <f t="shared" si="43"/>
        <v>15</v>
      </c>
      <c r="X91" s="174">
        <v>13</v>
      </c>
      <c r="Y91" s="174">
        <f t="shared" si="44"/>
        <v>2</v>
      </c>
      <c r="AH91" s="11"/>
    </row>
    <row r="92" spans="1:34">
      <c r="A92" s="40" t="s">
        <v>32</v>
      </c>
      <c r="B92" s="167" t="s">
        <v>253</v>
      </c>
      <c r="C92" s="174">
        <v>2</v>
      </c>
      <c r="D92" s="174">
        <v>0</v>
      </c>
      <c r="E92" s="174">
        <f t="shared" si="31"/>
        <v>2</v>
      </c>
      <c r="F92" s="174">
        <v>1</v>
      </c>
      <c r="G92" s="174">
        <f t="shared" si="32"/>
        <v>1</v>
      </c>
      <c r="H92" s="174"/>
      <c r="I92" s="186">
        <v>0</v>
      </c>
      <c r="J92" s="174">
        <v>0</v>
      </c>
      <c r="K92" s="174">
        <f t="shared" si="39"/>
        <v>0</v>
      </c>
      <c r="L92" s="174">
        <v>0</v>
      </c>
      <c r="M92" s="174">
        <f t="shared" si="40"/>
        <v>0</v>
      </c>
      <c r="N92" s="190"/>
      <c r="O92" s="174">
        <v>2</v>
      </c>
      <c r="P92" s="174">
        <v>11</v>
      </c>
      <c r="Q92" s="174">
        <f t="shared" si="41"/>
        <v>13</v>
      </c>
      <c r="R92" s="174">
        <v>9</v>
      </c>
      <c r="S92" s="174">
        <f t="shared" si="42"/>
        <v>4</v>
      </c>
      <c r="T92" s="190"/>
      <c r="U92" s="174">
        <v>14</v>
      </c>
      <c r="V92" s="174">
        <v>28</v>
      </c>
      <c r="W92" s="174">
        <f t="shared" si="43"/>
        <v>42</v>
      </c>
      <c r="X92" s="174">
        <v>30</v>
      </c>
      <c r="Y92" s="174">
        <f t="shared" si="44"/>
        <v>12</v>
      </c>
      <c r="AH92" s="11"/>
    </row>
    <row r="93" spans="1:34">
      <c r="A93" s="40" t="s">
        <v>32</v>
      </c>
      <c r="B93" s="167" t="s">
        <v>254</v>
      </c>
      <c r="C93" s="174">
        <v>0</v>
      </c>
      <c r="D93" s="174">
        <v>0</v>
      </c>
      <c r="E93" s="174">
        <f t="shared" si="31"/>
        <v>0</v>
      </c>
      <c r="F93" s="174">
        <v>0</v>
      </c>
      <c r="G93" s="174">
        <f t="shared" si="32"/>
        <v>0</v>
      </c>
      <c r="H93" s="174"/>
      <c r="I93" s="186">
        <v>0</v>
      </c>
      <c r="J93" s="174">
        <v>0</v>
      </c>
      <c r="K93" s="174">
        <f t="shared" si="39"/>
        <v>0</v>
      </c>
      <c r="L93" s="174">
        <v>0</v>
      </c>
      <c r="M93" s="174">
        <f t="shared" si="40"/>
        <v>0</v>
      </c>
      <c r="N93" s="190"/>
      <c r="O93" s="174">
        <v>0</v>
      </c>
      <c r="P93" s="174">
        <v>0</v>
      </c>
      <c r="Q93" s="174">
        <f t="shared" si="41"/>
        <v>0</v>
      </c>
      <c r="R93" s="174">
        <v>0</v>
      </c>
      <c r="S93" s="174">
        <f t="shared" si="42"/>
        <v>0</v>
      </c>
      <c r="T93" s="190"/>
      <c r="U93" s="174">
        <v>1</v>
      </c>
      <c r="V93" s="174">
        <v>2</v>
      </c>
      <c r="W93" s="174">
        <f t="shared" si="43"/>
        <v>3</v>
      </c>
      <c r="X93" s="174">
        <v>3</v>
      </c>
      <c r="Y93" s="174">
        <f t="shared" si="44"/>
        <v>0</v>
      </c>
      <c r="AH93" s="11"/>
    </row>
    <row r="94" spans="1:34">
      <c r="A94" s="40" t="s">
        <v>32</v>
      </c>
      <c r="B94" s="167" t="s">
        <v>255</v>
      </c>
      <c r="C94" s="174">
        <v>0</v>
      </c>
      <c r="D94" s="174">
        <v>0</v>
      </c>
      <c r="E94" s="174">
        <f t="shared" si="31"/>
        <v>0</v>
      </c>
      <c r="F94" s="174">
        <v>0</v>
      </c>
      <c r="G94" s="174">
        <f t="shared" si="32"/>
        <v>0</v>
      </c>
      <c r="H94" s="174"/>
      <c r="I94" s="186">
        <v>0</v>
      </c>
      <c r="J94" s="174">
        <v>0</v>
      </c>
      <c r="K94" s="174">
        <f t="shared" si="39"/>
        <v>0</v>
      </c>
      <c r="L94" s="174">
        <v>0</v>
      </c>
      <c r="M94" s="174">
        <f t="shared" si="40"/>
        <v>0</v>
      </c>
      <c r="N94" s="190"/>
      <c r="O94" s="174">
        <v>3</v>
      </c>
      <c r="P94" s="174">
        <v>8</v>
      </c>
      <c r="Q94" s="174">
        <f t="shared" si="41"/>
        <v>11</v>
      </c>
      <c r="R94" s="174">
        <v>4</v>
      </c>
      <c r="S94" s="174">
        <f t="shared" si="42"/>
        <v>7</v>
      </c>
      <c r="T94" s="190"/>
      <c r="U94" s="174">
        <v>1</v>
      </c>
      <c r="V94" s="174">
        <v>6</v>
      </c>
      <c r="W94" s="174">
        <f t="shared" si="43"/>
        <v>7</v>
      </c>
      <c r="X94" s="174">
        <v>6</v>
      </c>
      <c r="Y94" s="174">
        <f t="shared" si="44"/>
        <v>1</v>
      </c>
      <c r="AH94" s="11"/>
    </row>
    <row r="95" spans="1:34">
      <c r="A95" s="40" t="s">
        <v>32</v>
      </c>
      <c r="B95" s="167" t="s">
        <v>256</v>
      </c>
      <c r="C95" s="174">
        <v>13</v>
      </c>
      <c r="D95" s="174">
        <v>8</v>
      </c>
      <c r="E95" s="174">
        <f t="shared" si="31"/>
        <v>21</v>
      </c>
      <c r="F95" s="174">
        <v>6</v>
      </c>
      <c r="G95" s="174">
        <f t="shared" si="32"/>
        <v>15</v>
      </c>
      <c r="H95" s="174"/>
      <c r="I95" s="186">
        <v>0</v>
      </c>
      <c r="J95" s="174">
        <v>0</v>
      </c>
      <c r="K95" s="174">
        <f t="shared" si="39"/>
        <v>0</v>
      </c>
      <c r="L95" s="174">
        <v>0</v>
      </c>
      <c r="M95" s="174">
        <f t="shared" si="40"/>
        <v>0</v>
      </c>
      <c r="N95" s="190"/>
      <c r="O95" s="174">
        <v>2</v>
      </c>
      <c r="P95" s="174">
        <v>11</v>
      </c>
      <c r="Q95" s="174">
        <f t="shared" si="41"/>
        <v>13</v>
      </c>
      <c r="R95" s="174">
        <v>4</v>
      </c>
      <c r="S95" s="174">
        <f t="shared" si="42"/>
        <v>9</v>
      </c>
      <c r="T95" s="190"/>
      <c r="U95" s="174">
        <v>4</v>
      </c>
      <c r="V95" s="174">
        <v>25</v>
      </c>
      <c r="W95" s="174">
        <f t="shared" si="43"/>
        <v>29</v>
      </c>
      <c r="X95" s="174">
        <v>14</v>
      </c>
      <c r="Y95" s="174">
        <f t="shared" si="44"/>
        <v>15</v>
      </c>
      <c r="AH95" s="11"/>
    </row>
    <row r="96" spans="1:34">
      <c r="A96" s="40" t="s">
        <v>32</v>
      </c>
      <c r="B96" s="167" t="s">
        <v>257</v>
      </c>
      <c r="C96" s="174">
        <v>0</v>
      </c>
      <c r="D96" s="174">
        <v>2</v>
      </c>
      <c r="E96" s="174">
        <f t="shared" si="31"/>
        <v>2</v>
      </c>
      <c r="F96" s="174">
        <v>0</v>
      </c>
      <c r="G96" s="174">
        <f t="shared" si="32"/>
        <v>2</v>
      </c>
      <c r="H96" s="174"/>
      <c r="I96" s="186">
        <v>0</v>
      </c>
      <c r="J96" s="174">
        <v>0</v>
      </c>
      <c r="K96" s="174">
        <f t="shared" si="39"/>
        <v>0</v>
      </c>
      <c r="L96" s="174">
        <v>0</v>
      </c>
      <c r="M96" s="174">
        <f t="shared" si="40"/>
        <v>0</v>
      </c>
      <c r="N96" s="190"/>
      <c r="O96" s="174">
        <v>0</v>
      </c>
      <c r="P96" s="174">
        <v>6</v>
      </c>
      <c r="Q96" s="174">
        <f t="shared" si="41"/>
        <v>6</v>
      </c>
      <c r="R96" s="174">
        <v>6</v>
      </c>
      <c r="S96" s="174">
        <f t="shared" si="42"/>
        <v>0</v>
      </c>
      <c r="T96" s="190"/>
      <c r="U96" s="174">
        <v>1</v>
      </c>
      <c r="V96" s="174">
        <v>28</v>
      </c>
      <c r="W96" s="174">
        <f t="shared" si="43"/>
        <v>29</v>
      </c>
      <c r="X96" s="174">
        <v>26</v>
      </c>
      <c r="Y96" s="174">
        <f t="shared" si="44"/>
        <v>3</v>
      </c>
      <c r="AH96" s="11"/>
    </row>
    <row r="97" spans="1:34">
      <c r="A97" s="40" t="s">
        <v>32</v>
      </c>
      <c r="B97" s="167" t="s">
        <v>96</v>
      </c>
      <c r="C97" s="174">
        <v>8</v>
      </c>
      <c r="D97" s="174">
        <v>1</v>
      </c>
      <c r="E97" s="174">
        <f t="shared" si="31"/>
        <v>9</v>
      </c>
      <c r="F97" s="174">
        <v>0</v>
      </c>
      <c r="G97" s="174">
        <f t="shared" si="32"/>
        <v>9</v>
      </c>
      <c r="H97" s="174"/>
      <c r="I97" s="186">
        <v>0</v>
      </c>
      <c r="J97" s="174">
        <v>0</v>
      </c>
      <c r="K97" s="174">
        <f t="shared" si="39"/>
        <v>0</v>
      </c>
      <c r="L97" s="174">
        <v>0</v>
      </c>
      <c r="M97" s="174">
        <f t="shared" si="40"/>
        <v>0</v>
      </c>
      <c r="N97" s="190"/>
      <c r="O97" s="174">
        <v>5</v>
      </c>
      <c r="P97" s="174">
        <v>14</v>
      </c>
      <c r="Q97" s="174">
        <f t="shared" si="41"/>
        <v>19</v>
      </c>
      <c r="R97" s="174">
        <v>14</v>
      </c>
      <c r="S97" s="174">
        <f t="shared" si="42"/>
        <v>5</v>
      </c>
      <c r="T97" s="190"/>
      <c r="U97" s="174">
        <v>11</v>
      </c>
      <c r="V97" s="174">
        <v>47</v>
      </c>
      <c r="W97" s="174">
        <f t="shared" si="43"/>
        <v>58</v>
      </c>
      <c r="X97" s="174">
        <v>40</v>
      </c>
      <c r="Y97" s="174">
        <f t="shared" si="44"/>
        <v>18</v>
      </c>
      <c r="AH97" s="11"/>
    </row>
    <row r="98" spans="1:34">
      <c r="A98" s="40" t="s">
        <v>32</v>
      </c>
      <c r="B98" s="167" t="s">
        <v>258</v>
      </c>
      <c r="C98" s="174">
        <v>15</v>
      </c>
      <c r="D98" s="174">
        <v>3</v>
      </c>
      <c r="E98" s="174">
        <f t="shared" si="31"/>
        <v>18</v>
      </c>
      <c r="F98" s="174">
        <v>2</v>
      </c>
      <c r="G98" s="174">
        <f t="shared" si="32"/>
        <v>16</v>
      </c>
      <c r="H98" s="174"/>
      <c r="I98" s="186">
        <v>0</v>
      </c>
      <c r="J98" s="174">
        <v>0</v>
      </c>
      <c r="K98" s="174">
        <f t="shared" si="39"/>
        <v>0</v>
      </c>
      <c r="L98" s="174">
        <v>0</v>
      </c>
      <c r="M98" s="174">
        <f t="shared" si="40"/>
        <v>0</v>
      </c>
      <c r="N98" s="190"/>
      <c r="O98" s="174">
        <v>5</v>
      </c>
      <c r="P98" s="174">
        <v>15</v>
      </c>
      <c r="Q98" s="174">
        <f t="shared" si="41"/>
        <v>20</v>
      </c>
      <c r="R98" s="174">
        <v>16</v>
      </c>
      <c r="S98" s="174">
        <f t="shared" si="42"/>
        <v>4</v>
      </c>
      <c r="T98" s="190"/>
      <c r="U98" s="174">
        <v>14</v>
      </c>
      <c r="V98" s="174">
        <v>21</v>
      </c>
      <c r="W98" s="174">
        <f t="shared" si="43"/>
        <v>35</v>
      </c>
      <c r="X98" s="174">
        <v>30</v>
      </c>
      <c r="Y98" s="174">
        <f t="shared" si="44"/>
        <v>5</v>
      </c>
      <c r="AH98" s="11"/>
    </row>
    <row r="99" spans="1:34">
      <c r="A99" s="40" t="s">
        <v>32</v>
      </c>
      <c r="B99" s="167" t="s">
        <v>259</v>
      </c>
      <c r="C99" s="174">
        <v>0</v>
      </c>
      <c r="D99" s="174">
        <v>0</v>
      </c>
      <c r="E99" s="174">
        <f t="shared" si="31"/>
        <v>0</v>
      </c>
      <c r="F99" s="174">
        <v>0</v>
      </c>
      <c r="G99" s="174">
        <f t="shared" si="32"/>
        <v>0</v>
      </c>
      <c r="H99" s="174"/>
      <c r="I99" s="186">
        <v>0</v>
      </c>
      <c r="J99" s="174">
        <v>0</v>
      </c>
      <c r="K99" s="174">
        <f t="shared" si="39"/>
        <v>0</v>
      </c>
      <c r="L99" s="174">
        <v>0</v>
      </c>
      <c r="M99" s="174">
        <f t="shared" si="40"/>
        <v>0</v>
      </c>
      <c r="N99" s="190"/>
      <c r="O99" s="174">
        <v>1</v>
      </c>
      <c r="P99" s="174">
        <v>9</v>
      </c>
      <c r="Q99" s="174">
        <f t="shared" si="41"/>
        <v>10</v>
      </c>
      <c r="R99" s="174">
        <v>9</v>
      </c>
      <c r="S99" s="174">
        <f t="shared" si="42"/>
        <v>1</v>
      </c>
      <c r="T99" s="190"/>
      <c r="U99" s="174">
        <v>9</v>
      </c>
      <c r="V99" s="174">
        <v>19</v>
      </c>
      <c r="W99" s="174">
        <f t="shared" si="43"/>
        <v>28</v>
      </c>
      <c r="X99" s="174">
        <v>22</v>
      </c>
      <c r="Y99" s="174">
        <f t="shared" si="44"/>
        <v>6</v>
      </c>
    </row>
    <row r="100" spans="1:34">
      <c r="A100" s="40" t="s">
        <v>32</v>
      </c>
      <c r="B100" s="167" t="s">
        <v>97</v>
      </c>
      <c r="C100" s="174">
        <v>0</v>
      </c>
      <c r="D100" s="174">
        <v>0</v>
      </c>
      <c r="E100" s="174">
        <f t="shared" si="31"/>
        <v>0</v>
      </c>
      <c r="F100" s="174">
        <v>0</v>
      </c>
      <c r="G100" s="174">
        <f t="shared" si="32"/>
        <v>0</v>
      </c>
      <c r="H100" s="174"/>
      <c r="I100" s="186">
        <v>0</v>
      </c>
      <c r="J100" s="174">
        <v>0</v>
      </c>
      <c r="K100" s="174">
        <f t="shared" si="39"/>
        <v>0</v>
      </c>
      <c r="L100" s="174">
        <v>0</v>
      </c>
      <c r="M100" s="174">
        <f t="shared" si="40"/>
        <v>0</v>
      </c>
      <c r="N100" s="190"/>
      <c r="O100" s="174">
        <v>1</v>
      </c>
      <c r="P100" s="174">
        <v>7</v>
      </c>
      <c r="Q100" s="174">
        <f t="shared" si="41"/>
        <v>8</v>
      </c>
      <c r="R100" s="174">
        <v>7</v>
      </c>
      <c r="S100" s="174">
        <f t="shared" si="42"/>
        <v>1</v>
      </c>
      <c r="T100" s="190"/>
      <c r="U100" s="174">
        <v>2</v>
      </c>
      <c r="V100" s="174">
        <v>9</v>
      </c>
      <c r="W100" s="174">
        <f t="shared" si="43"/>
        <v>11</v>
      </c>
      <c r="X100" s="174">
        <v>9</v>
      </c>
      <c r="Y100" s="174">
        <f t="shared" si="44"/>
        <v>2</v>
      </c>
    </row>
    <row r="101" spans="1:34">
      <c r="A101" s="40" t="s">
        <v>32</v>
      </c>
      <c r="B101" s="167" t="s">
        <v>98</v>
      </c>
      <c r="C101" s="174">
        <v>0</v>
      </c>
      <c r="D101" s="174">
        <v>2</v>
      </c>
      <c r="E101" s="174">
        <f t="shared" si="31"/>
        <v>2</v>
      </c>
      <c r="F101" s="174">
        <v>0</v>
      </c>
      <c r="G101" s="174">
        <f t="shared" si="32"/>
        <v>2</v>
      </c>
      <c r="H101" s="174"/>
      <c r="I101" s="186">
        <v>0</v>
      </c>
      <c r="J101" s="174">
        <v>0</v>
      </c>
      <c r="K101" s="174">
        <f t="shared" si="39"/>
        <v>0</v>
      </c>
      <c r="L101" s="174">
        <v>0</v>
      </c>
      <c r="M101" s="174">
        <f t="shared" si="40"/>
        <v>0</v>
      </c>
      <c r="N101" s="190"/>
      <c r="O101" s="174">
        <v>1</v>
      </c>
      <c r="P101" s="174">
        <v>4</v>
      </c>
      <c r="Q101" s="174">
        <f t="shared" si="41"/>
        <v>5</v>
      </c>
      <c r="R101" s="174">
        <v>5</v>
      </c>
      <c r="S101" s="174">
        <f t="shared" si="42"/>
        <v>0</v>
      </c>
      <c r="T101" s="190"/>
      <c r="U101" s="174">
        <v>0</v>
      </c>
      <c r="V101" s="174">
        <v>6</v>
      </c>
      <c r="W101" s="174">
        <f t="shared" si="43"/>
        <v>6</v>
      </c>
      <c r="X101" s="174">
        <v>5</v>
      </c>
      <c r="Y101" s="174">
        <f t="shared" si="44"/>
        <v>1</v>
      </c>
    </row>
    <row r="102" spans="1:34">
      <c r="A102" s="168" t="s">
        <v>32</v>
      </c>
      <c r="B102" s="169" t="s">
        <v>99</v>
      </c>
      <c r="C102" s="187">
        <v>2</v>
      </c>
      <c r="D102" s="187">
        <v>0</v>
      </c>
      <c r="E102" s="187">
        <f t="shared" si="31"/>
        <v>2</v>
      </c>
      <c r="F102" s="187">
        <v>1</v>
      </c>
      <c r="G102" s="187">
        <f t="shared" si="32"/>
        <v>1</v>
      </c>
      <c r="H102" s="187"/>
      <c r="I102" s="191">
        <v>0</v>
      </c>
      <c r="J102" s="187">
        <v>0</v>
      </c>
      <c r="K102" s="187">
        <f t="shared" si="39"/>
        <v>0</v>
      </c>
      <c r="L102" s="187">
        <v>0</v>
      </c>
      <c r="M102" s="187">
        <f t="shared" si="40"/>
        <v>0</v>
      </c>
      <c r="N102" s="192"/>
      <c r="O102" s="187">
        <v>2</v>
      </c>
      <c r="P102" s="187">
        <v>8</v>
      </c>
      <c r="Q102" s="187">
        <f t="shared" si="41"/>
        <v>10</v>
      </c>
      <c r="R102" s="187">
        <v>7</v>
      </c>
      <c r="S102" s="187">
        <f t="shared" si="42"/>
        <v>3</v>
      </c>
      <c r="T102" s="192"/>
      <c r="U102" s="187">
        <v>4</v>
      </c>
      <c r="V102" s="187">
        <v>12</v>
      </c>
      <c r="W102" s="187">
        <f t="shared" si="43"/>
        <v>16</v>
      </c>
      <c r="X102" s="187">
        <v>15</v>
      </c>
      <c r="Y102" s="187">
        <f t="shared" si="44"/>
        <v>1</v>
      </c>
    </row>
    <row r="103" spans="1:34" s="22" customFormat="1">
      <c r="A103" s="84" t="s">
        <v>33</v>
      </c>
      <c r="B103" s="159" t="s">
        <v>1</v>
      </c>
      <c r="C103" s="163">
        <f>SUM(C104:C107)</f>
        <v>33</v>
      </c>
      <c r="D103" s="163">
        <f>SUM(D104:D107)</f>
        <v>81</v>
      </c>
      <c r="E103" s="163">
        <f t="shared" si="31"/>
        <v>114</v>
      </c>
      <c r="F103" s="163">
        <f>SUM(F104:F107)</f>
        <v>54</v>
      </c>
      <c r="G103" s="163">
        <f t="shared" si="32"/>
        <v>60</v>
      </c>
      <c r="H103" s="163"/>
      <c r="I103" s="164">
        <f>SUM(I104:I107)</f>
        <v>0</v>
      </c>
      <c r="J103" s="163">
        <f>SUM(J104:J107)</f>
        <v>0</v>
      </c>
      <c r="K103" s="163">
        <f>SUM(K104:K107)</f>
        <v>0</v>
      </c>
      <c r="L103" s="163">
        <f>SUM(L104:L107)</f>
        <v>0</v>
      </c>
      <c r="M103" s="163">
        <f>SUM(M104:M107)</f>
        <v>0</v>
      </c>
      <c r="N103" s="165"/>
      <c r="O103" s="163">
        <f>SUM(O104:O107)</f>
        <v>15</v>
      </c>
      <c r="P103" s="163">
        <f>SUM(P104:P107)</f>
        <v>101</v>
      </c>
      <c r="Q103" s="163">
        <f>SUM(Q104:Q107)</f>
        <v>116</v>
      </c>
      <c r="R103" s="163">
        <f>SUM(R104:R107)</f>
        <v>92</v>
      </c>
      <c r="S103" s="163">
        <f>SUM(S104:S107)</f>
        <v>24</v>
      </c>
      <c r="T103" s="165"/>
      <c r="U103" s="163">
        <f>SUM(U104:U107)</f>
        <v>28</v>
      </c>
      <c r="V103" s="163">
        <f>SUM(V104:V107)</f>
        <v>285</v>
      </c>
      <c r="W103" s="163">
        <f>SUM(W104:W107)</f>
        <v>313</v>
      </c>
      <c r="X103" s="163">
        <f>SUM(X104:X107)</f>
        <v>289</v>
      </c>
      <c r="Y103" s="163">
        <f>SUM(Y104:Y107)</f>
        <v>24</v>
      </c>
      <c r="AA103" s="1"/>
      <c r="AB103" s="1"/>
      <c r="AC103" s="1"/>
      <c r="AD103" s="1"/>
      <c r="AE103" s="1"/>
    </row>
    <row r="104" spans="1:34">
      <c r="A104" s="40" t="s">
        <v>33</v>
      </c>
      <c r="B104" s="167" t="s">
        <v>100</v>
      </c>
      <c r="C104" s="174">
        <v>2</v>
      </c>
      <c r="D104" s="174">
        <v>1</v>
      </c>
      <c r="E104" s="174">
        <f t="shared" si="31"/>
        <v>3</v>
      </c>
      <c r="F104" s="174">
        <v>1</v>
      </c>
      <c r="G104" s="174">
        <f t="shared" si="32"/>
        <v>2</v>
      </c>
      <c r="H104" s="174"/>
      <c r="I104" s="186">
        <v>0</v>
      </c>
      <c r="J104" s="174">
        <v>0</v>
      </c>
      <c r="K104" s="174">
        <f>SUM(I104:J104)</f>
        <v>0</v>
      </c>
      <c r="L104" s="174">
        <v>0</v>
      </c>
      <c r="M104" s="174">
        <f>K104-L104</f>
        <v>0</v>
      </c>
      <c r="N104" s="190"/>
      <c r="O104" s="174">
        <v>1</v>
      </c>
      <c r="P104" s="174">
        <v>2</v>
      </c>
      <c r="Q104" s="174">
        <f>SUM(O104:P104)</f>
        <v>3</v>
      </c>
      <c r="R104" s="174">
        <v>2</v>
      </c>
      <c r="S104" s="174">
        <f>Q104-R104</f>
        <v>1</v>
      </c>
      <c r="T104" s="190"/>
      <c r="U104" s="174">
        <v>6</v>
      </c>
      <c r="V104" s="174">
        <v>10</v>
      </c>
      <c r="W104" s="174">
        <f>SUM(U104:V104)</f>
        <v>16</v>
      </c>
      <c r="X104" s="174">
        <v>14</v>
      </c>
      <c r="Y104" s="174">
        <f>W104-X104</f>
        <v>2</v>
      </c>
    </row>
    <row r="105" spans="1:34">
      <c r="A105" s="40" t="s">
        <v>33</v>
      </c>
      <c r="B105" s="167" t="s">
        <v>260</v>
      </c>
      <c r="C105" s="174">
        <v>3</v>
      </c>
      <c r="D105" s="174">
        <v>22</v>
      </c>
      <c r="E105" s="174">
        <f t="shared" si="31"/>
        <v>25</v>
      </c>
      <c r="F105" s="174">
        <v>18</v>
      </c>
      <c r="G105" s="174">
        <f t="shared" si="32"/>
        <v>7</v>
      </c>
      <c r="H105" s="174"/>
      <c r="I105" s="186">
        <v>0</v>
      </c>
      <c r="J105" s="174">
        <v>0</v>
      </c>
      <c r="K105" s="174">
        <f>SUM(I105:J105)</f>
        <v>0</v>
      </c>
      <c r="L105" s="174">
        <v>0</v>
      </c>
      <c r="M105" s="174">
        <f>K105-L105</f>
        <v>0</v>
      </c>
      <c r="N105" s="190"/>
      <c r="O105" s="174">
        <v>4</v>
      </c>
      <c r="P105" s="174">
        <v>13</v>
      </c>
      <c r="Q105" s="174">
        <f>SUM(O105:P105)</f>
        <v>17</v>
      </c>
      <c r="R105" s="174">
        <v>12</v>
      </c>
      <c r="S105" s="174">
        <f>Q105-R105</f>
        <v>5</v>
      </c>
      <c r="T105" s="190"/>
      <c r="U105" s="174">
        <v>7</v>
      </c>
      <c r="V105" s="174">
        <v>68</v>
      </c>
      <c r="W105" s="174">
        <f>SUM(U105:V105)</f>
        <v>75</v>
      </c>
      <c r="X105" s="174">
        <v>68</v>
      </c>
      <c r="Y105" s="174">
        <f>W105-X105</f>
        <v>7</v>
      </c>
    </row>
    <row r="106" spans="1:34">
      <c r="A106" s="40" t="s">
        <v>33</v>
      </c>
      <c r="B106" s="167" t="s">
        <v>261</v>
      </c>
      <c r="C106" s="174">
        <v>4</v>
      </c>
      <c r="D106" s="174">
        <v>5</v>
      </c>
      <c r="E106" s="174">
        <f t="shared" si="31"/>
        <v>9</v>
      </c>
      <c r="F106" s="174">
        <v>0</v>
      </c>
      <c r="G106" s="174">
        <f t="shared" si="32"/>
        <v>9</v>
      </c>
      <c r="H106" s="174"/>
      <c r="I106" s="186">
        <v>0</v>
      </c>
      <c r="J106" s="174">
        <v>0</v>
      </c>
      <c r="K106" s="174">
        <f>SUM(I106:J106)</f>
        <v>0</v>
      </c>
      <c r="L106" s="174">
        <v>0</v>
      </c>
      <c r="M106" s="174">
        <f>K106-L106</f>
        <v>0</v>
      </c>
      <c r="N106" s="190"/>
      <c r="O106" s="174">
        <v>1</v>
      </c>
      <c r="P106" s="174">
        <v>45</v>
      </c>
      <c r="Q106" s="174">
        <f>SUM(O106:P106)</f>
        <v>46</v>
      </c>
      <c r="R106" s="174">
        <v>44</v>
      </c>
      <c r="S106" s="174">
        <f>Q106-R106</f>
        <v>2</v>
      </c>
      <c r="T106" s="190"/>
      <c r="U106" s="174">
        <v>3</v>
      </c>
      <c r="V106" s="174">
        <v>49</v>
      </c>
      <c r="W106" s="174">
        <f>SUM(U106:V106)</f>
        <v>52</v>
      </c>
      <c r="X106" s="174">
        <v>50</v>
      </c>
      <c r="Y106" s="174">
        <f>W106-X106</f>
        <v>2</v>
      </c>
    </row>
    <row r="107" spans="1:34">
      <c r="A107" s="168" t="s">
        <v>33</v>
      </c>
      <c r="B107" s="169" t="s">
        <v>262</v>
      </c>
      <c r="C107" s="187">
        <v>24</v>
      </c>
      <c r="D107" s="187">
        <v>53</v>
      </c>
      <c r="E107" s="187">
        <f t="shared" si="31"/>
        <v>77</v>
      </c>
      <c r="F107" s="187">
        <v>35</v>
      </c>
      <c r="G107" s="187">
        <f t="shared" si="32"/>
        <v>42</v>
      </c>
      <c r="H107" s="187"/>
      <c r="I107" s="191">
        <v>0</v>
      </c>
      <c r="J107" s="187">
        <v>0</v>
      </c>
      <c r="K107" s="187">
        <f>SUM(I107:J107)</f>
        <v>0</v>
      </c>
      <c r="L107" s="187">
        <v>0</v>
      </c>
      <c r="M107" s="187">
        <f>K107-L107</f>
        <v>0</v>
      </c>
      <c r="N107" s="192"/>
      <c r="O107" s="187">
        <v>9</v>
      </c>
      <c r="P107" s="187">
        <v>41</v>
      </c>
      <c r="Q107" s="187">
        <f>SUM(O107:P107)</f>
        <v>50</v>
      </c>
      <c r="R107" s="187">
        <v>34</v>
      </c>
      <c r="S107" s="187">
        <f>Q107-R107</f>
        <v>16</v>
      </c>
      <c r="T107" s="192"/>
      <c r="U107" s="187">
        <v>12</v>
      </c>
      <c r="V107" s="187">
        <v>158</v>
      </c>
      <c r="W107" s="187">
        <f>SUM(U107:V107)</f>
        <v>170</v>
      </c>
      <c r="X107" s="187">
        <v>157</v>
      </c>
      <c r="Y107" s="187">
        <f>W107-X107</f>
        <v>13</v>
      </c>
    </row>
    <row r="108" spans="1:34" s="22" customFormat="1">
      <c r="A108" s="84" t="s">
        <v>35</v>
      </c>
      <c r="B108" s="159" t="s">
        <v>1</v>
      </c>
      <c r="C108" s="163">
        <f>SUM(C109:C117)</f>
        <v>214</v>
      </c>
      <c r="D108" s="163">
        <f>SUM(D109:D117)</f>
        <v>218</v>
      </c>
      <c r="E108" s="163">
        <f t="shared" si="31"/>
        <v>432</v>
      </c>
      <c r="F108" s="163">
        <f>SUM(F109:F117)</f>
        <v>237</v>
      </c>
      <c r="G108" s="163">
        <f t="shared" si="32"/>
        <v>195</v>
      </c>
      <c r="H108" s="163"/>
      <c r="I108" s="164">
        <f>SUM(I109:I117)</f>
        <v>1</v>
      </c>
      <c r="J108" s="163">
        <f>SUM(J109:J117)</f>
        <v>0</v>
      </c>
      <c r="K108" s="163">
        <f>SUM(K109:K117)</f>
        <v>1</v>
      </c>
      <c r="L108" s="163">
        <f>SUM(L109:L117)</f>
        <v>1</v>
      </c>
      <c r="M108" s="163">
        <f>SUM(M109:M117)</f>
        <v>0</v>
      </c>
      <c r="N108" s="165"/>
      <c r="O108" s="163">
        <f>SUM(O109:O117)</f>
        <v>55</v>
      </c>
      <c r="P108" s="163">
        <f>SUM(P109:P117)</f>
        <v>104</v>
      </c>
      <c r="Q108" s="163">
        <f>SUM(Q109:Q117)</f>
        <v>159</v>
      </c>
      <c r="R108" s="163">
        <f>SUM(R109:R117)</f>
        <v>113</v>
      </c>
      <c r="S108" s="163">
        <f>SUM(S109:S117)</f>
        <v>46</v>
      </c>
      <c r="T108" s="165"/>
      <c r="U108" s="163">
        <f>SUM(U109:U117)</f>
        <v>95</v>
      </c>
      <c r="V108" s="163">
        <f>SUM(V109:V117)</f>
        <v>363</v>
      </c>
      <c r="W108" s="163">
        <f>SUM(W109:W117)</f>
        <v>458</v>
      </c>
      <c r="X108" s="163">
        <f>SUM(X109:X117)</f>
        <v>358</v>
      </c>
      <c r="Y108" s="163">
        <f>SUM(Y109:Y117)</f>
        <v>100</v>
      </c>
      <c r="AA108" s="1"/>
      <c r="AB108" s="1"/>
      <c r="AC108" s="1"/>
      <c r="AD108" s="1"/>
      <c r="AE108" s="1"/>
    </row>
    <row r="109" spans="1:34">
      <c r="A109" s="40" t="s">
        <v>35</v>
      </c>
      <c r="B109" s="167" t="s">
        <v>263</v>
      </c>
      <c r="C109" s="174">
        <v>20</v>
      </c>
      <c r="D109" s="174">
        <v>31</v>
      </c>
      <c r="E109" s="174">
        <f t="shared" si="31"/>
        <v>51</v>
      </c>
      <c r="F109" s="174">
        <v>32</v>
      </c>
      <c r="G109" s="174">
        <f t="shared" si="32"/>
        <v>19</v>
      </c>
      <c r="H109" s="174"/>
      <c r="I109" s="186">
        <v>0</v>
      </c>
      <c r="J109" s="174">
        <v>0</v>
      </c>
      <c r="K109" s="174">
        <f t="shared" ref="K109:K117" si="45">SUM(I109:J109)</f>
        <v>0</v>
      </c>
      <c r="L109" s="174">
        <v>0</v>
      </c>
      <c r="M109" s="174">
        <f t="shared" ref="M109:M117" si="46">K109-L109</f>
        <v>0</v>
      </c>
      <c r="N109" s="190"/>
      <c r="O109" s="174">
        <v>10</v>
      </c>
      <c r="P109" s="174">
        <v>36</v>
      </c>
      <c r="Q109" s="174">
        <f t="shared" ref="Q109:Q117" si="47">SUM(O109:P109)</f>
        <v>46</v>
      </c>
      <c r="R109" s="174">
        <v>42</v>
      </c>
      <c r="S109" s="174">
        <f t="shared" ref="S109:S117" si="48">Q109-R109</f>
        <v>4</v>
      </c>
      <c r="T109" s="190"/>
      <c r="U109" s="174">
        <v>14</v>
      </c>
      <c r="V109" s="174">
        <v>93</v>
      </c>
      <c r="W109" s="174">
        <v>107</v>
      </c>
      <c r="X109" s="174">
        <v>93</v>
      </c>
      <c r="Y109" s="174">
        <v>14</v>
      </c>
    </row>
    <row r="110" spans="1:34">
      <c r="A110" s="40" t="s">
        <v>35</v>
      </c>
      <c r="B110" s="167" t="s">
        <v>264</v>
      </c>
      <c r="C110" s="174">
        <v>2</v>
      </c>
      <c r="D110" s="174">
        <v>3</v>
      </c>
      <c r="E110" s="174">
        <f t="shared" si="31"/>
        <v>5</v>
      </c>
      <c r="F110" s="174">
        <v>4</v>
      </c>
      <c r="G110" s="174">
        <f t="shared" si="32"/>
        <v>1</v>
      </c>
      <c r="H110" s="174"/>
      <c r="I110" s="186">
        <v>0</v>
      </c>
      <c r="J110" s="174">
        <v>0</v>
      </c>
      <c r="K110" s="174">
        <f t="shared" si="45"/>
        <v>0</v>
      </c>
      <c r="L110" s="174">
        <v>0</v>
      </c>
      <c r="M110" s="174">
        <f t="shared" si="46"/>
        <v>0</v>
      </c>
      <c r="N110" s="190"/>
      <c r="O110" s="174">
        <v>2</v>
      </c>
      <c r="P110" s="174">
        <v>3</v>
      </c>
      <c r="Q110" s="174">
        <f t="shared" si="47"/>
        <v>5</v>
      </c>
      <c r="R110" s="174">
        <v>3</v>
      </c>
      <c r="S110" s="174">
        <f t="shared" si="48"/>
        <v>2</v>
      </c>
      <c r="T110" s="190"/>
      <c r="U110" s="174">
        <v>2</v>
      </c>
      <c r="V110" s="174">
        <v>33</v>
      </c>
      <c r="W110" s="174">
        <v>35</v>
      </c>
      <c r="X110" s="174">
        <v>25</v>
      </c>
      <c r="Y110" s="174">
        <v>10</v>
      </c>
    </row>
    <row r="111" spans="1:34">
      <c r="A111" s="40" t="s">
        <v>35</v>
      </c>
      <c r="B111" s="167" t="s">
        <v>265</v>
      </c>
      <c r="C111" s="174">
        <v>5</v>
      </c>
      <c r="D111" s="174">
        <v>6</v>
      </c>
      <c r="E111" s="174">
        <f t="shared" si="31"/>
        <v>11</v>
      </c>
      <c r="F111" s="174">
        <v>3</v>
      </c>
      <c r="G111" s="174">
        <f t="shared" si="32"/>
        <v>8</v>
      </c>
      <c r="H111" s="174"/>
      <c r="I111" s="186">
        <v>0</v>
      </c>
      <c r="J111" s="174">
        <v>0</v>
      </c>
      <c r="K111" s="174">
        <f t="shared" si="45"/>
        <v>0</v>
      </c>
      <c r="L111" s="174">
        <v>0</v>
      </c>
      <c r="M111" s="174">
        <f t="shared" si="46"/>
        <v>0</v>
      </c>
      <c r="N111" s="190"/>
      <c r="O111" s="174">
        <v>14</v>
      </c>
      <c r="P111" s="174">
        <v>12</v>
      </c>
      <c r="Q111" s="174">
        <f t="shared" si="47"/>
        <v>26</v>
      </c>
      <c r="R111" s="174">
        <v>25</v>
      </c>
      <c r="S111" s="174">
        <f t="shared" si="48"/>
        <v>1</v>
      </c>
      <c r="T111" s="190"/>
      <c r="U111" s="174">
        <v>7</v>
      </c>
      <c r="V111" s="174">
        <v>23</v>
      </c>
      <c r="W111" s="174">
        <v>30</v>
      </c>
      <c r="X111" s="174">
        <v>25</v>
      </c>
      <c r="Y111" s="174">
        <v>5</v>
      </c>
    </row>
    <row r="112" spans="1:34">
      <c r="A112" s="40" t="s">
        <v>35</v>
      </c>
      <c r="B112" s="167" t="s">
        <v>266</v>
      </c>
      <c r="C112" s="174">
        <v>7</v>
      </c>
      <c r="D112" s="174">
        <v>1</v>
      </c>
      <c r="E112" s="174">
        <f t="shared" si="31"/>
        <v>8</v>
      </c>
      <c r="F112" s="174">
        <v>3</v>
      </c>
      <c r="G112" s="174">
        <f t="shared" si="32"/>
        <v>5</v>
      </c>
      <c r="H112" s="174"/>
      <c r="I112" s="186">
        <v>0</v>
      </c>
      <c r="J112" s="174">
        <v>0</v>
      </c>
      <c r="K112" s="174">
        <f t="shared" si="45"/>
        <v>0</v>
      </c>
      <c r="L112" s="174">
        <v>0</v>
      </c>
      <c r="M112" s="174">
        <f t="shared" si="46"/>
        <v>0</v>
      </c>
      <c r="N112" s="190"/>
      <c r="O112" s="174">
        <v>5</v>
      </c>
      <c r="P112" s="174">
        <v>12</v>
      </c>
      <c r="Q112" s="174">
        <f t="shared" si="47"/>
        <v>17</v>
      </c>
      <c r="R112" s="174">
        <v>11</v>
      </c>
      <c r="S112" s="174">
        <f t="shared" si="48"/>
        <v>6</v>
      </c>
      <c r="T112" s="190"/>
      <c r="U112" s="174">
        <v>13</v>
      </c>
      <c r="V112" s="174">
        <v>21</v>
      </c>
      <c r="W112" s="174">
        <v>34</v>
      </c>
      <c r="X112" s="174">
        <v>24</v>
      </c>
      <c r="Y112" s="174">
        <v>10</v>
      </c>
    </row>
    <row r="113" spans="1:31">
      <c r="A113" s="40" t="s">
        <v>35</v>
      </c>
      <c r="B113" s="167" t="s">
        <v>267</v>
      </c>
      <c r="C113" s="174">
        <v>1</v>
      </c>
      <c r="D113" s="174">
        <v>0</v>
      </c>
      <c r="E113" s="174">
        <f t="shared" si="31"/>
        <v>1</v>
      </c>
      <c r="F113" s="174">
        <v>1</v>
      </c>
      <c r="G113" s="174">
        <f t="shared" si="32"/>
        <v>0</v>
      </c>
      <c r="H113" s="174"/>
      <c r="I113" s="186">
        <v>0</v>
      </c>
      <c r="J113" s="174">
        <v>0</v>
      </c>
      <c r="K113" s="174">
        <f t="shared" si="45"/>
        <v>0</v>
      </c>
      <c r="L113" s="174">
        <v>0</v>
      </c>
      <c r="M113" s="174">
        <f t="shared" si="46"/>
        <v>0</v>
      </c>
      <c r="N113" s="190"/>
      <c r="O113" s="174">
        <v>4</v>
      </c>
      <c r="P113" s="174">
        <v>3</v>
      </c>
      <c r="Q113" s="174">
        <f t="shared" si="47"/>
        <v>7</v>
      </c>
      <c r="R113" s="174">
        <v>3</v>
      </c>
      <c r="S113" s="174">
        <f t="shared" si="48"/>
        <v>4</v>
      </c>
      <c r="T113" s="190"/>
      <c r="U113" s="174">
        <v>1</v>
      </c>
      <c r="V113" s="174">
        <v>20</v>
      </c>
      <c r="W113" s="174">
        <v>21</v>
      </c>
      <c r="X113" s="174">
        <v>14</v>
      </c>
      <c r="Y113" s="174">
        <v>7</v>
      </c>
    </row>
    <row r="114" spans="1:31">
      <c r="A114" s="40" t="s">
        <v>35</v>
      </c>
      <c r="B114" s="167" t="s">
        <v>268</v>
      </c>
      <c r="C114" s="174">
        <v>43</v>
      </c>
      <c r="D114" s="174">
        <v>73</v>
      </c>
      <c r="E114" s="174">
        <f t="shared" si="31"/>
        <v>116</v>
      </c>
      <c r="F114" s="174">
        <v>81</v>
      </c>
      <c r="G114" s="174">
        <f t="shared" si="32"/>
        <v>35</v>
      </c>
      <c r="H114" s="174"/>
      <c r="I114" s="186">
        <v>0</v>
      </c>
      <c r="J114" s="174">
        <v>0</v>
      </c>
      <c r="K114" s="174">
        <f t="shared" si="45"/>
        <v>0</v>
      </c>
      <c r="L114" s="174">
        <v>0</v>
      </c>
      <c r="M114" s="174">
        <f t="shared" si="46"/>
        <v>0</v>
      </c>
      <c r="N114" s="190"/>
      <c r="O114" s="174">
        <v>4</v>
      </c>
      <c r="P114" s="174">
        <v>4</v>
      </c>
      <c r="Q114" s="174">
        <f t="shared" si="47"/>
        <v>8</v>
      </c>
      <c r="R114" s="174">
        <v>6</v>
      </c>
      <c r="S114" s="174">
        <f t="shared" si="48"/>
        <v>2</v>
      </c>
      <c r="T114" s="190"/>
      <c r="U114" s="174">
        <v>16</v>
      </c>
      <c r="V114" s="174">
        <v>30</v>
      </c>
      <c r="W114" s="174">
        <v>46</v>
      </c>
      <c r="X114" s="174">
        <v>40</v>
      </c>
      <c r="Y114" s="174">
        <v>6</v>
      </c>
    </row>
    <row r="115" spans="1:31">
      <c r="A115" s="40" t="s">
        <v>35</v>
      </c>
      <c r="B115" s="167" t="s">
        <v>269</v>
      </c>
      <c r="C115" s="174">
        <v>105</v>
      </c>
      <c r="D115" s="174">
        <v>99</v>
      </c>
      <c r="E115" s="174">
        <f t="shared" si="31"/>
        <v>204</v>
      </c>
      <c r="F115" s="174">
        <v>105</v>
      </c>
      <c r="G115" s="174">
        <f t="shared" si="32"/>
        <v>99</v>
      </c>
      <c r="H115" s="174"/>
      <c r="I115" s="186">
        <v>1</v>
      </c>
      <c r="J115" s="174">
        <v>0</v>
      </c>
      <c r="K115" s="174">
        <f t="shared" si="45"/>
        <v>1</v>
      </c>
      <c r="L115" s="174">
        <v>1</v>
      </c>
      <c r="M115" s="174">
        <f t="shared" si="46"/>
        <v>0</v>
      </c>
      <c r="N115" s="190"/>
      <c r="O115" s="174">
        <v>10</v>
      </c>
      <c r="P115" s="174">
        <v>20</v>
      </c>
      <c r="Q115" s="174">
        <f t="shared" si="47"/>
        <v>30</v>
      </c>
      <c r="R115" s="174">
        <v>11</v>
      </c>
      <c r="S115" s="174">
        <f t="shared" si="48"/>
        <v>19</v>
      </c>
      <c r="T115" s="190"/>
      <c r="U115" s="174">
        <v>14</v>
      </c>
      <c r="V115" s="174">
        <v>63</v>
      </c>
      <c r="W115" s="174">
        <v>77</v>
      </c>
      <c r="X115" s="174">
        <v>59</v>
      </c>
      <c r="Y115" s="174">
        <v>18</v>
      </c>
    </row>
    <row r="116" spans="1:31">
      <c r="A116" s="40" t="s">
        <v>35</v>
      </c>
      <c r="B116" s="167" t="s">
        <v>270</v>
      </c>
      <c r="C116" s="174">
        <v>26</v>
      </c>
      <c r="D116" s="174">
        <v>5</v>
      </c>
      <c r="E116" s="174">
        <f t="shared" si="31"/>
        <v>31</v>
      </c>
      <c r="F116" s="174">
        <v>6</v>
      </c>
      <c r="G116" s="174">
        <f t="shared" si="32"/>
        <v>25</v>
      </c>
      <c r="H116" s="174"/>
      <c r="I116" s="186">
        <v>0</v>
      </c>
      <c r="J116" s="174">
        <v>0</v>
      </c>
      <c r="K116" s="174">
        <f t="shared" si="45"/>
        <v>0</v>
      </c>
      <c r="L116" s="174">
        <v>0</v>
      </c>
      <c r="M116" s="174">
        <f t="shared" si="46"/>
        <v>0</v>
      </c>
      <c r="N116" s="190"/>
      <c r="O116" s="174">
        <v>4</v>
      </c>
      <c r="P116" s="174">
        <v>8</v>
      </c>
      <c r="Q116" s="174">
        <f t="shared" si="47"/>
        <v>12</v>
      </c>
      <c r="R116" s="174">
        <v>7</v>
      </c>
      <c r="S116" s="174">
        <f t="shared" si="48"/>
        <v>5</v>
      </c>
      <c r="T116" s="190"/>
      <c r="U116" s="174">
        <v>25</v>
      </c>
      <c r="V116" s="174">
        <v>55</v>
      </c>
      <c r="W116" s="174">
        <v>80</v>
      </c>
      <c r="X116" s="174">
        <v>54</v>
      </c>
      <c r="Y116" s="174">
        <v>26</v>
      </c>
    </row>
    <row r="117" spans="1:31">
      <c r="A117" s="168" t="s">
        <v>35</v>
      </c>
      <c r="B117" s="169" t="s">
        <v>271</v>
      </c>
      <c r="C117" s="187">
        <v>5</v>
      </c>
      <c r="D117" s="187">
        <v>0</v>
      </c>
      <c r="E117" s="187">
        <f t="shared" si="31"/>
        <v>5</v>
      </c>
      <c r="F117" s="187">
        <v>2</v>
      </c>
      <c r="G117" s="189">
        <f t="shared" si="32"/>
        <v>3</v>
      </c>
      <c r="H117" s="189"/>
      <c r="I117" s="191">
        <v>0</v>
      </c>
      <c r="J117" s="187">
        <v>0</v>
      </c>
      <c r="K117" s="187">
        <f t="shared" si="45"/>
        <v>0</v>
      </c>
      <c r="L117" s="187">
        <v>0</v>
      </c>
      <c r="M117" s="189">
        <f t="shared" si="46"/>
        <v>0</v>
      </c>
      <c r="N117" s="188"/>
      <c r="O117" s="187">
        <v>2</v>
      </c>
      <c r="P117" s="187">
        <v>6</v>
      </c>
      <c r="Q117" s="187">
        <f t="shared" si="47"/>
        <v>8</v>
      </c>
      <c r="R117" s="187">
        <v>5</v>
      </c>
      <c r="S117" s="189">
        <f t="shared" si="48"/>
        <v>3</v>
      </c>
      <c r="T117" s="188"/>
      <c r="U117" s="187">
        <v>3</v>
      </c>
      <c r="V117" s="187">
        <v>25</v>
      </c>
      <c r="W117" s="187">
        <v>28</v>
      </c>
      <c r="X117" s="187">
        <v>24</v>
      </c>
      <c r="Y117" s="189">
        <v>4</v>
      </c>
    </row>
    <row r="118" spans="1:31" s="22" customFormat="1">
      <c r="A118" s="84" t="s">
        <v>36</v>
      </c>
      <c r="B118" s="159" t="s">
        <v>1</v>
      </c>
      <c r="C118" s="163">
        <f>SUM(C119:C126)</f>
        <v>48</v>
      </c>
      <c r="D118" s="163">
        <f>SUM(D119:D126)</f>
        <v>17</v>
      </c>
      <c r="E118" s="163">
        <f t="shared" si="31"/>
        <v>65</v>
      </c>
      <c r="F118" s="163">
        <f>SUM(F119:F126)</f>
        <v>3</v>
      </c>
      <c r="G118" s="163">
        <f t="shared" si="32"/>
        <v>62</v>
      </c>
      <c r="H118" s="163"/>
      <c r="I118" s="164">
        <f>SUM(I119:I126)</f>
        <v>0</v>
      </c>
      <c r="J118" s="163">
        <f>SUM(J119:J126)</f>
        <v>0</v>
      </c>
      <c r="K118" s="163">
        <f>SUM(K119:K126)</f>
        <v>0</v>
      </c>
      <c r="L118" s="163">
        <f>SUM(L119:L126)</f>
        <v>0</v>
      </c>
      <c r="M118" s="163">
        <f>SUM(M119:M126)</f>
        <v>0</v>
      </c>
      <c r="N118" s="165"/>
      <c r="O118" s="163">
        <f>SUM(O119:O126)</f>
        <v>57</v>
      </c>
      <c r="P118" s="163">
        <f>SUM(P119:P126)</f>
        <v>81</v>
      </c>
      <c r="Q118" s="163">
        <f>SUM(Q119:Q126)</f>
        <v>138</v>
      </c>
      <c r="R118" s="163">
        <f>SUM(R119:R126)</f>
        <v>97</v>
      </c>
      <c r="S118" s="163">
        <f>SUM(S119:S126)</f>
        <v>41</v>
      </c>
      <c r="T118" s="165"/>
      <c r="U118" s="163">
        <f>SUM(U119:U126)</f>
        <v>71</v>
      </c>
      <c r="V118" s="163">
        <f>SUM(V119:V126)</f>
        <v>201</v>
      </c>
      <c r="W118" s="163">
        <f>SUM(W119:W126)</f>
        <v>272</v>
      </c>
      <c r="X118" s="163">
        <f>SUM(X119:X126)</f>
        <v>227</v>
      </c>
      <c r="Y118" s="163">
        <f>SUM(Y119:Y126)</f>
        <v>45</v>
      </c>
      <c r="AA118" s="1"/>
      <c r="AB118" s="1"/>
      <c r="AC118" s="1"/>
      <c r="AD118" s="1"/>
      <c r="AE118" s="1"/>
    </row>
    <row r="119" spans="1:31">
      <c r="A119" s="40" t="s">
        <v>36</v>
      </c>
      <c r="B119" s="167" t="s">
        <v>272</v>
      </c>
      <c r="C119" s="174">
        <v>15</v>
      </c>
      <c r="D119" s="174">
        <v>5</v>
      </c>
      <c r="E119" s="174">
        <f t="shared" si="31"/>
        <v>20</v>
      </c>
      <c r="F119" s="174">
        <v>1</v>
      </c>
      <c r="G119" s="174">
        <f t="shared" si="32"/>
        <v>19</v>
      </c>
      <c r="H119" s="174"/>
      <c r="I119" s="186">
        <v>0</v>
      </c>
      <c r="J119" s="174">
        <v>0</v>
      </c>
      <c r="K119" s="174">
        <f t="shared" ref="K119:K126" si="49">SUM(I119:J119)</f>
        <v>0</v>
      </c>
      <c r="L119" s="174">
        <v>0</v>
      </c>
      <c r="M119" s="174">
        <f t="shared" ref="M119:M126" si="50">K119-L119</f>
        <v>0</v>
      </c>
      <c r="N119" s="190"/>
      <c r="O119" s="174">
        <v>15</v>
      </c>
      <c r="P119" s="174">
        <v>15</v>
      </c>
      <c r="Q119" s="174">
        <f t="shared" ref="Q119:Q126" si="51">SUM(O119:P119)</f>
        <v>30</v>
      </c>
      <c r="R119" s="174">
        <v>18</v>
      </c>
      <c r="S119" s="174">
        <f t="shared" ref="S119:S126" si="52">Q119-R119</f>
        <v>12</v>
      </c>
      <c r="T119" s="190"/>
      <c r="U119" s="174">
        <v>22</v>
      </c>
      <c r="V119" s="174">
        <v>53</v>
      </c>
      <c r="W119" s="174">
        <f t="shared" ref="W119:W126" si="53">SUM(U119:V119)</f>
        <v>75</v>
      </c>
      <c r="X119" s="174">
        <v>59</v>
      </c>
      <c r="Y119" s="174">
        <f t="shared" ref="Y119:Y126" si="54">W119-X119</f>
        <v>16</v>
      </c>
    </row>
    <row r="120" spans="1:31">
      <c r="A120" s="40" t="s">
        <v>36</v>
      </c>
      <c r="B120" s="167" t="s">
        <v>273</v>
      </c>
      <c r="C120" s="174">
        <v>14</v>
      </c>
      <c r="D120" s="174">
        <v>3</v>
      </c>
      <c r="E120" s="174">
        <f t="shared" si="31"/>
        <v>17</v>
      </c>
      <c r="F120" s="174">
        <v>2</v>
      </c>
      <c r="G120" s="174">
        <f t="shared" si="32"/>
        <v>15</v>
      </c>
      <c r="H120" s="174"/>
      <c r="I120" s="186">
        <v>0</v>
      </c>
      <c r="J120" s="174">
        <v>0</v>
      </c>
      <c r="K120" s="174">
        <f t="shared" si="49"/>
        <v>0</v>
      </c>
      <c r="L120" s="174">
        <v>0</v>
      </c>
      <c r="M120" s="174">
        <f t="shared" si="50"/>
        <v>0</v>
      </c>
      <c r="N120" s="190"/>
      <c r="O120" s="174">
        <v>18</v>
      </c>
      <c r="P120" s="174">
        <v>28</v>
      </c>
      <c r="Q120" s="174">
        <f t="shared" si="51"/>
        <v>46</v>
      </c>
      <c r="R120" s="174">
        <v>31</v>
      </c>
      <c r="S120" s="174">
        <f t="shared" si="52"/>
        <v>15</v>
      </c>
      <c r="T120" s="190"/>
      <c r="U120" s="174">
        <v>18</v>
      </c>
      <c r="V120" s="174">
        <v>38</v>
      </c>
      <c r="W120" s="174">
        <f t="shared" si="53"/>
        <v>56</v>
      </c>
      <c r="X120" s="174">
        <v>47</v>
      </c>
      <c r="Y120" s="174">
        <f t="shared" si="54"/>
        <v>9</v>
      </c>
    </row>
    <row r="121" spans="1:31">
      <c r="A121" s="40" t="s">
        <v>36</v>
      </c>
      <c r="B121" s="167" t="s">
        <v>274</v>
      </c>
      <c r="C121" s="174">
        <v>2</v>
      </c>
      <c r="D121" s="174">
        <v>4</v>
      </c>
      <c r="E121" s="174">
        <f t="shared" si="31"/>
        <v>6</v>
      </c>
      <c r="F121" s="174">
        <v>0</v>
      </c>
      <c r="G121" s="174">
        <f t="shared" si="32"/>
        <v>6</v>
      </c>
      <c r="H121" s="174"/>
      <c r="I121" s="186">
        <v>0</v>
      </c>
      <c r="J121" s="174">
        <v>0</v>
      </c>
      <c r="K121" s="174">
        <f t="shared" si="49"/>
        <v>0</v>
      </c>
      <c r="L121" s="174">
        <v>0</v>
      </c>
      <c r="M121" s="174">
        <f t="shared" si="50"/>
        <v>0</v>
      </c>
      <c r="N121" s="190"/>
      <c r="O121" s="174">
        <v>5</v>
      </c>
      <c r="P121" s="174">
        <v>18</v>
      </c>
      <c r="Q121" s="174">
        <f t="shared" si="51"/>
        <v>23</v>
      </c>
      <c r="R121" s="174">
        <v>22</v>
      </c>
      <c r="S121" s="174">
        <f t="shared" si="52"/>
        <v>1</v>
      </c>
      <c r="T121" s="190"/>
      <c r="U121" s="174">
        <v>1</v>
      </c>
      <c r="V121" s="174">
        <v>38</v>
      </c>
      <c r="W121" s="174">
        <f t="shared" si="53"/>
        <v>39</v>
      </c>
      <c r="X121" s="174">
        <v>37</v>
      </c>
      <c r="Y121" s="174">
        <f t="shared" si="54"/>
        <v>2</v>
      </c>
    </row>
    <row r="122" spans="1:31">
      <c r="A122" s="40" t="s">
        <v>36</v>
      </c>
      <c r="B122" s="167" t="s">
        <v>275</v>
      </c>
      <c r="C122" s="174">
        <v>3</v>
      </c>
      <c r="D122" s="174">
        <v>1</v>
      </c>
      <c r="E122" s="174">
        <f t="shared" si="31"/>
        <v>4</v>
      </c>
      <c r="F122" s="174">
        <v>0</v>
      </c>
      <c r="G122" s="174">
        <f t="shared" si="32"/>
        <v>4</v>
      </c>
      <c r="H122" s="174"/>
      <c r="I122" s="186">
        <v>0</v>
      </c>
      <c r="J122" s="174">
        <v>0</v>
      </c>
      <c r="K122" s="174">
        <f t="shared" si="49"/>
        <v>0</v>
      </c>
      <c r="L122" s="174">
        <v>0</v>
      </c>
      <c r="M122" s="174">
        <f t="shared" si="50"/>
        <v>0</v>
      </c>
      <c r="N122" s="190"/>
      <c r="O122" s="174">
        <v>10</v>
      </c>
      <c r="P122" s="174">
        <v>7</v>
      </c>
      <c r="Q122" s="174">
        <f t="shared" si="51"/>
        <v>17</v>
      </c>
      <c r="R122" s="174">
        <v>12</v>
      </c>
      <c r="S122" s="174">
        <f t="shared" si="52"/>
        <v>5</v>
      </c>
      <c r="T122" s="190"/>
      <c r="U122" s="174">
        <v>12</v>
      </c>
      <c r="V122" s="174">
        <v>15</v>
      </c>
      <c r="W122" s="174">
        <f t="shared" si="53"/>
        <v>27</v>
      </c>
      <c r="X122" s="174">
        <v>24</v>
      </c>
      <c r="Y122" s="174">
        <f t="shared" si="54"/>
        <v>3</v>
      </c>
    </row>
    <row r="123" spans="1:31">
      <c r="A123" s="40" t="s">
        <v>36</v>
      </c>
      <c r="B123" s="167" t="s">
        <v>276</v>
      </c>
      <c r="C123" s="174">
        <v>5</v>
      </c>
      <c r="D123" s="174">
        <v>3</v>
      </c>
      <c r="E123" s="174">
        <f t="shared" si="31"/>
        <v>8</v>
      </c>
      <c r="F123" s="174">
        <v>0</v>
      </c>
      <c r="G123" s="174">
        <f t="shared" si="32"/>
        <v>8</v>
      </c>
      <c r="H123" s="174"/>
      <c r="I123" s="186">
        <v>0</v>
      </c>
      <c r="J123" s="174">
        <v>0</v>
      </c>
      <c r="K123" s="174">
        <f t="shared" si="49"/>
        <v>0</v>
      </c>
      <c r="L123" s="174">
        <v>0</v>
      </c>
      <c r="M123" s="174">
        <f t="shared" si="50"/>
        <v>0</v>
      </c>
      <c r="N123" s="190"/>
      <c r="O123" s="174">
        <v>2</v>
      </c>
      <c r="P123" s="174">
        <v>5</v>
      </c>
      <c r="Q123" s="174">
        <f t="shared" si="51"/>
        <v>7</v>
      </c>
      <c r="R123" s="174">
        <v>4</v>
      </c>
      <c r="S123" s="174">
        <f t="shared" si="52"/>
        <v>3</v>
      </c>
      <c r="T123" s="190"/>
      <c r="U123" s="174">
        <v>7</v>
      </c>
      <c r="V123" s="174">
        <v>15</v>
      </c>
      <c r="W123" s="174">
        <f t="shared" si="53"/>
        <v>22</v>
      </c>
      <c r="X123" s="174">
        <v>19</v>
      </c>
      <c r="Y123" s="174">
        <f t="shared" si="54"/>
        <v>3</v>
      </c>
    </row>
    <row r="124" spans="1:31">
      <c r="A124" s="40" t="s">
        <v>36</v>
      </c>
      <c r="B124" s="167" t="s">
        <v>277</v>
      </c>
      <c r="C124" s="174">
        <v>5</v>
      </c>
      <c r="D124" s="174">
        <v>0</v>
      </c>
      <c r="E124" s="174">
        <f t="shared" si="31"/>
        <v>5</v>
      </c>
      <c r="F124" s="174">
        <v>0</v>
      </c>
      <c r="G124" s="174">
        <f t="shared" si="32"/>
        <v>5</v>
      </c>
      <c r="H124" s="174"/>
      <c r="I124" s="186">
        <v>0</v>
      </c>
      <c r="J124" s="174">
        <v>0</v>
      </c>
      <c r="K124" s="174">
        <f t="shared" si="49"/>
        <v>0</v>
      </c>
      <c r="L124" s="174">
        <v>0</v>
      </c>
      <c r="M124" s="174">
        <f t="shared" si="50"/>
        <v>0</v>
      </c>
      <c r="N124" s="190"/>
      <c r="O124" s="174">
        <v>1</v>
      </c>
      <c r="P124" s="174">
        <v>1</v>
      </c>
      <c r="Q124" s="174">
        <f t="shared" si="51"/>
        <v>2</v>
      </c>
      <c r="R124" s="174">
        <v>1</v>
      </c>
      <c r="S124" s="174">
        <f t="shared" si="52"/>
        <v>1</v>
      </c>
      <c r="T124" s="190"/>
      <c r="U124" s="174">
        <v>3</v>
      </c>
      <c r="V124" s="174">
        <v>9</v>
      </c>
      <c r="W124" s="174">
        <f t="shared" si="53"/>
        <v>12</v>
      </c>
      <c r="X124" s="174">
        <v>8</v>
      </c>
      <c r="Y124" s="174">
        <f t="shared" si="54"/>
        <v>4</v>
      </c>
    </row>
    <row r="125" spans="1:31">
      <c r="A125" s="40" t="s">
        <v>36</v>
      </c>
      <c r="B125" s="167" t="s">
        <v>278</v>
      </c>
      <c r="C125" s="174">
        <v>0</v>
      </c>
      <c r="D125" s="174">
        <v>1</v>
      </c>
      <c r="E125" s="174">
        <f t="shared" si="31"/>
        <v>1</v>
      </c>
      <c r="F125" s="174">
        <v>0</v>
      </c>
      <c r="G125" s="174">
        <f t="shared" si="32"/>
        <v>1</v>
      </c>
      <c r="H125" s="174"/>
      <c r="I125" s="186">
        <v>0</v>
      </c>
      <c r="J125" s="174">
        <v>0</v>
      </c>
      <c r="K125" s="174">
        <f t="shared" si="49"/>
        <v>0</v>
      </c>
      <c r="L125" s="174">
        <v>0</v>
      </c>
      <c r="M125" s="174">
        <f t="shared" si="50"/>
        <v>0</v>
      </c>
      <c r="N125" s="190"/>
      <c r="O125" s="174">
        <v>3</v>
      </c>
      <c r="P125" s="174">
        <v>6</v>
      </c>
      <c r="Q125" s="174">
        <f t="shared" si="51"/>
        <v>9</v>
      </c>
      <c r="R125" s="174">
        <v>7</v>
      </c>
      <c r="S125" s="174">
        <f t="shared" si="52"/>
        <v>2</v>
      </c>
      <c r="T125" s="190"/>
      <c r="U125" s="174">
        <v>4</v>
      </c>
      <c r="V125" s="174">
        <v>17</v>
      </c>
      <c r="W125" s="174">
        <f t="shared" si="53"/>
        <v>21</v>
      </c>
      <c r="X125" s="174">
        <v>17</v>
      </c>
      <c r="Y125" s="174">
        <f t="shared" si="54"/>
        <v>4</v>
      </c>
    </row>
    <row r="126" spans="1:31">
      <c r="A126" s="168" t="s">
        <v>36</v>
      </c>
      <c r="B126" s="169" t="s">
        <v>279</v>
      </c>
      <c r="C126" s="187">
        <v>4</v>
      </c>
      <c r="D126" s="187">
        <v>0</v>
      </c>
      <c r="E126" s="187">
        <f t="shared" si="31"/>
        <v>4</v>
      </c>
      <c r="F126" s="187">
        <v>0</v>
      </c>
      <c r="G126" s="187">
        <f t="shared" si="32"/>
        <v>4</v>
      </c>
      <c r="H126" s="187"/>
      <c r="I126" s="191">
        <v>0</v>
      </c>
      <c r="J126" s="187">
        <v>0</v>
      </c>
      <c r="K126" s="187">
        <f t="shared" si="49"/>
        <v>0</v>
      </c>
      <c r="L126" s="187">
        <v>0</v>
      </c>
      <c r="M126" s="187">
        <f t="shared" si="50"/>
        <v>0</v>
      </c>
      <c r="N126" s="192"/>
      <c r="O126" s="187">
        <v>3</v>
      </c>
      <c r="P126" s="187">
        <v>1</v>
      </c>
      <c r="Q126" s="187">
        <f t="shared" si="51"/>
        <v>4</v>
      </c>
      <c r="R126" s="187">
        <v>2</v>
      </c>
      <c r="S126" s="187">
        <f t="shared" si="52"/>
        <v>2</v>
      </c>
      <c r="T126" s="192"/>
      <c r="U126" s="187">
        <v>4</v>
      </c>
      <c r="V126" s="187">
        <v>16</v>
      </c>
      <c r="W126" s="187">
        <f t="shared" si="53"/>
        <v>20</v>
      </c>
      <c r="X126" s="187">
        <v>16</v>
      </c>
      <c r="Y126" s="187">
        <f t="shared" si="54"/>
        <v>4</v>
      </c>
    </row>
    <row r="127" spans="1:31" s="22" customFormat="1">
      <c r="A127" s="84" t="s">
        <v>37</v>
      </c>
      <c r="B127" s="159" t="s">
        <v>1</v>
      </c>
      <c r="C127" s="163">
        <f>SUM(C128:C137)</f>
        <v>62</v>
      </c>
      <c r="D127" s="163">
        <f>SUM(D128:D137)</f>
        <v>28</v>
      </c>
      <c r="E127" s="163">
        <f t="shared" si="31"/>
        <v>90</v>
      </c>
      <c r="F127" s="163">
        <f>SUM(F128:F137)</f>
        <v>17</v>
      </c>
      <c r="G127" s="163">
        <f t="shared" si="32"/>
        <v>73</v>
      </c>
      <c r="H127" s="163"/>
      <c r="I127" s="164">
        <f>SUM(I128:I137)</f>
        <v>2</v>
      </c>
      <c r="J127" s="163">
        <f>SUM(J128:J137)</f>
        <v>0</v>
      </c>
      <c r="K127" s="163">
        <f>SUM(K128:K137)</f>
        <v>2</v>
      </c>
      <c r="L127" s="163">
        <f>SUM(L128:L137)</f>
        <v>2</v>
      </c>
      <c r="M127" s="163">
        <f>SUM(M128:M137)</f>
        <v>0</v>
      </c>
      <c r="N127" s="165"/>
      <c r="O127" s="163">
        <f>SUM(O128:O137)</f>
        <v>34</v>
      </c>
      <c r="P127" s="163">
        <f>SUM(P128:P137)</f>
        <v>61</v>
      </c>
      <c r="Q127" s="163">
        <f>SUM(Q128:Q137)</f>
        <v>95</v>
      </c>
      <c r="R127" s="163">
        <f>SUM(R128:R137)</f>
        <v>45</v>
      </c>
      <c r="S127" s="163">
        <f>SUM(S128:S137)</f>
        <v>50</v>
      </c>
      <c r="T127" s="165"/>
      <c r="U127" s="163">
        <f>SUM(U128:U137)</f>
        <v>114</v>
      </c>
      <c r="V127" s="163">
        <f>SUM(V128:V137)</f>
        <v>266</v>
      </c>
      <c r="W127" s="163">
        <f>SUM(W128:W137)</f>
        <v>380</v>
      </c>
      <c r="X127" s="163">
        <f>SUM(X128:X137)</f>
        <v>315</v>
      </c>
      <c r="Y127" s="163">
        <f>SUM(Y128:Y137)</f>
        <v>65</v>
      </c>
      <c r="AA127" s="1"/>
      <c r="AB127" s="1"/>
      <c r="AC127" s="1"/>
      <c r="AD127" s="1"/>
      <c r="AE127" s="1"/>
    </row>
    <row r="128" spans="1:31">
      <c r="A128" s="176" t="s">
        <v>37</v>
      </c>
      <c r="B128" s="167" t="s">
        <v>280</v>
      </c>
      <c r="C128" s="174">
        <v>1</v>
      </c>
      <c r="D128" s="174">
        <v>1</v>
      </c>
      <c r="E128" s="174">
        <f t="shared" si="31"/>
        <v>2</v>
      </c>
      <c r="F128" s="174">
        <v>0</v>
      </c>
      <c r="G128" s="174">
        <f t="shared" si="32"/>
        <v>2</v>
      </c>
      <c r="H128" s="174"/>
      <c r="I128" s="186">
        <v>0</v>
      </c>
      <c r="J128" s="174">
        <v>0</v>
      </c>
      <c r="K128" s="174">
        <f t="shared" ref="K128:K137" si="55">SUM(I128:J128)</f>
        <v>0</v>
      </c>
      <c r="L128" s="174">
        <v>0</v>
      </c>
      <c r="M128" s="174">
        <f t="shared" ref="M128:M137" si="56">K128-L128</f>
        <v>0</v>
      </c>
      <c r="N128" s="190"/>
      <c r="O128" s="174">
        <v>1</v>
      </c>
      <c r="P128" s="174">
        <v>2</v>
      </c>
      <c r="Q128" s="174">
        <f t="shared" ref="Q128:Q137" si="57">SUM(O128:P128)</f>
        <v>3</v>
      </c>
      <c r="R128" s="174">
        <v>0</v>
      </c>
      <c r="S128" s="174">
        <f t="shared" ref="S128:S137" si="58">Q128-R128</f>
        <v>3</v>
      </c>
      <c r="T128" s="190"/>
      <c r="U128" s="174">
        <v>10</v>
      </c>
      <c r="V128" s="174">
        <v>8</v>
      </c>
      <c r="W128" s="174">
        <f t="shared" ref="W128:W137" si="59">SUM(U128:V128)</f>
        <v>18</v>
      </c>
      <c r="X128" s="174">
        <v>15</v>
      </c>
      <c r="Y128" s="174">
        <f t="shared" ref="Y128:Y137" si="60">W128-X128</f>
        <v>3</v>
      </c>
    </row>
    <row r="129" spans="1:31">
      <c r="A129" s="176" t="s">
        <v>37</v>
      </c>
      <c r="B129" s="167" t="s">
        <v>281</v>
      </c>
      <c r="C129" s="174">
        <v>6</v>
      </c>
      <c r="D129" s="174">
        <v>0</v>
      </c>
      <c r="E129" s="174">
        <f t="shared" si="31"/>
        <v>6</v>
      </c>
      <c r="F129" s="174">
        <v>0</v>
      </c>
      <c r="G129" s="174">
        <f t="shared" si="32"/>
        <v>6</v>
      </c>
      <c r="H129" s="174"/>
      <c r="I129" s="186">
        <v>0</v>
      </c>
      <c r="J129" s="174">
        <v>0</v>
      </c>
      <c r="K129" s="174">
        <f t="shared" si="55"/>
        <v>0</v>
      </c>
      <c r="L129" s="174">
        <v>0</v>
      </c>
      <c r="M129" s="174">
        <f t="shared" si="56"/>
        <v>0</v>
      </c>
      <c r="N129" s="190"/>
      <c r="O129" s="174">
        <v>3</v>
      </c>
      <c r="P129" s="174">
        <v>5</v>
      </c>
      <c r="Q129" s="174">
        <f t="shared" si="57"/>
        <v>8</v>
      </c>
      <c r="R129" s="174">
        <v>2</v>
      </c>
      <c r="S129" s="174">
        <f t="shared" si="58"/>
        <v>6</v>
      </c>
      <c r="T129" s="190"/>
      <c r="U129" s="174">
        <v>13</v>
      </c>
      <c r="V129" s="174">
        <v>17</v>
      </c>
      <c r="W129" s="174">
        <f t="shared" si="59"/>
        <v>30</v>
      </c>
      <c r="X129" s="174">
        <v>23</v>
      </c>
      <c r="Y129" s="174">
        <f t="shared" si="60"/>
        <v>7</v>
      </c>
    </row>
    <row r="130" spans="1:31">
      <c r="A130" s="176" t="s">
        <v>37</v>
      </c>
      <c r="B130" s="167" t="s">
        <v>282</v>
      </c>
      <c r="C130" s="174">
        <v>3</v>
      </c>
      <c r="D130" s="174">
        <v>1</v>
      </c>
      <c r="E130" s="174">
        <f t="shared" si="31"/>
        <v>4</v>
      </c>
      <c r="F130" s="174">
        <v>0</v>
      </c>
      <c r="G130" s="174">
        <f t="shared" si="32"/>
        <v>4</v>
      </c>
      <c r="H130" s="174"/>
      <c r="I130" s="186">
        <v>0</v>
      </c>
      <c r="J130" s="174">
        <v>0</v>
      </c>
      <c r="K130" s="174">
        <f t="shared" si="55"/>
        <v>0</v>
      </c>
      <c r="L130" s="174">
        <v>0</v>
      </c>
      <c r="M130" s="174">
        <f t="shared" si="56"/>
        <v>0</v>
      </c>
      <c r="N130" s="190"/>
      <c r="O130" s="174">
        <v>2</v>
      </c>
      <c r="P130" s="174">
        <v>7</v>
      </c>
      <c r="Q130" s="174">
        <f t="shared" si="57"/>
        <v>9</v>
      </c>
      <c r="R130" s="174">
        <v>4</v>
      </c>
      <c r="S130" s="174">
        <f t="shared" si="58"/>
        <v>5</v>
      </c>
      <c r="T130" s="190"/>
      <c r="U130" s="174">
        <v>5</v>
      </c>
      <c r="V130" s="174">
        <v>16</v>
      </c>
      <c r="W130" s="174">
        <f t="shared" si="59"/>
        <v>21</v>
      </c>
      <c r="X130" s="174">
        <v>19</v>
      </c>
      <c r="Y130" s="174">
        <f t="shared" si="60"/>
        <v>2</v>
      </c>
    </row>
    <row r="131" spans="1:31">
      <c r="A131" s="176" t="s">
        <v>37</v>
      </c>
      <c r="B131" s="167" t="s">
        <v>283</v>
      </c>
      <c r="C131" s="174">
        <v>19</v>
      </c>
      <c r="D131" s="174">
        <v>5</v>
      </c>
      <c r="E131" s="174">
        <f t="shared" si="31"/>
        <v>24</v>
      </c>
      <c r="F131" s="174">
        <v>7</v>
      </c>
      <c r="G131" s="174">
        <f t="shared" si="32"/>
        <v>17</v>
      </c>
      <c r="H131" s="174"/>
      <c r="I131" s="186">
        <v>0</v>
      </c>
      <c r="J131" s="174">
        <v>0</v>
      </c>
      <c r="K131" s="174">
        <f t="shared" si="55"/>
        <v>0</v>
      </c>
      <c r="L131" s="174">
        <v>0</v>
      </c>
      <c r="M131" s="174">
        <f t="shared" si="56"/>
        <v>0</v>
      </c>
      <c r="N131" s="190"/>
      <c r="O131" s="174">
        <v>6</v>
      </c>
      <c r="P131" s="174">
        <v>9</v>
      </c>
      <c r="Q131" s="174">
        <f t="shared" si="57"/>
        <v>15</v>
      </c>
      <c r="R131" s="174">
        <v>5</v>
      </c>
      <c r="S131" s="174">
        <f t="shared" si="58"/>
        <v>10</v>
      </c>
      <c r="T131" s="190"/>
      <c r="U131" s="174">
        <v>20</v>
      </c>
      <c r="V131" s="174">
        <v>59</v>
      </c>
      <c r="W131" s="174">
        <f t="shared" si="59"/>
        <v>79</v>
      </c>
      <c r="X131" s="174">
        <v>61</v>
      </c>
      <c r="Y131" s="174">
        <f t="shared" si="60"/>
        <v>18</v>
      </c>
    </row>
    <row r="132" spans="1:31">
      <c r="A132" s="176" t="s">
        <v>37</v>
      </c>
      <c r="B132" s="167" t="s">
        <v>284</v>
      </c>
      <c r="C132" s="174">
        <v>0</v>
      </c>
      <c r="D132" s="174">
        <v>1</v>
      </c>
      <c r="E132" s="174">
        <f t="shared" si="31"/>
        <v>1</v>
      </c>
      <c r="F132" s="174">
        <v>0</v>
      </c>
      <c r="G132" s="174">
        <f t="shared" si="32"/>
        <v>1</v>
      </c>
      <c r="H132" s="174"/>
      <c r="I132" s="186">
        <v>0</v>
      </c>
      <c r="J132" s="174">
        <v>0</v>
      </c>
      <c r="K132" s="174">
        <f t="shared" si="55"/>
        <v>0</v>
      </c>
      <c r="L132" s="174">
        <v>0</v>
      </c>
      <c r="M132" s="174">
        <f t="shared" si="56"/>
        <v>0</v>
      </c>
      <c r="N132" s="190"/>
      <c r="O132" s="174">
        <v>2</v>
      </c>
      <c r="P132" s="174">
        <v>0</v>
      </c>
      <c r="Q132" s="174">
        <f t="shared" si="57"/>
        <v>2</v>
      </c>
      <c r="R132" s="174">
        <v>2</v>
      </c>
      <c r="S132" s="174">
        <f t="shared" si="58"/>
        <v>0</v>
      </c>
      <c r="T132" s="190"/>
      <c r="U132" s="174">
        <v>2</v>
      </c>
      <c r="V132" s="174">
        <v>3</v>
      </c>
      <c r="W132" s="174">
        <f t="shared" si="59"/>
        <v>5</v>
      </c>
      <c r="X132" s="174">
        <v>5</v>
      </c>
      <c r="Y132" s="174">
        <f t="shared" si="60"/>
        <v>0</v>
      </c>
    </row>
    <row r="133" spans="1:31">
      <c r="A133" s="176" t="s">
        <v>37</v>
      </c>
      <c r="B133" s="167" t="s">
        <v>285</v>
      </c>
      <c r="C133" s="174">
        <v>8</v>
      </c>
      <c r="D133" s="174">
        <v>3</v>
      </c>
      <c r="E133" s="174">
        <f t="shared" si="31"/>
        <v>11</v>
      </c>
      <c r="F133" s="174">
        <v>6</v>
      </c>
      <c r="G133" s="174">
        <f t="shared" si="32"/>
        <v>5</v>
      </c>
      <c r="H133" s="174"/>
      <c r="I133" s="186">
        <v>1</v>
      </c>
      <c r="J133" s="174">
        <v>0</v>
      </c>
      <c r="K133" s="174">
        <f t="shared" si="55"/>
        <v>1</v>
      </c>
      <c r="L133" s="174">
        <v>1</v>
      </c>
      <c r="M133" s="174">
        <f t="shared" si="56"/>
        <v>0</v>
      </c>
      <c r="N133" s="190"/>
      <c r="O133" s="174">
        <v>7</v>
      </c>
      <c r="P133" s="174">
        <v>7</v>
      </c>
      <c r="Q133" s="174">
        <f t="shared" si="57"/>
        <v>14</v>
      </c>
      <c r="R133" s="174">
        <v>10</v>
      </c>
      <c r="S133" s="174">
        <f t="shared" si="58"/>
        <v>4</v>
      </c>
      <c r="T133" s="190"/>
      <c r="U133" s="174">
        <v>17</v>
      </c>
      <c r="V133" s="174">
        <v>55</v>
      </c>
      <c r="W133" s="174">
        <f t="shared" si="59"/>
        <v>72</v>
      </c>
      <c r="X133" s="174">
        <v>60</v>
      </c>
      <c r="Y133" s="174">
        <f t="shared" si="60"/>
        <v>12</v>
      </c>
    </row>
    <row r="134" spans="1:31">
      <c r="A134" s="176" t="s">
        <v>37</v>
      </c>
      <c r="B134" s="167" t="s">
        <v>286</v>
      </c>
      <c r="C134" s="174">
        <v>3</v>
      </c>
      <c r="D134" s="174">
        <v>0</v>
      </c>
      <c r="E134" s="174">
        <f t="shared" si="31"/>
        <v>3</v>
      </c>
      <c r="F134" s="174">
        <v>0</v>
      </c>
      <c r="G134" s="174">
        <f t="shared" si="32"/>
        <v>3</v>
      </c>
      <c r="H134" s="174"/>
      <c r="I134" s="186">
        <v>0</v>
      </c>
      <c r="J134" s="174">
        <v>0</v>
      </c>
      <c r="K134" s="174">
        <f t="shared" si="55"/>
        <v>0</v>
      </c>
      <c r="L134" s="174">
        <v>0</v>
      </c>
      <c r="M134" s="174">
        <f t="shared" si="56"/>
        <v>0</v>
      </c>
      <c r="N134" s="190"/>
      <c r="O134" s="174">
        <v>3</v>
      </c>
      <c r="P134" s="174">
        <v>9</v>
      </c>
      <c r="Q134" s="174">
        <f t="shared" si="57"/>
        <v>12</v>
      </c>
      <c r="R134" s="174">
        <v>8</v>
      </c>
      <c r="S134" s="174">
        <f t="shared" si="58"/>
        <v>4</v>
      </c>
      <c r="T134" s="190"/>
      <c r="U134" s="174">
        <v>24</v>
      </c>
      <c r="V134" s="174">
        <v>17</v>
      </c>
      <c r="W134" s="174">
        <f t="shared" si="59"/>
        <v>41</v>
      </c>
      <c r="X134" s="174">
        <v>35</v>
      </c>
      <c r="Y134" s="174">
        <f t="shared" si="60"/>
        <v>6</v>
      </c>
    </row>
    <row r="135" spans="1:31">
      <c r="A135" s="176" t="s">
        <v>37</v>
      </c>
      <c r="B135" s="167" t="s">
        <v>287</v>
      </c>
      <c r="C135" s="174">
        <v>5</v>
      </c>
      <c r="D135" s="174">
        <v>2</v>
      </c>
      <c r="E135" s="174">
        <f t="shared" si="31"/>
        <v>7</v>
      </c>
      <c r="F135" s="174">
        <v>4</v>
      </c>
      <c r="G135" s="174">
        <f t="shared" si="32"/>
        <v>3</v>
      </c>
      <c r="H135" s="174"/>
      <c r="I135" s="186">
        <v>0</v>
      </c>
      <c r="J135" s="174">
        <v>0</v>
      </c>
      <c r="K135" s="174">
        <f t="shared" si="55"/>
        <v>0</v>
      </c>
      <c r="L135" s="174">
        <v>0</v>
      </c>
      <c r="M135" s="174">
        <f t="shared" si="56"/>
        <v>0</v>
      </c>
      <c r="N135" s="190"/>
      <c r="O135" s="174">
        <v>3</v>
      </c>
      <c r="P135" s="174">
        <v>6</v>
      </c>
      <c r="Q135" s="174">
        <f t="shared" si="57"/>
        <v>9</v>
      </c>
      <c r="R135" s="174">
        <v>5</v>
      </c>
      <c r="S135" s="174">
        <f t="shared" si="58"/>
        <v>4</v>
      </c>
      <c r="T135" s="190"/>
      <c r="U135" s="174">
        <v>5</v>
      </c>
      <c r="V135" s="174">
        <v>24</v>
      </c>
      <c r="W135" s="174">
        <f t="shared" si="59"/>
        <v>29</v>
      </c>
      <c r="X135" s="174">
        <v>22</v>
      </c>
      <c r="Y135" s="174">
        <f t="shared" si="60"/>
        <v>7</v>
      </c>
    </row>
    <row r="136" spans="1:31">
      <c r="A136" s="176" t="s">
        <v>37</v>
      </c>
      <c r="B136" s="167" t="s">
        <v>288</v>
      </c>
      <c r="C136" s="174">
        <v>0</v>
      </c>
      <c r="D136" s="174">
        <v>0</v>
      </c>
      <c r="E136" s="174">
        <f t="shared" si="31"/>
        <v>0</v>
      </c>
      <c r="F136" s="174">
        <v>0</v>
      </c>
      <c r="G136" s="174">
        <f t="shared" si="32"/>
        <v>0</v>
      </c>
      <c r="H136" s="174"/>
      <c r="I136" s="186">
        <v>0</v>
      </c>
      <c r="J136" s="174">
        <v>0</v>
      </c>
      <c r="K136" s="174">
        <f t="shared" si="55"/>
        <v>0</v>
      </c>
      <c r="L136" s="174">
        <v>0</v>
      </c>
      <c r="M136" s="174">
        <f t="shared" si="56"/>
        <v>0</v>
      </c>
      <c r="N136" s="190"/>
      <c r="O136" s="174">
        <v>0</v>
      </c>
      <c r="P136" s="174">
        <v>0</v>
      </c>
      <c r="Q136" s="174">
        <f t="shared" si="57"/>
        <v>0</v>
      </c>
      <c r="R136" s="174">
        <v>0</v>
      </c>
      <c r="S136" s="174">
        <f t="shared" si="58"/>
        <v>0</v>
      </c>
      <c r="T136" s="190"/>
      <c r="U136" s="174">
        <v>1</v>
      </c>
      <c r="V136" s="174">
        <v>5</v>
      </c>
      <c r="W136" s="174">
        <f t="shared" si="59"/>
        <v>6</v>
      </c>
      <c r="X136" s="174">
        <v>6</v>
      </c>
      <c r="Y136" s="174">
        <f t="shared" si="60"/>
        <v>0</v>
      </c>
    </row>
    <row r="137" spans="1:31">
      <c r="A137" s="177" t="s">
        <v>37</v>
      </c>
      <c r="B137" s="169" t="s">
        <v>289</v>
      </c>
      <c r="C137" s="187">
        <v>17</v>
      </c>
      <c r="D137" s="187">
        <v>15</v>
      </c>
      <c r="E137" s="187">
        <f t="shared" ref="E137:E200" si="61">SUM(C137:D137)</f>
        <v>32</v>
      </c>
      <c r="F137" s="187">
        <v>0</v>
      </c>
      <c r="G137" s="187">
        <f t="shared" ref="G137:G200" si="62">E137-F137</f>
        <v>32</v>
      </c>
      <c r="H137" s="187"/>
      <c r="I137" s="191">
        <v>1</v>
      </c>
      <c r="J137" s="187">
        <v>0</v>
      </c>
      <c r="K137" s="187">
        <f t="shared" si="55"/>
        <v>1</v>
      </c>
      <c r="L137" s="187">
        <v>1</v>
      </c>
      <c r="M137" s="187">
        <f t="shared" si="56"/>
        <v>0</v>
      </c>
      <c r="N137" s="192"/>
      <c r="O137" s="187">
        <v>7</v>
      </c>
      <c r="P137" s="187">
        <v>16</v>
      </c>
      <c r="Q137" s="187">
        <f t="shared" si="57"/>
        <v>23</v>
      </c>
      <c r="R137" s="187">
        <v>9</v>
      </c>
      <c r="S137" s="187">
        <f t="shared" si="58"/>
        <v>14</v>
      </c>
      <c r="T137" s="192"/>
      <c r="U137" s="187">
        <v>17</v>
      </c>
      <c r="V137" s="187">
        <v>62</v>
      </c>
      <c r="W137" s="187">
        <f t="shared" si="59"/>
        <v>79</v>
      </c>
      <c r="X137" s="187">
        <v>69</v>
      </c>
      <c r="Y137" s="187">
        <f t="shared" si="60"/>
        <v>10</v>
      </c>
    </row>
    <row r="138" spans="1:31" s="22" customFormat="1">
      <c r="A138" s="84" t="s">
        <v>38</v>
      </c>
      <c r="B138" s="159" t="s">
        <v>1</v>
      </c>
      <c r="C138" s="163">
        <f>SUM(C139:C143)</f>
        <v>4</v>
      </c>
      <c r="D138" s="163">
        <f>SUM(D139:D143)</f>
        <v>2</v>
      </c>
      <c r="E138" s="163">
        <f t="shared" si="61"/>
        <v>6</v>
      </c>
      <c r="F138" s="163">
        <f>SUM(F139:F143)</f>
        <v>3</v>
      </c>
      <c r="G138" s="163">
        <f t="shared" si="62"/>
        <v>3</v>
      </c>
      <c r="H138" s="163"/>
      <c r="I138" s="164">
        <f>SUM(I139:I143)</f>
        <v>0</v>
      </c>
      <c r="J138" s="163">
        <f>SUM(J139:J143)</f>
        <v>0</v>
      </c>
      <c r="K138" s="163">
        <f>SUM(K139:K143)</f>
        <v>0</v>
      </c>
      <c r="L138" s="163">
        <f>SUM(L139:L143)</f>
        <v>0</v>
      </c>
      <c r="M138" s="163">
        <f>SUM(M139:M143)</f>
        <v>0</v>
      </c>
      <c r="N138" s="165"/>
      <c r="O138" s="163">
        <f>SUM(O139:O143)</f>
        <v>9</v>
      </c>
      <c r="P138" s="163">
        <f>SUM(P139:P143)</f>
        <v>9</v>
      </c>
      <c r="Q138" s="163">
        <f>SUM(Q139:Q143)</f>
        <v>18</v>
      </c>
      <c r="R138" s="163">
        <f>SUM(R139:R143)</f>
        <v>14</v>
      </c>
      <c r="S138" s="163">
        <f>SUM(S139:S143)</f>
        <v>4</v>
      </c>
      <c r="T138" s="165"/>
      <c r="U138" s="163">
        <f>SUM(U139:U143)</f>
        <v>6</v>
      </c>
      <c r="V138" s="163">
        <f>SUM(V139:V143)</f>
        <v>42</v>
      </c>
      <c r="W138" s="163">
        <f>SUM(W139:W143)</f>
        <v>48</v>
      </c>
      <c r="X138" s="163">
        <f>SUM(X139:X143)</f>
        <v>41</v>
      </c>
      <c r="Y138" s="163">
        <f>SUM(Y139:Y143)</f>
        <v>7</v>
      </c>
      <c r="AA138" s="1"/>
      <c r="AB138" s="1"/>
      <c r="AC138" s="1"/>
      <c r="AD138" s="1"/>
      <c r="AE138" s="1"/>
    </row>
    <row r="139" spans="1:31">
      <c r="A139" s="40" t="s">
        <v>38</v>
      </c>
      <c r="B139" s="167" t="s">
        <v>290</v>
      </c>
      <c r="C139" s="174">
        <v>3</v>
      </c>
      <c r="D139" s="174">
        <v>1</v>
      </c>
      <c r="E139" s="174">
        <f t="shared" si="61"/>
        <v>4</v>
      </c>
      <c r="F139" s="174">
        <v>1</v>
      </c>
      <c r="G139" s="174">
        <f t="shared" si="62"/>
        <v>3</v>
      </c>
      <c r="H139" s="174"/>
      <c r="I139" s="186">
        <v>0</v>
      </c>
      <c r="J139" s="174">
        <v>0</v>
      </c>
      <c r="K139" s="174">
        <f>SUM(I139:J139)</f>
        <v>0</v>
      </c>
      <c r="L139" s="174">
        <v>0</v>
      </c>
      <c r="M139" s="174">
        <f>K139-L139</f>
        <v>0</v>
      </c>
      <c r="N139" s="190"/>
      <c r="O139" s="174">
        <v>4</v>
      </c>
      <c r="P139" s="174">
        <v>1</v>
      </c>
      <c r="Q139" s="174">
        <f>SUM(O139:P139)</f>
        <v>5</v>
      </c>
      <c r="R139" s="174">
        <v>4</v>
      </c>
      <c r="S139" s="174">
        <f>Q139-R139</f>
        <v>1</v>
      </c>
      <c r="T139" s="190"/>
      <c r="U139" s="174">
        <v>0</v>
      </c>
      <c r="V139" s="174">
        <v>13</v>
      </c>
      <c r="W139" s="174">
        <f>SUM(U139:V139)</f>
        <v>13</v>
      </c>
      <c r="X139" s="174">
        <v>10</v>
      </c>
      <c r="Y139" s="174">
        <f>W139-X139</f>
        <v>3</v>
      </c>
    </row>
    <row r="140" spans="1:31">
      <c r="A140" s="40" t="s">
        <v>38</v>
      </c>
      <c r="B140" s="167" t="s">
        <v>291</v>
      </c>
      <c r="C140" s="174">
        <v>0</v>
      </c>
      <c r="D140" s="174">
        <v>0</v>
      </c>
      <c r="E140" s="174">
        <f t="shared" si="61"/>
        <v>0</v>
      </c>
      <c r="F140" s="174">
        <v>0</v>
      </c>
      <c r="G140" s="174">
        <f t="shared" si="62"/>
        <v>0</v>
      </c>
      <c r="H140" s="174"/>
      <c r="I140" s="186">
        <v>0</v>
      </c>
      <c r="J140" s="174">
        <v>0</v>
      </c>
      <c r="K140" s="174">
        <f>SUM(I140:J140)</f>
        <v>0</v>
      </c>
      <c r="L140" s="174">
        <v>0</v>
      </c>
      <c r="M140" s="174">
        <f>K140-L140</f>
        <v>0</v>
      </c>
      <c r="N140" s="190"/>
      <c r="O140" s="174">
        <v>2</v>
      </c>
      <c r="P140" s="174">
        <v>1</v>
      </c>
      <c r="Q140" s="174">
        <f>SUM(O140:P140)</f>
        <v>3</v>
      </c>
      <c r="R140" s="174">
        <v>3</v>
      </c>
      <c r="S140" s="174">
        <f>Q140-R140</f>
        <v>0</v>
      </c>
      <c r="T140" s="190"/>
      <c r="U140" s="174">
        <v>1</v>
      </c>
      <c r="V140" s="174">
        <v>2</v>
      </c>
      <c r="W140" s="174">
        <f>SUM(U140:V140)</f>
        <v>3</v>
      </c>
      <c r="X140" s="174">
        <v>2</v>
      </c>
      <c r="Y140" s="174">
        <f>W140-X140</f>
        <v>1</v>
      </c>
    </row>
    <row r="141" spans="1:31">
      <c r="A141" s="40" t="s">
        <v>38</v>
      </c>
      <c r="B141" s="167" t="s">
        <v>292</v>
      </c>
      <c r="C141" s="174">
        <v>1</v>
      </c>
      <c r="D141" s="174">
        <v>1</v>
      </c>
      <c r="E141" s="174">
        <f t="shared" si="61"/>
        <v>2</v>
      </c>
      <c r="F141" s="174">
        <v>2</v>
      </c>
      <c r="G141" s="174">
        <f t="shared" si="62"/>
        <v>0</v>
      </c>
      <c r="H141" s="174"/>
      <c r="I141" s="186">
        <v>0</v>
      </c>
      <c r="J141" s="174">
        <v>0</v>
      </c>
      <c r="K141" s="174">
        <f>SUM(I141:J141)</f>
        <v>0</v>
      </c>
      <c r="L141" s="174">
        <v>0</v>
      </c>
      <c r="M141" s="174">
        <f>K141-L141</f>
        <v>0</v>
      </c>
      <c r="N141" s="190"/>
      <c r="O141" s="174">
        <v>1</v>
      </c>
      <c r="P141" s="174">
        <v>3</v>
      </c>
      <c r="Q141" s="174">
        <f>SUM(O141:P141)</f>
        <v>4</v>
      </c>
      <c r="R141" s="174">
        <v>3</v>
      </c>
      <c r="S141" s="174">
        <f>Q141-R141</f>
        <v>1</v>
      </c>
      <c r="T141" s="190"/>
      <c r="U141" s="174">
        <v>2</v>
      </c>
      <c r="V141" s="174">
        <v>11</v>
      </c>
      <c r="W141" s="174">
        <f>SUM(U141:V141)</f>
        <v>13</v>
      </c>
      <c r="X141" s="174">
        <v>12</v>
      </c>
      <c r="Y141" s="174">
        <f>W141-X141</f>
        <v>1</v>
      </c>
    </row>
    <row r="142" spans="1:31">
      <c r="A142" s="40" t="s">
        <v>38</v>
      </c>
      <c r="B142" s="167" t="s">
        <v>293</v>
      </c>
      <c r="C142" s="174">
        <v>0</v>
      </c>
      <c r="D142" s="174">
        <v>0</v>
      </c>
      <c r="E142" s="174">
        <f t="shared" si="61"/>
        <v>0</v>
      </c>
      <c r="F142" s="174">
        <v>0</v>
      </c>
      <c r="G142" s="174">
        <f t="shared" si="62"/>
        <v>0</v>
      </c>
      <c r="H142" s="174"/>
      <c r="I142" s="186">
        <v>0</v>
      </c>
      <c r="J142" s="174">
        <v>0</v>
      </c>
      <c r="K142" s="174">
        <f>SUM(I142:J142)</f>
        <v>0</v>
      </c>
      <c r="L142" s="174">
        <v>0</v>
      </c>
      <c r="M142" s="174">
        <f>K142-L142</f>
        <v>0</v>
      </c>
      <c r="N142" s="190"/>
      <c r="O142" s="174">
        <v>2</v>
      </c>
      <c r="P142" s="174">
        <v>3</v>
      </c>
      <c r="Q142" s="174">
        <f>SUM(O142:P142)</f>
        <v>5</v>
      </c>
      <c r="R142" s="174">
        <v>4</v>
      </c>
      <c r="S142" s="174">
        <f>Q142-R142</f>
        <v>1</v>
      </c>
      <c r="T142" s="190"/>
      <c r="U142" s="174">
        <v>3</v>
      </c>
      <c r="V142" s="174">
        <v>15</v>
      </c>
      <c r="W142" s="174">
        <f>SUM(U142:V142)</f>
        <v>18</v>
      </c>
      <c r="X142" s="174">
        <v>16</v>
      </c>
      <c r="Y142" s="174">
        <f>W142-X142</f>
        <v>2</v>
      </c>
    </row>
    <row r="143" spans="1:31">
      <c r="A143" s="168" t="s">
        <v>38</v>
      </c>
      <c r="B143" s="169" t="s">
        <v>294</v>
      </c>
      <c r="C143" s="187">
        <v>0</v>
      </c>
      <c r="D143" s="187">
        <v>0</v>
      </c>
      <c r="E143" s="187">
        <f t="shared" si="61"/>
        <v>0</v>
      </c>
      <c r="F143" s="187">
        <v>0</v>
      </c>
      <c r="G143" s="187">
        <f t="shared" si="62"/>
        <v>0</v>
      </c>
      <c r="H143" s="187"/>
      <c r="I143" s="191">
        <v>0</v>
      </c>
      <c r="J143" s="187">
        <v>0</v>
      </c>
      <c r="K143" s="187">
        <f>SUM(I143:J143)</f>
        <v>0</v>
      </c>
      <c r="L143" s="187">
        <v>0</v>
      </c>
      <c r="M143" s="187">
        <f>K143-L143</f>
        <v>0</v>
      </c>
      <c r="N143" s="192"/>
      <c r="O143" s="187">
        <v>0</v>
      </c>
      <c r="P143" s="187">
        <v>1</v>
      </c>
      <c r="Q143" s="187">
        <f>SUM(O143:P143)</f>
        <v>1</v>
      </c>
      <c r="R143" s="187">
        <v>0</v>
      </c>
      <c r="S143" s="187">
        <f>Q143-R143</f>
        <v>1</v>
      </c>
      <c r="T143" s="192"/>
      <c r="U143" s="187">
        <v>0</v>
      </c>
      <c r="V143" s="187">
        <v>1</v>
      </c>
      <c r="W143" s="187">
        <f>SUM(U143:V143)</f>
        <v>1</v>
      </c>
      <c r="X143" s="187">
        <v>1</v>
      </c>
      <c r="Y143" s="187">
        <f>W143-X143</f>
        <v>0</v>
      </c>
    </row>
    <row r="144" spans="1:31" s="22" customFormat="1">
      <c r="A144" s="84" t="s">
        <v>39</v>
      </c>
      <c r="B144" s="159" t="s">
        <v>1</v>
      </c>
      <c r="C144" s="163">
        <f>SUM(C145:C152)</f>
        <v>20</v>
      </c>
      <c r="D144" s="163">
        <f>SUM(D145:D152)</f>
        <v>17</v>
      </c>
      <c r="E144" s="163">
        <f t="shared" si="61"/>
        <v>37</v>
      </c>
      <c r="F144" s="163">
        <f>SUM(F145:F152)</f>
        <v>13</v>
      </c>
      <c r="G144" s="163">
        <f t="shared" si="62"/>
        <v>24</v>
      </c>
      <c r="H144" s="163"/>
      <c r="I144" s="164">
        <f>SUM(I145:I152)</f>
        <v>0</v>
      </c>
      <c r="J144" s="163">
        <f>SUM(J145:J152)</f>
        <v>0</v>
      </c>
      <c r="K144" s="163">
        <f>SUM(K145:K152)</f>
        <v>0</v>
      </c>
      <c r="L144" s="163">
        <f>SUM(L145:L152)</f>
        <v>0</v>
      </c>
      <c r="M144" s="163">
        <f>SUM(M145:M152)</f>
        <v>0</v>
      </c>
      <c r="N144" s="165"/>
      <c r="O144" s="163">
        <f>SUM(O145:O152)</f>
        <v>13</v>
      </c>
      <c r="P144" s="163">
        <f>SUM(P145:P152)</f>
        <v>16</v>
      </c>
      <c r="Q144" s="163">
        <f>SUM(Q145:Q152)</f>
        <v>29</v>
      </c>
      <c r="R144" s="163">
        <f>SUM(R145:R152)</f>
        <v>17</v>
      </c>
      <c r="S144" s="163">
        <f>SUM(S145:S152)</f>
        <v>12</v>
      </c>
      <c r="T144" s="165"/>
      <c r="U144" s="163">
        <f>SUM(U145:U152)</f>
        <v>29</v>
      </c>
      <c r="V144" s="163">
        <f>SUM(V145:V152)</f>
        <v>123</v>
      </c>
      <c r="W144" s="163">
        <f>SUM(W145:W152)</f>
        <v>152</v>
      </c>
      <c r="X144" s="163">
        <f>SUM(X145:X152)</f>
        <v>109</v>
      </c>
      <c r="Y144" s="163">
        <f>SUM(Y145:Y152)</f>
        <v>43</v>
      </c>
      <c r="AA144" s="1"/>
      <c r="AB144" s="1"/>
      <c r="AC144" s="1"/>
      <c r="AD144" s="1"/>
      <c r="AE144" s="1"/>
    </row>
    <row r="145" spans="1:31">
      <c r="A145" s="40" t="s">
        <v>39</v>
      </c>
      <c r="B145" s="167" t="s">
        <v>295</v>
      </c>
      <c r="C145" s="174">
        <v>0</v>
      </c>
      <c r="D145" s="174">
        <v>0</v>
      </c>
      <c r="E145" s="174">
        <f t="shared" si="61"/>
        <v>0</v>
      </c>
      <c r="F145" s="174">
        <v>0</v>
      </c>
      <c r="G145" s="174">
        <f t="shared" si="62"/>
        <v>0</v>
      </c>
      <c r="H145" s="174"/>
      <c r="I145" s="186">
        <v>0</v>
      </c>
      <c r="J145" s="174">
        <v>0</v>
      </c>
      <c r="K145" s="174">
        <f t="shared" ref="K145:K151" si="63">SUM(I145:J145)</f>
        <v>0</v>
      </c>
      <c r="L145" s="174">
        <v>0</v>
      </c>
      <c r="M145" s="174">
        <f t="shared" ref="M145:M152" si="64">K145-L145</f>
        <v>0</v>
      </c>
      <c r="N145" s="190"/>
      <c r="O145" s="174">
        <v>0</v>
      </c>
      <c r="P145" s="174">
        <v>1</v>
      </c>
      <c r="Q145" s="174">
        <f t="shared" ref="Q145:Q152" si="65">SUM(O145:P145)</f>
        <v>1</v>
      </c>
      <c r="R145" s="174">
        <v>1</v>
      </c>
      <c r="S145" s="174">
        <f t="shared" ref="S145:S152" si="66">Q145-R145</f>
        <v>0</v>
      </c>
      <c r="T145" s="190"/>
      <c r="U145" s="174">
        <v>0</v>
      </c>
      <c r="V145" s="174">
        <v>3</v>
      </c>
      <c r="W145" s="174">
        <f t="shared" ref="W145:W152" si="67">SUM(U145:V145)</f>
        <v>3</v>
      </c>
      <c r="X145" s="174">
        <v>3</v>
      </c>
      <c r="Y145" s="174">
        <f t="shared" ref="Y145:Y152" si="68">W145-X145</f>
        <v>0</v>
      </c>
    </row>
    <row r="146" spans="1:31">
      <c r="A146" s="40" t="s">
        <v>39</v>
      </c>
      <c r="B146" s="167" t="s">
        <v>296</v>
      </c>
      <c r="C146" s="174">
        <v>0</v>
      </c>
      <c r="D146" s="174">
        <v>1</v>
      </c>
      <c r="E146" s="174">
        <f t="shared" si="61"/>
        <v>1</v>
      </c>
      <c r="F146" s="174">
        <v>1</v>
      </c>
      <c r="G146" s="174">
        <f t="shared" si="62"/>
        <v>0</v>
      </c>
      <c r="H146" s="174"/>
      <c r="I146" s="186">
        <v>0</v>
      </c>
      <c r="J146" s="174">
        <v>0</v>
      </c>
      <c r="K146" s="174">
        <f t="shared" si="63"/>
        <v>0</v>
      </c>
      <c r="L146" s="174">
        <v>0</v>
      </c>
      <c r="M146" s="174">
        <f t="shared" si="64"/>
        <v>0</v>
      </c>
      <c r="N146" s="190"/>
      <c r="O146" s="174">
        <v>0</v>
      </c>
      <c r="P146" s="174">
        <v>2</v>
      </c>
      <c r="Q146" s="174">
        <f t="shared" si="65"/>
        <v>2</v>
      </c>
      <c r="R146" s="174">
        <v>1</v>
      </c>
      <c r="S146" s="174">
        <f t="shared" si="66"/>
        <v>1</v>
      </c>
      <c r="T146" s="190"/>
      <c r="U146" s="174">
        <v>1</v>
      </c>
      <c r="V146" s="174">
        <v>3</v>
      </c>
      <c r="W146" s="174">
        <f t="shared" si="67"/>
        <v>4</v>
      </c>
      <c r="X146" s="174">
        <v>4</v>
      </c>
      <c r="Y146" s="174">
        <f t="shared" si="68"/>
        <v>0</v>
      </c>
    </row>
    <row r="147" spans="1:31">
      <c r="A147" s="40" t="s">
        <v>39</v>
      </c>
      <c r="B147" s="167" t="s">
        <v>297</v>
      </c>
      <c r="C147" s="174">
        <v>8</v>
      </c>
      <c r="D147" s="174">
        <v>5</v>
      </c>
      <c r="E147" s="174">
        <f t="shared" si="61"/>
        <v>13</v>
      </c>
      <c r="F147" s="174">
        <v>3</v>
      </c>
      <c r="G147" s="174">
        <f t="shared" si="62"/>
        <v>10</v>
      </c>
      <c r="H147" s="174"/>
      <c r="I147" s="186">
        <v>0</v>
      </c>
      <c r="J147" s="174">
        <v>0</v>
      </c>
      <c r="K147" s="174">
        <f t="shared" si="63"/>
        <v>0</v>
      </c>
      <c r="L147" s="174">
        <v>0</v>
      </c>
      <c r="M147" s="174">
        <f t="shared" si="64"/>
        <v>0</v>
      </c>
      <c r="N147" s="190"/>
      <c r="O147" s="174">
        <v>8</v>
      </c>
      <c r="P147" s="174">
        <v>4</v>
      </c>
      <c r="Q147" s="174">
        <f t="shared" si="65"/>
        <v>12</v>
      </c>
      <c r="R147" s="174">
        <v>7</v>
      </c>
      <c r="S147" s="174">
        <f t="shared" si="66"/>
        <v>5</v>
      </c>
      <c r="T147" s="190"/>
      <c r="U147" s="174">
        <v>15</v>
      </c>
      <c r="V147" s="174">
        <v>50</v>
      </c>
      <c r="W147" s="174">
        <f t="shared" si="67"/>
        <v>65</v>
      </c>
      <c r="X147" s="174">
        <v>39</v>
      </c>
      <c r="Y147" s="174">
        <f t="shared" si="68"/>
        <v>26</v>
      </c>
    </row>
    <row r="148" spans="1:31">
      <c r="A148" s="40" t="s">
        <v>39</v>
      </c>
      <c r="B148" s="167" t="s">
        <v>298</v>
      </c>
      <c r="C148" s="174">
        <v>0</v>
      </c>
      <c r="D148" s="174">
        <v>0</v>
      </c>
      <c r="E148" s="174">
        <f t="shared" si="61"/>
        <v>0</v>
      </c>
      <c r="F148" s="174">
        <v>0</v>
      </c>
      <c r="G148" s="174">
        <f t="shared" si="62"/>
        <v>0</v>
      </c>
      <c r="H148" s="174"/>
      <c r="I148" s="186">
        <v>0</v>
      </c>
      <c r="J148" s="174">
        <v>0</v>
      </c>
      <c r="K148" s="174">
        <f t="shared" si="63"/>
        <v>0</v>
      </c>
      <c r="L148" s="174">
        <v>0</v>
      </c>
      <c r="M148" s="174">
        <f t="shared" si="64"/>
        <v>0</v>
      </c>
      <c r="N148" s="190"/>
      <c r="O148" s="174">
        <v>0</v>
      </c>
      <c r="P148" s="174">
        <v>0</v>
      </c>
      <c r="Q148" s="174">
        <f t="shared" si="65"/>
        <v>0</v>
      </c>
      <c r="R148" s="174">
        <v>0</v>
      </c>
      <c r="S148" s="174">
        <f t="shared" si="66"/>
        <v>0</v>
      </c>
      <c r="T148" s="190"/>
      <c r="U148" s="174">
        <v>1</v>
      </c>
      <c r="V148" s="174">
        <v>6</v>
      </c>
      <c r="W148" s="174">
        <f t="shared" si="67"/>
        <v>7</v>
      </c>
      <c r="X148" s="174">
        <v>6</v>
      </c>
      <c r="Y148" s="174">
        <f t="shared" si="68"/>
        <v>1</v>
      </c>
    </row>
    <row r="149" spans="1:31">
      <c r="A149" s="40" t="s">
        <v>39</v>
      </c>
      <c r="B149" s="167" t="s">
        <v>299</v>
      </c>
      <c r="C149" s="174">
        <v>5</v>
      </c>
      <c r="D149" s="174">
        <v>2</v>
      </c>
      <c r="E149" s="174">
        <f t="shared" si="61"/>
        <v>7</v>
      </c>
      <c r="F149" s="174">
        <v>2</v>
      </c>
      <c r="G149" s="174">
        <f t="shared" si="62"/>
        <v>5</v>
      </c>
      <c r="H149" s="174"/>
      <c r="I149" s="186">
        <v>0</v>
      </c>
      <c r="J149" s="174">
        <v>0</v>
      </c>
      <c r="K149" s="174">
        <f t="shared" si="63"/>
        <v>0</v>
      </c>
      <c r="L149" s="174">
        <v>0</v>
      </c>
      <c r="M149" s="174">
        <f t="shared" si="64"/>
        <v>0</v>
      </c>
      <c r="N149" s="190"/>
      <c r="O149" s="174">
        <v>1</v>
      </c>
      <c r="P149" s="174">
        <v>5</v>
      </c>
      <c r="Q149" s="174">
        <f t="shared" si="65"/>
        <v>6</v>
      </c>
      <c r="R149" s="174">
        <v>5</v>
      </c>
      <c r="S149" s="174">
        <f t="shared" si="66"/>
        <v>1</v>
      </c>
      <c r="T149" s="190"/>
      <c r="U149" s="174">
        <v>3</v>
      </c>
      <c r="V149" s="174">
        <v>20</v>
      </c>
      <c r="W149" s="174">
        <f t="shared" si="67"/>
        <v>23</v>
      </c>
      <c r="X149" s="174">
        <v>19</v>
      </c>
      <c r="Y149" s="174">
        <f t="shared" si="68"/>
        <v>4</v>
      </c>
    </row>
    <row r="150" spans="1:31">
      <c r="A150" s="40" t="s">
        <v>39</v>
      </c>
      <c r="B150" s="167" t="s">
        <v>300</v>
      </c>
      <c r="C150" s="174">
        <v>1</v>
      </c>
      <c r="D150" s="174">
        <v>0</v>
      </c>
      <c r="E150" s="174">
        <f t="shared" si="61"/>
        <v>1</v>
      </c>
      <c r="F150" s="174">
        <v>0</v>
      </c>
      <c r="G150" s="174">
        <f t="shared" si="62"/>
        <v>1</v>
      </c>
      <c r="H150" s="174"/>
      <c r="I150" s="186">
        <v>0</v>
      </c>
      <c r="J150" s="174">
        <v>0</v>
      </c>
      <c r="K150" s="174">
        <f t="shared" si="63"/>
        <v>0</v>
      </c>
      <c r="L150" s="174">
        <v>0</v>
      </c>
      <c r="M150" s="174">
        <f t="shared" si="64"/>
        <v>0</v>
      </c>
      <c r="N150" s="190"/>
      <c r="O150" s="174">
        <v>2</v>
      </c>
      <c r="P150" s="174">
        <v>2</v>
      </c>
      <c r="Q150" s="174">
        <f t="shared" si="65"/>
        <v>4</v>
      </c>
      <c r="R150" s="174">
        <v>1</v>
      </c>
      <c r="S150" s="174">
        <f t="shared" si="66"/>
        <v>3</v>
      </c>
      <c r="T150" s="190"/>
      <c r="U150" s="174">
        <v>3</v>
      </c>
      <c r="V150" s="174">
        <v>7</v>
      </c>
      <c r="W150" s="174">
        <f t="shared" si="67"/>
        <v>10</v>
      </c>
      <c r="X150" s="174">
        <v>8</v>
      </c>
      <c r="Y150" s="174">
        <f t="shared" si="68"/>
        <v>2</v>
      </c>
    </row>
    <row r="151" spans="1:31">
      <c r="A151" s="40" t="s">
        <v>39</v>
      </c>
      <c r="B151" s="167" t="s">
        <v>247</v>
      </c>
      <c r="C151" s="174">
        <v>1</v>
      </c>
      <c r="D151" s="174">
        <v>1</v>
      </c>
      <c r="E151" s="174">
        <f t="shared" si="61"/>
        <v>2</v>
      </c>
      <c r="F151" s="174">
        <v>1</v>
      </c>
      <c r="G151" s="174">
        <f t="shared" si="62"/>
        <v>1</v>
      </c>
      <c r="H151" s="174"/>
      <c r="I151" s="186">
        <v>0</v>
      </c>
      <c r="J151" s="174">
        <v>0</v>
      </c>
      <c r="K151" s="174">
        <f t="shared" si="63"/>
        <v>0</v>
      </c>
      <c r="L151" s="174">
        <v>0</v>
      </c>
      <c r="M151" s="174">
        <f t="shared" si="64"/>
        <v>0</v>
      </c>
      <c r="N151" s="190"/>
      <c r="O151" s="174">
        <v>0</v>
      </c>
      <c r="P151" s="174">
        <v>0</v>
      </c>
      <c r="Q151" s="174">
        <f t="shared" si="65"/>
        <v>0</v>
      </c>
      <c r="R151" s="174">
        <v>0</v>
      </c>
      <c r="S151" s="174">
        <f t="shared" si="66"/>
        <v>0</v>
      </c>
      <c r="T151" s="190"/>
      <c r="U151" s="174">
        <v>0</v>
      </c>
      <c r="V151" s="174">
        <v>18</v>
      </c>
      <c r="W151" s="174">
        <f t="shared" si="67"/>
        <v>18</v>
      </c>
      <c r="X151" s="174">
        <v>13</v>
      </c>
      <c r="Y151" s="174">
        <f t="shared" si="68"/>
        <v>5</v>
      </c>
    </row>
    <row r="152" spans="1:31">
      <c r="A152" s="168" t="s">
        <v>39</v>
      </c>
      <c r="B152" s="169" t="s">
        <v>301</v>
      </c>
      <c r="C152" s="187">
        <v>5</v>
      </c>
      <c r="D152" s="187">
        <v>8</v>
      </c>
      <c r="E152" s="187">
        <f t="shared" si="61"/>
        <v>13</v>
      </c>
      <c r="F152" s="187">
        <v>6</v>
      </c>
      <c r="G152" s="187">
        <f t="shared" si="62"/>
        <v>7</v>
      </c>
      <c r="H152" s="187"/>
      <c r="I152" s="191">
        <v>0</v>
      </c>
      <c r="J152" s="187">
        <v>0</v>
      </c>
      <c r="K152" s="187">
        <f>SUM(I152:J152)</f>
        <v>0</v>
      </c>
      <c r="L152" s="187">
        <v>0</v>
      </c>
      <c r="M152" s="187">
        <f t="shared" si="64"/>
        <v>0</v>
      </c>
      <c r="N152" s="192"/>
      <c r="O152" s="187">
        <v>2</v>
      </c>
      <c r="P152" s="187">
        <v>2</v>
      </c>
      <c r="Q152" s="187">
        <f t="shared" si="65"/>
        <v>4</v>
      </c>
      <c r="R152" s="187">
        <v>2</v>
      </c>
      <c r="S152" s="187">
        <f t="shared" si="66"/>
        <v>2</v>
      </c>
      <c r="T152" s="192"/>
      <c r="U152" s="187">
        <v>6</v>
      </c>
      <c r="V152" s="187">
        <v>16</v>
      </c>
      <c r="W152" s="187">
        <f t="shared" si="67"/>
        <v>22</v>
      </c>
      <c r="X152" s="187">
        <v>17</v>
      </c>
      <c r="Y152" s="187">
        <f t="shared" si="68"/>
        <v>5</v>
      </c>
    </row>
    <row r="153" spans="1:31" s="22" customFormat="1">
      <c r="A153" s="84" t="s">
        <v>41</v>
      </c>
      <c r="B153" s="159" t="s">
        <v>1</v>
      </c>
      <c r="C153" s="163">
        <f>SUM(C154:C158)</f>
        <v>6</v>
      </c>
      <c r="D153" s="163">
        <f>SUM(D154:D158)</f>
        <v>12</v>
      </c>
      <c r="E153" s="163">
        <f t="shared" si="61"/>
        <v>18</v>
      </c>
      <c r="F153" s="163">
        <f>SUM(F154:F158)</f>
        <v>10</v>
      </c>
      <c r="G153" s="163">
        <f t="shared" si="62"/>
        <v>8</v>
      </c>
      <c r="H153" s="163"/>
      <c r="I153" s="164">
        <f>SUM(I154:I158)</f>
        <v>0</v>
      </c>
      <c r="J153" s="163">
        <f>SUM(J154:J158)</f>
        <v>0</v>
      </c>
      <c r="K153" s="163">
        <f>SUM(K154:K158)</f>
        <v>0</v>
      </c>
      <c r="L153" s="163">
        <f>SUM(L154:L158)</f>
        <v>0</v>
      </c>
      <c r="M153" s="163">
        <f>SUM(M154:M158)</f>
        <v>0</v>
      </c>
      <c r="N153" s="165"/>
      <c r="O153" s="163">
        <f>SUM(O154:O158)</f>
        <v>18</v>
      </c>
      <c r="P153" s="163">
        <f>SUM(P154:P158)</f>
        <v>45</v>
      </c>
      <c r="Q153" s="163">
        <f>SUM(Q154:Q158)</f>
        <v>63</v>
      </c>
      <c r="R153" s="163">
        <f>SUM(R154:R158)</f>
        <v>46</v>
      </c>
      <c r="S153" s="163">
        <f>SUM(S154:S158)</f>
        <v>17</v>
      </c>
      <c r="T153" s="165"/>
      <c r="U153" s="163">
        <f>SUM(U154:U158)</f>
        <v>24</v>
      </c>
      <c r="V153" s="163">
        <f>SUM(V154:V158)</f>
        <v>110</v>
      </c>
      <c r="W153" s="163">
        <f>SUM(W154:W158)</f>
        <v>134</v>
      </c>
      <c r="X153" s="163">
        <f>SUM(X154:X158)</f>
        <v>114</v>
      </c>
      <c r="Y153" s="163">
        <f>SUM(Y154:Y158)</f>
        <v>20</v>
      </c>
      <c r="AA153" s="1"/>
      <c r="AB153" s="1"/>
      <c r="AC153" s="1"/>
      <c r="AD153" s="1"/>
      <c r="AE153" s="1"/>
    </row>
    <row r="154" spans="1:31">
      <c r="A154" s="40" t="s">
        <v>41</v>
      </c>
      <c r="B154" s="167" t="s">
        <v>302</v>
      </c>
      <c r="C154" s="174">
        <v>0</v>
      </c>
      <c r="D154" s="174">
        <v>3</v>
      </c>
      <c r="E154" s="174">
        <f t="shared" si="61"/>
        <v>3</v>
      </c>
      <c r="F154" s="174">
        <v>2</v>
      </c>
      <c r="G154" s="174">
        <f t="shared" si="62"/>
        <v>1</v>
      </c>
      <c r="H154" s="174"/>
      <c r="I154" s="186">
        <v>0</v>
      </c>
      <c r="J154" s="174">
        <v>0</v>
      </c>
      <c r="K154" s="174">
        <f>SUM(I154:J154)</f>
        <v>0</v>
      </c>
      <c r="L154" s="174">
        <v>0</v>
      </c>
      <c r="M154" s="174">
        <f>K154-L154</f>
        <v>0</v>
      </c>
      <c r="N154" s="190"/>
      <c r="O154" s="174">
        <v>5</v>
      </c>
      <c r="P154" s="174">
        <v>15</v>
      </c>
      <c r="Q154" s="174">
        <f>SUM(O154:P154)</f>
        <v>20</v>
      </c>
      <c r="R154" s="174">
        <v>13</v>
      </c>
      <c r="S154" s="174">
        <f>Q154-R154</f>
        <v>7</v>
      </c>
      <c r="T154" s="190"/>
      <c r="U154" s="174">
        <v>4</v>
      </c>
      <c r="V154" s="174">
        <v>31</v>
      </c>
      <c r="W154" s="174">
        <f>SUM(U154:V154)</f>
        <v>35</v>
      </c>
      <c r="X154" s="174">
        <v>30</v>
      </c>
      <c r="Y154" s="174">
        <f>W154-X154</f>
        <v>5</v>
      </c>
    </row>
    <row r="155" spans="1:31">
      <c r="A155" s="40" t="s">
        <v>41</v>
      </c>
      <c r="B155" s="167" t="s">
        <v>303</v>
      </c>
      <c r="C155" s="174">
        <v>1</v>
      </c>
      <c r="D155" s="174">
        <v>5</v>
      </c>
      <c r="E155" s="174">
        <f t="shared" si="61"/>
        <v>6</v>
      </c>
      <c r="F155" s="174">
        <v>2</v>
      </c>
      <c r="G155" s="174">
        <f t="shared" si="62"/>
        <v>4</v>
      </c>
      <c r="H155" s="174"/>
      <c r="I155" s="186">
        <v>0</v>
      </c>
      <c r="J155" s="174">
        <v>0</v>
      </c>
      <c r="K155" s="174">
        <f>SUM(I155:J155)</f>
        <v>0</v>
      </c>
      <c r="L155" s="174">
        <v>0</v>
      </c>
      <c r="M155" s="174">
        <f>K155-L155</f>
        <v>0</v>
      </c>
      <c r="N155" s="190"/>
      <c r="O155" s="174">
        <v>9</v>
      </c>
      <c r="P155" s="174">
        <v>9</v>
      </c>
      <c r="Q155" s="174">
        <f>SUM(O155:P155)</f>
        <v>18</v>
      </c>
      <c r="R155" s="174">
        <v>14</v>
      </c>
      <c r="S155" s="174">
        <f>Q155-R155</f>
        <v>4</v>
      </c>
      <c r="T155" s="190"/>
      <c r="U155" s="174">
        <v>8</v>
      </c>
      <c r="V155" s="174">
        <v>34</v>
      </c>
      <c r="W155" s="174">
        <f>SUM(U155:V155)</f>
        <v>42</v>
      </c>
      <c r="X155" s="174">
        <v>34</v>
      </c>
      <c r="Y155" s="174">
        <f>W155-X155</f>
        <v>8</v>
      </c>
    </row>
    <row r="156" spans="1:31">
      <c r="A156" s="40" t="s">
        <v>41</v>
      </c>
      <c r="B156" s="167" t="s">
        <v>235</v>
      </c>
      <c r="C156" s="174">
        <v>1</v>
      </c>
      <c r="D156" s="174">
        <v>0</v>
      </c>
      <c r="E156" s="174">
        <f t="shared" si="61"/>
        <v>1</v>
      </c>
      <c r="F156" s="174">
        <v>0</v>
      </c>
      <c r="G156" s="174">
        <f t="shared" si="62"/>
        <v>1</v>
      </c>
      <c r="H156" s="174"/>
      <c r="I156" s="186">
        <v>0</v>
      </c>
      <c r="J156" s="174">
        <v>0</v>
      </c>
      <c r="K156" s="174">
        <f>SUM(I156:J156)</f>
        <v>0</v>
      </c>
      <c r="L156" s="174">
        <v>0</v>
      </c>
      <c r="M156" s="174">
        <f>K156-L156</f>
        <v>0</v>
      </c>
      <c r="N156" s="190"/>
      <c r="O156" s="174">
        <v>3</v>
      </c>
      <c r="P156" s="174">
        <v>4</v>
      </c>
      <c r="Q156" s="174">
        <f>SUM(O156:P156)</f>
        <v>7</v>
      </c>
      <c r="R156" s="174">
        <v>6</v>
      </c>
      <c r="S156" s="174">
        <f>Q156-R156</f>
        <v>1</v>
      </c>
      <c r="T156" s="190"/>
      <c r="U156" s="174">
        <v>5</v>
      </c>
      <c r="V156" s="174">
        <v>9</v>
      </c>
      <c r="W156" s="174">
        <f>SUM(U156:V156)</f>
        <v>14</v>
      </c>
      <c r="X156" s="174">
        <v>14</v>
      </c>
      <c r="Y156" s="174">
        <f>W156-X156</f>
        <v>0</v>
      </c>
    </row>
    <row r="157" spans="1:31">
      <c r="A157" s="40" t="s">
        <v>41</v>
      </c>
      <c r="B157" s="167" t="s">
        <v>304</v>
      </c>
      <c r="C157" s="174">
        <v>2</v>
      </c>
      <c r="D157" s="174">
        <v>2</v>
      </c>
      <c r="E157" s="174">
        <f t="shared" si="61"/>
        <v>4</v>
      </c>
      <c r="F157" s="174">
        <v>3</v>
      </c>
      <c r="G157" s="174">
        <f t="shared" si="62"/>
        <v>1</v>
      </c>
      <c r="H157" s="174"/>
      <c r="I157" s="186">
        <v>0</v>
      </c>
      <c r="J157" s="174">
        <v>0</v>
      </c>
      <c r="K157" s="174">
        <f>SUM(I157:J157)</f>
        <v>0</v>
      </c>
      <c r="L157" s="174">
        <v>0</v>
      </c>
      <c r="M157" s="174">
        <f>K157-L157</f>
        <v>0</v>
      </c>
      <c r="N157" s="190"/>
      <c r="O157" s="174">
        <v>0</v>
      </c>
      <c r="P157" s="174">
        <v>5</v>
      </c>
      <c r="Q157" s="174">
        <f>SUM(O157:P157)</f>
        <v>5</v>
      </c>
      <c r="R157" s="174">
        <v>4</v>
      </c>
      <c r="S157" s="174">
        <f>Q157-R157</f>
        <v>1</v>
      </c>
      <c r="T157" s="190"/>
      <c r="U157" s="174">
        <v>3</v>
      </c>
      <c r="V157" s="174">
        <v>5</v>
      </c>
      <c r="W157" s="174">
        <f>SUM(U157:V157)</f>
        <v>8</v>
      </c>
      <c r="X157" s="174">
        <v>8</v>
      </c>
      <c r="Y157" s="174">
        <f>W157-X157</f>
        <v>0</v>
      </c>
    </row>
    <row r="158" spans="1:31">
      <c r="A158" s="168" t="s">
        <v>41</v>
      </c>
      <c r="B158" s="169" t="s">
        <v>305</v>
      </c>
      <c r="C158" s="187">
        <v>2</v>
      </c>
      <c r="D158" s="187">
        <v>2</v>
      </c>
      <c r="E158" s="187">
        <f t="shared" si="61"/>
        <v>4</v>
      </c>
      <c r="F158" s="187">
        <v>3</v>
      </c>
      <c r="G158" s="187">
        <f t="shared" si="62"/>
        <v>1</v>
      </c>
      <c r="H158" s="187"/>
      <c r="I158" s="191">
        <v>0</v>
      </c>
      <c r="J158" s="187">
        <v>0</v>
      </c>
      <c r="K158" s="187">
        <f>SUM(I158:J158)</f>
        <v>0</v>
      </c>
      <c r="L158" s="187">
        <v>0</v>
      </c>
      <c r="M158" s="187">
        <f>K158-L158</f>
        <v>0</v>
      </c>
      <c r="N158" s="192"/>
      <c r="O158" s="187">
        <v>1</v>
      </c>
      <c r="P158" s="187">
        <v>12</v>
      </c>
      <c r="Q158" s="187">
        <f>SUM(O158:P158)</f>
        <v>13</v>
      </c>
      <c r="R158" s="187">
        <v>9</v>
      </c>
      <c r="S158" s="187">
        <f>Q158-R158</f>
        <v>4</v>
      </c>
      <c r="T158" s="192"/>
      <c r="U158" s="187">
        <v>4</v>
      </c>
      <c r="V158" s="187">
        <v>31</v>
      </c>
      <c r="W158" s="187">
        <f>SUM(U158:V158)</f>
        <v>35</v>
      </c>
      <c r="X158" s="187">
        <v>28</v>
      </c>
      <c r="Y158" s="187">
        <f>W158-X158</f>
        <v>7</v>
      </c>
    </row>
    <row r="159" spans="1:31" s="22" customFormat="1">
      <c r="A159" s="84" t="s">
        <v>43</v>
      </c>
      <c r="B159" s="159" t="s">
        <v>1</v>
      </c>
      <c r="C159" s="163">
        <f>SUM(C160:C165)</f>
        <v>26</v>
      </c>
      <c r="D159" s="163">
        <f>SUM(D160:D165)</f>
        <v>13</v>
      </c>
      <c r="E159" s="163">
        <f t="shared" si="61"/>
        <v>39</v>
      </c>
      <c r="F159" s="163">
        <f>SUM(F160:F165)</f>
        <v>13</v>
      </c>
      <c r="G159" s="163">
        <f t="shared" si="62"/>
        <v>26</v>
      </c>
      <c r="H159" s="163"/>
      <c r="I159" s="164">
        <f>SUM(I160:I165)</f>
        <v>0</v>
      </c>
      <c r="J159" s="163">
        <f>SUM(J160:J165)</f>
        <v>0</v>
      </c>
      <c r="K159" s="163">
        <f>SUM(K160:K165)</f>
        <v>0</v>
      </c>
      <c r="L159" s="163">
        <f>SUM(L160:L165)</f>
        <v>0</v>
      </c>
      <c r="M159" s="163">
        <f>SUM(M160:M165)</f>
        <v>0</v>
      </c>
      <c r="N159" s="165"/>
      <c r="O159" s="163">
        <f>SUM(O160:O165)</f>
        <v>13</v>
      </c>
      <c r="P159" s="163">
        <f>SUM(P160:P165)</f>
        <v>29</v>
      </c>
      <c r="Q159" s="163">
        <f>SUM(Q160:Q165)</f>
        <v>42</v>
      </c>
      <c r="R159" s="163">
        <f>SUM(R160:R165)</f>
        <v>25</v>
      </c>
      <c r="S159" s="163">
        <f>SUM(S160:S165)</f>
        <v>17</v>
      </c>
      <c r="T159" s="165"/>
      <c r="U159" s="163">
        <f>SUM(U160:U165)</f>
        <v>39</v>
      </c>
      <c r="V159" s="163">
        <f>SUM(V160:V165)</f>
        <v>134</v>
      </c>
      <c r="W159" s="163">
        <f>SUM(W160:W165)</f>
        <v>173</v>
      </c>
      <c r="X159" s="163">
        <f>SUM(X160:X165)</f>
        <v>143</v>
      </c>
      <c r="Y159" s="163">
        <f>SUM(Y160:Y165)</f>
        <v>30</v>
      </c>
      <c r="AA159" s="1"/>
      <c r="AB159" s="1"/>
      <c r="AC159" s="1"/>
      <c r="AD159" s="1"/>
      <c r="AE159" s="1"/>
    </row>
    <row r="160" spans="1:31">
      <c r="A160" s="40" t="s">
        <v>43</v>
      </c>
      <c r="B160" s="167" t="s">
        <v>306</v>
      </c>
      <c r="C160" s="174">
        <v>9</v>
      </c>
      <c r="D160" s="174">
        <v>3</v>
      </c>
      <c r="E160" s="174">
        <f t="shared" si="61"/>
        <v>12</v>
      </c>
      <c r="F160" s="174">
        <v>5</v>
      </c>
      <c r="G160" s="174">
        <f t="shared" si="62"/>
        <v>7</v>
      </c>
      <c r="H160" s="174"/>
      <c r="I160" s="186">
        <v>0</v>
      </c>
      <c r="J160" s="174">
        <v>0</v>
      </c>
      <c r="K160" s="174">
        <f t="shared" ref="K160:K165" si="69">SUM(I160:J160)</f>
        <v>0</v>
      </c>
      <c r="L160" s="174">
        <v>0</v>
      </c>
      <c r="M160" s="174">
        <f t="shared" ref="M160:M165" si="70">K160-L160</f>
        <v>0</v>
      </c>
      <c r="N160" s="190"/>
      <c r="O160" s="174">
        <v>9</v>
      </c>
      <c r="P160" s="174">
        <v>19</v>
      </c>
      <c r="Q160" s="174">
        <f t="shared" ref="Q160:Q165" si="71">SUM(O160:P160)</f>
        <v>28</v>
      </c>
      <c r="R160" s="174">
        <v>20</v>
      </c>
      <c r="S160" s="174">
        <f t="shared" ref="S160:S165" si="72">Q160-R160</f>
        <v>8</v>
      </c>
      <c r="T160" s="190"/>
      <c r="U160" s="174">
        <v>20</v>
      </c>
      <c r="V160" s="174">
        <v>71</v>
      </c>
      <c r="W160" s="174">
        <f t="shared" ref="W160:W165" si="73">SUM(U160:V160)</f>
        <v>91</v>
      </c>
      <c r="X160" s="174">
        <v>79</v>
      </c>
      <c r="Y160" s="174">
        <f t="shared" ref="Y160:Y165" si="74">W160-X160</f>
        <v>12</v>
      </c>
    </row>
    <row r="161" spans="1:31">
      <c r="A161" s="40" t="s">
        <v>43</v>
      </c>
      <c r="B161" s="167" t="s">
        <v>307</v>
      </c>
      <c r="C161" s="174">
        <v>4</v>
      </c>
      <c r="D161" s="174">
        <v>2</v>
      </c>
      <c r="E161" s="174">
        <f t="shared" si="61"/>
        <v>6</v>
      </c>
      <c r="F161" s="174">
        <v>5</v>
      </c>
      <c r="G161" s="174">
        <f t="shared" si="62"/>
        <v>1</v>
      </c>
      <c r="H161" s="174"/>
      <c r="I161" s="186">
        <v>0</v>
      </c>
      <c r="J161" s="174">
        <v>0</v>
      </c>
      <c r="K161" s="174">
        <f t="shared" si="69"/>
        <v>0</v>
      </c>
      <c r="L161" s="174">
        <v>0</v>
      </c>
      <c r="M161" s="174">
        <f t="shared" si="70"/>
        <v>0</v>
      </c>
      <c r="N161" s="190"/>
      <c r="O161" s="174">
        <v>0</v>
      </c>
      <c r="P161" s="174">
        <v>1</v>
      </c>
      <c r="Q161" s="174">
        <f t="shared" si="71"/>
        <v>1</v>
      </c>
      <c r="R161" s="174">
        <v>0</v>
      </c>
      <c r="S161" s="174">
        <f t="shared" si="72"/>
        <v>1</v>
      </c>
      <c r="T161" s="190"/>
      <c r="U161" s="174">
        <v>7</v>
      </c>
      <c r="V161" s="174">
        <v>10</v>
      </c>
      <c r="W161" s="174">
        <f t="shared" si="73"/>
        <v>17</v>
      </c>
      <c r="X161" s="174">
        <v>15</v>
      </c>
      <c r="Y161" s="174">
        <f t="shared" si="74"/>
        <v>2</v>
      </c>
    </row>
    <row r="162" spans="1:31">
      <c r="A162" s="40" t="s">
        <v>43</v>
      </c>
      <c r="B162" s="167" t="s">
        <v>308</v>
      </c>
      <c r="C162" s="174">
        <v>0</v>
      </c>
      <c r="D162" s="174">
        <v>1</v>
      </c>
      <c r="E162" s="174">
        <f t="shared" si="61"/>
        <v>1</v>
      </c>
      <c r="F162" s="174">
        <v>0</v>
      </c>
      <c r="G162" s="174">
        <f t="shared" si="62"/>
        <v>1</v>
      </c>
      <c r="H162" s="174"/>
      <c r="I162" s="186">
        <v>0</v>
      </c>
      <c r="J162" s="174">
        <v>0</v>
      </c>
      <c r="K162" s="174">
        <f t="shared" si="69"/>
        <v>0</v>
      </c>
      <c r="L162" s="174">
        <v>0</v>
      </c>
      <c r="M162" s="174">
        <f t="shared" si="70"/>
        <v>0</v>
      </c>
      <c r="N162" s="190"/>
      <c r="O162" s="174">
        <v>0</v>
      </c>
      <c r="P162" s="174">
        <v>0</v>
      </c>
      <c r="Q162" s="174">
        <f t="shared" si="71"/>
        <v>0</v>
      </c>
      <c r="R162" s="174">
        <v>0</v>
      </c>
      <c r="S162" s="174">
        <f t="shared" si="72"/>
        <v>0</v>
      </c>
      <c r="T162" s="190"/>
      <c r="U162" s="174">
        <v>0</v>
      </c>
      <c r="V162" s="174">
        <v>14</v>
      </c>
      <c r="W162" s="174">
        <f t="shared" si="73"/>
        <v>14</v>
      </c>
      <c r="X162" s="174">
        <v>13</v>
      </c>
      <c r="Y162" s="174">
        <f t="shared" si="74"/>
        <v>1</v>
      </c>
    </row>
    <row r="163" spans="1:31">
      <c r="A163" s="40" t="s">
        <v>43</v>
      </c>
      <c r="B163" s="167" t="s">
        <v>309</v>
      </c>
      <c r="C163" s="174">
        <v>3</v>
      </c>
      <c r="D163" s="174">
        <v>2</v>
      </c>
      <c r="E163" s="174">
        <f t="shared" si="61"/>
        <v>5</v>
      </c>
      <c r="F163" s="174">
        <v>2</v>
      </c>
      <c r="G163" s="174">
        <f t="shared" si="62"/>
        <v>3</v>
      </c>
      <c r="H163" s="174"/>
      <c r="I163" s="186">
        <v>0</v>
      </c>
      <c r="J163" s="174">
        <v>0</v>
      </c>
      <c r="K163" s="174">
        <f t="shared" si="69"/>
        <v>0</v>
      </c>
      <c r="L163" s="174">
        <v>0</v>
      </c>
      <c r="M163" s="174">
        <f t="shared" si="70"/>
        <v>0</v>
      </c>
      <c r="N163" s="190"/>
      <c r="O163" s="174">
        <v>2</v>
      </c>
      <c r="P163" s="174">
        <v>3</v>
      </c>
      <c r="Q163" s="174">
        <f t="shared" si="71"/>
        <v>5</v>
      </c>
      <c r="R163" s="174">
        <v>2</v>
      </c>
      <c r="S163" s="174">
        <f t="shared" si="72"/>
        <v>3</v>
      </c>
      <c r="T163" s="190"/>
      <c r="U163" s="174">
        <v>2</v>
      </c>
      <c r="V163" s="174">
        <v>13</v>
      </c>
      <c r="W163" s="174">
        <f t="shared" si="73"/>
        <v>15</v>
      </c>
      <c r="X163" s="174">
        <v>10</v>
      </c>
      <c r="Y163" s="174">
        <f t="shared" si="74"/>
        <v>5</v>
      </c>
    </row>
    <row r="164" spans="1:31">
      <c r="A164" s="40" t="s">
        <v>43</v>
      </c>
      <c r="B164" s="167" t="s">
        <v>310</v>
      </c>
      <c r="C164" s="174">
        <v>1</v>
      </c>
      <c r="D164" s="174">
        <v>2</v>
      </c>
      <c r="E164" s="174">
        <f t="shared" si="61"/>
        <v>3</v>
      </c>
      <c r="F164" s="174">
        <v>0</v>
      </c>
      <c r="G164" s="174">
        <f t="shared" si="62"/>
        <v>3</v>
      </c>
      <c r="H164" s="174"/>
      <c r="I164" s="186">
        <v>0</v>
      </c>
      <c r="J164" s="174">
        <v>0</v>
      </c>
      <c r="K164" s="174">
        <f t="shared" si="69"/>
        <v>0</v>
      </c>
      <c r="L164" s="174">
        <v>0</v>
      </c>
      <c r="M164" s="174">
        <f t="shared" si="70"/>
        <v>0</v>
      </c>
      <c r="N164" s="190"/>
      <c r="O164" s="174">
        <v>2</v>
      </c>
      <c r="P164" s="174">
        <v>3</v>
      </c>
      <c r="Q164" s="174">
        <f t="shared" si="71"/>
        <v>5</v>
      </c>
      <c r="R164" s="174">
        <v>0</v>
      </c>
      <c r="S164" s="174">
        <f t="shared" si="72"/>
        <v>5</v>
      </c>
      <c r="T164" s="190"/>
      <c r="U164" s="174">
        <v>5</v>
      </c>
      <c r="V164" s="174">
        <v>14</v>
      </c>
      <c r="W164" s="174">
        <f t="shared" si="73"/>
        <v>19</v>
      </c>
      <c r="X164" s="174">
        <v>12</v>
      </c>
      <c r="Y164" s="174">
        <f t="shared" si="74"/>
        <v>7</v>
      </c>
    </row>
    <row r="165" spans="1:31">
      <c r="A165" s="168" t="s">
        <v>43</v>
      </c>
      <c r="B165" s="169" t="s">
        <v>250</v>
      </c>
      <c r="C165" s="187">
        <v>9</v>
      </c>
      <c r="D165" s="187">
        <v>3</v>
      </c>
      <c r="E165" s="187">
        <f t="shared" si="61"/>
        <v>12</v>
      </c>
      <c r="F165" s="187">
        <v>1</v>
      </c>
      <c r="G165" s="187">
        <f t="shared" si="62"/>
        <v>11</v>
      </c>
      <c r="H165" s="187"/>
      <c r="I165" s="191">
        <v>0</v>
      </c>
      <c r="J165" s="187">
        <v>0</v>
      </c>
      <c r="K165" s="187">
        <f t="shared" si="69"/>
        <v>0</v>
      </c>
      <c r="L165" s="187">
        <v>0</v>
      </c>
      <c r="M165" s="187">
        <f t="shared" si="70"/>
        <v>0</v>
      </c>
      <c r="N165" s="192"/>
      <c r="O165" s="187">
        <v>0</v>
      </c>
      <c r="P165" s="187">
        <v>3</v>
      </c>
      <c r="Q165" s="187">
        <f t="shared" si="71"/>
        <v>3</v>
      </c>
      <c r="R165" s="187">
        <v>3</v>
      </c>
      <c r="S165" s="187">
        <f t="shared" si="72"/>
        <v>0</v>
      </c>
      <c r="T165" s="192"/>
      <c r="U165" s="187">
        <v>5</v>
      </c>
      <c r="V165" s="187">
        <v>12</v>
      </c>
      <c r="W165" s="187">
        <f t="shared" si="73"/>
        <v>17</v>
      </c>
      <c r="X165" s="187">
        <v>14</v>
      </c>
      <c r="Y165" s="187">
        <f t="shared" si="74"/>
        <v>3</v>
      </c>
    </row>
    <row r="166" spans="1:31" s="22" customFormat="1">
      <c r="A166" s="84" t="s">
        <v>44</v>
      </c>
      <c r="B166" s="159" t="s">
        <v>1</v>
      </c>
      <c r="C166" s="163">
        <f>SUM(C167:C179)</f>
        <v>77</v>
      </c>
      <c r="D166" s="163">
        <f>SUM(D167:D179)</f>
        <v>47</v>
      </c>
      <c r="E166" s="163">
        <f t="shared" si="61"/>
        <v>124</v>
      </c>
      <c r="F166" s="163">
        <f>SUM(F167:F179)</f>
        <v>31</v>
      </c>
      <c r="G166" s="163">
        <f t="shared" si="62"/>
        <v>93</v>
      </c>
      <c r="H166" s="163"/>
      <c r="I166" s="164">
        <f>SUM(I167:I179)</f>
        <v>3</v>
      </c>
      <c r="J166" s="163">
        <f>SUM(J167:J179)</f>
        <v>0</v>
      </c>
      <c r="K166" s="163">
        <f>SUM(K167:K179)</f>
        <v>3</v>
      </c>
      <c r="L166" s="163">
        <f>SUM(L167:L179)</f>
        <v>3</v>
      </c>
      <c r="M166" s="163">
        <f>SUM(M167:M179)</f>
        <v>0</v>
      </c>
      <c r="N166" s="165"/>
      <c r="O166" s="163">
        <f>SUM(O167:O179)</f>
        <v>45</v>
      </c>
      <c r="P166" s="163">
        <f>SUM(P167:P179)</f>
        <v>127</v>
      </c>
      <c r="Q166" s="163">
        <f>SUM(Q167:Q179)</f>
        <v>172</v>
      </c>
      <c r="R166" s="163">
        <f>SUM(R167:R179)</f>
        <v>129</v>
      </c>
      <c r="S166" s="163">
        <f>SUM(S167:S179)</f>
        <v>43</v>
      </c>
      <c r="T166" s="165"/>
      <c r="U166" s="163">
        <f>SUM(U167:U179)</f>
        <v>103</v>
      </c>
      <c r="V166" s="163">
        <f>SUM(V167:V179)</f>
        <v>272</v>
      </c>
      <c r="W166" s="163">
        <f>SUM(W167:W179)</f>
        <v>375</v>
      </c>
      <c r="X166" s="163">
        <f>SUM(X167:X179)</f>
        <v>295</v>
      </c>
      <c r="Y166" s="163">
        <f>SUM(Y167:Y179)</f>
        <v>80</v>
      </c>
      <c r="AA166" s="1"/>
      <c r="AB166" s="1"/>
      <c r="AC166" s="1"/>
      <c r="AD166" s="1"/>
      <c r="AE166" s="1"/>
    </row>
    <row r="167" spans="1:31">
      <c r="A167" s="40" t="s">
        <v>44</v>
      </c>
      <c r="B167" s="167" t="s">
        <v>311</v>
      </c>
      <c r="C167" s="174">
        <v>2</v>
      </c>
      <c r="D167" s="174">
        <v>7</v>
      </c>
      <c r="E167" s="174">
        <f t="shared" si="61"/>
        <v>9</v>
      </c>
      <c r="F167" s="174">
        <v>1</v>
      </c>
      <c r="G167" s="174">
        <f t="shared" si="62"/>
        <v>8</v>
      </c>
      <c r="H167" s="174"/>
      <c r="I167" s="186">
        <v>0</v>
      </c>
      <c r="J167" s="174">
        <v>0</v>
      </c>
      <c r="K167" s="174">
        <f t="shared" ref="K167:K179" si="75">SUM(I167:J167)</f>
        <v>0</v>
      </c>
      <c r="L167" s="174">
        <v>0</v>
      </c>
      <c r="M167" s="174">
        <f t="shared" ref="M167:M179" si="76">K167-L167</f>
        <v>0</v>
      </c>
      <c r="N167" s="190"/>
      <c r="O167" s="174">
        <v>2</v>
      </c>
      <c r="P167" s="174">
        <v>3</v>
      </c>
      <c r="Q167" s="174">
        <f t="shared" ref="Q167:Q179" si="77">SUM(O167:P167)</f>
        <v>5</v>
      </c>
      <c r="R167" s="174">
        <v>2</v>
      </c>
      <c r="S167" s="174">
        <f t="shared" ref="S167:S179" si="78">Q167-R167</f>
        <v>3</v>
      </c>
      <c r="T167" s="190"/>
      <c r="U167" s="174">
        <v>8</v>
      </c>
      <c r="V167" s="174">
        <v>14</v>
      </c>
      <c r="W167" s="174">
        <f t="shared" ref="W167:W179" si="79">SUM(U167:V167)</f>
        <v>22</v>
      </c>
      <c r="X167" s="174">
        <v>19</v>
      </c>
      <c r="Y167" s="174">
        <f t="shared" ref="Y167:Y179" si="80">W167-X167</f>
        <v>3</v>
      </c>
    </row>
    <row r="168" spans="1:31">
      <c r="A168" s="40" t="s">
        <v>44</v>
      </c>
      <c r="B168" s="167" t="s">
        <v>312</v>
      </c>
      <c r="C168" s="174">
        <v>3</v>
      </c>
      <c r="D168" s="174">
        <v>2</v>
      </c>
      <c r="E168" s="174">
        <f t="shared" si="61"/>
        <v>5</v>
      </c>
      <c r="F168" s="174">
        <v>0</v>
      </c>
      <c r="G168" s="174">
        <f t="shared" si="62"/>
        <v>5</v>
      </c>
      <c r="H168" s="174"/>
      <c r="I168" s="186">
        <v>0</v>
      </c>
      <c r="J168" s="174">
        <v>0</v>
      </c>
      <c r="K168" s="174">
        <f t="shared" si="75"/>
        <v>0</v>
      </c>
      <c r="L168" s="174">
        <v>0</v>
      </c>
      <c r="M168" s="174">
        <f t="shared" si="76"/>
        <v>0</v>
      </c>
      <c r="N168" s="190"/>
      <c r="O168" s="174">
        <v>1</v>
      </c>
      <c r="P168" s="174">
        <v>4</v>
      </c>
      <c r="Q168" s="174">
        <f t="shared" si="77"/>
        <v>5</v>
      </c>
      <c r="R168" s="174">
        <v>4</v>
      </c>
      <c r="S168" s="174">
        <f t="shared" si="78"/>
        <v>1</v>
      </c>
      <c r="T168" s="190"/>
      <c r="U168" s="174">
        <v>4</v>
      </c>
      <c r="V168" s="174">
        <v>10</v>
      </c>
      <c r="W168" s="174">
        <f t="shared" si="79"/>
        <v>14</v>
      </c>
      <c r="X168" s="174">
        <v>10</v>
      </c>
      <c r="Y168" s="174">
        <f t="shared" si="80"/>
        <v>4</v>
      </c>
    </row>
    <row r="169" spans="1:31">
      <c r="A169" s="40" t="s">
        <v>44</v>
      </c>
      <c r="B169" s="167" t="s">
        <v>313</v>
      </c>
      <c r="C169" s="174">
        <v>6</v>
      </c>
      <c r="D169" s="174">
        <v>1</v>
      </c>
      <c r="E169" s="174">
        <f t="shared" si="61"/>
        <v>7</v>
      </c>
      <c r="F169" s="174">
        <v>2</v>
      </c>
      <c r="G169" s="174">
        <f t="shared" si="62"/>
        <v>5</v>
      </c>
      <c r="H169" s="174"/>
      <c r="I169" s="186">
        <v>0</v>
      </c>
      <c r="J169" s="174">
        <v>0</v>
      </c>
      <c r="K169" s="174">
        <f t="shared" si="75"/>
        <v>0</v>
      </c>
      <c r="L169" s="174">
        <v>0</v>
      </c>
      <c r="M169" s="174">
        <f t="shared" si="76"/>
        <v>0</v>
      </c>
      <c r="N169" s="190"/>
      <c r="O169" s="174">
        <v>4</v>
      </c>
      <c r="P169" s="174">
        <v>5</v>
      </c>
      <c r="Q169" s="174">
        <f t="shared" si="77"/>
        <v>9</v>
      </c>
      <c r="R169" s="174">
        <v>6</v>
      </c>
      <c r="S169" s="174">
        <f t="shared" si="78"/>
        <v>3</v>
      </c>
      <c r="T169" s="190"/>
      <c r="U169" s="174">
        <v>7</v>
      </c>
      <c r="V169" s="174">
        <v>32</v>
      </c>
      <c r="W169" s="174">
        <f t="shared" si="79"/>
        <v>39</v>
      </c>
      <c r="X169" s="174">
        <v>33</v>
      </c>
      <c r="Y169" s="174">
        <f t="shared" si="80"/>
        <v>6</v>
      </c>
    </row>
    <row r="170" spans="1:31">
      <c r="A170" s="40" t="s">
        <v>44</v>
      </c>
      <c r="B170" s="167" t="s">
        <v>314</v>
      </c>
      <c r="C170" s="174">
        <v>6</v>
      </c>
      <c r="D170" s="174">
        <v>1</v>
      </c>
      <c r="E170" s="174">
        <f t="shared" si="61"/>
        <v>7</v>
      </c>
      <c r="F170" s="174">
        <v>1</v>
      </c>
      <c r="G170" s="174">
        <f t="shared" si="62"/>
        <v>6</v>
      </c>
      <c r="H170" s="174"/>
      <c r="I170" s="186">
        <v>1</v>
      </c>
      <c r="J170" s="174">
        <v>0</v>
      </c>
      <c r="K170" s="174">
        <f t="shared" si="75"/>
        <v>1</v>
      </c>
      <c r="L170" s="174">
        <v>1</v>
      </c>
      <c r="M170" s="174">
        <f t="shared" si="76"/>
        <v>0</v>
      </c>
      <c r="N170" s="190"/>
      <c r="O170" s="174">
        <v>5</v>
      </c>
      <c r="P170" s="174">
        <v>3</v>
      </c>
      <c r="Q170" s="174">
        <f t="shared" si="77"/>
        <v>8</v>
      </c>
      <c r="R170" s="174">
        <v>4</v>
      </c>
      <c r="S170" s="174">
        <f t="shared" si="78"/>
        <v>4</v>
      </c>
      <c r="T170" s="190"/>
      <c r="U170" s="174">
        <v>16</v>
      </c>
      <c r="V170" s="174">
        <v>29</v>
      </c>
      <c r="W170" s="174">
        <f t="shared" si="79"/>
        <v>45</v>
      </c>
      <c r="X170" s="174">
        <v>36</v>
      </c>
      <c r="Y170" s="174">
        <f t="shared" si="80"/>
        <v>9</v>
      </c>
    </row>
    <row r="171" spans="1:31">
      <c r="A171" s="40" t="s">
        <v>44</v>
      </c>
      <c r="B171" s="167" t="s">
        <v>315</v>
      </c>
      <c r="C171" s="174">
        <v>9</v>
      </c>
      <c r="D171" s="174">
        <v>1</v>
      </c>
      <c r="E171" s="174">
        <f t="shared" si="61"/>
        <v>10</v>
      </c>
      <c r="F171" s="174">
        <v>2</v>
      </c>
      <c r="G171" s="174">
        <f t="shared" si="62"/>
        <v>8</v>
      </c>
      <c r="H171" s="174"/>
      <c r="I171" s="186">
        <v>0</v>
      </c>
      <c r="J171" s="174">
        <v>0</v>
      </c>
      <c r="K171" s="174">
        <f t="shared" si="75"/>
        <v>0</v>
      </c>
      <c r="L171" s="174">
        <v>0</v>
      </c>
      <c r="M171" s="174">
        <f t="shared" si="76"/>
        <v>0</v>
      </c>
      <c r="N171" s="190"/>
      <c r="O171" s="174">
        <v>5</v>
      </c>
      <c r="P171" s="174">
        <v>5</v>
      </c>
      <c r="Q171" s="174">
        <f t="shared" si="77"/>
        <v>10</v>
      </c>
      <c r="R171" s="174">
        <v>5</v>
      </c>
      <c r="S171" s="174">
        <f t="shared" si="78"/>
        <v>5</v>
      </c>
      <c r="T171" s="190"/>
      <c r="U171" s="174">
        <v>10</v>
      </c>
      <c r="V171" s="174">
        <v>13</v>
      </c>
      <c r="W171" s="174">
        <f t="shared" si="79"/>
        <v>23</v>
      </c>
      <c r="X171" s="174">
        <v>16</v>
      </c>
      <c r="Y171" s="174">
        <f t="shared" si="80"/>
        <v>7</v>
      </c>
    </row>
    <row r="172" spans="1:31">
      <c r="A172" s="40" t="s">
        <v>44</v>
      </c>
      <c r="B172" s="167" t="s">
        <v>270</v>
      </c>
      <c r="C172" s="174">
        <v>7</v>
      </c>
      <c r="D172" s="174">
        <v>4</v>
      </c>
      <c r="E172" s="174">
        <f t="shared" si="61"/>
        <v>11</v>
      </c>
      <c r="F172" s="174">
        <v>0</v>
      </c>
      <c r="G172" s="174">
        <f t="shared" si="62"/>
        <v>11</v>
      </c>
      <c r="H172" s="174"/>
      <c r="I172" s="186">
        <v>0</v>
      </c>
      <c r="J172" s="174">
        <v>0</v>
      </c>
      <c r="K172" s="174">
        <f t="shared" si="75"/>
        <v>0</v>
      </c>
      <c r="L172" s="174">
        <v>0</v>
      </c>
      <c r="M172" s="174">
        <f t="shared" si="76"/>
        <v>0</v>
      </c>
      <c r="N172" s="190"/>
      <c r="O172" s="174">
        <v>6</v>
      </c>
      <c r="P172" s="174">
        <v>7</v>
      </c>
      <c r="Q172" s="174">
        <f t="shared" si="77"/>
        <v>13</v>
      </c>
      <c r="R172" s="174">
        <v>4</v>
      </c>
      <c r="S172" s="174">
        <f t="shared" si="78"/>
        <v>9</v>
      </c>
      <c r="T172" s="190"/>
      <c r="U172" s="174">
        <v>19</v>
      </c>
      <c r="V172" s="174">
        <v>28</v>
      </c>
      <c r="W172" s="174">
        <f t="shared" si="79"/>
        <v>47</v>
      </c>
      <c r="X172" s="174">
        <v>30</v>
      </c>
      <c r="Y172" s="174">
        <f t="shared" si="80"/>
        <v>17</v>
      </c>
    </row>
    <row r="173" spans="1:31">
      <c r="A173" s="40" t="s">
        <v>44</v>
      </c>
      <c r="B173" s="167" t="s">
        <v>316</v>
      </c>
      <c r="C173" s="174">
        <v>0</v>
      </c>
      <c r="D173" s="174">
        <v>0</v>
      </c>
      <c r="E173" s="174">
        <f t="shared" si="61"/>
        <v>0</v>
      </c>
      <c r="F173" s="174">
        <v>0</v>
      </c>
      <c r="G173" s="174">
        <f t="shared" si="62"/>
        <v>0</v>
      </c>
      <c r="H173" s="174"/>
      <c r="I173" s="186">
        <v>0</v>
      </c>
      <c r="J173" s="174">
        <v>0</v>
      </c>
      <c r="K173" s="174">
        <f t="shared" si="75"/>
        <v>0</v>
      </c>
      <c r="L173" s="174">
        <v>0</v>
      </c>
      <c r="M173" s="174">
        <f t="shared" si="76"/>
        <v>0</v>
      </c>
      <c r="N173" s="190"/>
      <c r="O173" s="174">
        <v>2</v>
      </c>
      <c r="P173" s="174">
        <v>5</v>
      </c>
      <c r="Q173" s="174">
        <f t="shared" si="77"/>
        <v>7</v>
      </c>
      <c r="R173" s="174">
        <v>5</v>
      </c>
      <c r="S173" s="174">
        <f t="shared" si="78"/>
        <v>2</v>
      </c>
      <c r="T173" s="190"/>
      <c r="U173" s="174">
        <v>3</v>
      </c>
      <c r="V173" s="174">
        <v>20</v>
      </c>
      <c r="W173" s="174">
        <f t="shared" si="79"/>
        <v>23</v>
      </c>
      <c r="X173" s="174">
        <v>23</v>
      </c>
      <c r="Y173" s="174">
        <f t="shared" si="80"/>
        <v>0</v>
      </c>
    </row>
    <row r="174" spans="1:31">
      <c r="A174" s="40" t="s">
        <v>44</v>
      </c>
      <c r="B174" s="167" t="s">
        <v>317</v>
      </c>
      <c r="C174" s="174">
        <v>2</v>
      </c>
      <c r="D174" s="174">
        <v>0</v>
      </c>
      <c r="E174" s="174">
        <f t="shared" si="61"/>
        <v>2</v>
      </c>
      <c r="F174" s="174">
        <v>0</v>
      </c>
      <c r="G174" s="174">
        <f t="shared" si="62"/>
        <v>2</v>
      </c>
      <c r="H174" s="174"/>
      <c r="I174" s="186">
        <v>0</v>
      </c>
      <c r="J174" s="174">
        <v>0</v>
      </c>
      <c r="K174" s="174">
        <f t="shared" si="75"/>
        <v>0</v>
      </c>
      <c r="L174" s="174">
        <v>0</v>
      </c>
      <c r="M174" s="174">
        <f t="shared" si="76"/>
        <v>0</v>
      </c>
      <c r="N174" s="190"/>
      <c r="O174" s="174">
        <v>0</v>
      </c>
      <c r="P174" s="174">
        <v>3</v>
      </c>
      <c r="Q174" s="174">
        <f t="shared" si="77"/>
        <v>3</v>
      </c>
      <c r="R174" s="174">
        <v>3</v>
      </c>
      <c r="S174" s="174">
        <f t="shared" si="78"/>
        <v>0</v>
      </c>
      <c r="T174" s="190"/>
      <c r="U174" s="174">
        <v>0</v>
      </c>
      <c r="V174" s="174">
        <v>16</v>
      </c>
      <c r="W174" s="174">
        <f t="shared" si="79"/>
        <v>16</v>
      </c>
      <c r="X174" s="174">
        <v>15</v>
      </c>
      <c r="Y174" s="174">
        <f t="shared" si="80"/>
        <v>1</v>
      </c>
    </row>
    <row r="175" spans="1:31">
      <c r="A175" s="40" t="s">
        <v>44</v>
      </c>
      <c r="B175" s="167" t="s">
        <v>318</v>
      </c>
      <c r="C175" s="174">
        <v>1</v>
      </c>
      <c r="D175" s="174">
        <v>6</v>
      </c>
      <c r="E175" s="174">
        <f t="shared" si="61"/>
        <v>7</v>
      </c>
      <c r="F175" s="174">
        <v>4</v>
      </c>
      <c r="G175" s="174">
        <f t="shared" si="62"/>
        <v>3</v>
      </c>
      <c r="H175" s="174"/>
      <c r="I175" s="186">
        <v>0</v>
      </c>
      <c r="J175" s="174">
        <v>0</v>
      </c>
      <c r="K175" s="174">
        <f t="shared" si="75"/>
        <v>0</v>
      </c>
      <c r="L175" s="174">
        <v>0</v>
      </c>
      <c r="M175" s="174">
        <f t="shared" si="76"/>
        <v>0</v>
      </c>
      <c r="N175" s="190"/>
      <c r="O175" s="174">
        <v>1</v>
      </c>
      <c r="P175" s="174">
        <v>21</v>
      </c>
      <c r="Q175" s="174">
        <f t="shared" si="77"/>
        <v>22</v>
      </c>
      <c r="R175" s="174">
        <v>21</v>
      </c>
      <c r="S175" s="174">
        <f t="shared" si="78"/>
        <v>1</v>
      </c>
      <c r="T175" s="190"/>
      <c r="U175" s="174">
        <v>7</v>
      </c>
      <c r="V175" s="174">
        <v>39</v>
      </c>
      <c r="W175" s="174">
        <f t="shared" si="79"/>
        <v>46</v>
      </c>
      <c r="X175" s="174">
        <v>44</v>
      </c>
      <c r="Y175" s="174">
        <f t="shared" si="80"/>
        <v>2</v>
      </c>
    </row>
    <row r="176" spans="1:31">
      <c r="A176" s="40" t="s">
        <v>44</v>
      </c>
      <c r="B176" s="167" t="s">
        <v>319</v>
      </c>
      <c r="C176" s="174">
        <v>2</v>
      </c>
      <c r="D176" s="174">
        <v>2</v>
      </c>
      <c r="E176" s="174">
        <f t="shared" si="61"/>
        <v>4</v>
      </c>
      <c r="F176" s="174">
        <v>2</v>
      </c>
      <c r="G176" s="174">
        <f t="shared" si="62"/>
        <v>2</v>
      </c>
      <c r="H176" s="174"/>
      <c r="I176" s="186">
        <v>1</v>
      </c>
      <c r="J176" s="174">
        <v>0</v>
      </c>
      <c r="K176" s="174">
        <f t="shared" si="75"/>
        <v>1</v>
      </c>
      <c r="L176" s="174">
        <v>1</v>
      </c>
      <c r="M176" s="174">
        <f t="shared" si="76"/>
        <v>0</v>
      </c>
      <c r="N176" s="190"/>
      <c r="O176" s="174">
        <v>0</v>
      </c>
      <c r="P176" s="174">
        <v>3</v>
      </c>
      <c r="Q176" s="174">
        <f t="shared" si="77"/>
        <v>3</v>
      </c>
      <c r="R176" s="174">
        <v>3</v>
      </c>
      <c r="S176" s="174">
        <f t="shared" si="78"/>
        <v>0</v>
      </c>
      <c r="T176" s="190"/>
      <c r="U176" s="174">
        <v>3</v>
      </c>
      <c r="V176" s="174">
        <v>13</v>
      </c>
      <c r="W176" s="174">
        <f t="shared" si="79"/>
        <v>16</v>
      </c>
      <c r="X176" s="174">
        <v>9</v>
      </c>
      <c r="Y176" s="174">
        <f t="shared" si="80"/>
        <v>7</v>
      </c>
    </row>
    <row r="177" spans="1:31">
      <c r="A177" s="40" t="s">
        <v>44</v>
      </c>
      <c r="B177" s="167" t="s">
        <v>320</v>
      </c>
      <c r="C177" s="174">
        <v>20</v>
      </c>
      <c r="D177" s="174">
        <v>13</v>
      </c>
      <c r="E177" s="174">
        <f t="shared" si="61"/>
        <v>33</v>
      </c>
      <c r="F177" s="174">
        <v>15</v>
      </c>
      <c r="G177" s="174">
        <f t="shared" si="62"/>
        <v>18</v>
      </c>
      <c r="H177" s="174"/>
      <c r="I177" s="186">
        <v>1</v>
      </c>
      <c r="J177" s="174">
        <v>0</v>
      </c>
      <c r="K177" s="174">
        <f t="shared" si="75"/>
        <v>1</v>
      </c>
      <c r="L177" s="174">
        <v>1</v>
      </c>
      <c r="M177" s="174">
        <f t="shared" si="76"/>
        <v>0</v>
      </c>
      <c r="N177" s="190"/>
      <c r="O177" s="174">
        <v>16</v>
      </c>
      <c r="P177" s="174">
        <v>56</v>
      </c>
      <c r="Q177" s="174">
        <f t="shared" si="77"/>
        <v>72</v>
      </c>
      <c r="R177" s="174">
        <v>60</v>
      </c>
      <c r="S177" s="174">
        <f t="shared" si="78"/>
        <v>12</v>
      </c>
      <c r="T177" s="190"/>
      <c r="U177" s="174">
        <v>8</v>
      </c>
      <c r="V177" s="174">
        <v>25</v>
      </c>
      <c r="W177" s="174">
        <f t="shared" si="79"/>
        <v>33</v>
      </c>
      <c r="X177" s="174">
        <v>26</v>
      </c>
      <c r="Y177" s="174">
        <f t="shared" si="80"/>
        <v>7</v>
      </c>
    </row>
    <row r="178" spans="1:31">
      <c r="A178" s="40" t="s">
        <v>44</v>
      </c>
      <c r="B178" s="167" t="s">
        <v>321</v>
      </c>
      <c r="C178" s="174">
        <v>17</v>
      </c>
      <c r="D178" s="174">
        <v>10</v>
      </c>
      <c r="E178" s="174">
        <f t="shared" si="61"/>
        <v>27</v>
      </c>
      <c r="F178" s="174">
        <v>3</v>
      </c>
      <c r="G178" s="174">
        <f t="shared" si="62"/>
        <v>24</v>
      </c>
      <c r="H178" s="174"/>
      <c r="I178" s="186">
        <v>0</v>
      </c>
      <c r="J178" s="174">
        <v>0</v>
      </c>
      <c r="K178" s="174">
        <f t="shared" si="75"/>
        <v>0</v>
      </c>
      <c r="L178" s="174">
        <v>0</v>
      </c>
      <c r="M178" s="174">
        <f t="shared" si="76"/>
        <v>0</v>
      </c>
      <c r="N178" s="190"/>
      <c r="O178" s="174">
        <v>1</v>
      </c>
      <c r="P178" s="174">
        <v>3</v>
      </c>
      <c r="Q178" s="174">
        <f t="shared" si="77"/>
        <v>4</v>
      </c>
      <c r="R178" s="174">
        <v>3</v>
      </c>
      <c r="S178" s="174">
        <f t="shared" si="78"/>
        <v>1</v>
      </c>
      <c r="T178" s="190"/>
      <c r="U178" s="174">
        <v>12</v>
      </c>
      <c r="V178" s="174">
        <v>23</v>
      </c>
      <c r="W178" s="174">
        <f t="shared" si="79"/>
        <v>35</v>
      </c>
      <c r="X178" s="174">
        <v>23</v>
      </c>
      <c r="Y178" s="174">
        <f t="shared" si="80"/>
        <v>12</v>
      </c>
    </row>
    <row r="179" spans="1:31">
      <c r="A179" s="168" t="s">
        <v>44</v>
      </c>
      <c r="B179" s="169" t="s">
        <v>281</v>
      </c>
      <c r="C179" s="187">
        <v>2</v>
      </c>
      <c r="D179" s="187">
        <v>0</v>
      </c>
      <c r="E179" s="187">
        <f t="shared" si="61"/>
        <v>2</v>
      </c>
      <c r="F179" s="187">
        <v>1</v>
      </c>
      <c r="G179" s="187">
        <f t="shared" si="62"/>
        <v>1</v>
      </c>
      <c r="H179" s="187"/>
      <c r="I179" s="191">
        <v>0</v>
      </c>
      <c r="J179" s="187">
        <v>0</v>
      </c>
      <c r="K179" s="187">
        <f t="shared" si="75"/>
        <v>0</v>
      </c>
      <c r="L179" s="187">
        <v>0</v>
      </c>
      <c r="M179" s="187">
        <f t="shared" si="76"/>
        <v>0</v>
      </c>
      <c r="N179" s="192"/>
      <c r="O179" s="187">
        <v>2</v>
      </c>
      <c r="P179" s="187">
        <v>9</v>
      </c>
      <c r="Q179" s="187">
        <f t="shared" si="77"/>
        <v>11</v>
      </c>
      <c r="R179" s="187">
        <v>9</v>
      </c>
      <c r="S179" s="187">
        <f t="shared" si="78"/>
        <v>2</v>
      </c>
      <c r="T179" s="192"/>
      <c r="U179" s="187">
        <v>6</v>
      </c>
      <c r="V179" s="187">
        <v>10</v>
      </c>
      <c r="W179" s="187">
        <f t="shared" si="79"/>
        <v>16</v>
      </c>
      <c r="X179" s="187">
        <v>11</v>
      </c>
      <c r="Y179" s="187">
        <f t="shared" si="80"/>
        <v>5</v>
      </c>
    </row>
    <row r="180" spans="1:31" s="22" customFormat="1">
      <c r="A180" s="84" t="s">
        <v>34</v>
      </c>
      <c r="B180" s="159" t="s">
        <v>1</v>
      </c>
      <c r="C180" s="163">
        <f>SUM(C181:C191)</f>
        <v>94</v>
      </c>
      <c r="D180" s="163">
        <f>SUM(D181:D191)</f>
        <v>77</v>
      </c>
      <c r="E180" s="163">
        <f t="shared" si="61"/>
        <v>171</v>
      </c>
      <c r="F180" s="163">
        <f>SUM(F181:F191)</f>
        <v>46</v>
      </c>
      <c r="G180" s="163">
        <f t="shared" si="62"/>
        <v>125</v>
      </c>
      <c r="H180" s="163"/>
      <c r="I180" s="164">
        <f>SUM(I181:I191)</f>
        <v>1</v>
      </c>
      <c r="J180" s="163">
        <f>SUM(J181:J191)</f>
        <v>0</v>
      </c>
      <c r="K180" s="163">
        <f>SUM(K181:K191)</f>
        <v>1</v>
      </c>
      <c r="L180" s="163">
        <f>SUM(L181:L191)</f>
        <v>1</v>
      </c>
      <c r="M180" s="163">
        <f>SUM(M181:M191)</f>
        <v>0</v>
      </c>
      <c r="N180" s="165"/>
      <c r="O180" s="163">
        <f>SUM(O181:O191)</f>
        <v>70</v>
      </c>
      <c r="P180" s="163">
        <f>SUM(P181:P191)</f>
        <v>132</v>
      </c>
      <c r="Q180" s="163">
        <f>SUM(Q181:Q191)</f>
        <v>202</v>
      </c>
      <c r="R180" s="163">
        <f>SUM(R181:R191)</f>
        <v>130</v>
      </c>
      <c r="S180" s="163">
        <f>SUM(S181:S191)</f>
        <v>72</v>
      </c>
      <c r="T180" s="165"/>
      <c r="U180" s="163">
        <f>SUM(U181:U191)</f>
        <v>143</v>
      </c>
      <c r="V180" s="163">
        <f>SUM(V181:V191)</f>
        <v>496</v>
      </c>
      <c r="W180" s="163">
        <f>SUM(W181:W191)</f>
        <v>639</v>
      </c>
      <c r="X180" s="163">
        <f>SUM(X181:X191)</f>
        <v>502</v>
      </c>
      <c r="Y180" s="163">
        <f>SUM(Y181:Y191)</f>
        <v>137</v>
      </c>
      <c r="AA180" s="1"/>
      <c r="AB180" s="1"/>
      <c r="AC180" s="1"/>
      <c r="AD180" s="1"/>
      <c r="AE180" s="1"/>
    </row>
    <row r="181" spans="1:31">
      <c r="A181" s="40" t="s">
        <v>34</v>
      </c>
      <c r="B181" s="167" t="s">
        <v>322</v>
      </c>
      <c r="C181" s="174">
        <v>7</v>
      </c>
      <c r="D181" s="174">
        <v>5</v>
      </c>
      <c r="E181" s="174">
        <f t="shared" si="61"/>
        <v>12</v>
      </c>
      <c r="F181" s="174">
        <v>1</v>
      </c>
      <c r="G181" s="174">
        <f t="shared" si="62"/>
        <v>11</v>
      </c>
      <c r="H181" s="174"/>
      <c r="I181" s="186">
        <v>0</v>
      </c>
      <c r="J181" s="174">
        <v>0</v>
      </c>
      <c r="K181" s="174">
        <f t="shared" ref="K181:K191" si="81">SUM(I181:J181)</f>
        <v>0</v>
      </c>
      <c r="L181" s="174">
        <v>0</v>
      </c>
      <c r="M181" s="174">
        <f t="shared" ref="M181:M191" si="82">K181-L181</f>
        <v>0</v>
      </c>
      <c r="N181" s="190"/>
      <c r="O181" s="174">
        <v>6</v>
      </c>
      <c r="P181" s="174">
        <v>13</v>
      </c>
      <c r="Q181" s="174">
        <f t="shared" ref="Q181:Q191" si="83">SUM(O181:P181)</f>
        <v>19</v>
      </c>
      <c r="R181" s="174">
        <v>10</v>
      </c>
      <c r="S181" s="174">
        <f t="shared" ref="S181:S191" si="84">Q181-R181</f>
        <v>9</v>
      </c>
      <c r="T181" s="190"/>
      <c r="U181" s="174">
        <v>12</v>
      </c>
      <c r="V181" s="174">
        <v>43</v>
      </c>
      <c r="W181" s="174">
        <f t="shared" ref="W181:W191" si="85">SUM(U181:V181)</f>
        <v>55</v>
      </c>
      <c r="X181" s="174">
        <v>39</v>
      </c>
      <c r="Y181" s="174">
        <f t="shared" ref="Y181:Y191" si="86">W181-X181</f>
        <v>16</v>
      </c>
    </row>
    <row r="182" spans="1:31">
      <c r="A182" s="40" t="s">
        <v>34</v>
      </c>
      <c r="B182" s="167" t="s">
        <v>323</v>
      </c>
      <c r="C182" s="174">
        <v>2</v>
      </c>
      <c r="D182" s="174">
        <v>1</v>
      </c>
      <c r="E182" s="174">
        <f t="shared" si="61"/>
        <v>3</v>
      </c>
      <c r="F182" s="174">
        <v>0</v>
      </c>
      <c r="G182" s="174">
        <f t="shared" si="62"/>
        <v>3</v>
      </c>
      <c r="H182" s="174"/>
      <c r="I182" s="186">
        <v>0</v>
      </c>
      <c r="J182" s="174">
        <v>0</v>
      </c>
      <c r="K182" s="174">
        <f t="shared" si="81"/>
        <v>0</v>
      </c>
      <c r="L182" s="174">
        <v>0</v>
      </c>
      <c r="M182" s="174">
        <f t="shared" si="82"/>
        <v>0</v>
      </c>
      <c r="N182" s="190"/>
      <c r="O182" s="174">
        <v>10</v>
      </c>
      <c r="P182" s="174">
        <v>29</v>
      </c>
      <c r="Q182" s="174">
        <f t="shared" si="83"/>
        <v>39</v>
      </c>
      <c r="R182" s="174">
        <v>36</v>
      </c>
      <c r="S182" s="174">
        <f t="shared" si="84"/>
        <v>3</v>
      </c>
      <c r="T182" s="190"/>
      <c r="U182" s="174">
        <v>26</v>
      </c>
      <c r="V182" s="174">
        <v>81</v>
      </c>
      <c r="W182" s="174">
        <f t="shared" si="85"/>
        <v>107</v>
      </c>
      <c r="X182" s="174">
        <v>97</v>
      </c>
      <c r="Y182" s="174">
        <f t="shared" si="86"/>
        <v>10</v>
      </c>
    </row>
    <row r="183" spans="1:31">
      <c r="A183" s="40" t="s">
        <v>34</v>
      </c>
      <c r="B183" s="167" t="s">
        <v>324</v>
      </c>
      <c r="C183" s="174">
        <v>9</v>
      </c>
      <c r="D183" s="174">
        <v>2</v>
      </c>
      <c r="E183" s="174">
        <f t="shared" si="61"/>
        <v>11</v>
      </c>
      <c r="F183" s="174">
        <v>4</v>
      </c>
      <c r="G183" s="174">
        <f t="shared" si="62"/>
        <v>7</v>
      </c>
      <c r="H183" s="174"/>
      <c r="I183" s="186">
        <v>0</v>
      </c>
      <c r="J183" s="174">
        <v>0</v>
      </c>
      <c r="K183" s="174">
        <f t="shared" si="81"/>
        <v>0</v>
      </c>
      <c r="L183" s="174">
        <v>0</v>
      </c>
      <c r="M183" s="174">
        <f t="shared" si="82"/>
        <v>0</v>
      </c>
      <c r="N183" s="190"/>
      <c r="O183" s="174">
        <v>4</v>
      </c>
      <c r="P183" s="174">
        <v>2</v>
      </c>
      <c r="Q183" s="174">
        <f t="shared" si="83"/>
        <v>6</v>
      </c>
      <c r="R183" s="174">
        <v>2</v>
      </c>
      <c r="S183" s="174">
        <f t="shared" si="84"/>
        <v>4</v>
      </c>
      <c r="T183" s="190"/>
      <c r="U183" s="174">
        <v>5</v>
      </c>
      <c r="V183" s="174">
        <v>21</v>
      </c>
      <c r="W183" s="174">
        <f t="shared" si="85"/>
        <v>26</v>
      </c>
      <c r="X183" s="174">
        <v>15</v>
      </c>
      <c r="Y183" s="174">
        <f t="shared" si="86"/>
        <v>11</v>
      </c>
    </row>
    <row r="184" spans="1:31">
      <c r="A184" s="40" t="s">
        <v>34</v>
      </c>
      <c r="B184" s="167" t="s">
        <v>325</v>
      </c>
      <c r="C184" s="174">
        <v>10</v>
      </c>
      <c r="D184" s="174">
        <v>11</v>
      </c>
      <c r="E184" s="174">
        <f t="shared" si="61"/>
        <v>21</v>
      </c>
      <c r="F184" s="174">
        <v>8</v>
      </c>
      <c r="G184" s="174">
        <f t="shared" si="62"/>
        <v>13</v>
      </c>
      <c r="H184" s="174"/>
      <c r="I184" s="186">
        <v>0</v>
      </c>
      <c r="J184" s="174">
        <v>0</v>
      </c>
      <c r="K184" s="174">
        <f t="shared" si="81"/>
        <v>0</v>
      </c>
      <c r="L184" s="174">
        <v>0</v>
      </c>
      <c r="M184" s="174">
        <f t="shared" si="82"/>
        <v>0</v>
      </c>
      <c r="N184" s="190"/>
      <c r="O184" s="174">
        <v>4</v>
      </c>
      <c r="P184" s="174">
        <v>11</v>
      </c>
      <c r="Q184" s="174">
        <f t="shared" si="83"/>
        <v>15</v>
      </c>
      <c r="R184" s="174">
        <v>12</v>
      </c>
      <c r="S184" s="174">
        <f t="shared" si="84"/>
        <v>3</v>
      </c>
      <c r="T184" s="190"/>
      <c r="U184" s="174">
        <v>13</v>
      </c>
      <c r="V184" s="174">
        <v>36</v>
      </c>
      <c r="W184" s="174">
        <f t="shared" si="85"/>
        <v>49</v>
      </c>
      <c r="X184" s="174">
        <v>41</v>
      </c>
      <c r="Y184" s="174">
        <f t="shared" si="86"/>
        <v>8</v>
      </c>
    </row>
    <row r="185" spans="1:31">
      <c r="A185" s="40" t="s">
        <v>34</v>
      </c>
      <c r="B185" s="167" t="s">
        <v>326</v>
      </c>
      <c r="C185" s="174">
        <v>11</v>
      </c>
      <c r="D185" s="174">
        <v>12</v>
      </c>
      <c r="E185" s="174">
        <f t="shared" si="61"/>
        <v>23</v>
      </c>
      <c r="F185" s="174">
        <v>4</v>
      </c>
      <c r="G185" s="174">
        <f t="shared" si="62"/>
        <v>19</v>
      </c>
      <c r="H185" s="174"/>
      <c r="I185" s="186">
        <v>0</v>
      </c>
      <c r="J185" s="174">
        <v>0</v>
      </c>
      <c r="K185" s="174">
        <f t="shared" si="81"/>
        <v>0</v>
      </c>
      <c r="L185" s="174">
        <v>0</v>
      </c>
      <c r="M185" s="174">
        <f t="shared" si="82"/>
        <v>0</v>
      </c>
      <c r="N185" s="190"/>
      <c r="O185" s="174">
        <v>7</v>
      </c>
      <c r="P185" s="174">
        <v>6</v>
      </c>
      <c r="Q185" s="174">
        <f t="shared" si="83"/>
        <v>13</v>
      </c>
      <c r="R185" s="174">
        <v>8</v>
      </c>
      <c r="S185" s="174">
        <f t="shared" si="84"/>
        <v>5</v>
      </c>
      <c r="T185" s="190"/>
      <c r="U185" s="174">
        <v>34</v>
      </c>
      <c r="V185" s="174">
        <v>69</v>
      </c>
      <c r="W185" s="174">
        <f t="shared" si="85"/>
        <v>103</v>
      </c>
      <c r="X185" s="174">
        <v>65</v>
      </c>
      <c r="Y185" s="174">
        <f t="shared" si="86"/>
        <v>38</v>
      </c>
    </row>
    <row r="186" spans="1:31">
      <c r="A186" s="40" t="s">
        <v>34</v>
      </c>
      <c r="B186" s="167" t="s">
        <v>327</v>
      </c>
      <c r="C186" s="174">
        <v>7</v>
      </c>
      <c r="D186" s="174">
        <v>0</v>
      </c>
      <c r="E186" s="174">
        <f t="shared" si="61"/>
        <v>7</v>
      </c>
      <c r="F186" s="174">
        <v>2</v>
      </c>
      <c r="G186" s="174">
        <f t="shared" si="62"/>
        <v>5</v>
      </c>
      <c r="H186" s="174"/>
      <c r="I186" s="186">
        <v>0</v>
      </c>
      <c r="J186" s="174">
        <v>0</v>
      </c>
      <c r="K186" s="174">
        <f t="shared" si="81"/>
        <v>0</v>
      </c>
      <c r="L186" s="174">
        <v>0</v>
      </c>
      <c r="M186" s="174">
        <f t="shared" si="82"/>
        <v>0</v>
      </c>
      <c r="N186" s="190"/>
      <c r="O186" s="174">
        <v>1</v>
      </c>
      <c r="P186" s="174">
        <v>7</v>
      </c>
      <c r="Q186" s="174">
        <f t="shared" si="83"/>
        <v>8</v>
      </c>
      <c r="R186" s="174">
        <v>7</v>
      </c>
      <c r="S186" s="174">
        <f t="shared" si="84"/>
        <v>1</v>
      </c>
      <c r="T186" s="190"/>
      <c r="U186" s="174">
        <v>5</v>
      </c>
      <c r="V186" s="174">
        <v>21</v>
      </c>
      <c r="W186" s="174">
        <f t="shared" si="85"/>
        <v>26</v>
      </c>
      <c r="X186" s="174">
        <v>21</v>
      </c>
      <c r="Y186" s="174">
        <f t="shared" si="86"/>
        <v>5</v>
      </c>
    </row>
    <row r="187" spans="1:31">
      <c r="A187" s="40" t="s">
        <v>34</v>
      </c>
      <c r="B187" s="167" t="s">
        <v>328</v>
      </c>
      <c r="C187" s="174">
        <v>4</v>
      </c>
      <c r="D187" s="174">
        <v>1</v>
      </c>
      <c r="E187" s="174">
        <f t="shared" si="61"/>
        <v>5</v>
      </c>
      <c r="F187" s="174">
        <v>1</v>
      </c>
      <c r="G187" s="174">
        <f t="shared" si="62"/>
        <v>4</v>
      </c>
      <c r="H187" s="174"/>
      <c r="I187" s="186">
        <v>0</v>
      </c>
      <c r="J187" s="174">
        <v>0</v>
      </c>
      <c r="K187" s="174">
        <f t="shared" si="81"/>
        <v>0</v>
      </c>
      <c r="L187" s="174">
        <v>0</v>
      </c>
      <c r="M187" s="174">
        <f t="shared" si="82"/>
        <v>0</v>
      </c>
      <c r="N187" s="190"/>
      <c r="O187" s="174">
        <v>4</v>
      </c>
      <c r="P187" s="174">
        <v>9</v>
      </c>
      <c r="Q187" s="174">
        <f t="shared" si="83"/>
        <v>13</v>
      </c>
      <c r="R187" s="174">
        <v>5</v>
      </c>
      <c r="S187" s="174">
        <f t="shared" si="84"/>
        <v>8</v>
      </c>
      <c r="T187" s="190"/>
      <c r="U187" s="174">
        <v>3</v>
      </c>
      <c r="V187" s="174">
        <v>26</v>
      </c>
      <c r="W187" s="174">
        <f t="shared" si="85"/>
        <v>29</v>
      </c>
      <c r="X187" s="174">
        <v>20</v>
      </c>
      <c r="Y187" s="174">
        <f t="shared" si="86"/>
        <v>9</v>
      </c>
    </row>
    <row r="188" spans="1:31">
      <c r="A188" s="40" t="s">
        <v>34</v>
      </c>
      <c r="B188" s="167" t="s">
        <v>329</v>
      </c>
      <c r="C188" s="174">
        <v>1</v>
      </c>
      <c r="D188" s="174">
        <v>2</v>
      </c>
      <c r="E188" s="174">
        <f t="shared" si="61"/>
        <v>3</v>
      </c>
      <c r="F188" s="174">
        <v>2</v>
      </c>
      <c r="G188" s="174">
        <f t="shared" si="62"/>
        <v>1</v>
      </c>
      <c r="H188" s="174"/>
      <c r="I188" s="186">
        <v>0</v>
      </c>
      <c r="J188" s="174">
        <v>0</v>
      </c>
      <c r="K188" s="174">
        <f t="shared" si="81"/>
        <v>0</v>
      </c>
      <c r="L188" s="174">
        <v>0</v>
      </c>
      <c r="M188" s="174">
        <f t="shared" si="82"/>
        <v>0</v>
      </c>
      <c r="N188" s="190"/>
      <c r="O188" s="174">
        <v>3</v>
      </c>
      <c r="P188" s="174">
        <v>2</v>
      </c>
      <c r="Q188" s="174">
        <f t="shared" si="83"/>
        <v>5</v>
      </c>
      <c r="R188" s="174">
        <v>3</v>
      </c>
      <c r="S188" s="174">
        <f t="shared" si="84"/>
        <v>2</v>
      </c>
      <c r="T188" s="190"/>
      <c r="U188" s="174">
        <v>4</v>
      </c>
      <c r="V188" s="174">
        <v>7</v>
      </c>
      <c r="W188" s="174">
        <f t="shared" si="85"/>
        <v>11</v>
      </c>
      <c r="X188" s="174">
        <v>7</v>
      </c>
      <c r="Y188" s="174">
        <f t="shared" si="86"/>
        <v>4</v>
      </c>
    </row>
    <row r="189" spans="1:31">
      <c r="A189" s="40" t="s">
        <v>34</v>
      </c>
      <c r="B189" s="167" t="s">
        <v>330</v>
      </c>
      <c r="C189" s="174">
        <v>7</v>
      </c>
      <c r="D189" s="174">
        <v>4</v>
      </c>
      <c r="E189" s="174">
        <f t="shared" si="61"/>
        <v>11</v>
      </c>
      <c r="F189" s="174">
        <v>3</v>
      </c>
      <c r="G189" s="174">
        <f t="shared" si="62"/>
        <v>8</v>
      </c>
      <c r="H189" s="174"/>
      <c r="I189" s="186">
        <v>0</v>
      </c>
      <c r="J189" s="174">
        <v>0</v>
      </c>
      <c r="K189" s="174">
        <f t="shared" si="81"/>
        <v>0</v>
      </c>
      <c r="L189" s="174">
        <v>0</v>
      </c>
      <c r="M189" s="174">
        <f t="shared" si="82"/>
        <v>0</v>
      </c>
      <c r="N189" s="190"/>
      <c r="O189" s="174">
        <v>3</v>
      </c>
      <c r="P189" s="174">
        <v>5</v>
      </c>
      <c r="Q189" s="174">
        <f t="shared" si="83"/>
        <v>8</v>
      </c>
      <c r="R189" s="174">
        <v>4</v>
      </c>
      <c r="S189" s="174">
        <f t="shared" si="84"/>
        <v>4</v>
      </c>
      <c r="T189" s="190"/>
      <c r="U189" s="174">
        <v>8</v>
      </c>
      <c r="V189" s="174">
        <v>12</v>
      </c>
      <c r="W189" s="174">
        <f t="shared" si="85"/>
        <v>20</v>
      </c>
      <c r="X189" s="174">
        <v>14</v>
      </c>
      <c r="Y189" s="174">
        <f t="shared" si="86"/>
        <v>6</v>
      </c>
    </row>
    <row r="190" spans="1:31">
      <c r="A190" s="40" t="s">
        <v>34</v>
      </c>
      <c r="B190" s="167" t="s">
        <v>331</v>
      </c>
      <c r="C190" s="174">
        <v>0</v>
      </c>
      <c r="D190" s="174">
        <v>2</v>
      </c>
      <c r="E190" s="174">
        <f t="shared" si="61"/>
        <v>2</v>
      </c>
      <c r="F190" s="174">
        <v>1</v>
      </c>
      <c r="G190" s="174">
        <f t="shared" si="62"/>
        <v>1</v>
      </c>
      <c r="H190" s="174"/>
      <c r="I190" s="186">
        <v>0</v>
      </c>
      <c r="J190" s="174">
        <v>0</v>
      </c>
      <c r="K190" s="174">
        <f t="shared" si="81"/>
        <v>0</v>
      </c>
      <c r="L190" s="174">
        <v>0</v>
      </c>
      <c r="M190" s="174">
        <f t="shared" si="82"/>
        <v>0</v>
      </c>
      <c r="N190" s="190"/>
      <c r="O190" s="174">
        <v>9</v>
      </c>
      <c r="P190" s="174">
        <v>6</v>
      </c>
      <c r="Q190" s="174">
        <f t="shared" si="83"/>
        <v>15</v>
      </c>
      <c r="R190" s="174">
        <v>10</v>
      </c>
      <c r="S190" s="174">
        <f t="shared" si="84"/>
        <v>5</v>
      </c>
      <c r="T190" s="190"/>
      <c r="U190" s="174">
        <v>5</v>
      </c>
      <c r="V190" s="174">
        <v>17</v>
      </c>
      <c r="W190" s="174">
        <f t="shared" si="85"/>
        <v>22</v>
      </c>
      <c r="X190" s="174">
        <v>16</v>
      </c>
      <c r="Y190" s="174">
        <f t="shared" si="86"/>
        <v>6</v>
      </c>
    </row>
    <row r="191" spans="1:31">
      <c r="A191" s="178" t="s">
        <v>34</v>
      </c>
      <c r="B191" s="179" t="s">
        <v>332</v>
      </c>
      <c r="C191" s="187">
        <v>36</v>
      </c>
      <c r="D191" s="187">
        <v>37</v>
      </c>
      <c r="E191" s="187">
        <f t="shared" si="61"/>
        <v>73</v>
      </c>
      <c r="F191" s="187">
        <v>20</v>
      </c>
      <c r="G191" s="187">
        <f t="shared" si="62"/>
        <v>53</v>
      </c>
      <c r="H191" s="187"/>
      <c r="I191" s="191">
        <v>1</v>
      </c>
      <c r="J191" s="187">
        <v>0</v>
      </c>
      <c r="K191" s="187">
        <f t="shared" si="81"/>
        <v>1</v>
      </c>
      <c r="L191" s="187">
        <v>1</v>
      </c>
      <c r="M191" s="187">
        <f t="shared" si="82"/>
        <v>0</v>
      </c>
      <c r="N191" s="192"/>
      <c r="O191" s="187">
        <v>19</v>
      </c>
      <c r="P191" s="187">
        <v>42</v>
      </c>
      <c r="Q191" s="187">
        <f t="shared" si="83"/>
        <v>61</v>
      </c>
      <c r="R191" s="187">
        <v>33</v>
      </c>
      <c r="S191" s="187">
        <f t="shared" si="84"/>
        <v>28</v>
      </c>
      <c r="T191" s="192"/>
      <c r="U191" s="187">
        <v>28</v>
      </c>
      <c r="V191" s="187">
        <v>163</v>
      </c>
      <c r="W191" s="187">
        <f t="shared" si="85"/>
        <v>191</v>
      </c>
      <c r="X191" s="187">
        <v>167</v>
      </c>
      <c r="Y191" s="187">
        <f t="shared" si="86"/>
        <v>24</v>
      </c>
    </row>
    <row r="192" spans="1:31" s="22" customFormat="1">
      <c r="A192" s="84" t="s">
        <v>45</v>
      </c>
      <c r="B192" s="159" t="s">
        <v>1</v>
      </c>
      <c r="C192" s="163">
        <f>SUM(C193:C201)</f>
        <v>157</v>
      </c>
      <c r="D192" s="163">
        <f>SUM(D193:D201)</f>
        <v>61</v>
      </c>
      <c r="E192" s="163">
        <f t="shared" si="61"/>
        <v>218</v>
      </c>
      <c r="F192" s="163">
        <f>SUM(F193:F201)</f>
        <v>87</v>
      </c>
      <c r="G192" s="163">
        <f t="shared" si="62"/>
        <v>131</v>
      </c>
      <c r="H192" s="163"/>
      <c r="I192" s="164">
        <f>SUM(I193:I201)</f>
        <v>4</v>
      </c>
      <c r="J192" s="163">
        <f>SUM(J193:J201)</f>
        <v>0</v>
      </c>
      <c r="K192" s="163">
        <f>SUM(K193:K201)</f>
        <v>4</v>
      </c>
      <c r="L192" s="163">
        <f>SUM(L193:L201)</f>
        <v>4</v>
      </c>
      <c r="M192" s="163">
        <f>SUM(M193:M201)</f>
        <v>0</v>
      </c>
      <c r="N192" s="165"/>
      <c r="O192" s="163">
        <f>SUM(O193:O201)</f>
        <v>78</v>
      </c>
      <c r="P192" s="163">
        <f>SUM(P193:P201)</f>
        <v>119</v>
      </c>
      <c r="Q192" s="163">
        <f>SUM(Q193:Q201)</f>
        <v>197</v>
      </c>
      <c r="R192" s="163">
        <f>SUM(R193:R201)</f>
        <v>131</v>
      </c>
      <c r="S192" s="163">
        <f>SUM(S193:S201)</f>
        <v>66</v>
      </c>
      <c r="T192" s="165"/>
      <c r="U192" s="163">
        <f>SUM(U193:U201)</f>
        <v>115</v>
      </c>
      <c r="V192" s="163">
        <f>SUM(V193:V201)</f>
        <v>321</v>
      </c>
      <c r="W192" s="163">
        <f>SUM(W193:W201)</f>
        <v>436</v>
      </c>
      <c r="X192" s="163">
        <f>SUM(X193:X201)</f>
        <v>352</v>
      </c>
      <c r="Y192" s="163">
        <f>SUM(Y193:Y201)</f>
        <v>84</v>
      </c>
      <c r="AA192" s="1"/>
      <c r="AB192" s="1"/>
      <c r="AC192" s="1"/>
      <c r="AD192" s="1"/>
      <c r="AE192" s="1"/>
    </row>
    <row r="193" spans="1:31">
      <c r="A193" s="40" t="s">
        <v>45</v>
      </c>
      <c r="B193" s="167" t="s">
        <v>333</v>
      </c>
      <c r="C193" s="174">
        <v>35</v>
      </c>
      <c r="D193" s="174">
        <v>21</v>
      </c>
      <c r="E193" s="174">
        <f t="shared" si="61"/>
        <v>56</v>
      </c>
      <c r="F193" s="174">
        <v>40</v>
      </c>
      <c r="G193" s="174">
        <f t="shared" si="62"/>
        <v>16</v>
      </c>
      <c r="H193" s="174"/>
      <c r="I193" s="186">
        <v>0</v>
      </c>
      <c r="J193" s="174">
        <v>0</v>
      </c>
      <c r="K193" s="174">
        <f t="shared" ref="K193:K201" si="87">SUM(I193:J193)</f>
        <v>0</v>
      </c>
      <c r="L193" s="174">
        <v>0</v>
      </c>
      <c r="M193" s="174">
        <f t="shared" ref="M193:M201" si="88">K193-L193</f>
        <v>0</v>
      </c>
      <c r="N193" s="190"/>
      <c r="O193" s="174">
        <v>18</v>
      </c>
      <c r="P193" s="174">
        <v>49</v>
      </c>
      <c r="Q193" s="174">
        <f t="shared" ref="Q193:Q201" si="89">SUM(O193:P193)</f>
        <v>67</v>
      </c>
      <c r="R193" s="174">
        <v>43</v>
      </c>
      <c r="S193" s="174">
        <f t="shared" ref="S193:S201" si="90">Q193-R193</f>
        <v>24</v>
      </c>
      <c r="T193" s="190"/>
      <c r="U193" s="174">
        <v>28</v>
      </c>
      <c r="V193" s="174">
        <v>101</v>
      </c>
      <c r="W193" s="174">
        <f t="shared" ref="W193:W201" si="91">SUM(U193:V193)</f>
        <v>129</v>
      </c>
      <c r="X193" s="174">
        <v>104</v>
      </c>
      <c r="Y193" s="174">
        <f t="shared" ref="Y193:Y201" si="92">W193-X193</f>
        <v>25</v>
      </c>
    </row>
    <row r="194" spans="1:31">
      <c r="A194" s="40" t="s">
        <v>45</v>
      </c>
      <c r="B194" s="167" t="s">
        <v>325</v>
      </c>
      <c r="C194" s="174">
        <v>30</v>
      </c>
      <c r="D194" s="174">
        <v>6</v>
      </c>
      <c r="E194" s="174">
        <f t="shared" si="61"/>
        <v>36</v>
      </c>
      <c r="F194" s="174">
        <v>9</v>
      </c>
      <c r="G194" s="174">
        <f t="shared" si="62"/>
        <v>27</v>
      </c>
      <c r="H194" s="174"/>
      <c r="I194" s="186">
        <v>3</v>
      </c>
      <c r="J194" s="174">
        <v>0</v>
      </c>
      <c r="K194" s="174">
        <f t="shared" si="87"/>
        <v>3</v>
      </c>
      <c r="L194" s="174">
        <v>3</v>
      </c>
      <c r="M194" s="174">
        <f t="shared" si="88"/>
        <v>0</v>
      </c>
      <c r="N194" s="190"/>
      <c r="O194" s="174">
        <v>19</v>
      </c>
      <c r="P194" s="174">
        <v>6</v>
      </c>
      <c r="Q194" s="174">
        <f t="shared" si="89"/>
        <v>25</v>
      </c>
      <c r="R194" s="174">
        <v>10</v>
      </c>
      <c r="S194" s="174">
        <f t="shared" si="90"/>
        <v>15</v>
      </c>
      <c r="T194" s="190"/>
      <c r="U194" s="174">
        <v>31</v>
      </c>
      <c r="V194" s="174">
        <v>60</v>
      </c>
      <c r="W194" s="174">
        <f t="shared" si="91"/>
        <v>91</v>
      </c>
      <c r="X194" s="174">
        <v>65</v>
      </c>
      <c r="Y194" s="174">
        <f t="shared" si="92"/>
        <v>26</v>
      </c>
    </row>
    <row r="195" spans="1:31">
      <c r="A195" s="40" t="s">
        <v>45</v>
      </c>
      <c r="B195" s="167" t="s">
        <v>305</v>
      </c>
      <c r="C195" s="174">
        <v>2</v>
      </c>
      <c r="D195" s="174">
        <v>2</v>
      </c>
      <c r="E195" s="174">
        <f t="shared" si="61"/>
        <v>4</v>
      </c>
      <c r="F195" s="174">
        <v>1</v>
      </c>
      <c r="G195" s="174">
        <f t="shared" si="62"/>
        <v>3</v>
      </c>
      <c r="H195" s="174"/>
      <c r="I195" s="186">
        <v>0</v>
      </c>
      <c r="J195" s="174">
        <v>0</v>
      </c>
      <c r="K195" s="174">
        <f t="shared" si="87"/>
        <v>0</v>
      </c>
      <c r="L195" s="174">
        <v>0</v>
      </c>
      <c r="M195" s="174">
        <f t="shared" si="88"/>
        <v>0</v>
      </c>
      <c r="N195" s="190"/>
      <c r="O195" s="174">
        <v>0</v>
      </c>
      <c r="P195" s="174">
        <v>14</v>
      </c>
      <c r="Q195" s="174">
        <f t="shared" si="89"/>
        <v>14</v>
      </c>
      <c r="R195" s="174">
        <v>10</v>
      </c>
      <c r="S195" s="174">
        <f t="shared" si="90"/>
        <v>4</v>
      </c>
      <c r="T195" s="190"/>
      <c r="U195" s="174">
        <v>6</v>
      </c>
      <c r="V195" s="174">
        <v>31</v>
      </c>
      <c r="W195" s="174">
        <f t="shared" si="91"/>
        <v>37</v>
      </c>
      <c r="X195" s="174">
        <v>28</v>
      </c>
      <c r="Y195" s="174">
        <f t="shared" si="92"/>
        <v>9</v>
      </c>
    </row>
    <row r="196" spans="1:31">
      <c r="A196" s="40" t="s">
        <v>45</v>
      </c>
      <c r="B196" s="167" t="s">
        <v>334</v>
      </c>
      <c r="C196" s="174">
        <v>26</v>
      </c>
      <c r="D196" s="174">
        <v>12</v>
      </c>
      <c r="E196" s="174">
        <f t="shared" si="61"/>
        <v>38</v>
      </c>
      <c r="F196" s="174">
        <v>5</v>
      </c>
      <c r="G196" s="174">
        <f t="shared" si="62"/>
        <v>33</v>
      </c>
      <c r="H196" s="174"/>
      <c r="I196" s="186">
        <v>1</v>
      </c>
      <c r="J196" s="174">
        <v>0</v>
      </c>
      <c r="K196" s="174">
        <f t="shared" si="87"/>
        <v>1</v>
      </c>
      <c r="L196" s="174">
        <v>1</v>
      </c>
      <c r="M196" s="174">
        <f t="shared" si="88"/>
        <v>0</v>
      </c>
      <c r="N196" s="190"/>
      <c r="O196" s="174">
        <v>10</v>
      </c>
      <c r="P196" s="174">
        <v>6</v>
      </c>
      <c r="Q196" s="174">
        <f t="shared" si="89"/>
        <v>16</v>
      </c>
      <c r="R196" s="174">
        <v>12</v>
      </c>
      <c r="S196" s="174">
        <f t="shared" si="90"/>
        <v>4</v>
      </c>
      <c r="T196" s="190"/>
      <c r="U196" s="174">
        <v>14</v>
      </c>
      <c r="V196" s="174">
        <v>30</v>
      </c>
      <c r="W196" s="174">
        <f t="shared" si="91"/>
        <v>44</v>
      </c>
      <c r="X196" s="174">
        <v>37</v>
      </c>
      <c r="Y196" s="174">
        <f t="shared" si="92"/>
        <v>7</v>
      </c>
    </row>
    <row r="197" spans="1:31">
      <c r="A197" s="40" t="s">
        <v>45</v>
      </c>
      <c r="B197" s="167" t="s">
        <v>335</v>
      </c>
      <c r="C197" s="174">
        <v>15</v>
      </c>
      <c r="D197" s="174">
        <v>3</v>
      </c>
      <c r="E197" s="174">
        <f t="shared" si="61"/>
        <v>18</v>
      </c>
      <c r="F197" s="174">
        <v>5</v>
      </c>
      <c r="G197" s="174">
        <f t="shared" si="62"/>
        <v>13</v>
      </c>
      <c r="H197" s="174"/>
      <c r="I197" s="186">
        <v>0</v>
      </c>
      <c r="J197" s="174">
        <v>0</v>
      </c>
      <c r="K197" s="174">
        <f t="shared" si="87"/>
        <v>0</v>
      </c>
      <c r="L197" s="174">
        <v>0</v>
      </c>
      <c r="M197" s="174">
        <f t="shared" si="88"/>
        <v>0</v>
      </c>
      <c r="N197" s="190"/>
      <c r="O197" s="174">
        <v>3</v>
      </c>
      <c r="P197" s="174">
        <v>3</v>
      </c>
      <c r="Q197" s="174">
        <f t="shared" si="89"/>
        <v>6</v>
      </c>
      <c r="R197" s="174">
        <v>3</v>
      </c>
      <c r="S197" s="174">
        <f t="shared" si="90"/>
        <v>3</v>
      </c>
      <c r="T197" s="190"/>
      <c r="U197" s="174">
        <v>6</v>
      </c>
      <c r="V197" s="174">
        <v>16</v>
      </c>
      <c r="W197" s="174">
        <f t="shared" si="91"/>
        <v>22</v>
      </c>
      <c r="X197" s="174">
        <v>19</v>
      </c>
      <c r="Y197" s="174">
        <f t="shared" si="92"/>
        <v>3</v>
      </c>
    </row>
    <row r="198" spans="1:31">
      <c r="A198" s="40" t="s">
        <v>45</v>
      </c>
      <c r="B198" s="167" t="s">
        <v>336</v>
      </c>
      <c r="C198" s="174">
        <v>3</v>
      </c>
      <c r="D198" s="174">
        <v>3</v>
      </c>
      <c r="E198" s="174">
        <f t="shared" si="61"/>
        <v>6</v>
      </c>
      <c r="F198" s="174">
        <v>2</v>
      </c>
      <c r="G198" s="174">
        <f t="shared" si="62"/>
        <v>4</v>
      </c>
      <c r="H198" s="174"/>
      <c r="I198" s="186">
        <v>0</v>
      </c>
      <c r="J198" s="174">
        <v>0</v>
      </c>
      <c r="K198" s="174">
        <f t="shared" si="87"/>
        <v>0</v>
      </c>
      <c r="L198" s="174">
        <v>0</v>
      </c>
      <c r="M198" s="174">
        <f t="shared" si="88"/>
        <v>0</v>
      </c>
      <c r="N198" s="190"/>
      <c r="O198" s="174">
        <v>7</v>
      </c>
      <c r="P198" s="174">
        <v>11</v>
      </c>
      <c r="Q198" s="174">
        <f t="shared" si="89"/>
        <v>18</v>
      </c>
      <c r="R198" s="174">
        <v>12</v>
      </c>
      <c r="S198" s="174">
        <f t="shared" si="90"/>
        <v>6</v>
      </c>
      <c r="T198" s="190"/>
      <c r="U198" s="174">
        <v>5</v>
      </c>
      <c r="V198" s="174">
        <v>9</v>
      </c>
      <c r="W198" s="174">
        <f t="shared" si="91"/>
        <v>14</v>
      </c>
      <c r="X198" s="174">
        <v>9</v>
      </c>
      <c r="Y198" s="174">
        <f t="shared" si="92"/>
        <v>5</v>
      </c>
    </row>
    <row r="199" spans="1:31">
      <c r="A199" s="40" t="s">
        <v>45</v>
      </c>
      <c r="B199" s="167" t="s">
        <v>337</v>
      </c>
      <c r="C199" s="174">
        <v>11</v>
      </c>
      <c r="D199" s="174">
        <v>2</v>
      </c>
      <c r="E199" s="174">
        <f t="shared" si="61"/>
        <v>13</v>
      </c>
      <c r="F199" s="174">
        <v>7</v>
      </c>
      <c r="G199" s="174">
        <f t="shared" si="62"/>
        <v>6</v>
      </c>
      <c r="H199" s="174"/>
      <c r="I199" s="186">
        <v>0</v>
      </c>
      <c r="J199" s="174">
        <v>0</v>
      </c>
      <c r="K199" s="174">
        <f t="shared" si="87"/>
        <v>0</v>
      </c>
      <c r="L199" s="174">
        <v>0</v>
      </c>
      <c r="M199" s="174">
        <f t="shared" si="88"/>
        <v>0</v>
      </c>
      <c r="N199" s="190"/>
      <c r="O199" s="174">
        <v>11</v>
      </c>
      <c r="P199" s="174">
        <v>15</v>
      </c>
      <c r="Q199" s="174">
        <f t="shared" si="89"/>
        <v>26</v>
      </c>
      <c r="R199" s="174">
        <v>21</v>
      </c>
      <c r="S199" s="174">
        <f t="shared" si="90"/>
        <v>5</v>
      </c>
      <c r="T199" s="190"/>
      <c r="U199" s="174">
        <v>10</v>
      </c>
      <c r="V199" s="174">
        <v>34</v>
      </c>
      <c r="W199" s="174">
        <f t="shared" si="91"/>
        <v>44</v>
      </c>
      <c r="X199" s="174">
        <v>41</v>
      </c>
      <c r="Y199" s="174">
        <f t="shared" si="92"/>
        <v>3</v>
      </c>
    </row>
    <row r="200" spans="1:31">
      <c r="A200" s="40" t="s">
        <v>45</v>
      </c>
      <c r="B200" s="167" t="s">
        <v>338</v>
      </c>
      <c r="C200" s="174">
        <v>17</v>
      </c>
      <c r="D200" s="174">
        <v>4</v>
      </c>
      <c r="E200" s="174">
        <f t="shared" si="61"/>
        <v>21</v>
      </c>
      <c r="F200" s="174">
        <v>7</v>
      </c>
      <c r="G200" s="174">
        <f t="shared" si="62"/>
        <v>14</v>
      </c>
      <c r="H200" s="174"/>
      <c r="I200" s="186">
        <v>0</v>
      </c>
      <c r="J200" s="174">
        <v>0</v>
      </c>
      <c r="K200" s="174">
        <f t="shared" si="87"/>
        <v>0</v>
      </c>
      <c r="L200" s="174">
        <v>0</v>
      </c>
      <c r="M200" s="174">
        <f t="shared" si="88"/>
        <v>0</v>
      </c>
      <c r="N200" s="190"/>
      <c r="O200" s="174">
        <v>4</v>
      </c>
      <c r="P200" s="174">
        <v>10</v>
      </c>
      <c r="Q200" s="174">
        <f t="shared" si="89"/>
        <v>14</v>
      </c>
      <c r="R200" s="174">
        <v>11</v>
      </c>
      <c r="S200" s="174">
        <f t="shared" si="90"/>
        <v>3</v>
      </c>
      <c r="T200" s="190"/>
      <c r="U200" s="174">
        <v>8</v>
      </c>
      <c r="V200" s="174">
        <v>21</v>
      </c>
      <c r="W200" s="174">
        <f t="shared" si="91"/>
        <v>29</v>
      </c>
      <c r="X200" s="174">
        <v>28</v>
      </c>
      <c r="Y200" s="174">
        <f t="shared" si="92"/>
        <v>1</v>
      </c>
    </row>
    <row r="201" spans="1:31">
      <c r="A201" s="168" t="s">
        <v>45</v>
      </c>
      <c r="B201" s="169" t="s">
        <v>339</v>
      </c>
      <c r="C201" s="187">
        <v>18</v>
      </c>
      <c r="D201" s="187">
        <v>8</v>
      </c>
      <c r="E201" s="187">
        <f t="shared" ref="E201:E211" si="93">SUM(C201:D201)</f>
        <v>26</v>
      </c>
      <c r="F201" s="187">
        <v>11</v>
      </c>
      <c r="G201" s="187">
        <f t="shared" ref="G201:G211" si="94">E201-F201</f>
        <v>15</v>
      </c>
      <c r="H201" s="187"/>
      <c r="I201" s="191">
        <v>0</v>
      </c>
      <c r="J201" s="187">
        <v>0</v>
      </c>
      <c r="K201" s="187">
        <f t="shared" si="87"/>
        <v>0</v>
      </c>
      <c r="L201" s="187">
        <v>0</v>
      </c>
      <c r="M201" s="187">
        <f t="shared" si="88"/>
        <v>0</v>
      </c>
      <c r="N201" s="192"/>
      <c r="O201" s="187">
        <v>6</v>
      </c>
      <c r="P201" s="187">
        <v>5</v>
      </c>
      <c r="Q201" s="187">
        <f t="shared" si="89"/>
        <v>11</v>
      </c>
      <c r="R201" s="187">
        <v>9</v>
      </c>
      <c r="S201" s="187">
        <f t="shared" si="90"/>
        <v>2</v>
      </c>
      <c r="T201" s="192"/>
      <c r="U201" s="187">
        <v>7</v>
      </c>
      <c r="V201" s="187">
        <v>19</v>
      </c>
      <c r="W201" s="187">
        <f t="shared" si="91"/>
        <v>26</v>
      </c>
      <c r="X201" s="187">
        <v>21</v>
      </c>
      <c r="Y201" s="187">
        <f t="shared" si="92"/>
        <v>5</v>
      </c>
    </row>
    <row r="202" spans="1:31" s="22" customFormat="1">
      <c r="A202" s="84" t="s">
        <v>46</v>
      </c>
      <c r="B202" s="159" t="s">
        <v>1</v>
      </c>
      <c r="C202" s="163">
        <f>SUM(C203:C211)</f>
        <v>278</v>
      </c>
      <c r="D202" s="163">
        <f>SUM(D203:D211)</f>
        <v>127</v>
      </c>
      <c r="E202" s="163">
        <f t="shared" si="93"/>
        <v>405</v>
      </c>
      <c r="F202" s="163">
        <f>SUM(F203:F211)</f>
        <v>155</v>
      </c>
      <c r="G202" s="163">
        <f t="shared" si="94"/>
        <v>250</v>
      </c>
      <c r="H202" s="163"/>
      <c r="I202" s="164">
        <f>SUM(I203:I211)</f>
        <v>0</v>
      </c>
      <c r="J202" s="163">
        <f>SUM(J203:J211)</f>
        <v>0</v>
      </c>
      <c r="K202" s="163">
        <f>SUM(K203:K211)</f>
        <v>0</v>
      </c>
      <c r="L202" s="163">
        <f>SUM(L203:L211)</f>
        <v>0</v>
      </c>
      <c r="M202" s="163">
        <f>SUM(M203:M211)</f>
        <v>0</v>
      </c>
      <c r="N202" s="165"/>
      <c r="O202" s="163">
        <f>SUM(O203:O211)</f>
        <v>123</v>
      </c>
      <c r="P202" s="163">
        <f>SUM(P203:P211)</f>
        <v>106</v>
      </c>
      <c r="Q202" s="163">
        <f>SUM(Q203:Q211)</f>
        <v>229</v>
      </c>
      <c r="R202" s="163">
        <f>SUM(R203:R211)</f>
        <v>145</v>
      </c>
      <c r="S202" s="163">
        <f>SUM(S203:S211)</f>
        <v>84</v>
      </c>
      <c r="T202" s="165"/>
      <c r="U202" s="163">
        <f>SUM(U203:U211)</f>
        <v>175</v>
      </c>
      <c r="V202" s="163">
        <f>SUM(V203:V211)</f>
        <v>424</v>
      </c>
      <c r="W202" s="163">
        <f>SUM(W203:W211)</f>
        <v>599</v>
      </c>
      <c r="X202" s="163">
        <f>SUM(X203:X211)</f>
        <v>474</v>
      </c>
      <c r="Y202" s="163">
        <f>SUM(Y203:Y211)</f>
        <v>125</v>
      </c>
      <c r="AA202" s="1"/>
      <c r="AB202" s="1"/>
      <c r="AC202" s="1"/>
      <c r="AD202" s="1"/>
      <c r="AE202" s="1"/>
    </row>
    <row r="203" spans="1:31">
      <c r="A203" s="40" t="s">
        <v>46</v>
      </c>
      <c r="B203" s="167" t="s">
        <v>291</v>
      </c>
      <c r="C203" s="174">
        <v>136</v>
      </c>
      <c r="D203" s="174">
        <v>54</v>
      </c>
      <c r="E203" s="174">
        <f t="shared" si="93"/>
        <v>190</v>
      </c>
      <c r="F203" s="174">
        <v>65</v>
      </c>
      <c r="G203" s="174">
        <f t="shared" si="94"/>
        <v>125</v>
      </c>
      <c r="H203" s="174"/>
      <c r="I203" s="186">
        <v>0</v>
      </c>
      <c r="J203" s="174">
        <v>0</v>
      </c>
      <c r="K203" s="174">
        <f t="shared" ref="K203:K211" si="95">SUM(I203:J203)</f>
        <v>0</v>
      </c>
      <c r="L203" s="174">
        <v>0</v>
      </c>
      <c r="M203" s="174">
        <f t="shared" ref="M203:M211" si="96">K203-L203</f>
        <v>0</v>
      </c>
      <c r="N203" s="190"/>
      <c r="O203" s="174">
        <v>89</v>
      </c>
      <c r="P203" s="174">
        <v>57</v>
      </c>
      <c r="Q203" s="174">
        <f t="shared" ref="Q203:Q211" si="97">SUM(O203:P203)</f>
        <v>146</v>
      </c>
      <c r="R203" s="174">
        <v>95</v>
      </c>
      <c r="S203" s="174">
        <f t="shared" ref="S203:S211" si="98">Q203-R203</f>
        <v>51</v>
      </c>
      <c r="T203" s="190"/>
      <c r="U203" s="174">
        <v>85</v>
      </c>
      <c r="V203" s="174">
        <v>170</v>
      </c>
      <c r="W203" s="174">
        <f t="shared" ref="W203:W211" si="99">SUM(U203:V203)</f>
        <v>255</v>
      </c>
      <c r="X203" s="174">
        <v>203</v>
      </c>
      <c r="Y203" s="174">
        <f t="shared" ref="Y203:Y211" si="100">W203-X203</f>
        <v>52</v>
      </c>
    </row>
    <row r="204" spans="1:31">
      <c r="A204" s="40" t="s">
        <v>46</v>
      </c>
      <c r="B204" s="167" t="s">
        <v>340</v>
      </c>
      <c r="C204" s="174">
        <v>14</v>
      </c>
      <c r="D204" s="174">
        <v>3</v>
      </c>
      <c r="E204" s="174">
        <f t="shared" si="93"/>
        <v>17</v>
      </c>
      <c r="F204" s="174">
        <v>8</v>
      </c>
      <c r="G204" s="174">
        <f t="shared" si="94"/>
        <v>9</v>
      </c>
      <c r="H204" s="174"/>
      <c r="I204" s="186">
        <v>0</v>
      </c>
      <c r="J204" s="174">
        <v>0</v>
      </c>
      <c r="K204" s="174">
        <f t="shared" si="95"/>
        <v>0</v>
      </c>
      <c r="L204" s="174">
        <v>0</v>
      </c>
      <c r="M204" s="174">
        <f t="shared" si="96"/>
        <v>0</v>
      </c>
      <c r="N204" s="190"/>
      <c r="O204" s="174">
        <v>2</v>
      </c>
      <c r="P204" s="174">
        <v>3</v>
      </c>
      <c r="Q204" s="174">
        <f t="shared" si="97"/>
        <v>5</v>
      </c>
      <c r="R204" s="174">
        <v>3</v>
      </c>
      <c r="S204" s="174">
        <f t="shared" si="98"/>
        <v>2</v>
      </c>
      <c r="T204" s="190"/>
      <c r="U204" s="174">
        <v>10</v>
      </c>
      <c r="V204" s="174">
        <v>32</v>
      </c>
      <c r="W204" s="174">
        <f t="shared" si="99"/>
        <v>42</v>
      </c>
      <c r="X204" s="174">
        <v>38</v>
      </c>
      <c r="Y204" s="174">
        <f t="shared" si="100"/>
        <v>4</v>
      </c>
    </row>
    <row r="205" spans="1:31">
      <c r="A205" s="40" t="s">
        <v>46</v>
      </c>
      <c r="B205" s="167" t="s">
        <v>341</v>
      </c>
      <c r="C205" s="174">
        <v>6</v>
      </c>
      <c r="D205" s="174">
        <v>2</v>
      </c>
      <c r="E205" s="174">
        <f t="shared" si="93"/>
        <v>8</v>
      </c>
      <c r="F205" s="174">
        <v>6</v>
      </c>
      <c r="G205" s="174">
        <f t="shared" si="94"/>
        <v>2</v>
      </c>
      <c r="H205" s="174"/>
      <c r="I205" s="186">
        <v>0</v>
      </c>
      <c r="J205" s="174">
        <v>0</v>
      </c>
      <c r="K205" s="174">
        <f t="shared" si="95"/>
        <v>0</v>
      </c>
      <c r="L205" s="174">
        <v>0</v>
      </c>
      <c r="M205" s="174">
        <f t="shared" si="96"/>
        <v>0</v>
      </c>
      <c r="N205" s="190"/>
      <c r="O205" s="174">
        <v>4</v>
      </c>
      <c r="P205" s="174">
        <v>3</v>
      </c>
      <c r="Q205" s="174">
        <f t="shared" si="97"/>
        <v>7</v>
      </c>
      <c r="R205" s="174">
        <v>4</v>
      </c>
      <c r="S205" s="174">
        <f t="shared" si="98"/>
        <v>3</v>
      </c>
      <c r="T205" s="190"/>
      <c r="U205" s="174">
        <v>9</v>
      </c>
      <c r="V205" s="174">
        <v>25</v>
      </c>
      <c r="W205" s="174">
        <f t="shared" si="99"/>
        <v>34</v>
      </c>
      <c r="X205" s="174">
        <v>29</v>
      </c>
      <c r="Y205" s="174">
        <f t="shared" si="100"/>
        <v>5</v>
      </c>
    </row>
    <row r="206" spans="1:31">
      <c r="A206" s="40" t="s">
        <v>46</v>
      </c>
      <c r="B206" s="167" t="s">
        <v>342</v>
      </c>
      <c r="C206" s="174">
        <v>0</v>
      </c>
      <c r="D206" s="174">
        <v>2</v>
      </c>
      <c r="E206" s="174">
        <f t="shared" si="93"/>
        <v>2</v>
      </c>
      <c r="F206" s="174">
        <v>0</v>
      </c>
      <c r="G206" s="174">
        <f t="shared" si="94"/>
        <v>2</v>
      </c>
      <c r="H206" s="174"/>
      <c r="I206" s="186">
        <v>0</v>
      </c>
      <c r="J206" s="174">
        <v>0</v>
      </c>
      <c r="K206" s="174">
        <f t="shared" si="95"/>
        <v>0</v>
      </c>
      <c r="L206" s="174">
        <v>0</v>
      </c>
      <c r="M206" s="174">
        <f t="shared" si="96"/>
        <v>0</v>
      </c>
      <c r="N206" s="190"/>
      <c r="O206" s="174">
        <v>0</v>
      </c>
      <c r="P206" s="174">
        <v>2</v>
      </c>
      <c r="Q206" s="174">
        <f t="shared" si="97"/>
        <v>2</v>
      </c>
      <c r="R206" s="174">
        <v>1</v>
      </c>
      <c r="S206" s="174">
        <f t="shared" si="98"/>
        <v>1</v>
      </c>
      <c r="T206" s="190"/>
      <c r="U206" s="174">
        <v>5</v>
      </c>
      <c r="V206" s="174">
        <v>21</v>
      </c>
      <c r="W206" s="174">
        <f t="shared" si="99"/>
        <v>26</v>
      </c>
      <c r="X206" s="174">
        <v>22</v>
      </c>
      <c r="Y206" s="174">
        <f t="shared" si="100"/>
        <v>4</v>
      </c>
    </row>
    <row r="207" spans="1:31">
      <c r="A207" s="40" t="s">
        <v>46</v>
      </c>
      <c r="B207" s="167" t="s">
        <v>343</v>
      </c>
      <c r="C207" s="174">
        <v>5</v>
      </c>
      <c r="D207" s="174">
        <v>0</v>
      </c>
      <c r="E207" s="174">
        <f t="shared" si="93"/>
        <v>5</v>
      </c>
      <c r="F207" s="174">
        <v>4</v>
      </c>
      <c r="G207" s="174">
        <f t="shared" si="94"/>
        <v>1</v>
      </c>
      <c r="H207" s="174"/>
      <c r="I207" s="186">
        <v>0</v>
      </c>
      <c r="J207" s="174">
        <v>0</v>
      </c>
      <c r="K207" s="174">
        <f t="shared" si="95"/>
        <v>0</v>
      </c>
      <c r="L207" s="174">
        <v>0</v>
      </c>
      <c r="M207" s="174">
        <f t="shared" si="96"/>
        <v>0</v>
      </c>
      <c r="N207" s="190"/>
      <c r="O207" s="174">
        <v>7</v>
      </c>
      <c r="P207" s="174">
        <v>4</v>
      </c>
      <c r="Q207" s="174">
        <f t="shared" si="97"/>
        <v>11</v>
      </c>
      <c r="R207" s="174">
        <v>6</v>
      </c>
      <c r="S207" s="174">
        <f t="shared" si="98"/>
        <v>5</v>
      </c>
      <c r="T207" s="190"/>
      <c r="U207" s="174">
        <v>16</v>
      </c>
      <c r="V207" s="174">
        <v>16</v>
      </c>
      <c r="W207" s="174">
        <f t="shared" si="99"/>
        <v>32</v>
      </c>
      <c r="X207" s="174">
        <v>24</v>
      </c>
      <c r="Y207" s="174">
        <f t="shared" si="100"/>
        <v>8</v>
      </c>
    </row>
    <row r="208" spans="1:31">
      <c r="A208" s="40" t="s">
        <v>46</v>
      </c>
      <c r="B208" s="167" t="s">
        <v>344</v>
      </c>
      <c r="C208" s="174">
        <v>3</v>
      </c>
      <c r="D208" s="174">
        <v>6</v>
      </c>
      <c r="E208" s="174">
        <f t="shared" si="93"/>
        <v>9</v>
      </c>
      <c r="F208" s="174">
        <v>5</v>
      </c>
      <c r="G208" s="174">
        <f t="shared" si="94"/>
        <v>4</v>
      </c>
      <c r="H208" s="174"/>
      <c r="I208" s="186">
        <v>0</v>
      </c>
      <c r="J208" s="174">
        <v>0</v>
      </c>
      <c r="K208" s="174">
        <f t="shared" si="95"/>
        <v>0</v>
      </c>
      <c r="L208" s="174">
        <v>0</v>
      </c>
      <c r="M208" s="174">
        <f t="shared" si="96"/>
        <v>0</v>
      </c>
      <c r="N208" s="190"/>
      <c r="O208" s="174">
        <v>4</v>
      </c>
      <c r="P208" s="174">
        <v>3</v>
      </c>
      <c r="Q208" s="174">
        <f t="shared" si="97"/>
        <v>7</v>
      </c>
      <c r="R208" s="174">
        <v>6</v>
      </c>
      <c r="S208" s="174">
        <f t="shared" si="98"/>
        <v>1</v>
      </c>
      <c r="T208" s="190"/>
      <c r="U208" s="174">
        <v>12</v>
      </c>
      <c r="V208" s="174">
        <v>27</v>
      </c>
      <c r="W208" s="174">
        <f t="shared" si="99"/>
        <v>39</v>
      </c>
      <c r="X208" s="174">
        <v>34</v>
      </c>
      <c r="Y208" s="174">
        <f t="shared" si="100"/>
        <v>5</v>
      </c>
    </row>
    <row r="209" spans="1:31">
      <c r="A209" s="40" t="s">
        <v>46</v>
      </c>
      <c r="B209" s="167" t="s">
        <v>345</v>
      </c>
      <c r="C209" s="174">
        <v>20</v>
      </c>
      <c r="D209" s="174">
        <v>10</v>
      </c>
      <c r="E209" s="174">
        <f t="shared" si="93"/>
        <v>30</v>
      </c>
      <c r="F209" s="174">
        <v>8</v>
      </c>
      <c r="G209" s="174">
        <f t="shared" si="94"/>
        <v>22</v>
      </c>
      <c r="H209" s="174"/>
      <c r="I209" s="186">
        <v>0</v>
      </c>
      <c r="J209" s="174">
        <v>0</v>
      </c>
      <c r="K209" s="174">
        <f t="shared" si="95"/>
        <v>0</v>
      </c>
      <c r="L209" s="174">
        <v>0</v>
      </c>
      <c r="M209" s="174">
        <f t="shared" si="96"/>
        <v>0</v>
      </c>
      <c r="N209" s="190"/>
      <c r="O209" s="174">
        <v>9</v>
      </c>
      <c r="P209" s="174">
        <v>15</v>
      </c>
      <c r="Q209" s="174">
        <f t="shared" si="97"/>
        <v>24</v>
      </c>
      <c r="R209" s="174">
        <v>13</v>
      </c>
      <c r="S209" s="174">
        <f t="shared" si="98"/>
        <v>11</v>
      </c>
      <c r="T209" s="190"/>
      <c r="U209" s="174">
        <v>15</v>
      </c>
      <c r="V209" s="174">
        <v>42</v>
      </c>
      <c r="W209" s="174">
        <f t="shared" si="99"/>
        <v>57</v>
      </c>
      <c r="X209" s="174">
        <v>46</v>
      </c>
      <c r="Y209" s="174">
        <f t="shared" si="100"/>
        <v>11</v>
      </c>
    </row>
    <row r="210" spans="1:31">
      <c r="A210" s="40" t="s">
        <v>46</v>
      </c>
      <c r="B210" s="167" t="s">
        <v>346</v>
      </c>
      <c r="C210" s="174">
        <v>16</v>
      </c>
      <c r="D210" s="174">
        <v>6</v>
      </c>
      <c r="E210" s="174">
        <f t="shared" si="93"/>
        <v>22</v>
      </c>
      <c r="F210" s="174">
        <v>9</v>
      </c>
      <c r="G210" s="174">
        <f t="shared" si="94"/>
        <v>13</v>
      </c>
      <c r="H210" s="174"/>
      <c r="I210" s="186">
        <v>0</v>
      </c>
      <c r="J210" s="174">
        <v>0</v>
      </c>
      <c r="K210" s="174">
        <f t="shared" si="95"/>
        <v>0</v>
      </c>
      <c r="L210" s="174">
        <v>0</v>
      </c>
      <c r="M210" s="174">
        <f t="shared" si="96"/>
        <v>0</v>
      </c>
      <c r="N210" s="190"/>
      <c r="O210" s="174">
        <v>2</v>
      </c>
      <c r="P210" s="174">
        <v>8</v>
      </c>
      <c r="Q210" s="174">
        <f t="shared" si="97"/>
        <v>10</v>
      </c>
      <c r="R210" s="174">
        <v>5</v>
      </c>
      <c r="S210" s="174">
        <f t="shared" si="98"/>
        <v>5</v>
      </c>
      <c r="T210" s="190"/>
      <c r="U210" s="174">
        <v>4</v>
      </c>
      <c r="V210" s="174">
        <v>43</v>
      </c>
      <c r="W210" s="174">
        <f t="shared" si="99"/>
        <v>47</v>
      </c>
      <c r="X210" s="174">
        <v>34</v>
      </c>
      <c r="Y210" s="174">
        <f t="shared" si="100"/>
        <v>13</v>
      </c>
    </row>
    <row r="211" spans="1:31">
      <c r="A211" s="168" t="s">
        <v>46</v>
      </c>
      <c r="B211" s="169" t="s">
        <v>347</v>
      </c>
      <c r="C211" s="187">
        <v>78</v>
      </c>
      <c r="D211" s="187">
        <v>44</v>
      </c>
      <c r="E211" s="187">
        <f t="shared" si="93"/>
        <v>122</v>
      </c>
      <c r="F211" s="187">
        <v>50</v>
      </c>
      <c r="G211" s="187">
        <f t="shared" si="94"/>
        <v>72</v>
      </c>
      <c r="H211" s="187"/>
      <c r="I211" s="191">
        <v>0</v>
      </c>
      <c r="J211" s="187">
        <v>0</v>
      </c>
      <c r="K211" s="187">
        <f t="shared" si="95"/>
        <v>0</v>
      </c>
      <c r="L211" s="187">
        <v>0</v>
      </c>
      <c r="M211" s="187">
        <f t="shared" si="96"/>
        <v>0</v>
      </c>
      <c r="N211" s="192"/>
      <c r="O211" s="187">
        <v>6</v>
      </c>
      <c r="P211" s="187">
        <v>11</v>
      </c>
      <c r="Q211" s="187">
        <f t="shared" si="97"/>
        <v>17</v>
      </c>
      <c r="R211" s="187">
        <v>12</v>
      </c>
      <c r="S211" s="187">
        <f t="shared" si="98"/>
        <v>5</v>
      </c>
      <c r="T211" s="192"/>
      <c r="U211" s="187">
        <v>19</v>
      </c>
      <c r="V211" s="187">
        <v>48</v>
      </c>
      <c r="W211" s="187">
        <f t="shared" si="99"/>
        <v>67</v>
      </c>
      <c r="X211" s="187">
        <v>44</v>
      </c>
      <c r="Y211" s="187">
        <f t="shared" si="100"/>
        <v>23</v>
      </c>
    </row>
    <row r="212" spans="1:31" s="22" customFormat="1">
      <c r="A212" s="84" t="s">
        <v>47</v>
      </c>
      <c r="B212" s="159" t="s">
        <v>1</v>
      </c>
      <c r="C212" s="163">
        <f>C213</f>
        <v>112</v>
      </c>
      <c r="D212" s="163">
        <f>D213</f>
        <v>83</v>
      </c>
      <c r="E212" s="163">
        <f>SUM(C212:D212)</f>
        <v>195</v>
      </c>
      <c r="F212" s="163">
        <f>F213</f>
        <v>66</v>
      </c>
      <c r="G212" s="163">
        <f>E212-F212</f>
        <v>129</v>
      </c>
      <c r="H212" s="163"/>
      <c r="I212" s="164">
        <f>I213</f>
        <v>3</v>
      </c>
      <c r="J212" s="163">
        <f>J213</f>
        <v>0</v>
      </c>
      <c r="K212" s="163">
        <f>K213</f>
        <v>3</v>
      </c>
      <c r="L212" s="163">
        <f>L213</f>
        <v>3</v>
      </c>
      <c r="M212" s="163">
        <f>M213</f>
        <v>0</v>
      </c>
      <c r="N212" s="165"/>
      <c r="O212" s="163">
        <f>O213</f>
        <v>40</v>
      </c>
      <c r="P212" s="163">
        <f>P213</f>
        <v>103</v>
      </c>
      <c r="Q212" s="163">
        <f>Q213</f>
        <v>176</v>
      </c>
      <c r="R212" s="163">
        <f>R213</f>
        <v>141</v>
      </c>
      <c r="S212" s="163">
        <f>S213</f>
        <v>35</v>
      </c>
      <c r="T212" s="165"/>
      <c r="U212" s="163">
        <f>U213</f>
        <v>65</v>
      </c>
      <c r="V212" s="163">
        <f>V213</f>
        <v>329</v>
      </c>
      <c r="W212" s="163">
        <f>W213</f>
        <v>394</v>
      </c>
      <c r="X212" s="163">
        <f>X213</f>
        <v>344</v>
      </c>
      <c r="Y212" s="163">
        <f>Y213</f>
        <v>50</v>
      </c>
      <c r="AA212" s="1"/>
      <c r="AB212" s="1"/>
      <c r="AC212" s="1"/>
      <c r="AD212" s="1"/>
      <c r="AE212" s="1"/>
    </row>
    <row r="213" spans="1:31">
      <c r="A213" s="168" t="s">
        <v>47</v>
      </c>
      <c r="B213" s="169" t="s">
        <v>348</v>
      </c>
      <c r="C213" s="187">
        <v>112</v>
      </c>
      <c r="D213" s="187">
        <v>83</v>
      </c>
      <c r="E213" s="187">
        <v>195</v>
      </c>
      <c r="F213" s="187">
        <v>66</v>
      </c>
      <c r="G213" s="187">
        <v>129</v>
      </c>
      <c r="H213" s="187"/>
      <c r="I213" s="191">
        <v>3</v>
      </c>
      <c r="J213" s="187">
        <v>0</v>
      </c>
      <c r="K213" s="187">
        <v>3</v>
      </c>
      <c r="L213" s="187">
        <v>3</v>
      </c>
      <c r="M213" s="187">
        <v>0</v>
      </c>
      <c r="N213" s="192"/>
      <c r="O213" s="187">
        <v>40</v>
      </c>
      <c r="P213" s="187">
        <v>103</v>
      </c>
      <c r="Q213" s="187">
        <v>176</v>
      </c>
      <c r="R213" s="187">
        <v>141</v>
      </c>
      <c r="S213" s="187">
        <v>35</v>
      </c>
      <c r="T213" s="192"/>
      <c r="U213" s="187">
        <v>65</v>
      </c>
      <c r="V213" s="187">
        <v>329</v>
      </c>
      <c r="W213" s="187">
        <v>394</v>
      </c>
      <c r="X213" s="187">
        <v>344</v>
      </c>
      <c r="Y213" s="187">
        <v>50</v>
      </c>
    </row>
    <row r="214" spans="1:31" s="22" customFormat="1">
      <c r="A214" s="84" t="s">
        <v>29</v>
      </c>
      <c r="B214" s="159" t="s">
        <v>1</v>
      </c>
      <c r="C214" s="163">
        <f>SUM(C215:C220)</f>
        <v>185</v>
      </c>
      <c r="D214" s="163">
        <f>SUM(D215:D220)</f>
        <v>164</v>
      </c>
      <c r="E214" s="163">
        <f>SUM(C214:D214)</f>
        <v>349</v>
      </c>
      <c r="F214" s="163">
        <f>SUM(F215:F220)</f>
        <v>107</v>
      </c>
      <c r="G214" s="163">
        <f>E214-F214</f>
        <v>242</v>
      </c>
      <c r="H214" s="163"/>
      <c r="I214" s="164">
        <f>SUM(I215:I220)</f>
        <v>1</v>
      </c>
      <c r="J214" s="163">
        <f>SUM(J215:J220)</f>
        <v>0</v>
      </c>
      <c r="K214" s="163">
        <f>SUM(K215:K220)</f>
        <v>1</v>
      </c>
      <c r="L214" s="163">
        <f>SUM(L215:L220)</f>
        <v>1</v>
      </c>
      <c r="M214" s="163">
        <f>SUM(M215:M220)</f>
        <v>0</v>
      </c>
      <c r="N214" s="165"/>
      <c r="O214" s="163">
        <f>SUM(O215:O220)</f>
        <v>112</v>
      </c>
      <c r="P214" s="163">
        <f>SUM(P215:P220)</f>
        <v>251</v>
      </c>
      <c r="Q214" s="163">
        <f>SUM(Q215:Q220)</f>
        <v>363</v>
      </c>
      <c r="R214" s="163">
        <f>SUM(R215:R220)</f>
        <v>185</v>
      </c>
      <c r="S214" s="163">
        <f>SUM(S215:S220)</f>
        <v>178</v>
      </c>
      <c r="T214" s="165"/>
      <c r="U214" s="163">
        <f>SUM(U215:U220)</f>
        <v>208</v>
      </c>
      <c r="V214" s="163">
        <f>SUM(V215:V220)</f>
        <v>659</v>
      </c>
      <c r="W214" s="163">
        <f>SUM(W215:W220)</f>
        <v>867</v>
      </c>
      <c r="X214" s="163">
        <f>SUM(X215:X220)</f>
        <v>641</v>
      </c>
      <c r="Y214" s="163">
        <f>SUM(Y215:Y220)</f>
        <v>226</v>
      </c>
      <c r="AA214" s="1"/>
      <c r="AB214" s="1"/>
      <c r="AC214" s="1"/>
      <c r="AD214" s="1"/>
      <c r="AE214" s="1"/>
    </row>
    <row r="215" spans="1:31">
      <c r="A215" s="40" t="s">
        <v>29</v>
      </c>
      <c r="B215" s="167" t="s">
        <v>322</v>
      </c>
      <c r="C215" s="174">
        <v>92</v>
      </c>
      <c r="D215" s="174">
        <v>74</v>
      </c>
      <c r="E215" s="174">
        <v>166</v>
      </c>
      <c r="F215" s="174">
        <v>35</v>
      </c>
      <c r="G215" s="174">
        <v>131</v>
      </c>
      <c r="H215" s="163"/>
      <c r="I215" s="186">
        <v>1</v>
      </c>
      <c r="J215" s="174">
        <v>0</v>
      </c>
      <c r="K215" s="174">
        <v>1</v>
      </c>
      <c r="L215" s="174">
        <v>1</v>
      </c>
      <c r="M215" s="163">
        <v>0</v>
      </c>
      <c r="N215" s="165"/>
      <c r="O215" s="174">
        <v>70</v>
      </c>
      <c r="P215" s="174">
        <v>165</v>
      </c>
      <c r="Q215" s="174">
        <v>235</v>
      </c>
      <c r="R215" s="174">
        <v>127</v>
      </c>
      <c r="S215" s="163">
        <v>108</v>
      </c>
      <c r="T215" s="165"/>
      <c r="U215" s="174">
        <v>91</v>
      </c>
      <c r="V215" s="174">
        <v>273</v>
      </c>
      <c r="W215" s="174">
        <v>364</v>
      </c>
      <c r="X215" s="174">
        <v>248</v>
      </c>
      <c r="Y215" s="174">
        <v>116</v>
      </c>
    </row>
    <row r="216" spans="1:31">
      <c r="A216" s="40" t="s">
        <v>29</v>
      </c>
      <c r="B216" s="167" t="s">
        <v>349</v>
      </c>
      <c r="C216" s="174">
        <v>20</v>
      </c>
      <c r="D216" s="174">
        <v>23</v>
      </c>
      <c r="E216" s="174">
        <v>43</v>
      </c>
      <c r="F216" s="174">
        <v>14</v>
      </c>
      <c r="G216" s="174">
        <v>29</v>
      </c>
      <c r="H216" s="174"/>
      <c r="I216" s="186">
        <v>0</v>
      </c>
      <c r="J216" s="174">
        <v>0</v>
      </c>
      <c r="K216" s="174">
        <v>0</v>
      </c>
      <c r="L216" s="174">
        <v>0</v>
      </c>
      <c r="M216" s="174">
        <v>0</v>
      </c>
      <c r="N216" s="190"/>
      <c r="O216" s="174">
        <v>3</v>
      </c>
      <c r="P216" s="174">
        <v>24</v>
      </c>
      <c r="Q216" s="174">
        <v>27</v>
      </c>
      <c r="R216" s="174">
        <v>13</v>
      </c>
      <c r="S216" s="174">
        <v>14</v>
      </c>
      <c r="T216" s="190"/>
      <c r="U216" s="174">
        <v>7</v>
      </c>
      <c r="V216" s="174">
        <v>93</v>
      </c>
      <c r="W216" s="174">
        <v>100</v>
      </c>
      <c r="X216" s="174">
        <v>91</v>
      </c>
      <c r="Y216" s="174">
        <v>9</v>
      </c>
    </row>
    <row r="217" spans="1:31">
      <c r="A217" s="40" t="s">
        <v>29</v>
      </c>
      <c r="B217" s="167" t="s">
        <v>350</v>
      </c>
      <c r="C217" s="174">
        <v>2</v>
      </c>
      <c r="D217" s="174">
        <v>4</v>
      </c>
      <c r="E217" s="174">
        <v>6</v>
      </c>
      <c r="F217" s="174">
        <v>4</v>
      </c>
      <c r="G217" s="174">
        <v>2</v>
      </c>
      <c r="H217" s="174"/>
      <c r="I217" s="186">
        <v>0</v>
      </c>
      <c r="J217" s="174">
        <v>0</v>
      </c>
      <c r="K217" s="174">
        <v>0</v>
      </c>
      <c r="L217" s="174">
        <v>0</v>
      </c>
      <c r="M217" s="174">
        <v>0</v>
      </c>
      <c r="N217" s="190"/>
      <c r="O217" s="174">
        <v>1</v>
      </c>
      <c r="P217" s="174">
        <v>8</v>
      </c>
      <c r="Q217" s="174">
        <v>9</v>
      </c>
      <c r="R217" s="174">
        <v>4</v>
      </c>
      <c r="S217" s="174">
        <v>5</v>
      </c>
      <c r="T217" s="190"/>
      <c r="U217" s="174">
        <v>2</v>
      </c>
      <c r="V217" s="174">
        <v>43</v>
      </c>
      <c r="W217" s="174">
        <v>45</v>
      </c>
      <c r="X217" s="174">
        <v>39</v>
      </c>
      <c r="Y217" s="174">
        <v>6</v>
      </c>
    </row>
    <row r="218" spans="1:31">
      <c r="A218" s="40" t="s">
        <v>29</v>
      </c>
      <c r="B218" s="167" t="s">
        <v>250</v>
      </c>
      <c r="C218" s="174">
        <v>29</v>
      </c>
      <c r="D218" s="174">
        <v>11</v>
      </c>
      <c r="E218" s="174">
        <v>40</v>
      </c>
      <c r="F218" s="174">
        <v>8</v>
      </c>
      <c r="G218" s="174">
        <v>32</v>
      </c>
      <c r="H218" s="174"/>
      <c r="I218" s="186">
        <v>0</v>
      </c>
      <c r="J218" s="174">
        <v>0</v>
      </c>
      <c r="K218" s="174">
        <v>0</v>
      </c>
      <c r="L218" s="174">
        <v>0</v>
      </c>
      <c r="M218" s="174">
        <v>0</v>
      </c>
      <c r="N218" s="190"/>
      <c r="O218" s="174">
        <v>13</v>
      </c>
      <c r="P218" s="174">
        <v>21</v>
      </c>
      <c r="Q218" s="174">
        <v>34</v>
      </c>
      <c r="R218" s="174">
        <v>16</v>
      </c>
      <c r="S218" s="174">
        <v>18</v>
      </c>
      <c r="T218" s="190"/>
      <c r="U218" s="174">
        <v>29</v>
      </c>
      <c r="V218" s="174">
        <v>74</v>
      </c>
      <c r="W218" s="174">
        <v>103</v>
      </c>
      <c r="X218" s="174">
        <v>77</v>
      </c>
      <c r="Y218" s="174">
        <v>26</v>
      </c>
    </row>
    <row r="219" spans="1:31">
      <c r="A219" s="40" t="s">
        <v>29</v>
      </c>
      <c r="B219" s="167" t="s">
        <v>351</v>
      </c>
      <c r="C219" s="174">
        <v>25</v>
      </c>
      <c r="D219" s="174">
        <v>42</v>
      </c>
      <c r="E219" s="174">
        <v>67</v>
      </c>
      <c r="F219" s="174">
        <v>38</v>
      </c>
      <c r="G219" s="174">
        <v>29</v>
      </c>
      <c r="H219" s="174"/>
      <c r="I219" s="186">
        <v>0</v>
      </c>
      <c r="J219" s="174">
        <v>0</v>
      </c>
      <c r="K219" s="174">
        <v>0</v>
      </c>
      <c r="L219" s="174">
        <v>0</v>
      </c>
      <c r="M219" s="174">
        <v>0</v>
      </c>
      <c r="N219" s="190"/>
      <c r="O219" s="174">
        <v>15</v>
      </c>
      <c r="P219" s="174">
        <v>26</v>
      </c>
      <c r="Q219" s="174">
        <v>41</v>
      </c>
      <c r="R219" s="174">
        <v>19</v>
      </c>
      <c r="S219" s="174">
        <v>22</v>
      </c>
      <c r="T219" s="190"/>
      <c r="U219" s="174">
        <v>44</v>
      </c>
      <c r="V219" s="174">
        <v>131</v>
      </c>
      <c r="W219" s="174">
        <v>175</v>
      </c>
      <c r="X219" s="174">
        <v>136</v>
      </c>
      <c r="Y219" s="174">
        <v>39</v>
      </c>
    </row>
    <row r="220" spans="1:31">
      <c r="A220" s="44" t="s">
        <v>29</v>
      </c>
      <c r="B220" s="180" t="s">
        <v>352</v>
      </c>
      <c r="C220" s="193">
        <v>17</v>
      </c>
      <c r="D220" s="193">
        <v>10</v>
      </c>
      <c r="E220" s="193">
        <v>27</v>
      </c>
      <c r="F220" s="193">
        <v>8</v>
      </c>
      <c r="G220" s="193">
        <v>19</v>
      </c>
      <c r="H220" s="193"/>
      <c r="I220" s="194">
        <v>0</v>
      </c>
      <c r="J220" s="193">
        <v>0</v>
      </c>
      <c r="K220" s="193">
        <v>0</v>
      </c>
      <c r="L220" s="193">
        <v>0</v>
      </c>
      <c r="M220" s="193">
        <v>0</v>
      </c>
      <c r="N220" s="195"/>
      <c r="O220" s="193">
        <v>10</v>
      </c>
      <c r="P220" s="193">
        <v>7</v>
      </c>
      <c r="Q220" s="193">
        <v>17</v>
      </c>
      <c r="R220" s="193">
        <v>6</v>
      </c>
      <c r="S220" s="193">
        <v>11</v>
      </c>
      <c r="T220" s="195"/>
      <c r="U220" s="193">
        <v>35</v>
      </c>
      <c r="V220" s="193">
        <v>45</v>
      </c>
      <c r="W220" s="193">
        <v>80</v>
      </c>
      <c r="X220" s="193">
        <v>50</v>
      </c>
      <c r="Y220" s="193">
        <v>30</v>
      </c>
    </row>
    <row r="221" spans="1:31">
      <c r="A221" s="181" t="s">
        <v>180</v>
      </c>
      <c r="Y221" s="21" t="s">
        <v>181</v>
      </c>
    </row>
    <row r="222" spans="1:31" ht="21">
      <c r="S222" s="182"/>
      <c r="T222" s="183"/>
      <c r="U222" s="183"/>
      <c r="V222" s="183"/>
      <c r="W222" s="183"/>
      <c r="X222" s="184" t="s">
        <v>353</v>
      </c>
      <c r="Y222" s="184" t="s">
        <v>354</v>
      </c>
    </row>
    <row r="226" spans="1:33">
      <c r="AD226" s="55"/>
    </row>
    <row r="227" spans="1:33">
      <c r="AD227" s="55"/>
      <c r="AE227" s="159" t="s">
        <v>355</v>
      </c>
      <c r="AF227" s="159" t="s">
        <v>356</v>
      </c>
      <c r="AG227" s="159" t="s">
        <v>357</v>
      </c>
    </row>
    <row r="228" spans="1:33">
      <c r="AD228" s="159" t="s">
        <v>358</v>
      </c>
      <c r="AE228" s="4">
        <f>E5+K5</f>
        <v>7165</v>
      </c>
      <c r="AF228" s="4">
        <f>Q5</f>
        <v>10279</v>
      </c>
      <c r="AG228" s="4">
        <f>W5</f>
        <v>11553</v>
      </c>
    </row>
    <row r="229" spans="1:33">
      <c r="AD229" s="159" t="s">
        <v>101</v>
      </c>
      <c r="AE229" s="4">
        <f>E6+K6</f>
        <v>3717</v>
      </c>
      <c r="AF229" s="4">
        <f>Q6</f>
        <v>7386</v>
      </c>
      <c r="AG229" s="4">
        <f>W6</f>
        <v>3068</v>
      </c>
    </row>
    <row r="230" spans="1:33">
      <c r="AD230" s="159" t="s">
        <v>359</v>
      </c>
      <c r="AE230" s="4">
        <f>E14+K14</f>
        <v>3448</v>
      </c>
      <c r="AF230" s="4">
        <f>Q14</f>
        <v>2893</v>
      </c>
      <c r="AG230" s="4">
        <f>W14</f>
        <v>8485</v>
      </c>
    </row>
    <row r="237" spans="1:33">
      <c r="A237" s="1"/>
      <c r="AE237" s="55" t="s">
        <v>360</v>
      </c>
    </row>
    <row r="238" spans="1:33">
      <c r="A238" s="1"/>
      <c r="AD238" s="55"/>
      <c r="AE238" s="159" t="s">
        <v>355</v>
      </c>
      <c r="AF238" s="159" t="s">
        <v>356</v>
      </c>
      <c r="AG238" s="159" t="s">
        <v>357</v>
      </c>
    </row>
    <row r="239" spans="1:33">
      <c r="A239" s="1"/>
      <c r="AD239" s="159" t="s">
        <v>358</v>
      </c>
      <c r="AE239" s="4">
        <f>AE253/AE228*100</f>
        <v>40.013956734124214</v>
      </c>
      <c r="AF239" s="4">
        <f>AF253/AF228*100</f>
        <v>63.556766222395176</v>
      </c>
      <c r="AG239" s="4">
        <f>AG253/AG228*100</f>
        <v>81.796935860815367</v>
      </c>
    </row>
    <row r="240" spans="1:33">
      <c r="A240" s="1"/>
      <c r="AD240" s="159" t="s">
        <v>101</v>
      </c>
      <c r="AE240" s="4">
        <f t="shared" ref="AE240:AG241" si="101">AE254/AE229*100</f>
        <v>44.498251277912296</v>
      </c>
      <c r="AF240" s="4">
        <f t="shared" si="101"/>
        <v>62.902789060384514</v>
      </c>
      <c r="AG240" s="4">
        <f t="shared" si="101"/>
        <v>85.006518904823992</v>
      </c>
    </row>
    <row r="241" spans="1:33">
      <c r="A241" s="1"/>
      <c r="AD241" s="159" t="s">
        <v>359</v>
      </c>
      <c r="AE241" s="4">
        <f t="shared" si="101"/>
        <v>35.179814385150806</v>
      </c>
      <c r="AF241" s="4">
        <f t="shared" si="101"/>
        <v>65.226408572416176</v>
      </c>
      <c r="AG241" s="4">
        <f t="shared" si="101"/>
        <v>80.636417206835588</v>
      </c>
    </row>
    <row r="242" spans="1:33">
      <c r="A242" s="1"/>
      <c r="AD242" s="55"/>
    </row>
    <row r="243" spans="1:33">
      <c r="A243" s="1"/>
      <c r="AD243" s="55"/>
      <c r="AE243" s="1" t="s">
        <v>361</v>
      </c>
    </row>
    <row r="244" spans="1:33">
      <c r="A244" s="1"/>
      <c r="AD244" s="55"/>
      <c r="AE244" s="159" t="s">
        <v>355</v>
      </c>
      <c r="AF244" s="159" t="s">
        <v>356</v>
      </c>
      <c r="AG244" s="159" t="s">
        <v>357</v>
      </c>
    </row>
    <row r="245" spans="1:33">
      <c r="A245" s="1"/>
      <c r="AD245" s="159" t="s">
        <v>358</v>
      </c>
      <c r="AE245" s="166">
        <f>G5+M5</f>
        <v>4298</v>
      </c>
      <c r="AF245" s="166">
        <f>S5</f>
        <v>3746</v>
      </c>
      <c r="AG245" s="166">
        <f>Y5</f>
        <v>2103</v>
      </c>
    </row>
    <row r="246" spans="1:33">
      <c r="A246" s="1"/>
      <c r="AD246" s="159" t="s">
        <v>101</v>
      </c>
      <c r="AE246" s="166">
        <f>G6+M6</f>
        <v>2063</v>
      </c>
      <c r="AF246" s="166">
        <f>S6</f>
        <v>2740</v>
      </c>
      <c r="AG246" s="166">
        <f>Y6</f>
        <v>460</v>
      </c>
    </row>
    <row r="247" spans="1:33">
      <c r="A247" s="1"/>
      <c r="AD247" s="159" t="s">
        <v>359</v>
      </c>
      <c r="AE247" s="166">
        <f>G14+M14</f>
        <v>2235</v>
      </c>
      <c r="AF247" s="166">
        <f>S14</f>
        <v>1006</v>
      </c>
      <c r="AG247" s="166">
        <f>Y14</f>
        <v>1643</v>
      </c>
    </row>
    <row r="248" spans="1:33">
      <c r="A248" s="1"/>
      <c r="AD248" s="159"/>
      <c r="AE248" s="166"/>
      <c r="AF248" s="166"/>
      <c r="AG248" s="166"/>
    </row>
    <row r="249" spans="1:33">
      <c r="A249" s="1"/>
      <c r="AD249" s="55"/>
    </row>
    <row r="250" spans="1:33">
      <c r="A250" s="1"/>
      <c r="AD250" s="55"/>
    </row>
    <row r="251" spans="1:33">
      <c r="A251" s="1"/>
      <c r="AD251" s="55"/>
      <c r="AE251" s="1" t="s">
        <v>362</v>
      </c>
    </row>
    <row r="252" spans="1:33">
      <c r="A252" s="1"/>
      <c r="AD252" s="55"/>
      <c r="AE252" s="159" t="s">
        <v>355</v>
      </c>
      <c r="AF252" s="159" t="s">
        <v>356</v>
      </c>
      <c r="AG252" s="159" t="s">
        <v>357</v>
      </c>
    </row>
    <row r="253" spans="1:33">
      <c r="A253" s="1"/>
      <c r="AD253" s="159" t="s">
        <v>358</v>
      </c>
      <c r="AE253" s="166">
        <f>F5+L5</f>
        <v>2867</v>
      </c>
      <c r="AF253" s="166">
        <f>R5</f>
        <v>6533</v>
      </c>
      <c r="AG253" s="166">
        <f>X5</f>
        <v>9450</v>
      </c>
    </row>
    <row r="254" spans="1:33">
      <c r="A254" s="1"/>
      <c r="AD254" s="159" t="s">
        <v>101</v>
      </c>
      <c r="AE254" s="166">
        <f>F6+L6</f>
        <v>1654</v>
      </c>
      <c r="AF254" s="166">
        <f>R6</f>
        <v>4646</v>
      </c>
      <c r="AG254" s="166">
        <f>X6</f>
        <v>2608</v>
      </c>
    </row>
    <row r="255" spans="1:33" ht="21">
      <c r="A255" s="1133"/>
      <c r="B255" s="1133"/>
      <c r="C255" s="1133"/>
      <c r="D255" s="1133"/>
      <c r="E255" s="1133"/>
      <c r="F255" s="1133"/>
      <c r="G255" s="1133"/>
      <c r="H255" s="1133"/>
      <c r="I255" s="1133"/>
      <c r="J255" s="1133"/>
      <c r="K255" s="1133"/>
      <c r="L255" s="1133"/>
      <c r="M255" s="1133"/>
      <c r="N255" s="1133"/>
      <c r="O255" s="1133"/>
      <c r="P255" s="1133"/>
      <c r="Q255" s="1133"/>
      <c r="R255" s="1133"/>
      <c r="S255" s="1133"/>
      <c r="T255" s="1133"/>
      <c r="U255" s="1133"/>
      <c r="V255" s="1133"/>
      <c r="W255" s="1133"/>
      <c r="X255" s="1133"/>
      <c r="Y255" s="1133"/>
      <c r="AD255" s="159" t="s">
        <v>359</v>
      </c>
      <c r="AE255" s="166">
        <f>F14+L14</f>
        <v>1213</v>
      </c>
      <c r="AF255" s="166">
        <f>R14</f>
        <v>1887</v>
      </c>
      <c r="AG255" s="166">
        <f>X14</f>
        <v>6842</v>
      </c>
    </row>
    <row r="256" spans="1:33">
      <c r="A256" s="1098"/>
      <c r="B256" s="1098"/>
      <c r="C256" s="1098"/>
      <c r="D256" s="1098"/>
      <c r="E256" s="1098"/>
      <c r="F256" s="1098"/>
      <c r="G256" s="1098"/>
      <c r="H256" s="1098"/>
      <c r="I256" s="1098"/>
      <c r="J256" s="1098"/>
      <c r="K256" s="1098"/>
      <c r="L256" s="1098"/>
      <c r="M256" s="1098"/>
      <c r="N256" s="1098"/>
      <c r="O256" s="1098"/>
      <c r="P256" s="1098"/>
      <c r="Q256" s="1098"/>
      <c r="R256" s="1098"/>
      <c r="S256" s="1098"/>
      <c r="T256" s="1098"/>
      <c r="U256" s="1098"/>
      <c r="V256" s="1098"/>
      <c r="W256" s="1098"/>
      <c r="X256" s="1098"/>
      <c r="Y256" s="1098"/>
      <c r="AD256" s="55"/>
    </row>
    <row r="257" spans="1:33">
      <c r="A257" s="1090"/>
      <c r="B257" s="1090"/>
      <c r="C257" s="1138"/>
      <c r="D257" s="1138"/>
      <c r="E257" s="1138"/>
      <c r="F257" s="1138"/>
      <c r="G257" s="1138"/>
      <c r="H257" s="170"/>
      <c r="I257" s="1138"/>
      <c r="J257" s="1138"/>
      <c r="K257" s="1138"/>
      <c r="L257" s="1138"/>
      <c r="M257" s="1138"/>
      <c r="N257" s="170"/>
      <c r="O257" s="1138"/>
      <c r="P257" s="1138"/>
      <c r="Q257" s="1138"/>
      <c r="R257" s="1138"/>
      <c r="S257" s="1138"/>
      <c r="T257" s="170"/>
      <c r="U257" s="1138"/>
      <c r="V257" s="1138"/>
      <c r="W257" s="1138"/>
      <c r="X257" s="1138"/>
      <c r="Y257" s="1138"/>
      <c r="AD257" s="55" t="s">
        <v>1</v>
      </c>
    </row>
    <row r="258" spans="1:33">
      <c r="A258" s="1090"/>
      <c r="B258" s="1090"/>
      <c r="C258" s="172"/>
      <c r="D258" s="172"/>
      <c r="E258" s="172"/>
      <c r="F258" s="172"/>
      <c r="G258" s="172"/>
      <c r="H258" s="172"/>
      <c r="I258" s="172"/>
      <c r="J258" s="172"/>
      <c r="K258" s="172"/>
      <c r="L258" s="170"/>
      <c r="M258" s="172"/>
      <c r="N258" s="172"/>
      <c r="O258" s="172"/>
      <c r="P258" s="172"/>
      <c r="Q258" s="172"/>
      <c r="R258" s="172"/>
      <c r="S258" s="172"/>
      <c r="T258" s="172"/>
      <c r="U258" s="172"/>
      <c r="V258" s="172"/>
      <c r="W258" s="172"/>
      <c r="X258" s="172"/>
      <c r="Y258" s="172"/>
      <c r="AD258" s="55"/>
      <c r="AE258" s="1" t="s">
        <v>20</v>
      </c>
      <c r="AF258" s="1" t="s">
        <v>21</v>
      </c>
      <c r="AG258" s="1" t="s">
        <v>22</v>
      </c>
    </row>
    <row r="259" spans="1:33">
      <c r="A259" s="84"/>
      <c r="B259" s="159"/>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c r="AD259" s="1" t="s">
        <v>363</v>
      </c>
      <c r="AE259" s="166">
        <f>C5+I5+O5+U5</f>
        <v>10500</v>
      </c>
      <c r="AF259" s="166">
        <f>C6+I6+O6+U6</f>
        <v>5550</v>
      </c>
      <c r="AG259" s="166">
        <f>C14+I14+O14+U14</f>
        <v>4950</v>
      </c>
    </row>
    <row r="260" spans="1:33" ht="21">
      <c r="A260" s="1133"/>
      <c r="B260" s="1133"/>
      <c r="C260" s="1133"/>
      <c r="D260" s="1133"/>
      <c r="E260" s="1133"/>
      <c r="F260" s="1133"/>
      <c r="G260" s="1133"/>
      <c r="H260" s="1133"/>
      <c r="I260" s="1133"/>
      <c r="J260" s="1133"/>
      <c r="K260" s="1133"/>
      <c r="L260" s="1133"/>
      <c r="M260" s="1133"/>
      <c r="N260" s="1133"/>
      <c r="O260" s="1133"/>
      <c r="P260" s="1133"/>
      <c r="Q260" s="1133"/>
      <c r="R260" s="1133"/>
      <c r="S260" s="1133"/>
      <c r="T260" s="1133"/>
      <c r="U260" s="1133"/>
      <c r="V260" s="1133"/>
      <c r="W260" s="1133"/>
      <c r="X260" s="1133"/>
      <c r="Y260" s="1133"/>
      <c r="AD260" s="1" t="s">
        <v>364</v>
      </c>
      <c r="AE260" s="166">
        <f>D5+J5+P5+V5</f>
        <v>18464</v>
      </c>
      <c r="AF260" s="166">
        <f>D6+J6+P6+V6</f>
        <v>8621</v>
      </c>
      <c r="AG260" s="166">
        <f>D14+J14+P14+V14</f>
        <v>9843</v>
      </c>
    </row>
    <row r="261" spans="1:33">
      <c r="A261" s="1098"/>
      <c r="B261" s="1098"/>
      <c r="C261" s="1098"/>
      <c r="D261" s="1098"/>
      <c r="E261" s="1098"/>
      <c r="F261" s="1098"/>
      <c r="G261" s="1098"/>
      <c r="H261" s="1098"/>
      <c r="I261" s="1098"/>
      <c r="J261" s="1098"/>
      <c r="K261" s="1098"/>
      <c r="L261" s="1098"/>
      <c r="M261" s="1098"/>
      <c r="N261" s="1098"/>
      <c r="O261" s="1098"/>
      <c r="P261" s="1098"/>
      <c r="Q261" s="1098"/>
      <c r="R261" s="1098"/>
      <c r="S261" s="1098"/>
      <c r="T261" s="1098"/>
      <c r="U261" s="1098"/>
      <c r="V261" s="1098"/>
      <c r="W261" s="1098"/>
      <c r="X261" s="1098"/>
      <c r="Y261" s="1098"/>
      <c r="AD261" s="1" t="s">
        <v>362</v>
      </c>
      <c r="AE261" s="166">
        <f>F5+L5+R5+X5</f>
        <v>18850</v>
      </c>
      <c r="AF261" s="166">
        <f>F6+L6+R6+X6</f>
        <v>8908</v>
      </c>
      <c r="AG261" s="166">
        <f>F14+L14+R14+X14</f>
        <v>9942</v>
      </c>
    </row>
    <row r="262" spans="1:33">
      <c r="A262" s="1090"/>
      <c r="B262" s="1090"/>
      <c r="C262" s="1138"/>
      <c r="D262" s="1138"/>
      <c r="E262" s="1138"/>
      <c r="F262" s="1138"/>
      <c r="G262" s="1138"/>
      <c r="H262" s="170"/>
      <c r="I262" s="1138"/>
      <c r="J262" s="1138"/>
      <c r="K262" s="1138"/>
      <c r="L262" s="1138"/>
      <c r="M262" s="1138"/>
      <c r="N262" s="170"/>
      <c r="O262" s="1138"/>
      <c r="P262" s="1138"/>
      <c r="Q262" s="1138"/>
      <c r="R262" s="1138"/>
      <c r="S262" s="1138"/>
      <c r="T262" s="170"/>
      <c r="U262" s="1138"/>
      <c r="V262" s="1138"/>
      <c r="W262" s="1138"/>
      <c r="X262" s="1138"/>
      <c r="Y262" s="1138"/>
      <c r="AD262" s="1" t="s">
        <v>361</v>
      </c>
      <c r="AE262" s="166">
        <f>G5+M5+S5+Y5</f>
        <v>10147</v>
      </c>
      <c r="AF262" s="166">
        <f>G6+M6+S6+Y6</f>
        <v>5263</v>
      </c>
      <c r="AG262" s="166">
        <f>G14+M14+S14+Y14</f>
        <v>4884</v>
      </c>
    </row>
    <row r="263" spans="1:33">
      <c r="A263" s="1090"/>
      <c r="B263" s="1090"/>
      <c r="C263" s="172"/>
      <c r="D263" s="172"/>
      <c r="E263" s="172"/>
      <c r="F263" s="172"/>
      <c r="G263" s="172"/>
      <c r="H263" s="172"/>
      <c r="I263" s="172"/>
      <c r="J263" s="172"/>
      <c r="K263" s="172"/>
      <c r="L263" s="170"/>
      <c r="M263" s="172"/>
      <c r="N263" s="172"/>
      <c r="O263" s="172"/>
      <c r="P263" s="172"/>
      <c r="Q263" s="172"/>
      <c r="R263" s="172"/>
      <c r="S263" s="172"/>
      <c r="T263" s="172"/>
      <c r="U263" s="172"/>
      <c r="V263" s="172"/>
      <c r="W263" s="172"/>
      <c r="X263" s="172"/>
      <c r="Y263" s="172"/>
      <c r="AD263" s="55"/>
      <c r="AE263" s="159"/>
      <c r="AF263" s="159"/>
      <c r="AG263" s="159"/>
    </row>
    <row r="264" spans="1:33">
      <c r="A264" s="84"/>
      <c r="B264" s="159"/>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row>
    <row r="265" spans="1:33" ht="21">
      <c r="A265" s="1133"/>
      <c r="B265" s="1133"/>
      <c r="C265" s="1133"/>
      <c r="D265" s="1133"/>
      <c r="E265" s="1133"/>
      <c r="F265" s="1133"/>
      <c r="G265" s="1133"/>
      <c r="H265" s="1133"/>
      <c r="I265" s="1133"/>
      <c r="J265" s="1133"/>
      <c r="K265" s="1133"/>
      <c r="L265" s="1133"/>
      <c r="M265" s="1133"/>
      <c r="N265" s="1133"/>
      <c r="O265" s="1133"/>
      <c r="P265" s="1133"/>
      <c r="Q265" s="1133"/>
      <c r="R265" s="1133"/>
      <c r="S265" s="1133"/>
      <c r="T265" s="1133"/>
      <c r="U265" s="1133"/>
      <c r="V265" s="1133"/>
      <c r="W265" s="1133"/>
      <c r="X265" s="1133"/>
      <c r="Y265" s="1133"/>
    </row>
    <row r="266" spans="1:33">
      <c r="A266" s="1098"/>
      <c r="B266" s="1098"/>
      <c r="C266" s="1098"/>
      <c r="D266" s="1098"/>
      <c r="E266" s="1098"/>
      <c r="F266" s="1098"/>
      <c r="G266" s="1098"/>
      <c r="H266" s="1098"/>
      <c r="I266" s="1098"/>
      <c r="J266" s="1098"/>
      <c r="K266" s="1098"/>
      <c r="L266" s="1098"/>
      <c r="M266" s="1098"/>
      <c r="N266" s="1098"/>
      <c r="O266" s="1098"/>
      <c r="P266" s="1098"/>
      <c r="Q266" s="1098"/>
      <c r="R266" s="1098"/>
      <c r="S266" s="1098"/>
      <c r="T266" s="1098"/>
      <c r="U266" s="1098"/>
      <c r="V266" s="1098"/>
      <c r="W266" s="1098"/>
      <c r="X266" s="1098"/>
      <c r="Y266" s="1098"/>
    </row>
    <row r="267" spans="1:33" ht="15" customHeight="1">
      <c r="A267" s="1090"/>
      <c r="B267" s="1090"/>
      <c r="C267" s="1138"/>
      <c r="D267" s="1138"/>
      <c r="E267" s="1138"/>
      <c r="F267" s="1138"/>
      <c r="G267" s="1138"/>
      <c r="H267" s="170"/>
      <c r="I267" s="1138"/>
      <c r="J267" s="1138"/>
      <c r="K267" s="1138"/>
      <c r="L267" s="1138"/>
      <c r="M267" s="1138"/>
      <c r="N267" s="170"/>
      <c r="O267" s="1138"/>
      <c r="P267" s="1138"/>
      <c r="Q267" s="1138"/>
      <c r="R267" s="1138"/>
      <c r="S267" s="1138"/>
      <c r="T267" s="170"/>
      <c r="U267" s="1138"/>
      <c r="V267" s="1138"/>
      <c r="W267" s="1138"/>
      <c r="X267" s="1138"/>
      <c r="Y267" s="1138"/>
    </row>
    <row r="268" spans="1:33">
      <c r="A268" s="1090"/>
      <c r="B268" s="1090"/>
      <c r="C268" s="172"/>
      <c r="D268" s="172"/>
      <c r="E268" s="172"/>
      <c r="F268" s="172"/>
      <c r="G268" s="172"/>
      <c r="H268" s="172"/>
      <c r="I268" s="172"/>
      <c r="J268" s="172"/>
      <c r="K268" s="172"/>
      <c r="L268" s="170"/>
      <c r="M268" s="172"/>
      <c r="N268" s="172"/>
      <c r="O268" s="172"/>
      <c r="P268" s="172"/>
      <c r="Q268" s="172"/>
      <c r="R268" s="172"/>
      <c r="S268" s="172"/>
      <c r="T268" s="172"/>
      <c r="U268" s="172"/>
      <c r="V268" s="172"/>
      <c r="W268" s="172"/>
      <c r="X268" s="172"/>
      <c r="Y268" s="172"/>
      <c r="AD268" s="16"/>
      <c r="AE268" s="16" t="s">
        <v>189</v>
      </c>
      <c r="AF268" s="16" t="s">
        <v>365</v>
      </c>
      <c r="AG268" s="1" t="s">
        <v>366</v>
      </c>
    </row>
    <row r="269" spans="1:33">
      <c r="A269" s="84"/>
      <c r="B269" s="159"/>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c r="AD269" s="84" t="s">
        <v>26</v>
      </c>
      <c r="AE269" s="1">
        <f>F15+L15+R15+X15</f>
        <v>401</v>
      </c>
      <c r="AF269" s="1">
        <f>G15+M15+S15+Y15</f>
        <v>219</v>
      </c>
      <c r="AG269" s="1">
        <f>E15+K15+Q15+W15</f>
        <v>620</v>
      </c>
    </row>
    <row r="270" spans="1:33">
      <c r="A270" s="1137"/>
      <c r="B270" s="159"/>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AD270" s="84" t="s">
        <v>27</v>
      </c>
      <c r="AE270" s="1">
        <f>F30+L30+R30+X30</f>
        <v>651</v>
      </c>
      <c r="AF270" s="1">
        <f>G30+M30+S30+Y30</f>
        <v>401</v>
      </c>
      <c r="AG270" s="1">
        <f>E30+K30+Q30+W30</f>
        <v>1052</v>
      </c>
    </row>
    <row r="271" spans="1:33">
      <c r="A271" s="1137"/>
      <c r="B271" s="159"/>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AD271" s="84" t="s">
        <v>28</v>
      </c>
      <c r="AE271" s="1">
        <f>F44+L44+R44+X44</f>
        <v>433</v>
      </c>
      <c r="AF271" s="1">
        <f>G44+M44+S44+Y44</f>
        <v>162</v>
      </c>
      <c r="AG271" s="1">
        <f>E44+K44+Q44+W44</f>
        <v>595</v>
      </c>
    </row>
    <row r="272" spans="1:33">
      <c r="A272" s="40"/>
      <c r="B272" s="167"/>
      <c r="C272" s="160"/>
      <c r="D272" s="174"/>
      <c r="E272" s="174"/>
      <c r="F272" s="174"/>
      <c r="G272" s="163"/>
      <c r="H272" s="163"/>
      <c r="I272" s="174"/>
      <c r="J272" s="174"/>
      <c r="K272" s="174"/>
      <c r="L272" s="174"/>
      <c r="M272" s="163"/>
      <c r="N272" s="163"/>
      <c r="O272" s="174"/>
      <c r="P272" s="174"/>
      <c r="Q272" s="174"/>
      <c r="R272" s="174"/>
      <c r="S272" s="163"/>
      <c r="T272" s="163"/>
      <c r="U272" s="174"/>
      <c r="V272" s="174"/>
      <c r="W272" s="174"/>
      <c r="X272" s="174"/>
      <c r="Y272" s="163"/>
      <c r="AD272" s="84" t="s">
        <v>30</v>
      </c>
      <c r="AE272" s="1">
        <f>F59+L59+R59+X59</f>
        <v>568</v>
      </c>
      <c r="AF272" s="1">
        <f>G59+M59+S59+Y59</f>
        <v>252</v>
      </c>
      <c r="AG272" s="1">
        <f>E59+K59+Q59+W59</f>
        <v>820</v>
      </c>
    </row>
    <row r="273" spans="1:33">
      <c r="A273" s="40"/>
      <c r="B273" s="167"/>
      <c r="C273" s="174"/>
      <c r="D273" s="174"/>
      <c r="E273" s="174"/>
      <c r="F273" s="174"/>
      <c r="G273" s="163"/>
      <c r="H273" s="163"/>
      <c r="I273" s="174"/>
      <c r="J273" s="174"/>
      <c r="K273" s="174"/>
      <c r="L273" s="174"/>
      <c r="M273" s="163"/>
      <c r="N273" s="163"/>
      <c r="O273" s="174"/>
      <c r="P273" s="174"/>
      <c r="Q273" s="174"/>
      <c r="R273" s="174"/>
      <c r="S273" s="163"/>
      <c r="T273" s="163"/>
      <c r="U273" s="174"/>
      <c r="V273" s="174"/>
      <c r="W273" s="174"/>
      <c r="X273" s="174"/>
      <c r="Y273" s="163"/>
      <c r="AD273" s="84" t="s">
        <v>31</v>
      </c>
      <c r="AE273" s="1">
        <f>F73+L73+R73+X73</f>
        <v>647</v>
      </c>
      <c r="AF273" s="1">
        <f>G73+M73+S73+Y73</f>
        <v>188</v>
      </c>
      <c r="AG273" s="1">
        <f>E73+K73+Q73+W73</f>
        <v>835</v>
      </c>
    </row>
    <row r="274" spans="1:33">
      <c r="A274" s="40"/>
      <c r="B274" s="167"/>
      <c r="C274" s="174"/>
      <c r="D274" s="174"/>
      <c r="E274" s="174"/>
      <c r="F274" s="174"/>
      <c r="G274" s="163"/>
      <c r="H274" s="163"/>
      <c r="I274" s="174"/>
      <c r="J274" s="174"/>
      <c r="K274" s="174"/>
      <c r="L274" s="174"/>
      <c r="M274" s="163"/>
      <c r="N274" s="163"/>
      <c r="O274" s="174"/>
      <c r="P274" s="174"/>
      <c r="Q274" s="174"/>
      <c r="R274" s="174"/>
      <c r="S274" s="163"/>
      <c r="T274" s="163"/>
      <c r="U274" s="174"/>
      <c r="V274" s="174"/>
      <c r="W274" s="174"/>
      <c r="X274" s="174"/>
      <c r="Y274" s="163"/>
      <c r="AD274" s="84" t="s">
        <v>32</v>
      </c>
      <c r="AE274" s="1">
        <f>F89+L89+R89+X89</f>
        <v>317</v>
      </c>
      <c r="AF274" s="1">
        <f>G89+M89+S89+Y89</f>
        <v>157</v>
      </c>
      <c r="AG274" s="1">
        <f>E89+K89+Q89+W89</f>
        <v>474</v>
      </c>
    </row>
    <row r="275" spans="1:33">
      <c r="A275" s="40"/>
      <c r="B275" s="167"/>
      <c r="C275" s="174"/>
      <c r="D275" s="174"/>
      <c r="E275" s="174"/>
      <c r="F275" s="174"/>
      <c r="G275" s="163"/>
      <c r="H275" s="163"/>
      <c r="I275" s="174"/>
      <c r="J275" s="174"/>
      <c r="K275" s="174"/>
      <c r="L275" s="174"/>
      <c r="M275" s="163"/>
      <c r="N275" s="163"/>
      <c r="O275" s="174"/>
      <c r="P275" s="174"/>
      <c r="Q275" s="174"/>
      <c r="R275" s="174"/>
      <c r="S275" s="163"/>
      <c r="T275" s="163"/>
      <c r="U275" s="174"/>
      <c r="V275" s="174"/>
      <c r="W275" s="174"/>
      <c r="X275" s="174"/>
      <c r="Y275" s="163"/>
      <c r="AD275" s="84" t="s">
        <v>33</v>
      </c>
      <c r="AE275" s="1">
        <f>F103+L103+R103+X103</f>
        <v>435</v>
      </c>
      <c r="AF275" s="1">
        <f>G103+M103+S103+Y103</f>
        <v>108</v>
      </c>
      <c r="AG275" s="1">
        <f>E103+K103+Q103+W103</f>
        <v>543</v>
      </c>
    </row>
    <row r="276" spans="1:33">
      <c r="A276" s="40"/>
      <c r="B276" s="167"/>
      <c r="C276" s="174"/>
      <c r="D276" s="174"/>
      <c r="E276" s="174"/>
      <c r="F276" s="174"/>
      <c r="G276" s="163"/>
      <c r="H276" s="163"/>
      <c r="I276" s="174"/>
      <c r="J276" s="174"/>
      <c r="K276" s="174"/>
      <c r="L276" s="174"/>
      <c r="M276" s="163"/>
      <c r="N276" s="163"/>
      <c r="O276" s="174"/>
      <c r="P276" s="174"/>
      <c r="Q276" s="174"/>
      <c r="R276" s="174"/>
      <c r="S276" s="163"/>
      <c r="T276" s="163"/>
      <c r="U276" s="174"/>
      <c r="V276" s="174"/>
      <c r="W276" s="174"/>
      <c r="X276" s="174"/>
      <c r="Y276" s="163"/>
      <c r="AD276" s="84" t="s">
        <v>35</v>
      </c>
      <c r="AE276" s="1">
        <f>F108+L108+R108+X108</f>
        <v>709</v>
      </c>
      <c r="AF276" s="1">
        <f>G108+M108+S108+Y108</f>
        <v>341</v>
      </c>
      <c r="AG276" s="1">
        <f>E108+K108+Q108+W108</f>
        <v>1050</v>
      </c>
    </row>
    <row r="277" spans="1:33">
      <c r="A277" s="40"/>
      <c r="B277" s="167"/>
      <c r="C277" s="174"/>
      <c r="D277" s="174"/>
      <c r="E277" s="174"/>
      <c r="F277" s="174"/>
      <c r="G277" s="163"/>
      <c r="H277" s="163"/>
      <c r="I277" s="174"/>
      <c r="J277" s="174"/>
      <c r="K277" s="174"/>
      <c r="L277" s="174"/>
      <c r="M277" s="163"/>
      <c r="N277" s="163"/>
      <c r="O277" s="174"/>
      <c r="P277" s="174"/>
      <c r="Q277" s="174"/>
      <c r="R277" s="174"/>
      <c r="S277" s="163"/>
      <c r="T277" s="163"/>
      <c r="U277" s="174"/>
      <c r="V277" s="174"/>
      <c r="W277" s="174"/>
      <c r="X277" s="174"/>
      <c r="Y277" s="163"/>
      <c r="AD277" s="84" t="s">
        <v>36</v>
      </c>
      <c r="AE277" s="1">
        <f>F118+L118+R118+X118</f>
        <v>327</v>
      </c>
      <c r="AF277" s="1">
        <f>G118+M118+S118+Y118</f>
        <v>148</v>
      </c>
      <c r="AG277" s="1">
        <f>E118+K118+Q118+W118</f>
        <v>475</v>
      </c>
    </row>
    <row r="278" spans="1:33">
      <c r="A278" s="171"/>
      <c r="B278" s="159"/>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AD278" s="84" t="s">
        <v>37</v>
      </c>
      <c r="AE278" s="1">
        <f>F127+L127+R127+X127</f>
        <v>379</v>
      </c>
      <c r="AF278" s="1">
        <f>G127+M127+S127+Y127</f>
        <v>188</v>
      </c>
      <c r="AG278" s="1">
        <f>E127+K127+Q127+W127</f>
        <v>567</v>
      </c>
    </row>
    <row r="279" spans="1:33">
      <c r="A279" s="84"/>
      <c r="B279" s="159"/>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AD279" s="84" t="s">
        <v>38</v>
      </c>
      <c r="AE279" s="1">
        <f>F138+L138+R138+X138</f>
        <v>58</v>
      </c>
      <c r="AF279" s="1">
        <f>G138+M138+S138+Y138</f>
        <v>14</v>
      </c>
      <c r="AG279" s="1">
        <f>E138+K138+Q138+W138</f>
        <v>72</v>
      </c>
    </row>
    <row r="280" spans="1:33">
      <c r="A280" s="40"/>
      <c r="B280" s="167"/>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c r="AD280" s="84" t="s">
        <v>39</v>
      </c>
      <c r="AE280" s="1">
        <f>F144+L144+R144+X144</f>
        <v>139</v>
      </c>
      <c r="AF280" s="1">
        <f>G144+M144+S144+Y144</f>
        <v>79</v>
      </c>
      <c r="AG280" s="1">
        <f>E144+K144+Q144+W144</f>
        <v>218</v>
      </c>
    </row>
    <row r="281" spans="1:33">
      <c r="A281" s="40"/>
      <c r="B281" s="167"/>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c r="AD281" s="84" t="s">
        <v>41</v>
      </c>
      <c r="AE281" s="1">
        <f>F153+L153+R153+X153</f>
        <v>170</v>
      </c>
      <c r="AF281" s="1">
        <f>G153+M153+S153+Y153</f>
        <v>45</v>
      </c>
      <c r="AG281" s="1">
        <f>E153+K153+Q153+W153</f>
        <v>215</v>
      </c>
    </row>
    <row r="282" spans="1:33">
      <c r="A282" s="40"/>
      <c r="B282" s="167"/>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c r="AD282" s="84" t="s">
        <v>43</v>
      </c>
      <c r="AE282" s="1">
        <f>F159+L159+R159+X159</f>
        <v>181</v>
      </c>
      <c r="AF282" s="1">
        <f>G159+M159+S159+Y159</f>
        <v>73</v>
      </c>
      <c r="AG282" s="1">
        <f>E159+K159+Q159+W159</f>
        <v>254</v>
      </c>
    </row>
    <row r="283" spans="1:33">
      <c r="A283" s="40"/>
      <c r="B283" s="167"/>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c r="AD283" s="84" t="s">
        <v>44</v>
      </c>
      <c r="AE283" s="1">
        <f>F166+L166+R166+X166</f>
        <v>458</v>
      </c>
      <c r="AF283" s="1">
        <f>G166+M166+S166+Y166</f>
        <v>216</v>
      </c>
      <c r="AG283" s="1">
        <f>E166+K166+Q166+W166</f>
        <v>674</v>
      </c>
    </row>
    <row r="284" spans="1:33">
      <c r="A284" s="40"/>
      <c r="B284" s="167"/>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AD284" s="84" t="s">
        <v>34</v>
      </c>
      <c r="AE284" s="1">
        <f>F180+L180+R180+X180</f>
        <v>679</v>
      </c>
      <c r="AF284" s="1">
        <f>G180+M180+S180+Y180</f>
        <v>334</v>
      </c>
      <c r="AG284" s="1">
        <f>E180+K180+Q180+W180</f>
        <v>1013</v>
      </c>
    </row>
    <row r="285" spans="1:33">
      <c r="A285" s="40"/>
      <c r="B285" s="167"/>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c r="AD285" s="84" t="s">
        <v>45</v>
      </c>
      <c r="AE285" s="1">
        <f>F192+L192+R192+X192</f>
        <v>574</v>
      </c>
      <c r="AF285" s="1">
        <f>G192+M192+S192+Y192</f>
        <v>281</v>
      </c>
      <c r="AG285" s="1">
        <f>E192+K192+Q192+W192</f>
        <v>855</v>
      </c>
    </row>
    <row r="286" spans="1:33">
      <c r="A286" s="40"/>
      <c r="B286" s="167"/>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c r="AD286" s="84" t="s">
        <v>46</v>
      </c>
      <c r="AE286" s="1">
        <f>F202+L202+R202+X202</f>
        <v>774</v>
      </c>
      <c r="AF286" s="1">
        <f>G202+M202+S202+Y202</f>
        <v>459</v>
      </c>
      <c r="AG286" s="1">
        <f>E202+K202+Q202+W202</f>
        <v>1233</v>
      </c>
    </row>
    <row r="287" spans="1:33">
      <c r="A287" s="40"/>
      <c r="B287" s="167"/>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c r="AD287" s="84" t="s">
        <v>47</v>
      </c>
      <c r="AE287" s="1">
        <f>F212+L212+R212+X212</f>
        <v>554</v>
      </c>
      <c r="AF287" s="1">
        <f>G212+M212+S212+Y212</f>
        <v>214</v>
      </c>
      <c r="AG287" s="1">
        <f>E212+K212+Q212+W212</f>
        <v>768</v>
      </c>
    </row>
    <row r="288" spans="1:33" ht="21">
      <c r="A288" s="183"/>
      <c r="B288" s="183"/>
      <c r="C288" s="183"/>
      <c r="D288" s="183"/>
      <c r="E288" s="183"/>
      <c r="F288" s="183"/>
      <c r="G288" s="183"/>
      <c r="H288" s="183"/>
      <c r="I288" s="183"/>
      <c r="J288" s="183"/>
      <c r="K288" s="183"/>
      <c r="L288" s="183"/>
      <c r="M288" s="183"/>
      <c r="N288" s="183"/>
      <c r="O288" s="183"/>
      <c r="P288" s="183"/>
      <c r="Q288" s="183"/>
      <c r="R288" s="183"/>
      <c r="S288" s="183"/>
      <c r="T288" s="183"/>
      <c r="U288" s="183"/>
      <c r="V288" s="183"/>
      <c r="W288" s="183"/>
      <c r="X288" s="183"/>
      <c r="Y288" s="183"/>
      <c r="AD288" s="84" t="s">
        <v>29</v>
      </c>
      <c r="AE288" s="1">
        <f>F214+L214+R214+X214</f>
        <v>934</v>
      </c>
      <c r="AF288" s="1">
        <f>G214+M214+S214+Y214</f>
        <v>646</v>
      </c>
      <c r="AG288" s="1">
        <f>E214+K214+Q214+W214</f>
        <v>1580</v>
      </c>
    </row>
    <row r="289" spans="1:34">
      <c r="A289" s="930"/>
      <c r="B289" s="930"/>
      <c r="C289" s="930"/>
      <c r="D289" s="930"/>
      <c r="E289" s="930"/>
      <c r="F289" s="930"/>
      <c r="G289" s="930"/>
      <c r="H289" s="930"/>
      <c r="I289" s="930"/>
      <c r="J289" s="930"/>
      <c r="K289" s="930"/>
      <c r="L289" s="930"/>
      <c r="M289" s="930"/>
      <c r="N289" s="930"/>
      <c r="O289" s="930"/>
      <c r="P289" s="930"/>
      <c r="Q289" s="930"/>
      <c r="R289" s="930"/>
      <c r="S289" s="930"/>
      <c r="T289" s="930"/>
      <c r="U289" s="930"/>
      <c r="V289" s="930"/>
      <c r="W289" s="930"/>
      <c r="X289" s="930"/>
      <c r="Y289" s="930"/>
    </row>
    <row r="290" spans="1:34">
      <c r="A290" s="94"/>
      <c r="B290" s="94"/>
      <c r="C290" s="931"/>
      <c r="D290" s="931"/>
      <c r="E290" s="931"/>
      <c r="F290" s="931"/>
      <c r="G290" s="931"/>
      <c r="H290" s="170"/>
      <c r="I290" s="931"/>
      <c r="J290" s="931"/>
      <c r="K290" s="931"/>
      <c r="L290" s="931"/>
      <c r="M290" s="931"/>
      <c r="N290" s="170"/>
      <c r="O290" s="931"/>
      <c r="P290" s="931"/>
      <c r="Q290" s="931"/>
      <c r="R290" s="931"/>
      <c r="S290" s="931"/>
      <c r="T290" s="170"/>
      <c r="U290" s="931"/>
      <c r="V290" s="931"/>
      <c r="W290" s="931"/>
      <c r="X290" s="931"/>
      <c r="Y290" s="931"/>
    </row>
    <row r="291" spans="1:34">
      <c r="A291" s="94"/>
      <c r="B291" s="94"/>
      <c r="C291" s="172"/>
      <c r="D291" s="172"/>
      <c r="E291" s="172"/>
      <c r="F291" s="172"/>
      <c r="G291" s="172"/>
      <c r="H291" s="172"/>
      <c r="I291" s="172"/>
      <c r="J291" s="172"/>
      <c r="K291" s="172"/>
      <c r="L291" s="170"/>
      <c r="M291" s="172"/>
      <c r="N291" s="172"/>
      <c r="O291" s="172"/>
      <c r="P291" s="172"/>
      <c r="Q291" s="172"/>
      <c r="R291" s="172"/>
      <c r="S291" s="172"/>
      <c r="T291" s="172"/>
      <c r="U291" s="172"/>
      <c r="V291" s="172"/>
      <c r="W291" s="172"/>
      <c r="X291" s="172"/>
      <c r="Y291" s="172"/>
    </row>
    <row r="292" spans="1:34">
      <c r="A292" s="84"/>
      <c r="B292" s="159"/>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row>
    <row r="293" spans="1:34">
      <c r="A293" s="171"/>
      <c r="B293" s="159"/>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AE293" s="84" t="s">
        <v>26</v>
      </c>
      <c r="AF293" s="23">
        <f>AE269/AG269*100</f>
        <v>64.677419354838705</v>
      </c>
      <c r="AH293" s="1">
        <v>18101</v>
      </c>
    </row>
    <row r="294" spans="1:34">
      <c r="A294" s="171"/>
      <c r="B294" s="159"/>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AE294" s="84" t="s">
        <v>27</v>
      </c>
      <c r="AF294" s="23">
        <f t="shared" ref="AF294:AF312" si="102">AE270/AG270*100</f>
        <v>61.882129277566541</v>
      </c>
      <c r="AH294" s="1">
        <v>6772</v>
      </c>
    </row>
    <row r="295" spans="1:34">
      <c r="A295" s="40"/>
      <c r="B295" s="167"/>
      <c r="C295" s="185"/>
      <c r="D295" s="185"/>
      <c r="E295" s="185"/>
      <c r="F295" s="185"/>
      <c r="G295" s="185"/>
      <c r="H295" s="163"/>
      <c r="I295" s="174"/>
      <c r="J295" s="185"/>
      <c r="K295" s="185"/>
      <c r="L295" s="185"/>
      <c r="M295" s="185"/>
      <c r="N295" s="163"/>
      <c r="O295" s="174"/>
      <c r="P295" s="174"/>
      <c r="Q295" s="174"/>
      <c r="R295" s="174"/>
      <c r="S295" s="174"/>
      <c r="T295" s="163"/>
      <c r="U295" s="174"/>
      <c r="V295" s="185"/>
      <c r="W295" s="185"/>
      <c r="X295" s="185"/>
      <c r="Y295" s="185"/>
      <c r="AE295" s="84" t="s">
        <v>28</v>
      </c>
      <c r="AF295" s="23">
        <f t="shared" si="102"/>
        <v>72.773109243697476</v>
      </c>
      <c r="AH295" s="1">
        <v>11329</v>
      </c>
    </row>
    <row r="296" spans="1:34">
      <c r="A296" s="40"/>
      <c r="B296" s="167"/>
      <c r="C296" s="174"/>
      <c r="D296" s="174"/>
      <c r="E296" s="174"/>
      <c r="F296" s="174"/>
      <c r="G296" s="174"/>
      <c r="H296" s="163"/>
      <c r="I296" s="174"/>
      <c r="J296" s="185"/>
      <c r="K296" s="185"/>
      <c r="L296" s="185"/>
      <c r="M296" s="185"/>
      <c r="N296" s="163"/>
      <c r="O296" s="174"/>
      <c r="P296" s="185"/>
      <c r="Q296" s="185"/>
      <c r="R296" s="185"/>
      <c r="S296" s="185"/>
      <c r="T296" s="163"/>
      <c r="U296" s="174"/>
      <c r="V296" s="185"/>
      <c r="W296" s="185"/>
      <c r="X296" s="185"/>
      <c r="Y296" s="185"/>
      <c r="AE296" s="84" t="s">
        <v>30</v>
      </c>
      <c r="AF296" s="23">
        <f t="shared" si="102"/>
        <v>69.268292682926827</v>
      </c>
    </row>
    <row r="297" spans="1:34">
      <c r="A297" s="40"/>
      <c r="B297" s="167"/>
      <c r="C297" s="185"/>
      <c r="D297" s="185"/>
      <c r="E297" s="185"/>
      <c r="F297" s="185"/>
      <c r="G297" s="185"/>
      <c r="H297" s="163"/>
      <c r="I297" s="174"/>
      <c r="J297" s="185"/>
      <c r="K297" s="185"/>
      <c r="L297" s="185"/>
      <c r="M297" s="185"/>
      <c r="N297" s="163"/>
      <c r="O297" s="174"/>
      <c r="P297" s="185"/>
      <c r="Q297" s="185"/>
      <c r="R297" s="185"/>
      <c r="S297" s="185"/>
      <c r="T297" s="163"/>
      <c r="U297" s="174"/>
      <c r="V297" s="174"/>
      <c r="W297" s="174"/>
      <c r="X297" s="174"/>
      <c r="Y297" s="163"/>
      <c r="AE297" s="84" t="s">
        <v>31</v>
      </c>
      <c r="AF297" s="23">
        <f t="shared" si="102"/>
        <v>77.485029940119759</v>
      </c>
    </row>
    <row r="298" spans="1:34">
      <c r="A298" s="40"/>
      <c r="B298" s="167"/>
      <c r="C298" s="185"/>
      <c r="D298" s="185"/>
      <c r="E298" s="185"/>
      <c r="F298" s="185"/>
      <c r="G298" s="185"/>
      <c r="H298" s="163"/>
      <c r="I298" s="174"/>
      <c r="J298" s="174"/>
      <c r="K298" s="174"/>
      <c r="L298" s="174"/>
      <c r="M298" s="174"/>
      <c r="N298" s="163"/>
      <c r="O298" s="174"/>
      <c r="P298" s="185"/>
      <c r="Q298" s="185"/>
      <c r="R298" s="185"/>
      <c r="S298" s="185"/>
      <c r="T298" s="163"/>
      <c r="U298" s="174"/>
      <c r="V298" s="185"/>
      <c r="W298" s="185"/>
      <c r="X298" s="185"/>
      <c r="Y298" s="185"/>
      <c r="AE298" s="84" t="s">
        <v>32</v>
      </c>
      <c r="AF298" s="23">
        <f t="shared" si="102"/>
        <v>66.877637130801688</v>
      </c>
    </row>
    <row r="299" spans="1:34">
      <c r="A299" s="40"/>
      <c r="B299" s="167"/>
      <c r="C299" s="174"/>
      <c r="D299" s="174"/>
      <c r="E299" s="174"/>
      <c r="F299" s="174"/>
      <c r="G299" s="174"/>
      <c r="H299" s="163"/>
      <c r="I299" s="174"/>
      <c r="J299" s="185"/>
      <c r="K299" s="185"/>
      <c r="L299" s="185"/>
      <c r="M299" s="185"/>
      <c r="N299" s="163"/>
      <c r="O299" s="174"/>
      <c r="P299" s="185"/>
      <c r="Q299" s="185"/>
      <c r="R299" s="185"/>
      <c r="S299" s="185"/>
      <c r="T299" s="163"/>
      <c r="U299" s="174"/>
      <c r="V299" s="185"/>
      <c r="W299" s="185"/>
      <c r="X299" s="185"/>
      <c r="Y299" s="185"/>
      <c r="AE299" s="84" t="s">
        <v>33</v>
      </c>
      <c r="AF299" s="23">
        <f t="shared" si="102"/>
        <v>80.110497237569049</v>
      </c>
    </row>
    <row r="300" spans="1:34">
      <c r="A300" s="40"/>
      <c r="B300" s="167"/>
      <c r="C300" s="174"/>
      <c r="D300" s="174"/>
      <c r="E300" s="174"/>
      <c r="F300" s="174"/>
      <c r="G300" s="174"/>
      <c r="H300" s="163"/>
      <c r="I300" s="174"/>
      <c r="J300" s="174"/>
      <c r="K300" s="174"/>
      <c r="L300" s="174"/>
      <c r="M300" s="174"/>
      <c r="N300" s="163"/>
      <c r="O300" s="174"/>
      <c r="P300" s="174"/>
      <c r="Q300" s="174"/>
      <c r="R300" s="174"/>
      <c r="S300" s="174"/>
      <c r="T300" s="163"/>
      <c r="U300" s="174"/>
      <c r="V300" s="174"/>
      <c r="W300" s="174"/>
      <c r="X300" s="174"/>
      <c r="Y300" s="163"/>
      <c r="AE300" s="84" t="s">
        <v>35</v>
      </c>
      <c r="AF300" s="23">
        <f t="shared" si="102"/>
        <v>67.523809523809518</v>
      </c>
    </row>
    <row r="301" spans="1:34">
      <c r="A301" s="171"/>
      <c r="B301" s="159"/>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AE301" s="84" t="s">
        <v>36</v>
      </c>
      <c r="AF301" s="23">
        <f t="shared" si="102"/>
        <v>68.84210526315789</v>
      </c>
    </row>
    <row r="302" spans="1:34">
      <c r="A302" s="84"/>
      <c r="B302" s="159"/>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c r="Y302" s="163"/>
      <c r="AE302" s="84" t="s">
        <v>37</v>
      </c>
      <c r="AF302" s="23">
        <f t="shared" si="102"/>
        <v>66.843033509700177</v>
      </c>
    </row>
    <row r="303" spans="1:34">
      <c r="A303" s="40"/>
      <c r="B303" s="167"/>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c r="AE303" s="84" t="s">
        <v>38</v>
      </c>
      <c r="AF303" s="23">
        <f t="shared" si="102"/>
        <v>80.555555555555557</v>
      </c>
    </row>
    <row r="304" spans="1:34">
      <c r="A304" s="40"/>
      <c r="B304" s="167"/>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c r="AE304" s="84" t="s">
        <v>39</v>
      </c>
      <c r="AF304" s="23">
        <f t="shared" si="102"/>
        <v>63.761467889908253</v>
      </c>
    </row>
    <row r="305" spans="1:32">
      <c r="A305" s="40"/>
      <c r="B305" s="167"/>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c r="AE305" s="84" t="s">
        <v>41</v>
      </c>
      <c r="AF305" s="23">
        <f t="shared" si="102"/>
        <v>79.069767441860463</v>
      </c>
    </row>
    <row r="306" spans="1:32">
      <c r="A306" s="40"/>
      <c r="B306" s="167"/>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c r="AE306" s="84" t="s">
        <v>43</v>
      </c>
      <c r="AF306" s="23">
        <f t="shared" si="102"/>
        <v>71.259842519685037</v>
      </c>
    </row>
    <row r="307" spans="1:32">
      <c r="A307" s="40"/>
      <c r="B307" s="167"/>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c r="AE307" s="84" t="s">
        <v>44</v>
      </c>
      <c r="AF307" s="23">
        <f t="shared" si="102"/>
        <v>67.952522255192889</v>
      </c>
    </row>
    <row r="308" spans="1:32">
      <c r="A308" s="40"/>
      <c r="B308" s="167"/>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c r="AE308" s="84" t="s">
        <v>34</v>
      </c>
      <c r="AF308" s="23">
        <f t="shared" si="102"/>
        <v>67.02862783810464</v>
      </c>
    </row>
    <row r="309" spans="1:32">
      <c r="A309" s="40"/>
      <c r="B309" s="167"/>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c r="AE309" s="84" t="s">
        <v>45</v>
      </c>
      <c r="AF309" s="23">
        <f t="shared" si="102"/>
        <v>67.134502923976612</v>
      </c>
    </row>
    <row r="310" spans="1:32">
      <c r="A310" s="40"/>
      <c r="B310" s="167"/>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AE310" s="84" t="s">
        <v>46</v>
      </c>
      <c r="AF310" s="23">
        <f t="shared" si="102"/>
        <v>62.773722627737229</v>
      </c>
    </row>
    <row r="311" spans="1:32">
      <c r="A311" s="40"/>
      <c r="B311" s="167"/>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AE311" s="84" t="s">
        <v>47</v>
      </c>
      <c r="AF311" s="23">
        <f t="shared" si="102"/>
        <v>72.135416666666657</v>
      </c>
    </row>
    <row r="312" spans="1:32">
      <c r="A312" s="40"/>
      <c r="B312" s="167"/>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c r="AE312" s="84" t="s">
        <v>29</v>
      </c>
      <c r="AF312" s="23">
        <f t="shared" si="102"/>
        <v>59.113924050632917</v>
      </c>
    </row>
    <row r="313" spans="1:32">
      <c r="A313" s="40"/>
      <c r="B313" s="167"/>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row>
    <row r="314" spans="1:32">
      <c r="A314" s="40"/>
      <c r="B314" s="167"/>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row>
    <row r="315" spans="1:32">
      <c r="A315" s="40"/>
      <c r="B315" s="167"/>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row>
    <row r="316" spans="1:32">
      <c r="A316" s="40"/>
      <c r="B316" s="167"/>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row>
    <row r="317" spans="1:32">
      <c r="A317" s="84"/>
      <c r="B317" s="159"/>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c r="Y317" s="163"/>
    </row>
    <row r="318" spans="1:32">
      <c r="A318" s="40"/>
      <c r="B318" s="167"/>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row>
    <row r="319" spans="1:32">
      <c r="A319" s="40"/>
      <c r="B319" s="167"/>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row>
    <row r="320" spans="1:32">
      <c r="A320" s="40"/>
      <c r="B320" s="167"/>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row>
    <row r="321" spans="1:25">
      <c r="A321" s="40"/>
      <c r="B321" s="167"/>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row>
    <row r="322" spans="1:25">
      <c r="A322" s="40"/>
      <c r="B322" s="167"/>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row>
    <row r="323" spans="1:25">
      <c r="A323" s="40"/>
      <c r="B323" s="167"/>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row>
    <row r="324" spans="1:25">
      <c r="A324" s="40"/>
      <c r="B324" s="167"/>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row>
    <row r="325" spans="1:25">
      <c r="A325" s="40"/>
      <c r="B325" s="167"/>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row>
    <row r="326" spans="1:25">
      <c r="A326" s="40"/>
      <c r="B326" s="167"/>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row>
    <row r="327" spans="1:25">
      <c r="A327" s="40"/>
      <c r="B327" s="167"/>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row>
    <row r="328" spans="1:25">
      <c r="A328" s="40"/>
      <c r="B328" s="167"/>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row>
    <row r="329" spans="1:25">
      <c r="A329" s="40"/>
      <c r="B329" s="167"/>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row>
    <row r="330" spans="1:25">
      <c r="A330" s="40"/>
      <c r="B330" s="167"/>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row>
    <row r="331" spans="1:25">
      <c r="A331" s="84"/>
      <c r="B331" s="159"/>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c r="Y331" s="163"/>
    </row>
    <row r="332" spans="1:25">
      <c r="A332" s="40"/>
      <c r="B332" s="167"/>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row>
    <row r="333" spans="1:25">
      <c r="A333" s="40"/>
      <c r="B333" s="167"/>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row>
    <row r="334" spans="1:25">
      <c r="A334" s="40"/>
      <c r="B334" s="167"/>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row>
    <row r="335" spans="1:25">
      <c r="A335" s="40"/>
      <c r="B335" s="167"/>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row>
    <row r="336" spans="1:25">
      <c r="A336" s="40"/>
      <c r="B336" s="167"/>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row>
    <row r="337" spans="1:25">
      <c r="A337" s="40"/>
      <c r="B337" s="167"/>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row>
    <row r="338" spans="1:25">
      <c r="A338" s="40"/>
      <c r="B338" s="167"/>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row>
    <row r="339" spans="1:25">
      <c r="A339" s="40"/>
      <c r="B339" s="167"/>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row>
    <row r="340" spans="1:25">
      <c r="A340" s="40"/>
      <c r="B340" s="167"/>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row>
    <row r="341" spans="1:25">
      <c r="A341" s="40"/>
      <c r="B341" s="167"/>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row>
    <row r="342" spans="1:25">
      <c r="A342" s="40"/>
      <c r="B342" s="167"/>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row>
    <row r="343" spans="1:25">
      <c r="A343" s="40"/>
      <c r="B343" s="167"/>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row>
    <row r="344" spans="1:25">
      <c r="A344" s="40"/>
      <c r="B344" s="167"/>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row>
    <row r="345" spans="1:25">
      <c r="A345" s="40"/>
      <c r="B345" s="167"/>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row>
    <row r="346" spans="1:25">
      <c r="A346" s="84"/>
      <c r="B346" s="159"/>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c r="Y346" s="163"/>
    </row>
    <row r="347" spans="1:25">
      <c r="A347" s="40"/>
      <c r="B347" s="167"/>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row>
    <row r="348" spans="1:25">
      <c r="A348" s="40"/>
      <c r="B348" s="167"/>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row>
    <row r="349" spans="1:25">
      <c r="A349" s="40"/>
      <c r="B349" s="167"/>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row>
    <row r="350" spans="1:25">
      <c r="A350" s="40"/>
      <c r="B350" s="167"/>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row>
    <row r="351" spans="1:25">
      <c r="A351" s="40"/>
      <c r="B351" s="167"/>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row>
    <row r="352" spans="1:25">
      <c r="A352" s="40"/>
      <c r="B352" s="167"/>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row>
    <row r="353" spans="1:25">
      <c r="A353" s="40"/>
      <c r="B353" s="167"/>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row>
    <row r="354" spans="1:25">
      <c r="A354" s="40"/>
      <c r="B354" s="167"/>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row>
    <row r="355" spans="1:25">
      <c r="A355" s="40"/>
      <c r="B355" s="167"/>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row>
    <row r="356" spans="1:25">
      <c r="A356" s="40"/>
      <c r="B356" s="167"/>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row>
    <row r="357" spans="1:25">
      <c r="A357" s="40"/>
      <c r="B357" s="167"/>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row>
    <row r="358" spans="1:25">
      <c r="A358" s="40"/>
      <c r="B358" s="167"/>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row>
    <row r="359" spans="1:25">
      <c r="A359" s="40"/>
      <c r="B359" s="167"/>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row>
    <row r="360" spans="1:25">
      <c r="A360" s="84"/>
      <c r="B360" s="159"/>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row>
    <row r="361" spans="1:25">
      <c r="A361" s="40"/>
      <c r="B361" s="167"/>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row>
    <row r="362" spans="1:25">
      <c r="A362" s="40"/>
      <c r="B362" s="167"/>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row>
    <row r="363" spans="1:25">
      <c r="A363" s="40"/>
      <c r="B363" s="167"/>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row>
    <row r="364" spans="1:25">
      <c r="A364" s="40"/>
      <c r="B364" s="167"/>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row>
    <row r="365" spans="1:25">
      <c r="A365" s="40"/>
      <c r="B365" s="167"/>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row>
    <row r="366" spans="1:25">
      <c r="A366" s="40"/>
      <c r="B366" s="167"/>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row>
    <row r="367" spans="1:25">
      <c r="A367" s="40"/>
      <c r="B367" s="167"/>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row>
    <row r="368" spans="1:25">
      <c r="A368" s="40"/>
      <c r="B368" s="167"/>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row>
    <row r="369" spans="1:25">
      <c r="A369" s="40"/>
      <c r="B369" s="167"/>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row>
    <row r="370" spans="1:25">
      <c r="A370" s="40"/>
      <c r="B370" s="167"/>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row>
    <row r="371" spans="1:25">
      <c r="A371" s="40"/>
      <c r="B371" s="167"/>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row>
    <row r="372" spans="1:25">
      <c r="A372" s="40"/>
      <c r="B372" s="167"/>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row>
    <row r="373" spans="1:25">
      <c r="A373" s="40"/>
      <c r="B373" s="167"/>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row>
    <row r="374" spans="1:25">
      <c r="A374" s="40"/>
      <c r="B374" s="167"/>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row>
    <row r="375" spans="1:25">
      <c r="A375" s="40"/>
      <c r="B375" s="167"/>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row>
    <row r="376" spans="1:25">
      <c r="A376" s="84"/>
      <c r="B376" s="159"/>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row>
    <row r="377" spans="1:25">
      <c r="A377" s="40"/>
      <c r="B377" s="167"/>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row>
    <row r="378" spans="1:25">
      <c r="A378" s="40"/>
      <c r="B378" s="167"/>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row>
    <row r="379" spans="1:25">
      <c r="A379" s="40"/>
      <c r="B379" s="167"/>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row>
    <row r="380" spans="1:25">
      <c r="A380" s="40"/>
      <c r="B380" s="167"/>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row>
    <row r="381" spans="1:25">
      <c r="A381" s="40"/>
      <c r="B381" s="167"/>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row>
    <row r="382" spans="1:25">
      <c r="A382" s="40"/>
      <c r="B382" s="167"/>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row>
    <row r="383" spans="1:25">
      <c r="A383" s="40"/>
      <c r="B383" s="167"/>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row>
    <row r="384" spans="1:25">
      <c r="A384" s="40"/>
      <c r="B384" s="167"/>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row>
    <row r="385" spans="1:25">
      <c r="A385" s="40"/>
      <c r="B385" s="167"/>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row>
    <row r="386" spans="1:25">
      <c r="A386" s="40"/>
      <c r="B386" s="167"/>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row>
    <row r="387" spans="1:25">
      <c r="A387" s="40"/>
      <c r="B387" s="167"/>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row>
    <row r="388" spans="1:25">
      <c r="A388" s="40"/>
      <c r="B388" s="167"/>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row>
    <row r="389" spans="1:25">
      <c r="A389" s="40"/>
      <c r="B389" s="167"/>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row>
    <row r="390" spans="1:25">
      <c r="A390" s="84"/>
      <c r="B390" s="159"/>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c r="Y390" s="163"/>
    </row>
    <row r="391" spans="1:25">
      <c r="A391" s="40"/>
      <c r="B391" s="167"/>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row>
    <row r="392" spans="1:25">
      <c r="A392" s="40"/>
      <c r="B392" s="167"/>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row>
    <row r="393" spans="1:25">
      <c r="A393" s="40"/>
      <c r="B393" s="167"/>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row>
    <row r="394" spans="1:25">
      <c r="A394" s="40"/>
      <c r="B394" s="167"/>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row>
    <row r="395" spans="1:25">
      <c r="A395" s="84"/>
      <c r="B395" s="159"/>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c r="Y395" s="163"/>
    </row>
    <row r="396" spans="1:25">
      <c r="A396" s="40"/>
      <c r="B396" s="167"/>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row>
    <row r="397" spans="1:25">
      <c r="A397" s="40"/>
      <c r="B397" s="167"/>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row>
    <row r="398" spans="1:25">
      <c r="A398" s="40"/>
      <c r="B398" s="167"/>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row>
    <row r="399" spans="1:25">
      <c r="A399" s="40"/>
      <c r="B399" s="167"/>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row>
    <row r="400" spans="1:25">
      <c r="A400" s="40"/>
      <c r="B400" s="167"/>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row>
    <row r="401" spans="1:25">
      <c r="A401" s="40"/>
      <c r="B401" s="167"/>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row>
    <row r="402" spans="1:25">
      <c r="A402" s="40"/>
      <c r="B402" s="167"/>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row>
    <row r="403" spans="1:25">
      <c r="A403" s="40"/>
      <c r="B403" s="167"/>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row>
    <row r="404" spans="1:25">
      <c r="A404" s="40"/>
      <c r="B404" s="167"/>
      <c r="C404" s="174"/>
      <c r="D404" s="174"/>
      <c r="E404" s="174"/>
      <c r="F404" s="174"/>
      <c r="G404" s="163"/>
      <c r="H404" s="163"/>
      <c r="I404" s="174"/>
      <c r="J404" s="174"/>
      <c r="K404" s="174"/>
      <c r="L404" s="174"/>
      <c r="M404" s="163"/>
      <c r="N404" s="163"/>
      <c r="O404" s="174"/>
      <c r="P404" s="174"/>
      <c r="Q404" s="174"/>
      <c r="R404" s="174"/>
      <c r="S404" s="163"/>
      <c r="T404" s="163"/>
      <c r="U404" s="174"/>
      <c r="V404" s="174"/>
      <c r="W404" s="174"/>
      <c r="X404" s="174"/>
      <c r="Y404" s="163"/>
    </row>
    <row r="405" spans="1:25">
      <c r="A405" s="84"/>
      <c r="B405" s="159"/>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c r="Y405" s="163"/>
    </row>
    <row r="406" spans="1:25">
      <c r="A406" s="40"/>
      <c r="B406" s="167"/>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row>
    <row r="407" spans="1:25">
      <c r="A407" s="40"/>
      <c r="B407" s="167"/>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row>
    <row r="408" spans="1:25">
      <c r="A408" s="40"/>
      <c r="B408" s="167"/>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row>
    <row r="409" spans="1:25">
      <c r="A409" s="40"/>
      <c r="B409" s="167"/>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row>
    <row r="410" spans="1:25">
      <c r="A410" s="40"/>
      <c r="B410" s="167"/>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row>
    <row r="411" spans="1:25">
      <c r="A411" s="40"/>
      <c r="B411" s="167"/>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row>
    <row r="412" spans="1:25">
      <c r="A412" s="40"/>
      <c r="B412" s="167"/>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row>
    <row r="413" spans="1:25">
      <c r="A413" s="40"/>
      <c r="B413" s="167"/>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row>
    <row r="414" spans="1:25">
      <c r="A414" s="84"/>
      <c r="B414" s="159"/>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c r="Y414" s="163"/>
    </row>
    <row r="415" spans="1:25">
      <c r="A415" s="176"/>
      <c r="B415" s="167"/>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row>
    <row r="416" spans="1:25">
      <c r="A416" s="176"/>
      <c r="B416" s="167"/>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row>
    <row r="417" spans="1:25">
      <c r="A417" s="176"/>
      <c r="B417" s="167"/>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row>
    <row r="418" spans="1:25">
      <c r="A418" s="176"/>
      <c r="B418" s="167"/>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row>
    <row r="419" spans="1:25">
      <c r="A419" s="176"/>
      <c r="B419" s="167"/>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row>
    <row r="420" spans="1:25">
      <c r="A420" s="176"/>
      <c r="B420" s="167"/>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row>
    <row r="421" spans="1:25">
      <c r="A421" s="176"/>
      <c r="B421" s="167"/>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row>
    <row r="422" spans="1:25">
      <c r="A422" s="176"/>
      <c r="B422" s="167"/>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row>
    <row r="423" spans="1:25">
      <c r="A423" s="176"/>
      <c r="B423" s="167"/>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row>
    <row r="424" spans="1:25">
      <c r="A424" s="176"/>
      <c r="B424" s="167"/>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row>
    <row r="425" spans="1:25">
      <c r="A425" s="84"/>
      <c r="B425" s="159"/>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c r="Y425" s="163"/>
    </row>
    <row r="426" spans="1:25">
      <c r="A426" s="40"/>
      <c r="B426" s="167"/>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row>
    <row r="427" spans="1:25">
      <c r="A427" s="40"/>
      <c r="B427" s="167"/>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row>
    <row r="428" spans="1:25">
      <c r="A428" s="40"/>
      <c r="B428" s="167"/>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row>
    <row r="429" spans="1:25">
      <c r="A429" s="40"/>
      <c r="B429" s="167"/>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row>
    <row r="430" spans="1:25">
      <c r="A430" s="40"/>
      <c r="B430" s="167"/>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row>
    <row r="431" spans="1:25">
      <c r="A431" s="84"/>
      <c r="B431" s="159"/>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row>
    <row r="432" spans="1:25">
      <c r="A432" s="40"/>
      <c r="B432" s="167"/>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row>
    <row r="433" spans="1:25">
      <c r="A433" s="40"/>
      <c r="B433" s="167"/>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row>
    <row r="434" spans="1:25">
      <c r="A434" s="40"/>
      <c r="B434" s="167"/>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row>
    <row r="435" spans="1:25">
      <c r="A435" s="40"/>
      <c r="B435" s="167"/>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row>
    <row r="436" spans="1:25">
      <c r="A436" s="40"/>
      <c r="B436" s="167"/>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row>
    <row r="437" spans="1:25">
      <c r="A437" s="40"/>
      <c r="B437" s="167"/>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row>
    <row r="438" spans="1:25">
      <c r="A438" s="40"/>
      <c r="B438" s="167"/>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row>
    <row r="439" spans="1:25">
      <c r="A439" s="40"/>
      <c r="B439" s="167"/>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row>
    <row r="440" spans="1:25">
      <c r="A440" s="84"/>
      <c r="B440" s="159"/>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row>
    <row r="441" spans="1:25">
      <c r="A441" s="40"/>
      <c r="B441" s="167"/>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row>
    <row r="442" spans="1:25">
      <c r="A442" s="40"/>
      <c r="B442" s="167"/>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row>
    <row r="443" spans="1:25">
      <c r="A443" s="40"/>
      <c r="B443" s="167"/>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row>
    <row r="444" spans="1:25">
      <c r="A444" s="40"/>
      <c r="B444" s="167"/>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row>
    <row r="445" spans="1:25">
      <c r="A445" s="40"/>
      <c r="B445" s="167"/>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row>
    <row r="446" spans="1:25">
      <c r="A446" s="84"/>
      <c r="B446" s="159"/>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row>
    <row r="447" spans="1:25">
      <c r="A447" s="40"/>
      <c r="B447" s="167"/>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row>
    <row r="448" spans="1:25">
      <c r="A448" s="40"/>
      <c r="B448" s="167"/>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row>
    <row r="449" spans="1:25">
      <c r="A449" s="40"/>
      <c r="B449" s="167"/>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row>
    <row r="450" spans="1:25">
      <c r="A450" s="40"/>
      <c r="B450" s="167"/>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row>
    <row r="451" spans="1:25">
      <c r="A451" s="40"/>
      <c r="B451" s="167"/>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row>
    <row r="452" spans="1:25">
      <c r="A452" s="40"/>
      <c r="B452" s="167"/>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row>
    <row r="453" spans="1:25">
      <c r="A453" s="84"/>
      <c r="B453" s="159"/>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row>
    <row r="454" spans="1:25">
      <c r="A454" s="40"/>
      <c r="B454" s="167"/>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row>
    <row r="455" spans="1:25">
      <c r="A455" s="40"/>
      <c r="B455" s="167"/>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row>
    <row r="456" spans="1:25">
      <c r="A456" s="40"/>
      <c r="B456" s="167"/>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row>
    <row r="457" spans="1:25">
      <c r="A457" s="40"/>
      <c r="B457" s="167"/>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row>
    <row r="458" spans="1:25">
      <c r="A458" s="40"/>
      <c r="B458" s="167"/>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row>
    <row r="459" spans="1:25">
      <c r="A459" s="40"/>
      <c r="B459" s="167"/>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row>
    <row r="460" spans="1:25">
      <c r="A460" s="40"/>
      <c r="B460" s="167"/>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row>
    <row r="461" spans="1:25">
      <c r="A461" s="40"/>
      <c r="B461" s="167"/>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row>
    <row r="462" spans="1:25">
      <c r="A462" s="40"/>
      <c r="B462" s="167"/>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row>
    <row r="463" spans="1:25">
      <c r="A463" s="40"/>
      <c r="B463" s="167"/>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row>
    <row r="464" spans="1:25">
      <c r="A464" s="40"/>
      <c r="B464" s="167"/>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row>
    <row r="465" spans="1:25">
      <c r="A465" s="40"/>
      <c r="B465" s="167"/>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row>
    <row r="466" spans="1:25">
      <c r="A466" s="40"/>
      <c r="B466" s="167"/>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row>
    <row r="467" spans="1:25">
      <c r="A467" s="84"/>
      <c r="B467" s="159"/>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row>
    <row r="468" spans="1:25">
      <c r="A468" s="40"/>
      <c r="B468" s="167"/>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row>
    <row r="469" spans="1:25">
      <c r="A469" s="40"/>
      <c r="B469" s="167"/>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row>
    <row r="470" spans="1:25">
      <c r="A470" s="40"/>
      <c r="B470" s="167"/>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row>
    <row r="471" spans="1:25">
      <c r="A471" s="40"/>
      <c r="B471" s="167"/>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row>
    <row r="472" spans="1:25">
      <c r="A472" s="40"/>
      <c r="B472" s="167"/>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row>
    <row r="473" spans="1:25">
      <c r="A473" s="40"/>
      <c r="B473" s="167"/>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row>
    <row r="474" spans="1:25">
      <c r="A474" s="40"/>
      <c r="B474" s="167"/>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row>
    <row r="475" spans="1:25">
      <c r="A475" s="40"/>
      <c r="B475" s="167"/>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row>
    <row r="476" spans="1:25">
      <c r="A476" s="40"/>
      <c r="B476" s="167"/>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row>
    <row r="477" spans="1:25">
      <c r="A477" s="40"/>
      <c r="B477" s="167"/>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row>
    <row r="478" spans="1:25">
      <c r="A478" s="40"/>
      <c r="B478" s="167"/>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row>
    <row r="479" spans="1:25">
      <c r="A479" s="84"/>
      <c r="B479" s="159"/>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row>
    <row r="480" spans="1:25">
      <c r="A480" s="40"/>
      <c r="B480" s="167"/>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row>
    <row r="481" spans="1:25">
      <c r="A481" s="40"/>
      <c r="B481" s="167"/>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row>
    <row r="482" spans="1:25">
      <c r="A482" s="40"/>
      <c r="B482" s="167"/>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row>
    <row r="483" spans="1:25">
      <c r="A483" s="40"/>
      <c r="B483" s="167"/>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row>
    <row r="484" spans="1:25">
      <c r="A484" s="40"/>
      <c r="B484" s="167"/>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row>
    <row r="485" spans="1:25">
      <c r="A485" s="40"/>
      <c r="B485" s="167"/>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row>
    <row r="486" spans="1:25">
      <c r="A486" s="40"/>
      <c r="B486" s="167"/>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row>
    <row r="487" spans="1:25">
      <c r="A487" s="40"/>
      <c r="B487" s="167"/>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row>
    <row r="488" spans="1:25">
      <c r="A488" s="40"/>
      <c r="B488" s="167"/>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row>
    <row r="489" spans="1:25">
      <c r="A489" s="84"/>
      <c r="B489" s="159"/>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row>
    <row r="490" spans="1:25">
      <c r="A490" s="40"/>
      <c r="B490" s="167"/>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row>
    <row r="491" spans="1:25">
      <c r="A491" s="40"/>
      <c r="B491" s="167"/>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row>
    <row r="492" spans="1:25">
      <c r="A492" s="40"/>
      <c r="B492" s="167"/>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row>
    <row r="493" spans="1:25">
      <c r="A493" s="40"/>
      <c r="B493" s="167"/>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row>
    <row r="494" spans="1:25">
      <c r="A494" s="40"/>
      <c r="B494" s="167"/>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row>
    <row r="495" spans="1:25">
      <c r="A495" s="40"/>
      <c r="B495" s="167"/>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row>
    <row r="496" spans="1:25">
      <c r="A496" s="40"/>
      <c r="B496" s="167"/>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row>
    <row r="497" spans="1:25">
      <c r="A497" s="40"/>
      <c r="B497" s="167"/>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row>
    <row r="498" spans="1:25">
      <c r="A498" s="40"/>
      <c r="B498" s="167"/>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row>
    <row r="499" spans="1:25">
      <c r="A499" s="84"/>
      <c r="B499" s="159"/>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row>
    <row r="500" spans="1:25">
      <c r="A500" s="40"/>
      <c r="B500" s="167"/>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row>
    <row r="501" spans="1:25">
      <c r="A501" s="84"/>
      <c r="B501" s="159"/>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row>
    <row r="502" spans="1:25">
      <c r="A502" s="40"/>
      <c r="B502" s="167"/>
      <c r="C502" s="174"/>
      <c r="D502" s="174"/>
      <c r="E502" s="174"/>
      <c r="F502" s="174"/>
      <c r="G502" s="163"/>
      <c r="H502" s="163"/>
      <c r="I502" s="174"/>
      <c r="J502" s="174"/>
      <c r="K502" s="174"/>
      <c r="L502" s="174"/>
      <c r="M502" s="163"/>
      <c r="N502" s="163"/>
      <c r="O502" s="174"/>
      <c r="P502" s="174"/>
      <c r="Q502" s="174"/>
      <c r="R502" s="174"/>
      <c r="S502" s="163"/>
      <c r="T502" s="163"/>
      <c r="U502" s="174"/>
      <c r="V502" s="174"/>
      <c r="W502" s="174"/>
      <c r="X502" s="174"/>
      <c r="Y502" s="163"/>
    </row>
    <row r="503" spans="1:25">
      <c r="A503" s="40"/>
      <c r="B503" s="167"/>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row>
    <row r="504" spans="1:25">
      <c r="A504" s="40"/>
      <c r="B504" s="167"/>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row>
    <row r="505" spans="1:25">
      <c r="A505" s="40"/>
      <c r="B505" s="167"/>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row>
    <row r="506" spans="1:25">
      <c r="A506" s="40"/>
      <c r="B506" s="167"/>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row>
    <row r="507" spans="1:25">
      <c r="A507" s="40"/>
      <c r="B507" s="167"/>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row>
  </sheetData>
  <mergeCells count="40">
    <mergeCell ref="A270:A271"/>
    <mergeCell ref="A265:Y265"/>
    <mergeCell ref="A266:Y266"/>
    <mergeCell ref="A267:A268"/>
    <mergeCell ref="B267:B268"/>
    <mergeCell ref="C267:G267"/>
    <mergeCell ref="I267:M267"/>
    <mergeCell ref="O267:S267"/>
    <mergeCell ref="U267:Y267"/>
    <mergeCell ref="A260:Y260"/>
    <mergeCell ref="A261:Y261"/>
    <mergeCell ref="A262:A263"/>
    <mergeCell ref="B262:B263"/>
    <mergeCell ref="C262:G262"/>
    <mergeCell ref="I262:M262"/>
    <mergeCell ref="O262:S262"/>
    <mergeCell ref="U262:Y262"/>
    <mergeCell ref="BK13:BO13"/>
    <mergeCell ref="A255:Y255"/>
    <mergeCell ref="A256:Y256"/>
    <mergeCell ref="A257:A258"/>
    <mergeCell ref="B257:B258"/>
    <mergeCell ref="C257:G257"/>
    <mergeCell ref="I257:M257"/>
    <mergeCell ref="O257:S257"/>
    <mergeCell ref="U257:Y257"/>
    <mergeCell ref="BE13:BI13"/>
    <mergeCell ref="A6:A7"/>
    <mergeCell ref="AQ13:AQ14"/>
    <mergeCell ref="AR13:AR14"/>
    <mergeCell ref="AS13:AW13"/>
    <mergeCell ref="AY13:BC13"/>
    <mergeCell ref="A1:Y1"/>
    <mergeCell ref="A2:Y2"/>
    <mergeCell ref="A3:A4"/>
    <mergeCell ref="B3:B4"/>
    <mergeCell ref="C3:G3"/>
    <mergeCell ref="I3:M3"/>
    <mergeCell ref="O3:S3"/>
    <mergeCell ref="U3:Y3"/>
  </mergeCells>
  <pageMargins left="0.7" right="0.7" top="0.75" bottom="0.75" header="0.3" footer="0.3"/>
  <pageSetup paperSize="9" scale="35" orientation="portrait" r:id="rId1"/>
  <rowBreaks count="3" manualBreakCount="3">
    <brk id="143" max="25" man="1"/>
    <brk id="199" max="25" man="1"/>
    <brk id="256" max="2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CE86"/>
  <sheetViews>
    <sheetView view="pageBreakPreview" zoomScale="60" zoomScaleNormal="91" workbookViewId="0">
      <selection sqref="A1:BF1"/>
    </sheetView>
  </sheetViews>
  <sheetFormatPr defaultColWidth="9.140625" defaultRowHeight="18.75"/>
  <cols>
    <col min="1" max="1" width="25" style="250" customWidth="1"/>
    <col min="2" max="2" width="13.7109375" style="251" hidden="1" customWidth="1"/>
    <col min="3" max="3" width="12.5703125" style="251" hidden="1" customWidth="1"/>
    <col min="4" max="4" width="13.28515625" style="251" hidden="1" customWidth="1"/>
    <col min="5" max="5" width="12.140625" style="251" hidden="1" customWidth="1"/>
    <col min="6" max="6" width="9.5703125" style="251" hidden="1" customWidth="1"/>
    <col min="7" max="7" width="1.140625" style="251" hidden="1" customWidth="1"/>
    <col min="8" max="8" width="13.28515625" style="251" hidden="1" customWidth="1"/>
    <col min="9" max="9" width="14.42578125" style="251" hidden="1" customWidth="1"/>
    <col min="10" max="10" width="14.28515625" style="251" hidden="1" customWidth="1"/>
    <col min="11" max="12" width="11.28515625" style="251" hidden="1" customWidth="1"/>
    <col min="13" max="13" width="13.28515625" style="251" hidden="1" customWidth="1"/>
    <col min="14" max="14" width="14.42578125" style="251" hidden="1" customWidth="1"/>
    <col min="15" max="15" width="14.28515625" style="251" hidden="1" customWidth="1"/>
    <col min="16" max="17" width="11.28515625" style="251" hidden="1" customWidth="1"/>
    <col min="18" max="18" width="13.28515625" style="251" hidden="1" customWidth="1"/>
    <col min="19" max="19" width="14.42578125" style="251" hidden="1" customWidth="1"/>
    <col min="20" max="20" width="14.28515625" style="251" hidden="1" customWidth="1"/>
    <col min="21" max="22" width="11.28515625" style="251" hidden="1" customWidth="1"/>
    <col min="23" max="32" width="11.140625" style="251" hidden="1" customWidth="1"/>
    <col min="33" max="47" width="12.28515625" style="251" hidden="1" customWidth="1"/>
    <col min="48" max="57" width="12.28515625" style="251" customWidth="1"/>
    <col min="58" max="58" width="17.85546875" style="252" customWidth="1"/>
    <col min="59" max="59" width="4.85546875" style="250" customWidth="1"/>
    <col min="60" max="16384" width="9.140625" style="250"/>
  </cols>
  <sheetData>
    <row r="1" spans="1:83" s="196" customFormat="1">
      <c r="A1" s="1146" t="s">
        <v>2174</v>
      </c>
      <c r="B1" s="1146"/>
      <c r="C1" s="1146"/>
      <c r="D1" s="1146"/>
      <c r="E1" s="1146"/>
      <c r="F1" s="1146"/>
      <c r="G1" s="1146"/>
      <c r="H1" s="1146"/>
      <c r="I1" s="1146"/>
      <c r="J1" s="1146"/>
      <c r="K1" s="1146"/>
      <c r="L1" s="1146"/>
      <c r="M1" s="1146"/>
      <c r="N1" s="1146"/>
      <c r="O1" s="1146"/>
      <c r="P1" s="1146"/>
      <c r="Q1" s="1146"/>
      <c r="R1" s="1146"/>
      <c r="S1" s="1146"/>
      <c r="T1" s="1146"/>
      <c r="U1" s="1146"/>
      <c r="V1" s="1146"/>
      <c r="W1" s="1146"/>
      <c r="X1" s="1146"/>
      <c r="Y1" s="1146"/>
      <c r="Z1" s="1146"/>
      <c r="AA1" s="1146"/>
      <c r="AB1" s="1146"/>
      <c r="AC1" s="1146"/>
      <c r="AD1" s="1146"/>
      <c r="AE1" s="1146"/>
      <c r="AF1" s="1146"/>
      <c r="AG1" s="1146"/>
      <c r="AH1" s="1146"/>
      <c r="AI1" s="1146"/>
      <c r="AJ1" s="1146"/>
      <c r="AK1" s="1146"/>
      <c r="AL1" s="1146"/>
      <c r="AM1" s="1146"/>
      <c r="AN1" s="1146"/>
      <c r="AO1" s="1146"/>
      <c r="AP1" s="1146"/>
      <c r="AQ1" s="1146"/>
      <c r="AR1" s="1146"/>
      <c r="AS1" s="1146"/>
      <c r="AT1" s="1146"/>
      <c r="AU1" s="1146"/>
      <c r="AV1" s="1146"/>
      <c r="AW1" s="1146"/>
      <c r="AX1" s="1146"/>
      <c r="AY1" s="1146"/>
      <c r="AZ1" s="1146"/>
      <c r="BA1" s="1146"/>
      <c r="BB1" s="1146"/>
      <c r="BC1" s="1146"/>
      <c r="BD1" s="1146"/>
      <c r="BE1" s="1146"/>
      <c r="BF1" s="1146"/>
    </row>
    <row r="2" spans="1:83" s="104" customFormat="1" ht="12.75">
      <c r="A2" s="1147" t="s">
        <v>2173</v>
      </c>
      <c r="B2" s="1148"/>
      <c r="C2" s="1148"/>
      <c r="D2" s="1148"/>
      <c r="E2" s="1148"/>
      <c r="F2" s="1148"/>
      <c r="G2" s="1148"/>
      <c r="H2" s="1148"/>
      <c r="I2" s="1148"/>
      <c r="J2" s="1148"/>
      <c r="K2" s="1148"/>
      <c r="L2" s="1148"/>
      <c r="M2" s="1148"/>
      <c r="N2" s="1148"/>
      <c r="O2" s="1148"/>
      <c r="P2" s="1148"/>
      <c r="Q2" s="1148"/>
      <c r="R2" s="1148"/>
      <c r="S2" s="1148"/>
      <c r="T2" s="1148"/>
      <c r="U2" s="1148"/>
      <c r="V2" s="1148"/>
      <c r="W2" s="1148"/>
      <c r="X2" s="1148"/>
      <c r="Y2" s="1148"/>
      <c r="Z2" s="1148"/>
      <c r="AA2" s="1148"/>
      <c r="AB2" s="1148"/>
      <c r="AC2" s="1148"/>
      <c r="AD2" s="1148"/>
      <c r="AE2" s="1148"/>
      <c r="AF2" s="1148"/>
      <c r="AG2" s="1148"/>
      <c r="AH2" s="1148"/>
      <c r="AI2" s="1148"/>
      <c r="AJ2" s="1148"/>
      <c r="AK2" s="1148"/>
      <c r="AL2" s="1148"/>
      <c r="AM2" s="1148"/>
      <c r="AN2" s="1148"/>
      <c r="AO2" s="1148"/>
      <c r="AP2" s="1148"/>
      <c r="AQ2" s="1148"/>
      <c r="AR2" s="1148"/>
      <c r="AS2" s="1148"/>
      <c r="AT2" s="1148"/>
      <c r="AU2" s="1148"/>
      <c r="AV2" s="1148"/>
      <c r="AW2" s="1148"/>
      <c r="AX2" s="1148"/>
      <c r="AY2" s="1148"/>
      <c r="AZ2" s="1148"/>
      <c r="BA2" s="1148"/>
      <c r="BB2" s="1148"/>
      <c r="BC2" s="1148"/>
      <c r="BD2" s="1148"/>
      <c r="BE2" s="1148"/>
      <c r="BF2" s="1148"/>
    </row>
    <row r="3" spans="1:83" s="199" customFormat="1" ht="12.75">
      <c r="A3" s="1149" t="s">
        <v>22</v>
      </c>
      <c r="B3" s="1152">
        <v>2011</v>
      </c>
      <c r="C3" s="1153"/>
      <c r="D3" s="1153"/>
      <c r="E3" s="1153"/>
      <c r="F3" s="1153"/>
      <c r="G3" s="197"/>
      <c r="H3" s="1154">
        <v>2012</v>
      </c>
      <c r="I3" s="1153"/>
      <c r="J3" s="1153"/>
      <c r="K3" s="1153"/>
      <c r="L3" s="1155"/>
      <c r="M3" s="1153">
        <v>2013</v>
      </c>
      <c r="N3" s="1153"/>
      <c r="O3" s="1153"/>
      <c r="P3" s="1153"/>
      <c r="Q3" s="1153"/>
      <c r="R3" s="1154">
        <v>2014</v>
      </c>
      <c r="S3" s="1153"/>
      <c r="T3" s="1153"/>
      <c r="U3" s="1153"/>
      <c r="V3" s="1155"/>
      <c r="W3" s="1153">
        <v>2015</v>
      </c>
      <c r="X3" s="1153"/>
      <c r="Y3" s="1153"/>
      <c r="Z3" s="1153"/>
      <c r="AA3" s="1153"/>
      <c r="AB3" s="1154">
        <v>2016</v>
      </c>
      <c r="AC3" s="1153"/>
      <c r="AD3" s="1153"/>
      <c r="AE3" s="1153"/>
      <c r="AF3" s="1153"/>
      <c r="AG3" s="1139">
        <v>2017</v>
      </c>
      <c r="AH3" s="1140"/>
      <c r="AI3" s="1140"/>
      <c r="AJ3" s="1140"/>
      <c r="AK3" s="1140"/>
      <c r="AL3" s="1139">
        <v>2018</v>
      </c>
      <c r="AM3" s="1140"/>
      <c r="AN3" s="1140"/>
      <c r="AO3" s="1140"/>
      <c r="AP3" s="1140"/>
      <c r="AQ3" s="1139">
        <v>2019</v>
      </c>
      <c r="AR3" s="1140"/>
      <c r="AS3" s="1140"/>
      <c r="AT3" s="1140"/>
      <c r="AU3" s="1140"/>
      <c r="AV3" s="1139">
        <v>2020</v>
      </c>
      <c r="AW3" s="1140"/>
      <c r="AX3" s="1140"/>
      <c r="AY3" s="1140"/>
      <c r="AZ3" s="1140"/>
      <c r="BA3" s="1139">
        <v>2021</v>
      </c>
      <c r="BB3" s="1140"/>
      <c r="BC3" s="1140"/>
      <c r="BD3" s="1140"/>
      <c r="BE3" s="1140"/>
      <c r="BF3" s="1141" t="s">
        <v>367</v>
      </c>
      <c r="BG3" s="198"/>
    </row>
    <row r="4" spans="1:83" s="209" customFormat="1" ht="17.25" customHeight="1">
      <c r="A4" s="1150"/>
      <c r="B4" s="200" t="s">
        <v>355</v>
      </c>
      <c r="C4" s="200" t="s">
        <v>185</v>
      </c>
      <c r="D4" s="200" t="s">
        <v>357</v>
      </c>
      <c r="E4" s="200" t="s">
        <v>368</v>
      </c>
      <c r="F4" s="200" t="s">
        <v>369</v>
      </c>
      <c r="G4" s="201"/>
      <c r="H4" s="202" t="s">
        <v>355</v>
      </c>
      <c r="I4" s="200" t="s">
        <v>185</v>
      </c>
      <c r="J4" s="200" t="s">
        <v>357</v>
      </c>
      <c r="K4" s="200" t="s">
        <v>368</v>
      </c>
      <c r="L4" s="203" t="s">
        <v>369</v>
      </c>
      <c r="M4" s="204" t="s">
        <v>355</v>
      </c>
      <c r="N4" s="200" t="s">
        <v>185</v>
      </c>
      <c r="O4" s="200" t="s">
        <v>357</v>
      </c>
      <c r="P4" s="200" t="s">
        <v>368</v>
      </c>
      <c r="Q4" s="205" t="s">
        <v>369</v>
      </c>
      <c r="R4" s="202" t="s">
        <v>355</v>
      </c>
      <c r="S4" s="200" t="s">
        <v>185</v>
      </c>
      <c r="T4" s="200" t="s">
        <v>357</v>
      </c>
      <c r="U4" s="200" t="s">
        <v>368</v>
      </c>
      <c r="V4" s="203" t="s">
        <v>369</v>
      </c>
      <c r="W4" s="204" t="s">
        <v>355</v>
      </c>
      <c r="X4" s="200" t="s">
        <v>185</v>
      </c>
      <c r="Y4" s="200" t="s">
        <v>357</v>
      </c>
      <c r="Z4" s="200" t="s">
        <v>368</v>
      </c>
      <c r="AA4" s="205" t="s">
        <v>369</v>
      </c>
      <c r="AB4" s="202" t="s">
        <v>355</v>
      </c>
      <c r="AC4" s="200" t="s">
        <v>185</v>
      </c>
      <c r="AD4" s="200" t="s">
        <v>357</v>
      </c>
      <c r="AE4" s="200" t="s">
        <v>368</v>
      </c>
      <c r="AF4" s="205" t="s">
        <v>369</v>
      </c>
      <c r="AG4" s="206" t="s">
        <v>355</v>
      </c>
      <c r="AH4" s="207" t="s">
        <v>185</v>
      </c>
      <c r="AI4" s="207" t="s">
        <v>357</v>
      </c>
      <c r="AJ4" s="207" t="s">
        <v>368</v>
      </c>
      <c r="AK4" s="207" t="s">
        <v>369</v>
      </c>
      <c r="AL4" s="206" t="s">
        <v>355</v>
      </c>
      <c r="AM4" s="207" t="s">
        <v>185</v>
      </c>
      <c r="AN4" s="207" t="s">
        <v>357</v>
      </c>
      <c r="AO4" s="207" t="s">
        <v>368</v>
      </c>
      <c r="AP4" s="207" t="s">
        <v>369</v>
      </c>
      <c r="AQ4" s="206" t="s">
        <v>355</v>
      </c>
      <c r="AR4" s="207" t="s">
        <v>185</v>
      </c>
      <c r="AS4" s="207" t="s">
        <v>357</v>
      </c>
      <c r="AT4" s="207" t="s">
        <v>368</v>
      </c>
      <c r="AU4" s="207" t="s">
        <v>369</v>
      </c>
      <c r="AV4" s="206" t="s">
        <v>355</v>
      </c>
      <c r="AW4" s="207" t="s">
        <v>185</v>
      </c>
      <c r="AX4" s="207" t="s">
        <v>357</v>
      </c>
      <c r="AY4" s="207" t="s">
        <v>368</v>
      </c>
      <c r="AZ4" s="207" t="s">
        <v>369</v>
      </c>
      <c r="BA4" s="206" t="s">
        <v>355</v>
      </c>
      <c r="BB4" s="207" t="s">
        <v>185</v>
      </c>
      <c r="BC4" s="207" t="s">
        <v>357</v>
      </c>
      <c r="BD4" s="207" t="s">
        <v>368</v>
      </c>
      <c r="BE4" s="207" t="s">
        <v>369</v>
      </c>
      <c r="BF4" s="1142"/>
      <c r="BG4" s="208"/>
    </row>
    <row r="5" spans="1:83" s="217" customFormat="1">
      <c r="A5" s="1151"/>
      <c r="B5" s="210" t="s">
        <v>370</v>
      </c>
      <c r="C5" s="210" t="s">
        <v>371</v>
      </c>
      <c r="D5" s="210" t="s">
        <v>372</v>
      </c>
      <c r="E5" s="211" t="s">
        <v>373</v>
      </c>
      <c r="F5" s="216" t="s">
        <v>374</v>
      </c>
      <c r="G5" s="212"/>
      <c r="H5" s="213" t="s">
        <v>370</v>
      </c>
      <c r="I5" s="210" t="s">
        <v>371</v>
      </c>
      <c r="J5" s="210" t="s">
        <v>372</v>
      </c>
      <c r="K5" s="211" t="s">
        <v>373</v>
      </c>
      <c r="L5" s="212" t="s">
        <v>374</v>
      </c>
      <c r="M5" s="214" t="s">
        <v>370</v>
      </c>
      <c r="N5" s="210" t="s">
        <v>371</v>
      </c>
      <c r="O5" s="210" t="s">
        <v>372</v>
      </c>
      <c r="P5" s="211" t="s">
        <v>373</v>
      </c>
      <c r="Q5" s="216" t="s">
        <v>374</v>
      </c>
      <c r="R5" s="213" t="s">
        <v>375</v>
      </c>
      <c r="S5" s="210" t="s">
        <v>376</v>
      </c>
      <c r="T5" s="210" t="s">
        <v>372</v>
      </c>
      <c r="U5" s="211" t="s">
        <v>373</v>
      </c>
      <c r="V5" s="212" t="s">
        <v>374</v>
      </c>
      <c r="W5" s="214" t="s">
        <v>375</v>
      </c>
      <c r="X5" s="210" t="s">
        <v>376</v>
      </c>
      <c r="Y5" s="210" t="s">
        <v>372</v>
      </c>
      <c r="Z5" s="211" t="s">
        <v>373</v>
      </c>
      <c r="AA5" s="216" t="s">
        <v>374</v>
      </c>
      <c r="AB5" s="213" t="s">
        <v>375</v>
      </c>
      <c r="AC5" s="210" t="s">
        <v>376</v>
      </c>
      <c r="AD5" s="210" t="s">
        <v>372</v>
      </c>
      <c r="AE5" s="211" t="s">
        <v>373</v>
      </c>
      <c r="AF5" s="216" t="s">
        <v>374</v>
      </c>
      <c r="AG5" s="215" t="s">
        <v>375</v>
      </c>
      <c r="AH5" s="216" t="s">
        <v>376</v>
      </c>
      <c r="AI5" s="216" t="s">
        <v>372</v>
      </c>
      <c r="AJ5" s="216" t="s">
        <v>373</v>
      </c>
      <c r="AK5" s="216" t="s">
        <v>374</v>
      </c>
      <c r="AL5" s="215" t="s">
        <v>375</v>
      </c>
      <c r="AM5" s="216" t="s">
        <v>376</v>
      </c>
      <c r="AN5" s="216" t="s">
        <v>372</v>
      </c>
      <c r="AO5" s="216" t="s">
        <v>373</v>
      </c>
      <c r="AP5" s="216" t="s">
        <v>374</v>
      </c>
      <c r="AQ5" s="215" t="s">
        <v>375</v>
      </c>
      <c r="AR5" s="216" t="s">
        <v>376</v>
      </c>
      <c r="AS5" s="216" t="s">
        <v>372</v>
      </c>
      <c r="AT5" s="216" t="s">
        <v>373</v>
      </c>
      <c r="AU5" s="216" t="s">
        <v>374</v>
      </c>
      <c r="AV5" s="215" t="s">
        <v>375</v>
      </c>
      <c r="AW5" s="216" t="s">
        <v>376</v>
      </c>
      <c r="AX5" s="216" t="s">
        <v>372</v>
      </c>
      <c r="AY5" s="216" t="s">
        <v>373</v>
      </c>
      <c r="AZ5" s="216" t="s">
        <v>374</v>
      </c>
      <c r="BA5" s="215" t="s">
        <v>375</v>
      </c>
      <c r="BB5" s="216" t="s">
        <v>376</v>
      </c>
      <c r="BC5" s="216" t="s">
        <v>372</v>
      </c>
      <c r="BD5" s="216" t="s">
        <v>373</v>
      </c>
      <c r="BE5" s="216" t="s">
        <v>374</v>
      </c>
      <c r="BF5" s="1143"/>
      <c r="BS5" s="200"/>
      <c r="BT5" s="1159" t="s">
        <v>377</v>
      </c>
      <c r="BU5" s="1160"/>
      <c r="BV5" s="1160"/>
      <c r="BW5" s="1160"/>
      <c r="BX5" s="1160"/>
      <c r="BY5" s="1161"/>
      <c r="BZ5" s="1156" t="s">
        <v>378</v>
      </c>
      <c r="CA5" s="1157"/>
      <c r="CB5" s="1157"/>
      <c r="CC5" s="1157"/>
      <c r="CD5" s="1157"/>
      <c r="CE5" s="1158"/>
    </row>
    <row r="6" spans="1:83" s="224" customFormat="1">
      <c r="A6" s="218" t="s">
        <v>379</v>
      </c>
      <c r="B6" s="219">
        <f>B7+B13</f>
        <v>2764</v>
      </c>
      <c r="C6" s="219">
        <f>C7+C13</f>
        <v>6827</v>
      </c>
      <c r="D6" s="219">
        <f>D7+D13</f>
        <v>6264</v>
      </c>
      <c r="E6" s="219">
        <f>E7+E13</f>
        <v>5960</v>
      </c>
      <c r="F6" s="219">
        <f>F7+F13</f>
        <v>2985</v>
      </c>
      <c r="G6" s="220"/>
      <c r="H6" s="221">
        <f t="shared" ref="H6:AZ6" si="0">H7+H13</f>
        <v>2376</v>
      </c>
      <c r="I6" s="219">
        <f t="shared" si="0"/>
        <v>6425</v>
      </c>
      <c r="J6" s="219">
        <f t="shared" si="0"/>
        <v>5981</v>
      </c>
      <c r="K6" s="219">
        <f t="shared" si="0"/>
        <v>5600</v>
      </c>
      <c r="L6" s="220">
        <f t="shared" si="0"/>
        <v>2945</v>
      </c>
      <c r="M6" s="219">
        <f t="shared" si="0"/>
        <v>5634</v>
      </c>
      <c r="N6" s="219">
        <f t="shared" si="0"/>
        <v>3769</v>
      </c>
      <c r="O6" s="219">
        <f t="shared" si="0"/>
        <v>6512</v>
      </c>
      <c r="P6" s="219">
        <f t="shared" si="0"/>
        <v>5527</v>
      </c>
      <c r="Q6" s="222">
        <f t="shared" si="0"/>
        <v>3234</v>
      </c>
      <c r="R6" s="221">
        <f t="shared" si="0"/>
        <v>3174</v>
      </c>
      <c r="S6" s="219">
        <f t="shared" si="0"/>
        <v>7414</v>
      </c>
      <c r="T6" s="219">
        <f t="shared" si="0"/>
        <v>8157</v>
      </c>
      <c r="U6" s="219">
        <f t="shared" si="0"/>
        <v>5587</v>
      </c>
      <c r="V6" s="220">
        <f t="shared" si="0"/>
        <v>3414</v>
      </c>
      <c r="W6" s="219">
        <f t="shared" si="0"/>
        <v>3556</v>
      </c>
      <c r="X6" s="219">
        <f t="shared" si="0"/>
        <v>5290</v>
      </c>
      <c r="Y6" s="219">
        <f t="shared" si="0"/>
        <v>9477</v>
      </c>
      <c r="Z6" s="219">
        <f t="shared" si="0"/>
        <v>5763</v>
      </c>
      <c r="AA6" s="222">
        <f t="shared" si="0"/>
        <v>3358</v>
      </c>
      <c r="AB6" s="221">
        <f t="shared" si="0"/>
        <v>5339</v>
      </c>
      <c r="AC6" s="219">
        <f t="shared" si="0"/>
        <v>5021</v>
      </c>
      <c r="AD6" s="219">
        <f t="shared" si="0"/>
        <v>9828</v>
      </c>
      <c r="AE6" s="219">
        <f t="shared" si="0"/>
        <v>5488</v>
      </c>
      <c r="AF6" s="222">
        <f t="shared" si="0"/>
        <v>3417</v>
      </c>
      <c r="AG6" s="223">
        <f t="shared" si="0"/>
        <v>5421</v>
      </c>
      <c r="AH6" s="35">
        <f t="shared" si="0"/>
        <v>5692</v>
      </c>
      <c r="AI6" s="35">
        <f t="shared" si="0"/>
        <v>9582</v>
      </c>
      <c r="AJ6" s="35">
        <f t="shared" si="0"/>
        <v>5048</v>
      </c>
      <c r="AK6" s="35">
        <f t="shared" si="0"/>
        <v>3211</v>
      </c>
      <c r="AL6" s="223">
        <f t="shared" si="0"/>
        <v>3499</v>
      </c>
      <c r="AM6" s="35">
        <f t="shared" si="0"/>
        <v>6836</v>
      </c>
      <c r="AN6" s="35">
        <f t="shared" si="0"/>
        <v>9821</v>
      </c>
      <c r="AO6" s="35">
        <f t="shared" si="0"/>
        <v>5178</v>
      </c>
      <c r="AP6" s="35">
        <f t="shared" si="0"/>
        <v>3109</v>
      </c>
      <c r="AQ6" s="223">
        <f t="shared" si="0"/>
        <v>3381</v>
      </c>
      <c r="AR6" s="35">
        <f t="shared" si="0"/>
        <v>6568</v>
      </c>
      <c r="AS6" s="35">
        <f t="shared" si="0"/>
        <v>10127</v>
      </c>
      <c r="AT6" s="35">
        <f t="shared" si="0"/>
        <v>5069</v>
      </c>
      <c r="AU6" s="35">
        <f t="shared" si="0"/>
        <v>3550</v>
      </c>
      <c r="AV6" s="223">
        <f t="shared" si="0"/>
        <v>2940</v>
      </c>
      <c r="AW6" s="35">
        <f t="shared" si="0"/>
        <v>5309</v>
      </c>
      <c r="AX6" s="35">
        <f t="shared" si="0"/>
        <v>8800</v>
      </c>
      <c r="AY6" s="35">
        <f t="shared" si="0"/>
        <v>4998</v>
      </c>
      <c r="AZ6" s="35">
        <f t="shared" si="0"/>
        <v>2982</v>
      </c>
      <c r="BA6" s="223">
        <f>BA7+BA13</f>
        <v>2980</v>
      </c>
      <c r="BB6" s="35">
        <f>BB7+BB13</f>
        <v>6500</v>
      </c>
      <c r="BC6" s="35">
        <f>BC7+BC13</f>
        <v>8984</v>
      </c>
      <c r="BD6" s="35">
        <f>BD7+BD13</f>
        <v>5414</v>
      </c>
      <c r="BE6" s="35">
        <f>BE7+BE13</f>
        <v>3242</v>
      </c>
      <c r="BF6" s="1011" t="s">
        <v>49</v>
      </c>
      <c r="BS6" s="225"/>
      <c r="BT6" s="226">
        <v>2015</v>
      </c>
      <c r="BU6" s="226">
        <v>2016</v>
      </c>
      <c r="BV6" s="226">
        <v>2017</v>
      </c>
      <c r="BW6" s="226">
        <v>2018</v>
      </c>
      <c r="BX6" s="226">
        <v>2019</v>
      </c>
      <c r="BY6" s="224">
        <v>2020</v>
      </c>
      <c r="BZ6" s="226">
        <v>2015</v>
      </c>
      <c r="CA6" s="226">
        <v>2016</v>
      </c>
      <c r="CB6" s="226">
        <v>2017</v>
      </c>
      <c r="CC6" s="226">
        <v>2018</v>
      </c>
      <c r="CD6" s="226">
        <v>2019</v>
      </c>
      <c r="CE6" s="226">
        <v>2020</v>
      </c>
    </row>
    <row r="7" spans="1:83" s="226" customFormat="1">
      <c r="A7" s="218" t="s">
        <v>380</v>
      </c>
      <c r="B7" s="227">
        <f>SUM(B8:B12)</f>
        <v>1570</v>
      </c>
      <c r="C7" s="227">
        <f>SUM(C8:C12)</f>
        <v>2558</v>
      </c>
      <c r="D7" s="227">
        <f>SUM(D8:D12)</f>
        <v>2038</v>
      </c>
      <c r="E7" s="227">
        <f>SUM(E8:E12)</f>
        <v>2311</v>
      </c>
      <c r="F7" s="227">
        <f>SUM(F8:F12)</f>
        <v>1181</v>
      </c>
      <c r="G7" s="228"/>
      <c r="H7" s="229">
        <f t="shared" ref="H7:AZ7" si="1">SUM(H8:H12)</f>
        <v>1241</v>
      </c>
      <c r="I7" s="227">
        <f t="shared" si="1"/>
        <v>2277</v>
      </c>
      <c r="J7" s="227">
        <f t="shared" si="1"/>
        <v>2251</v>
      </c>
      <c r="K7" s="227">
        <f t="shared" si="1"/>
        <v>2305</v>
      </c>
      <c r="L7" s="228">
        <f t="shared" si="1"/>
        <v>1254</v>
      </c>
      <c r="M7" s="227">
        <f t="shared" si="1"/>
        <v>1649</v>
      </c>
      <c r="N7" s="227">
        <f t="shared" si="1"/>
        <v>2453</v>
      </c>
      <c r="O7" s="227">
        <f t="shared" si="1"/>
        <v>2502</v>
      </c>
      <c r="P7" s="227">
        <f t="shared" si="1"/>
        <v>2362</v>
      </c>
      <c r="Q7" s="230">
        <f t="shared" si="1"/>
        <v>1411</v>
      </c>
      <c r="R7" s="229">
        <f t="shared" si="1"/>
        <v>1850</v>
      </c>
      <c r="S7" s="227">
        <f t="shared" si="1"/>
        <v>2589</v>
      </c>
      <c r="T7" s="227">
        <f t="shared" si="1"/>
        <v>2603</v>
      </c>
      <c r="U7" s="227">
        <f t="shared" si="1"/>
        <v>2357</v>
      </c>
      <c r="V7" s="228">
        <f t="shared" si="1"/>
        <v>1426</v>
      </c>
      <c r="W7" s="227">
        <f t="shared" si="1"/>
        <v>2354</v>
      </c>
      <c r="X7" s="227">
        <f t="shared" si="1"/>
        <v>2377</v>
      </c>
      <c r="Y7" s="227">
        <f t="shared" si="1"/>
        <v>2706</v>
      </c>
      <c r="Z7" s="227">
        <f t="shared" si="1"/>
        <v>2417</v>
      </c>
      <c r="AA7" s="230">
        <f t="shared" si="1"/>
        <v>1288</v>
      </c>
      <c r="AB7" s="229">
        <f t="shared" si="1"/>
        <v>2977</v>
      </c>
      <c r="AC7" s="227">
        <f t="shared" si="1"/>
        <v>2732</v>
      </c>
      <c r="AD7" s="227">
        <f t="shared" si="1"/>
        <v>2569</v>
      </c>
      <c r="AE7" s="227">
        <f t="shared" si="1"/>
        <v>2304</v>
      </c>
      <c r="AF7" s="230">
        <f t="shared" si="1"/>
        <v>1341</v>
      </c>
      <c r="AG7" s="223">
        <f t="shared" si="1"/>
        <v>3037</v>
      </c>
      <c r="AH7" s="35">
        <f t="shared" si="1"/>
        <v>3607</v>
      </c>
      <c r="AI7" s="35">
        <f t="shared" si="1"/>
        <v>2567</v>
      </c>
      <c r="AJ7" s="35">
        <f t="shared" si="1"/>
        <v>1979</v>
      </c>
      <c r="AK7" s="35">
        <f t="shared" si="1"/>
        <v>1248</v>
      </c>
      <c r="AL7" s="223">
        <f t="shared" si="1"/>
        <v>1977</v>
      </c>
      <c r="AM7" s="35">
        <f t="shared" si="1"/>
        <v>4932</v>
      </c>
      <c r="AN7" s="35">
        <f t="shared" si="1"/>
        <v>2825</v>
      </c>
      <c r="AO7" s="35">
        <f t="shared" si="1"/>
        <v>2191</v>
      </c>
      <c r="AP7" s="35">
        <f t="shared" si="1"/>
        <v>1156</v>
      </c>
      <c r="AQ7" s="223">
        <f t="shared" si="1"/>
        <v>1763</v>
      </c>
      <c r="AR7" s="35">
        <f t="shared" si="1"/>
        <v>4700</v>
      </c>
      <c r="AS7" s="35">
        <f t="shared" si="1"/>
        <v>2964</v>
      </c>
      <c r="AT7" s="35">
        <f t="shared" si="1"/>
        <v>2055</v>
      </c>
      <c r="AU7" s="35">
        <f t="shared" si="1"/>
        <v>1260</v>
      </c>
      <c r="AV7" s="223">
        <f t="shared" si="1"/>
        <v>1343</v>
      </c>
      <c r="AW7" s="35">
        <f t="shared" si="1"/>
        <v>3578</v>
      </c>
      <c r="AX7" s="35">
        <f t="shared" si="1"/>
        <v>2002</v>
      </c>
      <c r="AY7" s="35">
        <f t="shared" si="1"/>
        <v>1995</v>
      </c>
      <c r="AZ7" s="35">
        <f t="shared" si="1"/>
        <v>928</v>
      </c>
      <c r="BA7" s="223">
        <f>SUM(BA8:BA12)</f>
        <v>1583</v>
      </c>
      <c r="BB7" s="35">
        <f>SUM(BB8:BB12)</f>
        <v>4630</v>
      </c>
      <c r="BC7" s="35">
        <f>SUM(BC8:BC12)</f>
        <v>2408</v>
      </c>
      <c r="BD7" s="35">
        <f>SUM(BD8:BD12)</f>
        <v>2396</v>
      </c>
      <c r="BE7" s="35">
        <f>SUM(BE8:BE12)</f>
        <v>1191</v>
      </c>
      <c r="BF7" s="1012" t="s">
        <v>18</v>
      </c>
      <c r="BJ7" s="224"/>
      <c r="BK7" s="224"/>
      <c r="BL7" s="224"/>
      <c r="BM7" s="224"/>
      <c r="BN7" s="224"/>
      <c r="BO7" s="224"/>
      <c r="BP7" s="224"/>
      <c r="BQ7" s="224"/>
      <c r="BS7" s="225" t="s">
        <v>20</v>
      </c>
      <c r="BT7" s="219">
        <f>Z6</f>
        <v>5763</v>
      </c>
      <c r="BU7" s="219">
        <f>AE6</f>
        <v>5488</v>
      </c>
      <c r="BV7" s="219">
        <f>AJ6</f>
        <v>5048</v>
      </c>
      <c r="BW7" s="219">
        <f>AO6</f>
        <v>5178</v>
      </c>
      <c r="BX7" s="219">
        <f>AT6</f>
        <v>5069</v>
      </c>
      <c r="BY7" s="226">
        <f>AY6</f>
        <v>4998</v>
      </c>
      <c r="BZ7" s="219">
        <f>AA6</f>
        <v>3358</v>
      </c>
      <c r="CA7" s="219">
        <f>AF6</f>
        <v>3417</v>
      </c>
      <c r="CB7" s="219">
        <f>AK6</f>
        <v>3211</v>
      </c>
      <c r="CC7" s="219">
        <f>AP6</f>
        <v>3109</v>
      </c>
      <c r="CD7" s="219">
        <f>AU6</f>
        <v>3550</v>
      </c>
      <c r="CE7" s="219">
        <f>AZ6</f>
        <v>2982</v>
      </c>
    </row>
    <row r="8" spans="1:83" s="226" customFormat="1">
      <c r="A8" s="231" t="s">
        <v>165</v>
      </c>
      <c r="B8" s="232">
        <v>108</v>
      </c>
      <c r="C8" s="232">
        <v>0</v>
      </c>
      <c r="D8" s="232">
        <v>0</v>
      </c>
      <c r="E8" s="232">
        <v>0</v>
      </c>
      <c r="F8" s="232">
        <v>0</v>
      </c>
      <c r="G8" s="233"/>
      <c r="H8" s="234">
        <v>83</v>
      </c>
      <c r="I8" s="232">
        <v>0</v>
      </c>
      <c r="J8" s="232">
        <v>0</v>
      </c>
      <c r="K8" s="232">
        <v>0</v>
      </c>
      <c r="L8" s="233">
        <v>0</v>
      </c>
      <c r="M8" s="235">
        <v>103</v>
      </c>
      <c r="N8" s="232">
        <v>0</v>
      </c>
      <c r="O8" s="232">
        <v>0</v>
      </c>
      <c r="P8" s="232">
        <v>0</v>
      </c>
      <c r="Q8" s="236">
        <v>0</v>
      </c>
      <c r="R8" s="234">
        <v>64</v>
      </c>
      <c r="S8" s="232">
        <v>0</v>
      </c>
      <c r="T8" s="232">
        <v>0</v>
      </c>
      <c r="U8" s="232">
        <v>0</v>
      </c>
      <c r="V8" s="233">
        <v>0</v>
      </c>
      <c r="W8" s="235">
        <v>25</v>
      </c>
      <c r="X8" s="232">
        <v>0</v>
      </c>
      <c r="Y8" s="232">
        <v>0</v>
      </c>
      <c r="Z8" s="232">
        <v>0</v>
      </c>
      <c r="AA8" s="236">
        <v>0</v>
      </c>
      <c r="AB8" s="234">
        <v>46</v>
      </c>
      <c r="AC8" s="232">
        <v>0</v>
      </c>
      <c r="AD8" s="232">
        <v>0</v>
      </c>
      <c r="AE8" s="232">
        <v>0</v>
      </c>
      <c r="AF8" s="236">
        <v>0</v>
      </c>
      <c r="AG8" s="237">
        <v>42</v>
      </c>
      <c r="AH8" s="5">
        <v>0</v>
      </c>
      <c r="AI8" s="5">
        <v>0</v>
      </c>
      <c r="AJ8" s="5">
        <v>0</v>
      </c>
      <c r="AK8" s="5">
        <v>0</v>
      </c>
      <c r="AL8" s="237">
        <v>39</v>
      </c>
      <c r="AM8" s="5">
        <v>0</v>
      </c>
      <c r="AN8" s="5">
        <v>0</v>
      </c>
      <c r="AO8" s="5">
        <v>0</v>
      </c>
      <c r="AP8" s="5">
        <v>0</v>
      </c>
      <c r="AQ8" s="237">
        <v>25</v>
      </c>
      <c r="AR8" s="5">
        <v>0</v>
      </c>
      <c r="AS8" s="5">
        <v>0</v>
      </c>
      <c r="AT8" s="5">
        <v>0</v>
      </c>
      <c r="AU8" s="5">
        <v>0</v>
      </c>
      <c r="AV8" s="237">
        <v>18</v>
      </c>
      <c r="AW8" s="5">
        <v>0</v>
      </c>
      <c r="AX8" s="5">
        <v>0</v>
      </c>
      <c r="AY8" s="5">
        <v>0</v>
      </c>
      <c r="AZ8" s="5">
        <v>0</v>
      </c>
      <c r="BA8" s="237">
        <v>51</v>
      </c>
      <c r="BB8" s="5">
        <v>0</v>
      </c>
      <c r="BC8" s="5">
        <v>0</v>
      </c>
      <c r="BD8" s="5">
        <v>0</v>
      </c>
      <c r="BE8" s="5">
        <v>0</v>
      </c>
      <c r="BF8" s="1013" t="s">
        <v>381</v>
      </c>
      <c r="BJ8" s="224"/>
      <c r="BK8" s="224"/>
      <c r="BL8" s="224"/>
      <c r="BM8" s="224"/>
      <c r="BN8" s="224"/>
      <c r="BO8" s="224"/>
      <c r="BP8" s="224"/>
      <c r="BQ8" s="224"/>
      <c r="BS8" s="225" t="s">
        <v>380</v>
      </c>
      <c r="BT8" s="219">
        <f>Z7</f>
        <v>2417</v>
      </c>
      <c r="BU8" s="219">
        <f>AE7</f>
        <v>2304</v>
      </c>
      <c r="BV8" s="219">
        <f>AJ7</f>
        <v>1979</v>
      </c>
      <c r="BW8" s="219">
        <f>AO7</f>
        <v>2191</v>
      </c>
      <c r="BX8" s="219">
        <f>AT7</f>
        <v>2055</v>
      </c>
      <c r="BY8" s="226">
        <f>AY7</f>
        <v>1995</v>
      </c>
      <c r="BZ8" s="219">
        <f>AA7</f>
        <v>1288</v>
      </c>
      <c r="CA8" s="219">
        <f>AF7</f>
        <v>1341</v>
      </c>
      <c r="CB8" s="219">
        <f>AK7</f>
        <v>1248</v>
      </c>
      <c r="CC8" s="219">
        <f>AP7</f>
        <v>1156</v>
      </c>
      <c r="CD8" s="219">
        <f>AU7</f>
        <v>1260</v>
      </c>
      <c r="CE8" s="219">
        <f>AZ7</f>
        <v>928</v>
      </c>
    </row>
    <row r="9" spans="1:83" s="226" customFormat="1">
      <c r="A9" s="231" t="s">
        <v>167</v>
      </c>
      <c r="B9" s="232">
        <v>0</v>
      </c>
      <c r="C9" s="232">
        <v>0</v>
      </c>
      <c r="D9" s="232">
        <v>2038</v>
      </c>
      <c r="E9" s="232">
        <v>2311</v>
      </c>
      <c r="F9" s="232">
        <v>1181</v>
      </c>
      <c r="G9" s="233"/>
      <c r="H9" s="234">
        <v>0</v>
      </c>
      <c r="I9" s="232">
        <v>0</v>
      </c>
      <c r="J9" s="232">
        <v>2251</v>
      </c>
      <c r="K9" s="232">
        <v>2305</v>
      </c>
      <c r="L9" s="233">
        <v>1254</v>
      </c>
      <c r="M9" s="235">
        <v>0</v>
      </c>
      <c r="N9" s="232">
        <v>0</v>
      </c>
      <c r="O9" s="232">
        <v>2502</v>
      </c>
      <c r="P9" s="232">
        <v>2362</v>
      </c>
      <c r="Q9" s="236">
        <v>1411</v>
      </c>
      <c r="R9" s="234">
        <v>0</v>
      </c>
      <c r="S9" s="232">
        <v>0</v>
      </c>
      <c r="T9" s="232">
        <v>2603</v>
      </c>
      <c r="U9" s="232">
        <v>2357</v>
      </c>
      <c r="V9" s="233">
        <v>1426</v>
      </c>
      <c r="W9" s="235">
        <v>0</v>
      </c>
      <c r="X9" s="232">
        <v>0</v>
      </c>
      <c r="Y9" s="232">
        <v>2706</v>
      </c>
      <c r="Z9" s="232">
        <v>2417</v>
      </c>
      <c r="AA9" s="236">
        <v>1288</v>
      </c>
      <c r="AB9" s="234">
        <v>0</v>
      </c>
      <c r="AC9" s="232">
        <v>0</v>
      </c>
      <c r="AD9" s="232">
        <v>2569</v>
      </c>
      <c r="AE9" s="232">
        <v>2304</v>
      </c>
      <c r="AF9" s="236">
        <v>1341</v>
      </c>
      <c r="AG9" s="237">
        <v>0</v>
      </c>
      <c r="AH9" s="5">
        <v>0</v>
      </c>
      <c r="AI9" s="5">
        <v>2567</v>
      </c>
      <c r="AJ9" s="5">
        <v>1979</v>
      </c>
      <c r="AK9" s="5">
        <v>1248</v>
      </c>
      <c r="AL9" s="237">
        <v>0</v>
      </c>
      <c r="AM9" s="5">
        <v>0</v>
      </c>
      <c r="AN9" s="5">
        <v>2825</v>
      </c>
      <c r="AO9" s="5">
        <v>2191</v>
      </c>
      <c r="AP9" s="5">
        <v>1156</v>
      </c>
      <c r="AQ9" s="237">
        <v>0</v>
      </c>
      <c r="AR9" s="5">
        <v>0</v>
      </c>
      <c r="AS9" s="5">
        <v>2964</v>
      </c>
      <c r="AT9" s="5">
        <v>2055</v>
      </c>
      <c r="AU9" s="5">
        <v>1260</v>
      </c>
      <c r="AV9" s="237">
        <v>0</v>
      </c>
      <c r="AW9" s="5">
        <v>0</v>
      </c>
      <c r="AX9" s="5">
        <v>2002</v>
      </c>
      <c r="AY9" s="5">
        <v>1995</v>
      </c>
      <c r="AZ9" s="5">
        <v>928</v>
      </c>
      <c r="BA9" s="5">
        <v>0</v>
      </c>
      <c r="BB9" s="5">
        <v>0</v>
      </c>
      <c r="BC9" s="5">
        <v>2408</v>
      </c>
      <c r="BD9" s="5">
        <v>2396</v>
      </c>
      <c r="BE9" s="5">
        <v>1191</v>
      </c>
      <c r="BF9" s="1013" t="s">
        <v>382</v>
      </c>
      <c r="BJ9" s="224"/>
      <c r="BK9" s="224"/>
      <c r="BL9" s="224"/>
      <c r="BM9" s="224"/>
      <c r="BN9" s="224"/>
      <c r="BO9" s="224"/>
      <c r="BP9" s="224"/>
      <c r="BQ9" s="224"/>
      <c r="BS9" s="238" t="s">
        <v>383</v>
      </c>
      <c r="BT9" s="219">
        <f>Z13</f>
        <v>3346</v>
      </c>
      <c r="BU9" s="219">
        <f>AE13</f>
        <v>3184</v>
      </c>
      <c r="BV9" s="219">
        <f>AJ13</f>
        <v>3069</v>
      </c>
      <c r="BW9" s="219">
        <f>AO13</f>
        <v>2987</v>
      </c>
      <c r="BX9" s="219">
        <f>AT13</f>
        <v>3014</v>
      </c>
      <c r="BY9" s="226">
        <f>AY13</f>
        <v>3003</v>
      </c>
      <c r="BZ9" s="219">
        <f>AA13</f>
        <v>2070</v>
      </c>
      <c r="CA9" s="219">
        <f>AF13</f>
        <v>2076</v>
      </c>
      <c r="CB9" s="219">
        <f>AK13</f>
        <v>1963</v>
      </c>
      <c r="CC9" s="219">
        <f>AP13</f>
        <v>1953</v>
      </c>
      <c r="CD9" s="219">
        <f>AU13</f>
        <v>2290</v>
      </c>
      <c r="CE9" s="219">
        <f>AZ13</f>
        <v>2054</v>
      </c>
    </row>
    <row r="10" spans="1:83" s="226" customFormat="1">
      <c r="A10" s="231" t="s">
        <v>169</v>
      </c>
      <c r="B10" s="232">
        <v>1462</v>
      </c>
      <c r="C10" s="232">
        <v>0</v>
      </c>
      <c r="D10" s="232">
        <v>0</v>
      </c>
      <c r="E10" s="232">
        <v>0</v>
      </c>
      <c r="F10" s="232">
        <v>0</v>
      </c>
      <c r="G10" s="233"/>
      <c r="H10" s="234">
        <v>1158</v>
      </c>
      <c r="I10" s="232">
        <v>0</v>
      </c>
      <c r="J10" s="232">
        <v>0</v>
      </c>
      <c r="K10" s="232">
        <v>0</v>
      </c>
      <c r="L10" s="233">
        <v>0</v>
      </c>
      <c r="M10" s="235">
        <v>1546</v>
      </c>
      <c r="N10" s="232">
        <v>0</v>
      </c>
      <c r="O10" s="232">
        <v>0</v>
      </c>
      <c r="P10" s="232">
        <v>0</v>
      </c>
      <c r="Q10" s="236">
        <v>0</v>
      </c>
      <c r="R10" s="234">
        <v>874</v>
      </c>
      <c r="S10" s="232">
        <v>0</v>
      </c>
      <c r="T10" s="232">
        <v>0</v>
      </c>
      <c r="U10" s="232">
        <v>0</v>
      </c>
      <c r="V10" s="233">
        <v>0</v>
      </c>
      <c r="W10" s="235">
        <v>806</v>
      </c>
      <c r="X10" s="232">
        <v>0</v>
      </c>
      <c r="Y10" s="232">
        <v>0</v>
      </c>
      <c r="Z10" s="232">
        <v>0</v>
      </c>
      <c r="AA10" s="236">
        <v>0</v>
      </c>
      <c r="AB10" s="234">
        <v>1408</v>
      </c>
      <c r="AC10" s="232">
        <v>0</v>
      </c>
      <c r="AD10" s="232">
        <v>0</v>
      </c>
      <c r="AE10" s="232">
        <v>0</v>
      </c>
      <c r="AF10" s="236">
        <v>0</v>
      </c>
      <c r="AG10" s="237">
        <v>1433</v>
      </c>
      <c r="AH10" s="5">
        <v>0</v>
      </c>
      <c r="AI10" s="5">
        <v>0</v>
      </c>
      <c r="AJ10" s="5">
        <v>0</v>
      </c>
      <c r="AK10" s="5">
        <v>0</v>
      </c>
      <c r="AL10" s="237">
        <v>864</v>
      </c>
      <c r="AM10" s="5">
        <v>0</v>
      </c>
      <c r="AN10" s="5">
        <v>0</v>
      </c>
      <c r="AO10" s="5">
        <v>0</v>
      </c>
      <c r="AP10" s="5">
        <v>0</v>
      </c>
      <c r="AQ10" s="237">
        <v>978</v>
      </c>
      <c r="AR10" s="5">
        <v>0</v>
      </c>
      <c r="AS10" s="5">
        <v>0</v>
      </c>
      <c r="AT10" s="5">
        <v>0</v>
      </c>
      <c r="AU10" s="5">
        <v>0</v>
      </c>
      <c r="AV10" s="237">
        <v>923</v>
      </c>
      <c r="AW10" s="5">
        <v>0</v>
      </c>
      <c r="AX10" s="5">
        <v>0</v>
      </c>
      <c r="AY10" s="5">
        <v>0</v>
      </c>
      <c r="AZ10" s="5">
        <v>0</v>
      </c>
      <c r="BA10" s="237">
        <v>773</v>
      </c>
      <c r="BB10" s="5">
        <v>0</v>
      </c>
      <c r="BC10" s="5">
        <v>0</v>
      </c>
      <c r="BD10" s="5">
        <v>0</v>
      </c>
      <c r="BE10" s="5">
        <v>0</v>
      </c>
      <c r="BF10" s="1013" t="s">
        <v>384</v>
      </c>
      <c r="BJ10" s="224"/>
      <c r="BK10" s="224"/>
      <c r="BL10" s="224"/>
      <c r="BM10" s="224"/>
      <c r="BN10" s="224"/>
      <c r="BO10" s="224"/>
      <c r="BP10" s="224"/>
      <c r="BQ10" s="224"/>
    </row>
    <row r="11" spans="1:83" s="226" customFormat="1">
      <c r="A11" s="231" t="s">
        <v>171</v>
      </c>
      <c r="B11" s="232">
        <v>0</v>
      </c>
      <c r="C11" s="232">
        <v>2558</v>
      </c>
      <c r="D11" s="232">
        <v>0</v>
      </c>
      <c r="E11" s="232">
        <v>0</v>
      </c>
      <c r="F11" s="232">
        <v>0</v>
      </c>
      <c r="G11" s="233"/>
      <c r="H11" s="234">
        <v>0</v>
      </c>
      <c r="I11" s="232">
        <v>2277</v>
      </c>
      <c r="J11" s="232">
        <v>0</v>
      </c>
      <c r="K11" s="232">
        <v>0</v>
      </c>
      <c r="L11" s="233">
        <v>0</v>
      </c>
      <c r="M11" s="235">
        <v>0</v>
      </c>
      <c r="N11" s="232">
        <v>2453</v>
      </c>
      <c r="O11" s="232">
        <v>0</v>
      </c>
      <c r="P11" s="232">
        <v>0</v>
      </c>
      <c r="Q11" s="236">
        <v>0</v>
      </c>
      <c r="R11" s="234">
        <v>0</v>
      </c>
      <c r="S11" s="232">
        <v>2589</v>
      </c>
      <c r="T11" s="232">
        <v>0</v>
      </c>
      <c r="U11" s="232">
        <v>0</v>
      </c>
      <c r="V11" s="233">
        <v>0</v>
      </c>
      <c r="W11" s="235">
        <v>0</v>
      </c>
      <c r="X11" s="232">
        <v>2377</v>
      </c>
      <c r="Y11" s="232">
        <v>0</v>
      </c>
      <c r="Z11" s="232">
        <v>0</v>
      </c>
      <c r="AA11" s="236">
        <v>0</v>
      </c>
      <c r="AB11" s="234">
        <v>0</v>
      </c>
      <c r="AC11" s="232">
        <v>2732</v>
      </c>
      <c r="AD11" s="232">
        <v>0</v>
      </c>
      <c r="AE11" s="232">
        <v>0</v>
      </c>
      <c r="AF11" s="236">
        <v>0</v>
      </c>
      <c r="AG11" s="237">
        <v>0</v>
      </c>
      <c r="AH11" s="5">
        <v>3607</v>
      </c>
      <c r="AI11" s="5">
        <v>0</v>
      </c>
      <c r="AJ11" s="5">
        <v>0</v>
      </c>
      <c r="AK11" s="5">
        <v>0</v>
      </c>
      <c r="AL11" s="237">
        <v>0</v>
      </c>
      <c r="AM11" s="5">
        <v>4932</v>
      </c>
      <c r="AN11" s="5">
        <v>0</v>
      </c>
      <c r="AO11" s="5">
        <v>0</v>
      </c>
      <c r="AP11" s="5">
        <v>0</v>
      </c>
      <c r="AQ11" s="237">
        <v>0</v>
      </c>
      <c r="AR11" s="5">
        <v>4700</v>
      </c>
      <c r="AS11" s="5">
        <v>0</v>
      </c>
      <c r="AT11" s="5">
        <v>0</v>
      </c>
      <c r="AU11" s="5">
        <v>0</v>
      </c>
      <c r="AV11" s="237">
        <v>0</v>
      </c>
      <c r="AW11" s="5">
        <v>3578</v>
      </c>
      <c r="AX11" s="5">
        <v>0</v>
      </c>
      <c r="AY11" s="5">
        <v>0</v>
      </c>
      <c r="AZ11" s="5">
        <v>0</v>
      </c>
      <c r="BA11" s="5">
        <v>0</v>
      </c>
      <c r="BB11" s="5">
        <v>4630</v>
      </c>
      <c r="BC11" s="5">
        <v>0</v>
      </c>
      <c r="BD11" s="5">
        <v>0</v>
      </c>
      <c r="BE11" s="5">
        <v>0</v>
      </c>
      <c r="BF11" s="1013" t="s">
        <v>385</v>
      </c>
      <c r="BJ11" s="224"/>
      <c r="BK11" s="224"/>
      <c r="BL11" s="224"/>
      <c r="BM11" s="224"/>
      <c r="BN11" s="224"/>
      <c r="BO11" s="224"/>
      <c r="BP11" s="224"/>
      <c r="BQ11" s="224"/>
    </row>
    <row r="12" spans="1:83" s="226" customFormat="1">
      <c r="A12" s="231" t="s">
        <v>163</v>
      </c>
      <c r="B12" s="232"/>
      <c r="C12" s="232"/>
      <c r="D12" s="232"/>
      <c r="E12" s="232"/>
      <c r="F12" s="232"/>
      <c r="G12" s="233"/>
      <c r="H12" s="234"/>
      <c r="I12" s="232"/>
      <c r="J12" s="232"/>
      <c r="K12" s="232"/>
      <c r="L12" s="233"/>
      <c r="M12" s="235"/>
      <c r="N12" s="232"/>
      <c r="O12" s="232"/>
      <c r="P12" s="232"/>
      <c r="Q12" s="236"/>
      <c r="R12" s="234">
        <v>912</v>
      </c>
      <c r="S12" s="232"/>
      <c r="T12" s="232"/>
      <c r="U12" s="232"/>
      <c r="V12" s="233"/>
      <c r="W12" s="235">
        <v>1523</v>
      </c>
      <c r="X12" s="235">
        <v>0</v>
      </c>
      <c r="Y12" s="235">
        <v>0</v>
      </c>
      <c r="Z12" s="235">
        <v>0</v>
      </c>
      <c r="AA12" s="236">
        <v>0</v>
      </c>
      <c r="AB12" s="234">
        <v>1523</v>
      </c>
      <c r="AC12" s="232">
        <v>0</v>
      </c>
      <c r="AD12" s="232">
        <v>0</v>
      </c>
      <c r="AE12" s="232">
        <v>0</v>
      </c>
      <c r="AF12" s="236">
        <v>0</v>
      </c>
      <c r="AG12" s="237">
        <v>1562</v>
      </c>
      <c r="AH12" s="5">
        <v>0</v>
      </c>
      <c r="AI12" s="5">
        <v>0</v>
      </c>
      <c r="AJ12" s="5">
        <v>0</v>
      </c>
      <c r="AK12" s="5">
        <v>0</v>
      </c>
      <c r="AL12" s="237">
        <v>1074</v>
      </c>
      <c r="AM12" s="5">
        <v>0</v>
      </c>
      <c r="AN12" s="5">
        <v>0</v>
      </c>
      <c r="AO12" s="5">
        <v>0</v>
      </c>
      <c r="AP12" s="5">
        <v>0</v>
      </c>
      <c r="AQ12" s="237">
        <v>760</v>
      </c>
      <c r="AR12" s="5">
        <v>0</v>
      </c>
      <c r="AS12" s="5">
        <v>0</v>
      </c>
      <c r="AT12" s="5">
        <v>0</v>
      </c>
      <c r="AU12" s="5">
        <v>0</v>
      </c>
      <c r="AV12" s="237">
        <v>402</v>
      </c>
      <c r="AW12" s="5">
        <v>0</v>
      </c>
      <c r="AX12" s="5">
        <v>0</v>
      </c>
      <c r="AY12" s="5">
        <v>0</v>
      </c>
      <c r="AZ12" s="5">
        <v>0</v>
      </c>
      <c r="BA12" s="237">
        <v>759</v>
      </c>
      <c r="BB12" s="5">
        <v>0</v>
      </c>
      <c r="BC12" s="5">
        <v>0</v>
      </c>
      <c r="BD12" s="5">
        <v>0</v>
      </c>
      <c r="BE12" s="5">
        <v>0</v>
      </c>
      <c r="BF12" s="1013" t="s">
        <v>386</v>
      </c>
      <c r="BJ12" s="224"/>
      <c r="BK12" s="224"/>
      <c r="BL12" s="224"/>
      <c r="BM12" s="224"/>
      <c r="BN12" s="224"/>
      <c r="BO12" s="224"/>
      <c r="BP12" s="224"/>
      <c r="BQ12" s="224"/>
    </row>
    <row r="13" spans="1:83" s="226" customFormat="1">
      <c r="A13" s="239" t="s">
        <v>22</v>
      </c>
      <c r="B13" s="227">
        <f>SUM(B15:B34)</f>
        <v>1194</v>
      </c>
      <c r="C13" s="227">
        <f>SUM(C15:C34)</f>
        <v>4269</v>
      </c>
      <c r="D13" s="227">
        <f>SUM(D15:D34)</f>
        <v>4226</v>
      </c>
      <c r="E13" s="227">
        <f>SUM(E15:E34)</f>
        <v>3649</v>
      </c>
      <c r="F13" s="227">
        <f>SUM(F15:F34)</f>
        <v>1804</v>
      </c>
      <c r="G13" s="228"/>
      <c r="H13" s="229">
        <f t="shared" ref="H13:Q13" si="2">SUM(H15:H34)</f>
        <v>1135</v>
      </c>
      <c r="I13" s="227">
        <f t="shared" si="2"/>
        <v>4148</v>
      </c>
      <c r="J13" s="227">
        <f t="shared" si="2"/>
        <v>3730</v>
      </c>
      <c r="K13" s="227">
        <f t="shared" si="2"/>
        <v>3295</v>
      </c>
      <c r="L13" s="228">
        <f t="shared" si="2"/>
        <v>1691</v>
      </c>
      <c r="M13" s="227">
        <f t="shared" si="2"/>
        <v>3985</v>
      </c>
      <c r="N13" s="227">
        <f t="shared" si="2"/>
        <v>1316</v>
      </c>
      <c r="O13" s="227">
        <f t="shared" si="2"/>
        <v>4010</v>
      </c>
      <c r="P13" s="227">
        <f t="shared" si="2"/>
        <v>3165</v>
      </c>
      <c r="Q13" s="230">
        <f t="shared" si="2"/>
        <v>1823</v>
      </c>
      <c r="R13" s="229">
        <f t="shared" ref="R13:AI13" si="3">SUM(R14:R34)</f>
        <v>1324</v>
      </c>
      <c r="S13" s="227">
        <f t="shared" si="3"/>
        <v>4825</v>
      </c>
      <c r="T13" s="227">
        <f t="shared" si="3"/>
        <v>5554</v>
      </c>
      <c r="U13" s="227">
        <f t="shared" si="3"/>
        <v>3230</v>
      </c>
      <c r="V13" s="228">
        <f t="shared" si="3"/>
        <v>1988</v>
      </c>
      <c r="W13" s="227">
        <f t="shared" si="3"/>
        <v>1202</v>
      </c>
      <c r="X13" s="227">
        <f t="shared" si="3"/>
        <v>2913</v>
      </c>
      <c r="Y13" s="227">
        <f t="shared" si="3"/>
        <v>6771</v>
      </c>
      <c r="Z13" s="227">
        <f t="shared" si="3"/>
        <v>3346</v>
      </c>
      <c r="AA13" s="230">
        <f t="shared" si="3"/>
        <v>2070</v>
      </c>
      <c r="AB13" s="229">
        <f t="shared" si="3"/>
        <v>2362</v>
      </c>
      <c r="AC13" s="227">
        <f t="shared" si="3"/>
        <v>2289</v>
      </c>
      <c r="AD13" s="227">
        <f t="shared" si="3"/>
        <v>7259</v>
      </c>
      <c r="AE13" s="227">
        <f>SUM(AE14:AE34)</f>
        <v>3184</v>
      </c>
      <c r="AF13" s="230">
        <f t="shared" si="3"/>
        <v>2076</v>
      </c>
      <c r="AG13" s="223">
        <f t="shared" si="3"/>
        <v>2384</v>
      </c>
      <c r="AH13" s="35">
        <f t="shared" si="3"/>
        <v>2085</v>
      </c>
      <c r="AI13" s="35">
        <f t="shared" si="3"/>
        <v>7015</v>
      </c>
      <c r="AJ13" s="35">
        <f t="shared" ref="AJ13:BE13" si="4">SUM(AJ14:AJ34)</f>
        <v>3069</v>
      </c>
      <c r="AK13" s="35">
        <f t="shared" si="4"/>
        <v>1963</v>
      </c>
      <c r="AL13" s="223">
        <f t="shared" si="4"/>
        <v>1522</v>
      </c>
      <c r="AM13" s="35">
        <f t="shared" si="4"/>
        <v>1904</v>
      </c>
      <c r="AN13" s="35">
        <f t="shared" si="4"/>
        <v>6996</v>
      </c>
      <c r="AO13" s="35">
        <f t="shared" si="4"/>
        <v>2987</v>
      </c>
      <c r="AP13" s="35">
        <f t="shared" si="4"/>
        <v>1953</v>
      </c>
      <c r="AQ13" s="223">
        <f t="shared" si="4"/>
        <v>1618</v>
      </c>
      <c r="AR13" s="35">
        <f t="shared" si="4"/>
        <v>1868</v>
      </c>
      <c r="AS13" s="35">
        <f t="shared" si="4"/>
        <v>7163</v>
      </c>
      <c r="AT13" s="35">
        <f t="shared" si="4"/>
        <v>3014</v>
      </c>
      <c r="AU13" s="35">
        <f t="shared" si="4"/>
        <v>2290</v>
      </c>
      <c r="AV13" s="223">
        <f t="shared" si="4"/>
        <v>1597</v>
      </c>
      <c r="AW13" s="35">
        <f t="shared" si="4"/>
        <v>1731</v>
      </c>
      <c r="AX13" s="35">
        <f t="shared" si="4"/>
        <v>6798</v>
      </c>
      <c r="AY13" s="35">
        <f t="shared" si="4"/>
        <v>3003</v>
      </c>
      <c r="AZ13" s="35">
        <f t="shared" si="4"/>
        <v>2054</v>
      </c>
      <c r="BA13" s="223">
        <f t="shared" si="4"/>
        <v>1397</v>
      </c>
      <c r="BB13" s="35">
        <f t="shared" si="4"/>
        <v>1870</v>
      </c>
      <c r="BC13" s="35">
        <f t="shared" si="4"/>
        <v>6576</v>
      </c>
      <c r="BD13" s="35">
        <f>SUM(BD14:BD34)</f>
        <v>3018</v>
      </c>
      <c r="BE13" s="35">
        <f t="shared" si="4"/>
        <v>2051</v>
      </c>
      <c r="BF13" s="1012" t="s">
        <v>367</v>
      </c>
      <c r="BJ13" s="224"/>
      <c r="BK13" s="224"/>
      <c r="BL13" s="224"/>
      <c r="BM13" s="224"/>
      <c r="BN13" s="224"/>
      <c r="BO13" s="224"/>
      <c r="BP13" s="224"/>
      <c r="BQ13" s="224"/>
    </row>
    <row r="14" spans="1:83" s="226" customFormat="1">
      <c r="A14" s="239" t="s">
        <v>198</v>
      </c>
      <c r="B14" s="227">
        <v>2</v>
      </c>
      <c r="C14" s="227">
        <v>185</v>
      </c>
      <c r="D14" s="227">
        <v>45</v>
      </c>
      <c r="E14" s="227">
        <v>55</v>
      </c>
      <c r="F14" s="227">
        <v>28</v>
      </c>
      <c r="G14" s="228"/>
      <c r="H14" s="229">
        <v>5</v>
      </c>
      <c r="I14" s="227">
        <v>448</v>
      </c>
      <c r="J14" s="227">
        <v>116</v>
      </c>
      <c r="K14" s="227">
        <v>99</v>
      </c>
      <c r="L14" s="228">
        <v>66</v>
      </c>
      <c r="M14" s="227">
        <v>6</v>
      </c>
      <c r="N14" s="227">
        <v>408</v>
      </c>
      <c r="O14" s="227">
        <v>166</v>
      </c>
      <c r="P14" s="227">
        <v>101</v>
      </c>
      <c r="Q14" s="230">
        <v>97</v>
      </c>
      <c r="R14" s="229">
        <v>47</v>
      </c>
      <c r="S14" s="227">
        <v>265</v>
      </c>
      <c r="T14" s="227">
        <v>252</v>
      </c>
      <c r="U14" s="227">
        <v>125</v>
      </c>
      <c r="V14" s="228">
        <v>98</v>
      </c>
      <c r="W14" s="227">
        <v>24</v>
      </c>
      <c r="X14" s="227">
        <v>166</v>
      </c>
      <c r="Y14" s="227">
        <v>338</v>
      </c>
      <c r="Z14" s="227">
        <v>193</v>
      </c>
      <c r="AA14" s="230">
        <v>167</v>
      </c>
      <c r="AB14" s="229">
        <v>69</v>
      </c>
      <c r="AC14" s="227">
        <v>66</v>
      </c>
      <c r="AD14" s="227">
        <v>307</v>
      </c>
      <c r="AE14" s="227">
        <v>223</v>
      </c>
      <c r="AF14" s="230">
        <v>155</v>
      </c>
      <c r="AG14" s="223">
        <v>98</v>
      </c>
      <c r="AH14" s="35">
        <v>0</v>
      </c>
      <c r="AI14" s="35">
        <v>335</v>
      </c>
      <c r="AJ14" s="35">
        <v>207</v>
      </c>
      <c r="AK14" s="35">
        <v>149</v>
      </c>
      <c r="AL14" s="223">
        <v>65</v>
      </c>
      <c r="AM14" s="35">
        <v>0</v>
      </c>
      <c r="AN14" s="35">
        <v>464</v>
      </c>
      <c r="AO14" s="35">
        <v>258</v>
      </c>
      <c r="AP14" s="35">
        <v>217</v>
      </c>
      <c r="AQ14" s="223">
        <v>129</v>
      </c>
      <c r="AR14" s="35">
        <v>0</v>
      </c>
      <c r="AS14" s="35">
        <v>513</v>
      </c>
      <c r="AT14" s="35">
        <v>312</v>
      </c>
      <c r="AU14" s="35">
        <v>359</v>
      </c>
      <c r="AV14" s="223">
        <v>138</v>
      </c>
      <c r="AW14" s="35">
        <v>0</v>
      </c>
      <c r="AX14" s="35">
        <v>328</v>
      </c>
      <c r="AY14" s="35">
        <v>237</v>
      </c>
      <c r="AZ14" s="35">
        <v>173</v>
      </c>
      <c r="BA14" s="223">
        <v>144</v>
      </c>
      <c r="BB14" s="35">
        <v>0</v>
      </c>
      <c r="BC14" s="35">
        <v>495</v>
      </c>
      <c r="BD14" s="35">
        <v>330</v>
      </c>
      <c r="BE14" s="35">
        <v>247</v>
      </c>
      <c r="BF14" s="1012" t="s">
        <v>387</v>
      </c>
      <c r="BJ14" s="224"/>
      <c r="BK14" s="224"/>
      <c r="BL14" s="224"/>
      <c r="BM14" s="224"/>
      <c r="BN14" s="224"/>
      <c r="BO14" s="224"/>
      <c r="BP14" s="224"/>
      <c r="BQ14" s="224"/>
    </row>
    <row r="15" spans="1:83" s="226" customFormat="1">
      <c r="A15" s="231" t="s">
        <v>26</v>
      </c>
      <c r="B15" s="232">
        <v>59</v>
      </c>
      <c r="C15" s="232">
        <v>193</v>
      </c>
      <c r="D15" s="232">
        <v>176</v>
      </c>
      <c r="E15" s="232">
        <v>219</v>
      </c>
      <c r="F15" s="232">
        <v>67</v>
      </c>
      <c r="G15" s="233"/>
      <c r="H15" s="234">
        <v>28</v>
      </c>
      <c r="I15" s="232">
        <v>181</v>
      </c>
      <c r="J15" s="232">
        <v>169</v>
      </c>
      <c r="K15" s="232">
        <v>236</v>
      </c>
      <c r="L15" s="233">
        <v>87</v>
      </c>
      <c r="M15" s="235">
        <v>196</v>
      </c>
      <c r="N15" s="232">
        <v>75</v>
      </c>
      <c r="O15" s="232">
        <v>176</v>
      </c>
      <c r="P15" s="232">
        <v>206</v>
      </c>
      <c r="Q15" s="236">
        <v>86</v>
      </c>
      <c r="R15" s="234">
        <v>61</v>
      </c>
      <c r="S15" s="232">
        <v>177</v>
      </c>
      <c r="T15" s="232">
        <v>204</v>
      </c>
      <c r="U15" s="232">
        <v>177</v>
      </c>
      <c r="V15" s="233">
        <v>89</v>
      </c>
      <c r="W15" s="235">
        <v>42</v>
      </c>
      <c r="X15" s="232">
        <v>79</v>
      </c>
      <c r="Y15" s="232">
        <v>257</v>
      </c>
      <c r="Z15" s="232">
        <v>169</v>
      </c>
      <c r="AA15" s="236">
        <v>91</v>
      </c>
      <c r="AB15" s="234">
        <v>110</v>
      </c>
      <c r="AC15" s="232">
        <v>63</v>
      </c>
      <c r="AD15" s="232">
        <v>269</v>
      </c>
      <c r="AE15" s="232">
        <v>161</v>
      </c>
      <c r="AF15" s="236">
        <v>92</v>
      </c>
      <c r="AG15" s="237">
        <v>72</v>
      </c>
      <c r="AH15" s="5">
        <v>72</v>
      </c>
      <c r="AI15" s="5">
        <v>260</v>
      </c>
      <c r="AJ15" s="5">
        <v>158</v>
      </c>
      <c r="AK15" s="5">
        <v>69</v>
      </c>
      <c r="AL15" s="237">
        <v>51</v>
      </c>
      <c r="AM15" s="5">
        <v>62</v>
      </c>
      <c r="AN15" s="5">
        <v>253</v>
      </c>
      <c r="AO15" s="5">
        <v>160</v>
      </c>
      <c r="AP15" s="5">
        <v>94</v>
      </c>
      <c r="AQ15" s="237">
        <v>31</v>
      </c>
      <c r="AR15" s="5">
        <v>50</v>
      </c>
      <c r="AS15" s="5">
        <v>244</v>
      </c>
      <c r="AT15" s="5">
        <v>156</v>
      </c>
      <c r="AU15" s="5">
        <v>80</v>
      </c>
      <c r="AV15" s="237">
        <v>48</v>
      </c>
      <c r="AW15" s="5">
        <v>65</v>
      </c>
      <c r="AX15" s="5">
        <v>271</v>
      </c>
      <c r="AY15" s="5">
        <v>134</v>
      </c>
      <c r="AZ15" s="5">
        <v>85</v>
      </c>
      <c r="BA15" s="237">
        <v>40</v>
      </c>
      <c r="BB15" s="5">
        <v>87</v>
      </c>
      <c r="BC15" s="5">
        <v>275</v>
      </c>
      <c r="BD15" s="5">
        <v>121</v>
      </c>
      <c r="BE15" s="5">
        <v>82</v>
      </c>
      <c r="BF15" s="1014" t="s">
        <v>388</v>
      </c>
      <c r="BJ15" s="224"/>
      <c r="BK15" s="224"/>
      <c r="BL15" s="224"/>
      <c r="BM15" s="224"/>
      <c r="BN15" s="224"/>
      <c r="BO15" s="224"/>
      <c r="BP15" s="224"/>
      <c r="BQ15" s="224"/>
    </row>
    <row r="16" spans="1:83" s="226" customFormat="1">
      <c r="A16" s="231" t="s">
        <v>27</v>
      </c>
      <c r="B16" s="232">
        <v>112</v>
      </c>
      <c r="C16" s="232">
        <v>177</v>
      </c>
      <c r="D16" s="232">
        <v>277</v>
      </c>
      <c r="E16" s="232">
        <v>339</v>
      </c>
      <c r="F16" s="232">
        <v>153</v>
      </c>
      <c r="G16" s="233"/>
      <c r="H16" s="234">
        <v>73</v>
      </c>
      <c r="I16" s="232">
        <v>178</v>
      </c>
      <c r="J16" s="232">
        <v>233</v>
      </c>
      <c r="K16" s="232">
        <v>287</v>
      </c>
      <c r="L16" s="233">
        <v>120</v>
      </c>
      <c r="M16" s="235">
        <v>135</v>
      </c>
      <c r="N16" s="232">
        <v>232</v>
      </c>
      <c r="O16" s="232">
        <v>273</v>
      </c>
      <c r="P16" s="232">
        <v>279</v>
      </c>
      <c r="Q16" s="236">
        <v>149</v>
      </c>
      <c r="R16" s="234">
        <v>183</v>
      </c>
      <c r="S16" s="232">
        <v>205</v>
      </c>
      <c r="T16" s="232">
        <v>339</v>
      </c>
      <c r="U16" s="232">
        <v>279</v>
      </c>
      <c r="V16" s="233">
        <v>126</v>
      </c>
      <c r="W16" s="235">
        <v>66</v>
      </c>
      <c r="X16" s="232">
        <v>112</v>
      </c>
      <c r="Y16" s="232">
        <v>440</v>
      </c>
      <c r="Z16" s="232">
        <v>274</v>
      </c>
      <c r="AA16" s="236">
        <v>170</v>
      </c>
      <c r="AB16" s="234">
        <v>178</v>
      </c>
      <c r="AC16" s="232">
        <v>96</v>
      </c>
      <c r="AD16" s="232">
        <v>411</v>
      </c>
      <c r="AE16" s="232">
        <v>291</v>
      </c>
      <c r="AF16" s="236">
        <v>125</v>
      </c>
      <c r="AG16" s="237">
        <v>142</v>
      </c>
      <c r="AH16" s="5">
        <v>64</v>
      </c>
      <c r="AI16" s="5">
        <v>460</v>
      </c>
      <c r="AJ16" s="5">
        <v>258</v>
      </c>
      <c r="AK16" s="5">
        <v>150</v>
      </c>
      <c r="AL16" s="237">
        <v>71</v>
      </c>
      <c r="AM16" s="5">
        <v>95</v>
      </c>
      <c r="AN16" s="5">
        <v>497</v>
      </c>
      <c r="AO16" s="5">
        <v>289</v>
      </c>
      <c r="AP16" s="5">
        <v>148</v>
      </c>
      <c r="AQ16" s="237">
        <v>100</v>
      </c>
      <c r="AR16" s="5">
        <v>124</v>
      </c>
      <c r="AS16" s="5">
        <v>473</v>
      </c>
      <c r="AT16" s="5">
        <v>256</v>
      </c>
      <c r="AU16" s="5">
        <v>158</v>
      </c>
      <c r="AV16" s="237">
        <v>137</v>
      </c>
      <c r="AW16" s="5">
        <v>110</v>
      </c>
      <c r="AX16" s="5">
        <v>456</v>
      </c>
      <c r="AY16" s="5">
        <v>271</v>
      </c>
      <c r="AZ16" s="5">
        <v>170</v>
      </c>
      <c r="BA16" s="237">
        <v>62</v>
      </c>
      <c r="BB16" s="5">
        <v>105</v>
      </c>
      <c r="BC16" s="5">
        <v>460</v>
      </c>
      <c r="BD16" s="5">
        <v>242</v>
      </c>
      <c r="BE16" s="5">
        <v>158</v>
      </c>
      <c r="BF16" s="1014" t="s">
        <v>389</v>
      </c>
      <c r="BJ16" s="224"/>
      <c r="BK16" s="224"/>
      <c r="BL16" s="224"/>
      <c r="BM16" s="224"/>
      <c r="BN16" s="224"/>
      <c r="BO16" s="224"/>
      <c r="BP16" s="224"/>
      <c r="BQ16" s="224"/>
      <c r="BV16" s="226" t="s">
        <v>368</v>
      </c>
      <c r="BW16" s="226" t="s">
        <v>369</v>
      </c>
    </row>
    <row r="17" spans="1:78" s="226" customFormat="1" ht="15.75" customHeight="1">
      <c r="A17" s="231" t="s">
        <v>28</v>
      </c>
      <c r="B17" s="232">
        <v>57</v>
      </c>
      <c r="C17" s="232">
        <v>182</v>
      </c>
      <c r="D17" s="232">
        <v>151</v>
      </c>
      <c r="E17" s="232">
        <v>193</v>
      </c>
      <c r="F17" s="232">
        <v>73</v>
      </c>
      <c r="G17" s="233"/>
      <c r="H17" s="234">
        <v>24</v>
      </c>
      <c r="I17" s="232">
        <v>145</v>
      </c>
      <c r="J17" s="232">
        <v>162</v>
      </c>
      <c r="K17" s="232">
        <v>199</v>
      </c>
      <c r="L17" s="233">
        <v>88</v>
      </c>
      <c r="M17" s="235">
        <v>148</v>
      </c>
      <c r="N17" s="232">
        <v>30</v>
      </c>
      <c r="O17" s="232">
        <v>164</v>
      </c>
      <c r="P17" s="232">
        <v>188</v>
      </c>
      <c r="Q17" s="236">
        <v>75</v>
      </c>
      <c r="R17" s="234">
        <v>23</v>
      </c>
      <c r="S17" s="232">
        <v>138</v>
      </c>
      <c r="T17" s="232">
        <v>195</v>
      </c>
      <c r="U17" s="232">
        <v>148</v>
      </c>
      <c r="V17" s="233">
        <v>95</v>
      </c>
      <c r="W17" s="235">
        <v>36</v>
      </c>
      <c r="X17" s="232">
        <v>67</v>
      </c>
      <c r="Y17" s="232">
        <v>262</v>
      </c>
      <c r="Z17" s="232">
        <v>166</v>
      </c>
      <c r="AA17" s="236">
        <v>82</v>
      </c>
      <c r="AB17" s="234">
        <v>58</v>
      </c>
      <c r="AC17" s="232">
        <v>66</v>
      </c>
      <c r="AD17" s="232">
        <v>328</v>
      </c>
      <c r="AE17" s="232">
        <v>191</v>
      </c>
      <c r="AF17" s="236">
        <v>93</v>
      </c>
      <c r="AG17" s="237">
        <v>49</v>
      </c>
      <c r="AH17" s="5">
        <v>53</v>
      </c>
      <c r="AI17" s="5">
        <v>293</v>
      </c>
      <c r="AJ17" s="5">
        <v>138</v>
      </c>
      <c r="AK17" s="5">
        <v>86</v>
      </c>
      <c r="AL17" s="237">
        <v>21</v>
      </c>
      <c r="AM17" s="5">
        <v>52</v>
      </c>
      <c r="AN17" s="5">
        <v>254</v>
      </c>
      <c r="AO17" s="5">
        <v>164</v>
      </c>
      <c r="AP17" s="5">
        <v>77</v>
      </c>
      <c r="AQ17" s="237">
        <v>24</v>
      </c>
      <c r="AR17" s="5">
        <v>48</v>
      </c>
      <c r="AS17" s="5">
        <v>336</v>
      </c>
      <c r="AT17" s="5">
        <v>152</v>
      </c>
      <c r="AU17" s="5">
        <v>90</v>
      </c>
      <c r="AV17" s="237">
        <v>33</v>
      </c>
      <c r="AW17" s="5">
        <v>44</v>
      </c>
      <c r="AX17" s="5">
        <v>316</v>
      </c>
      <c r="AY17" s="5">
        <v>158</v>
      </c>
      <c r="AZ17" s="5">
        <v>92</v>
      </c>
      <c r="BA17" s="237">
        <v>40</v>
      </c>
      <c r="BB17" s="5">
        <v>84</v>
      </c>
      <c r="BC17" s="5">
        <v>336</v>
      </c>
      <c r="BD17" s="5">
        <v>141</v>
      </c>
      <c r="BE17" s="5">
        <v>99</v>
      </c>
      <c r="BF17" s="1014" t="s">
        <v>390</v>
      </c>
      <c r="BJ17" s="224"/>
      <c r="BK17" s="224"/>
      <c r="BL17" s="224"/>
      <c r="BM17" s="224"/>
      <c r="BN17" s="224"/>
      <c r="BO17" s="224"/>
      <c r="BP17" s="224"/>
      <c r="BQ17" s="224"/>
      <c r="BU17" s="226" t="s">
        <v>20</v>
      </c>
      <c r="BV17" s="226">
        <v>4999</v>
      </c>
      <c r="BW17" s="226">
        <v>2982</v>
      </c>
    </row>
    <row r="18" spans="1:78" s="226" customFormat="1">
      <c r="A18" s="231" t="s">
        <v>30</v>
      </c>
      <c r="B18" s="232">
        <v>54</v>
      </c>
      <c r="C18" s="232">
        <v>194</v>
      </c>
      <c r="D18" s="232">
        <v>236</v>
      </c>
      <c r="E18" s="232">
        <v>195</v>
      </c>
      <c r="F18" s="232">
        <v>107</v>
      </c>
      <c r="G18" s="233"/>
      <c r="H18" s="234">
        <v>62</v>
      </c>
      <c r="I18" s="232">
        <v>186</v>
      </c>
      <c r="J18" s="232">
        <v>215</v>
      </c>
      <c r="K18" s="232">
        <v>193</v>
      </c>
      <c r="L18" s="233">
        <v>95</v>
      </c>
      <c r="M18" s="235">
        <v>175</v>
      </c>
      <c r="N18" s="232">
        <v>52</v>
      </c>
      <c r="O18" s="232">
        <v>213</v>
      </c>
      <c r="P18" s="232">
        <v>187</v>
      </c>
      <c r="Q18" s="236">
        <v>101</v>
      </c>
      <c r="R18" s="234">
        <v>97</v>
      </c>
      <c r="S18" s="232">
        <v>219</v>
      </c>
      <c r="T18" s="232">
        <v>290</v>
      </c>
      <c r="U18" s="232">
        <v>167</v>
      </c>
      <c r="V18" s="233">
        <v>104</v>
      </c>
      <c r="W18" s="235">
        <v>97</v>
      </c>
      <c r="X18" s="232">
        <v>133</v>
      </c>
      <c r="Y18" s="232">
        <v>383</v>
      </c>
      <c r="Z18" s="232">
        <v>171</v>
      </c>
      <c r="AA18" s="236">
        <v>103</v>
      </c>
      <c r="AB18" s="234">
        <v>83</v>
      </c>
      <c r="AC18" s="232">
        <v>92</v>
      </c>
      <c r="AD18" s="232">
        <v>385</v>
      </c>
      <c r="AE18" s="232">
        <v>154</v>
      </c>
      <c r="AF18" s="236">
        <v>100</v>
      </c>
      <c r="AG18" s="237">
        <v>141</v>
      </c>
      <c r="AH18" s="5">
        <v>75</v>
      </c>
      <c r="AI18" s="5">
        <v>291</v>
      </c>
      <c r="AJ18" s="5">
        <v>161</v>
      </c>
      <c r="AK18" s="5">
        <v>106</v>
      </c>
      <c r="AL18" s="237">
        <v>34</v>
      </c>
      <c r="AM18" s="5">
        <v>59</v>
      </c>
      <c r="AN18" s="5">
        <v>319</v>
      </c>
      <c r="AO18" s="5">
        <v>140</v>
      </c>
      <c r="AP18" s="5">
        <v>96</v>
      </c>
      <c r="AQ18" s="237">
        <v>45</v>
      </c>
      <c r="AR18" s="5">
        <v>75</v>
      </c>
      <c r="AS18" s="5">
        <v>333</v>
      </c>
      <c r="AT18" s="5">
        <v>148</v>
      </c>
      <c r="AU18" s="5">
        <v>105</v>
      </c>
      <c r="AV18" s="237">
        <v>45</v>
      </c>
      <c r="AW18" s="5">
        <v>61</v>
      </c>
      <c r="AX18" s="5">
        <v>348</v>
      </c>
      <c r="AY18" s="5">
        <v>127</v>
      </c>
      <c r="AZ18" s="5">
        <v>101</v>
      </c>
      <c r="BA18" s="237">
        <v>59</v>
      </c>
      <c r="BB18" s="5">
        <v>67</v>
      </c>
      <c r="BC18" s="5">
        <v>341</v>
      </c>
      <c r="BD18" s="5">
        <v>146</v>
      </c>
      <c r="BE18" s="5">
        <v>133</v>
      </c>
      <c r="BF18" s="1014" t="s">
        <v>391</v>
      </c>
      <c r="BJ18" s="224"/>
      <c r="BK18" s="224"/>
      <c r="BL18" s="224"/>
      <c r="BM18" s="224"/>
      <c r="BN18" s="224"/>
      <c r="BO18" s="224"/>
      <c r="BP18" s="224"/>
      <c r="BQ18" s="224"/>
      <c r="BU18" s="226" t="s">
        <v>380</v>
      </c>
      <c r="BV18" s="226">
        <v>1995</v>
      </c>
      <c r="BW18" s="226">
        <v>928</v>
      </c>
    </row>
    <row r="19" spans="1:78" s="226" customFormat="1">
      <c r="A19" s="231" t="s">
        <v>31</v>
      </c>
      <c r="B19" s="232">
        <v>128</v>
      </c>
      <c r="C19" s="232">
        <v>191</v>
      </c>
      <c r="D19" s="232">
        <v>231</v>
      </c>
      <c r="E19" s="232">
        <v>270</v>
      </c>
      <c r="F19" s="232">
        <v>100</v>
      </c>
      <c r="G19" s="233"/>
      <c r="H19" s="234">
        <v>84</v>
      </c>
      <c r="I19" s="232">
        <v>202</v>
      </c>
      <c r="J19" s="232">
        <v>231</v>
      </c>
      <c r="K19" s="232">
        <v>259</v>
      </c>
      <c r="L19" s="233">
        <v>118</v>
      </c>
      <c r="M19" s="235">
        <v>201</v>
      </c>
      <c r="N19" s="232">
        <v>67</v>
      </c>
      <c r="O19" s="232">
        <v>219</v>
      </c>
      <c r="P19" s="232">
        <v>233</v>
      </c>
      <c r="Q19" s="236">
        <v>117</v>
      </c>
      <c r="R19" s="234">
        <v>99</v>
      </c>
      <c r="S19" s="232">
        <v>225</v>
      </c>
      <c r="T19" s="232">
        <v>326</v>
      </c>
      <c r="U19" s="232">
        <v>254</v>
      </c>
      <c r="V19" s="233">
        <v>113</v>
      </c>
      <c r="W19" s="235">
        <v>56</v>
      </c>
      <c r="X19" s="232">
        <v>153</v>
      </c>
      <c r="Y19" s="232">
        <v>359</v>
      </c>
      <c r="Z19" s="232">
        <v>255</v>
      </c>
      <c r="AA19" s="236">
        <v>103</v>
      </c>
      <c r="AB19" s="234">
        <v>147</v>
      </c>
      <c r="AC19" s="232">
        <v>121</v>
      </c>
      <c r="AD19" s="232">
        <v>403</v>
      </c>
      <c r="AE19" s="232">
        <v>198</v>
      </c>
      <c r="AF19" s="236">
        <v>111</v>
      </c>
      <c r="AG19" s="237">
        <v>99</v>
      </c>
      <c r="AH19" s="5">
        <v>112</v>
      </c>
      <c r="AI19" s="5">
        <v>411</v>
      </c>
      <c r="AJ19" s="5">
        <v>219</v>
      </c>
      <c r="AK19" s="5">
        <v>114</v>
      </c>
      <c r="AL19" s="237">
        <v>70</v>
      </c>
      <c r="AM19" s="5">
        <v>142</v>
      </c>
      <c r="AN19" s="5">
        <v>415</v>
      </c>
      <c r="AO19" s="5">
        <v>197</v>
      </c>
      <c r="AP19" s="5">
        <v>110</v>
      </c>
      <c r="AQ19" s="237">
        <v>86</v>
      </c>
      <c r="AR19" s="5">
        <v>128</v>
      </c>
      <c r="AS19" s="5">
        <v>405</v>
      </c>
      <c r="AT19" s="5">
        <v>193</v>
      </c>
      <c r="AU19" s="5">
        <v>134</v>
      </c>
      <c r="AV19" s="237">
        <v>83</v>
      </c>
      <c r="AW19" s="5">
        <v>139</v>
      </c>
      <c r="AX19" s="5">
        <v>388</v>
      </c>
      <c r="AY19" s="5">
        <v>198</v>
      </c>
      <c r="AZ19" s="5">
        <v>133</v>
      </c>
      <c r="BA19" s="237">
        <v>85</v>
      </c>
      <c r="BB19" s="5">
        <v>141</v>
      </c>
      <c r="BC19" s="5">
        <v>424</v>
      </c>
      <c r="BD19" s="5">
        <v>212</v>
      </c>
      <c r="BE19" s="5">
        <v>128</v>
      </c>
      <c r="BF19" s="1014" t="s">
        <v>392</v>
      </c>
      <c r="BJ19" s="224"/>
      <c r="BK19" s="224"/>
      <c r="BL19" s="224"/>
      <c r="BM19" s="224"/>
      <c r="BN19" s="224"/>
      <c r="BO19" s="224"/>
      <c r="BP19" s="224"/>
      <c r="BQ19" s="224"/>
      <c r="BU19" s="226" t="s">
        <v>383</v>
      </c>
      <c r="BV19" s="226">
        <v>3003</v>
      </c>
      <c r="BW19" s="226">
        <v>2054</v>
      </c>
    </row>
    <row r="20" spans="1:78" s="226" customFormat="1">
      <c r="A20" s="231" t="s">
        <v>32</v>
      </c>
      <c r="B20" s="232">
        <v>29</v>
      </c>
      <c r="C20" s="232">
        <v>97</v>
      </c>
      <c r="D20" s="232">
        <v>137</v>
      </c>
      <c r="E20" s="232">
        <v>158</v>
      </c>
      <c r="F20" s="232">
        <v>63</v>
      </c>
      <c r="G20" s="233"/>
      <c r="H20" s="234">
        <v>26</v>
      </c>
      <c r="I20" s="232">
        <v>183</v>
      </c>
      <c r="J20" s="232">
        <v>135</v>
      </c>
      <c r="K20" s="232">
        <v>151</v>
      </c>
      <c r="L20" s="233">
        <v>57</v>
      </c>
      <c r="M20" s="235">
        <v>133</v>
      </c>
      <c r="N20" s="232">
        <v>27</v>
      </c>
      <c r="O20" s="232">
        <v>136</v>
      </c>
      <c r="P20" s="232">
        <v>125</v>
      </c>
      <c r="Q20" s="236">
        <v>63</v>
      </c>
      <c r="R20" s="234">
        <v>43</v>
      </c>
      <c r="S20" s="232">
        <v>119</v>
      </c>
      <c r="T20" s="232">
        <v>171</v>
      </c>
      <c r="U20" s="232">
        <v>124</v>
      </c>
      <c r="V20" s="233">
        <v>64</v>
      </c>
      <c r="W20" s="235">
        <v>21</v>
      </c>
      <c r="X20" s="232">
        <v>79</v>
      </c>
      <c r="Y20" s="232">
        <v>175</v>
      </c>
      <c r="Z20" s="232">
        <v>111</v>
      </c>
      <c r="AA20" s="236">
        <v>62</v>
      </c>
      <c r="AB20" s="234">
        <v>43</v>
      </c>
      <c r="AC20" s="232">
        <v>70</v>
      </c>
      <c r="AD20" s="232">
        <v>298</v>
      </c>
      <c r="AE20" s="232">
        <v>119</v>
      </c>
      <c r="AF20" s="236">
        <v>89</v>
      </c>
      <c r="AG20" s="237">
        <v>57</v>
      </c>
      <c r="AH20" s="5">
        <v>51</v>
      </c>
      <c r="AI20" s="5">
        <v>257</v>
      </c>
      <c r="AJ20" s="5">
        <v>108</v>
      </c>
      <c r="AK20" s="5">
        <v>68</v>
      </c>
      <c r="AL20" s="237">
        <v>36</v>
      </c>
      <c r="AM20" s="5">
        <v>47</v>
      </c>
      <c r="AN20" s="5">
        <v>275</v>
      </c>
      <c r="AO20" s="5">
        <v>116</v>
      </c>
      <c r="AP20" s="5">
        <v>62</v>
      </c>
      <c r="AQ20" s="237">
        <v>26</v>
      </c>
      <c r="AR20" s="5">
        <v>69</v>
      </c>
      <c r="AS20" s="5">
        <v>218</v>
      </c>
      <c r="AT20" s="5">
        <v>94</v>
      </c>
      <c r="AU20" s="5">
        <v>70</v>
      </c>
      <c r="AV20" s="237">
        <v>37</v>
      </c>
      <c r="AW20" s="5">
        <v>71</v>
      </c>
      <c r="AX20" s="5">
        <v>258</v>
      </c>
      <c r="AY20" s="5">
        <v>100</v>
      </c>
      <c r="AZ20" s="5">
        <v>74</v>
      </c>
      <c r="BA20" s="237">
        <v>20</v>
      </c>
      <c r="BB20" s="5">
        <v>102</v>
      </c>
      <c r="BC20" s="5">
        <v>220</v>
      </c>
      <c r="BD20" s="5">
        <v>107</v>
      </c>
      <c r="BE20" s="5">
        <v>59</v>
      </c>
      <c r="BF20" s="1014" t="s">
        <v>393</v>
      </c>
      <c r="BJ20" s="224"/>
      <c r="BK20" s="224"/>
      <c r="BL20" s="224"/>
      <c r="BM20" s="224"/>
      <c r="BN20" s="224"/>
      <c r="BO20" s="224"/>
      <c r="BP20" s="224"/>
      <c r="BQ20" s="224"/>
    </row>
    <row r="21" spans="1:78" s="226" customFormat="1">
      <c r="A21" s="231" t="s">
        <v>33</v>
      </c>
      <c r="B21" s="232">
        <v>71</v>
      </c>
      <c r="C21" s="232">
        <v>99</v>
      </c>
      <c r="D21" s="232">
        <v>165</v>
      </c>
      <c r="E21" s="232">
        <v>168</v>
      </c>
      <c r="F21" s="232">
        <v>72</v>
      </c>
      <c r="G21" s="233"/>
      <c r="H21" s="234">
        <v>61</v>
      </c>
      <c r="I21" s="232">
        <v>124</v>
      </c>
      <c r="J21" s="232">
        <v>178</v>
      </c>
      <c r="K21" s="232">
        <v>160</v>
      </c>
      <c r="L21" s="233">
        <v>93</v>
      </c>
      <c r="M21" s="235">
        <v>201</v>
      </c>
      <c r="N21" s="232">
        <v>68</v>
      </c>
      <c r="O21" s="232">
        <v>180</v>
      </c>
      <c r="P21" s="232">
        <v>141</v>
      </c>
      <c r="Q21" s="236">
        <v>85</v>
      </c>
      <c r="R21" s="234">
        <v>60</v>
      </c>
      <c r="S21" s="232">
        <v>171</v>
      </c>
      <c r="T21" s="232">
        <v>244</v>
      </c>
      <c r="U21" s="232">
        <v>127</v>
      </c>
      <c r="V21" s="233">
        <v>82</v>
      </c>
      <c r="W21" s="235">
        <v>36</v>
      </c>
      <c r="X21" s="232">
        <v>111</v>
      </c>
      <c r="Y21" s="232">
        <v>307</v>
      </c>
      <c r="Z21" s="232">
        <v>129</v>
      </c>
      <c r="AA21" s="236">
        <v>96</v>
      </c>
      <c r="AB21" s="234">
        <v>140</v>
      </c>
      <c r="AC21" s="232">
        <v>113</v>
      </c>
      <c r="AD21" s="232">
        <v>344</v>
      </c>
      <c r="AE21" s="232">
        <v>133</v>
      </c>
      <c r="AF21" s="236">
        <v>90</v>
      </c>
      <c r="AG21" s="237">
        <v>143</v>
      </c>
      <c r="AH21" s="5">
        <v>104</v>
      </c>
      <c r="AI21" s="5">
        <v>328</v>
      </c>
      <c r="AJ21" s="5">
        <v>140</v>
      </c>
      <c r="AK21" s="5">
        <v>73</v>
      </c>
      <c r="AL21" s="237">
        <v>72</v>
      </c>
      <c r="AM21" s="5">
        <v>70</v>
      </c>
      <c r="AN21" s="5">
        <v>320</v>
      </c>
      <c r="AO21" s="5">
        <v>68</v>
      </c>
      <c r="AP21" s="5">
        <v>49</v>
      </c>
      <c r="AQ21" s="237">
        <v>54</v>
      </c>
      <c r="AR21" s="5">
        <v>68</v>
      </c>
      <c r="AS21" s="5">
        <v>281</v>
      </c>
      <c r="AT21" s="5">
        <v>119</v>
      </c>
      <c r="AU21" s="5">
        <v>93</v>
      </c>
      <c r="AV21" s="237">
        <v>79</v>
      </c>
      <c r="AW21" s="5">
        <v>93</v>
      </c>
      <c r="AX21" s="5">
        <v>276</v>
      </c>
      <c r="AY21" s="5">
        <v>106</v>
      </c>
      <c r="AZ21" s="5">
        <v>84</v>
      </c>
      <c r="BA21" s="237">
        <v>81</v>
      </c>
      <c r="BB21" s="5">
        <v>101</v>
      </c>
      <c r="BC21" s="5">
        <v>285</v>
      </c>
      <c r="BD21" s="5">
        <v>131</v>
      </c>
      <c r="BE21" s="5">
        <v>75</v>
      </c>
      <c r="BF21" s="1014" t="s">
        <v>394</v>
      </c>
      <c r="BJ21" s="224"/>
      <c r="BK21" s="224"/>
      <c r="BL21" s="224"/>
      <c r="BM21" s="224"/>
      <c r="BN21" s="224"/>
      <c r="BO21" s="224"/>
      <c r="BP21" s="224"/>
      <c r="BQ21" s="224"/>
    </row>
    <row r="22" spans="1:78" s="226" customFormat="1">
      <c r="A22" s="231" t="s">
        <v>35</v>
      </c>
      <c r="B22" s="232">
        <v>52</v>
      </c>
      <c r="C22" s="232">
        <v>183</v>
      </c>
      <c r="D22" s="232">
        <v>258</v>
      </c>
      <c r="E22" s="232">
        <v>226</v>
      </c>
      <c r="F22" s="232">
        <v>133</v>
      </c>
      <c r="G22" s="233"/>
      <c r="H22" s="234">
        <v>41</v>
      </c>
      <c r="I22" s="232">
        <v>145</v>
      </c>
      <c r="J22" s="232">
        <v>218</v>
      </c>
      <c r="K22" s="232">
        <v>213</v>
      </c>
      <c r="L22" s="233">
        <v>112</v>
      </c>
      <c r="M22" s="235">
        <v>207</v>
      </c>
      <c r="N22" s="232">
        <v>42</v>
      </c>
      <c r="O22" s="232">
        <v>259</v>
      </c>
      <c r="P22" s="232">
        <v>201</v>
      </c>
      <c r="Q22" s="236">
        <v>129</v>
      </c>
      <c r="R22" s="234">
        <v>26</v>
      </c>
      <c r="S22" s="232">
        <v>263</v>
      </c>
      <c r="T22" s="232">
        <v>300</v>
      </c>
      <c r="U22" s="232">
        <v>247</v>
      </c>
      <c r="V22" s="233">
        <v>126</v>
      </c>
      <c r="W22" s="235">
        <v>62</v>
      </c>
      <c r="X22" s="232">
        <v>102</v>
      </c>
      <c r="Y22" s="232">
        <v>388</v>
      </c>
      <c r="Z22" s="232">
        <v>222</v>
      </c>
      <c r="AA22" s="236">
        <v>151</v>
      </c>
      <c r="AB22" s="234">
        <v>106</v>
      </c>
      <c r="AC22" s="232">
        <v>135</v>
      </c>
      <c r="AD22" s="232">
        <v>403</v>
      </c>
      <c r="AE22" s="232">
        <v>195</v>
      </c>
      <c r="AF22" s="236">
        <v>126</v>
      </c>
      <c r="AG22" s="237">
        <v>129</v>
      </c>
      <c r="AH22" s="5">
        <v>160</v>
      </c>
      <c r="AI22" s="5">
        <v>406</v>
      </c>
      <c r="AJ22" s="5">
        <v>201</v>
      </c>
      <c r="AK22" s="5">
        <v>132</v>
      </c>
      <c r="AL22" s="237">
        <v>207</v>
      </c>
      <c r="AM22" s="5">
        <v>112</v>
      </c>
      <c r="AN22" s="5">
        <v>358</v>
      </c>
      <c r="AO22" s="5">
        <v>152</v>
      </c>
      <c r="AP22" s="5">
        <v>108</v>
      </c>
      <c r="AQ22" s="237">
        <v>312</v>
      </c>
      <c r="AR22" s="5">
        <v>108</v>
      </c>
      <c r="AS22" s="5">
        <v>371</v>
      </c>
      <c r="AT22" s="5">
        <v>201</v>
      </c>
      <c r="AU22" s="5">
        <v>146</v>
      </c>
      <c r="AV22" s="237">
        <v>183</v>
      </c>
      <c r="AW22" s="5">
        <v>96</v>
      </c>
      <c r="AX22" s="5">
        <v>338</v>
      </c>
      <c r="AY22" s="5">
        <v>178</v>
      </c>
      <c r="AZ22" s="5">
        <v>114</v>
      </c>
      <c r="BA22" s="237">
        <v>218</v>
      </c>
      <c r="BB22" s="5">
        <v>104</v>
      </c>
      <c r="BC22" s="5">
        <v>363</v>
      </c>
      <c r="BD22" s="5">
        <v>186</v>
      </c>
      <c r="BE22" s="5">
        <v>120</v>
      </c>
      <c r="BF22" s="1014" t="s">
        <v>395</v>
      </c>
      <c r="BJ22" s="224"/>
      <c r="BK22" s="224"/>
      <c r="BL22" s="224"/>
      <c r="BM22" s="224"/>
      <c r="BN22" s="224"/>
      <c r="BO22" s="224"/>
      <c r="BP22" s="224"/>
      <c r="BQ22" s="224"/>
      <c r="BU22" s="226" t="s">
        <v>368</v>
      </c>
    </row>
    <row r="23" spans="1:78" s="226" customFormat="1">
      <c r="A23" s="231" t="s">
        <v>36</v>
      </c>
      <c r="B23" s="232">
        <v>32</v>
      </c>
      <c r="C23" s="232">
        <v>110</v>
      </c>
      <c r="D23" s="232">
        <v>127</v>
      </c>
      <c r="E23" s="232">
        <v>116</v>
      </c>
      <c r="F23" s="232">
        <v>69</v>
      </c>
      <c r="G23" s="233"/>
      <c r="H23" s="234">
        <v>13</v>
      </c>
      <c r="I23" s="232">
        <v>123</v>
      </c>
      <c r="J23" s="232">
        <v>123</v>
      </c>
      <c r="K23" s="232">
        <v>99</v>
      </c>
      <c r="L23" s="233">
        <v>68</v>
      </c>
      <c r="M23" s="235">
        <v>140</v>
      </c>
      <c r="N23" s="232">
        <v>7</v>
      </c>
      <c r="O23" s="232">
        <v>142</v>
      </c>
      <c r="P23" s="232">
        <v>102</v>
      </c>
      <c r="Q23" s="236">
        <v>71</v>
      </c>
      <c r="R23" s="234">
        <v>18</v>
      </c>
      <c r="S23" s="232">
        <v>120</v>
      </c>
      <c r="T23" s="232">
        <v>155</v>
      </c>
      <c r="U23" s="232">
        <v>86</v>
      </c>
      <c r="V23" s="233">
        <v>65</v>
      </c>
      <c r="W23" s="235">
        <v>15</v>
      </c>
      <c r="X23" s="232">
        <v>115</v>
      </c>
      <c r="Y23" s="232">
        <v>234</v>
      </c>
      <c r="Z23" s="232">
        <v>102</v>
      </c>
      <c r="AA23" s="236">
        <v>70</v>
      </c>
      <c r="AB23" s="234">
        <v>37</v>
      </c>
      <c r="AC23" s="232">
        <v>87</v>
      </c>
      <c r="AD23" s="232">
        <v>291</v>
      </c>
      <c r="AE23" s="232">
        <v>111</v>
      </c>
      <c r="AF23" s="236">
        <v>79</v>
      </c>
      <c r="AG23" s="237">
        <v>41</v>
      </c>
      <c r="AH23" s="5">
        <v>104</v>
      </c>
      <c r="AI23" s="5">
        <v>273</v>
      </c>
      <c r="AJ23" s="5">
        <v>89</v>
      </c>
      <c r="AK23" s="5">
        <v>89</v>
      </c>
      <c r="AL23" s="237">
        <v>16</v>
      </c>
      <c r="AM23" s="5">
        <v>87</v>
      </c>
      <c r="AN23" s="5">
        <v>239</v>
      </c>
      <c r="AO23" s="5">
        <v>110</v>
      </c>
      <c r="AP23" s="5">
        <v>62</v>
      </c>
      <c r="AQ23" s="237">
        <v>20</v>
      </c>
      <c r="AR23" s="5">
        <v>101</v>
      </c>
      <c r="AS23" s="5">
        <v>278</v>
      </c>
      <c r="AT23" s="5">
        <v>103</v>
      </c>
      <c r="AU23" s="5">
        <v>91</v>
      </c>
      <c r="AV23" s="237">
        <v>20</v>
      </c>
      <c r="AW23" s="5">
        <v>74</v>
      </c>
      <c r="AX23" s="5">
        <v>237</v>
      </c>
      <c r="AY23" s="5">
        <v>94</v>
      </c>
      <c r="AZ23" s="5">
        <v>67</v>
      </c>
      <c r="BA23" s="237">
        <v>17</v>
      </c>
      <c r="BB23" s="5">
        <v>81</v>
      </c>
      <c r="BC23" s="5">
        <v>201</v>
      </c>
      <c r="BD23" s="5">
        <v>98</v>
      </c>
      <c r="BE23" s="5">
        <v>55</v>
      </c>
      <c r="BF23" s="1014" t="s">
        <v>396</v>
      </c>
      <c r="BJ23" s="224"/>
      <c r="BK23" s="224"/>
      <c r="BL23" s="224"/>
      <c r="BM23" s="224"/>
      <c r="BN23" s="224"/>
      <c r="BO23" s="224"/>
      <c r="BP23" s="224"/>
      <c r="BQ23" s="224"/>
      <c r="BU23" s="226">
        <v>2015</v>
      </c>
      <c r="BV23" s="226">
        <v>2016</v>
      </c>
      <c r="BW23" s="226">
        <v>2017</v>
      </c>
      <c r="BX23" s="226">
        <v>2018</v>
      </c>
      <c r="BY23" s="226">
        <v>2019</v>
      </c>
      <c r="BZ23" s="226">
        <v>2020</v>
      </c>
    </row>
    <row r="24" spans="1:78" s="226" customFormat="1">
      <c r="A24" s="231" t="s">
        <v>37</v>
      </c>
      <c r="B24" s="232">
        <v>20</v>
      </c>
      <c r="C24" s="232">
        <v>104</v>
      </c>
      <c r="D24" s="232">
        <v>166</v>
      </c>
      <c r="E24" s="232">
        <v>169</v>
      </c>
      <c r="F24" s="232">
        <v>85</v>
      </c>
      <c r="G24" s="233"/>
      <c r="H24" s="234">
        <v>18</v>
      </c>
      <c r="I24" s="232">
        <v>145</v>
      </c>
      <c r="J24" s="232">
        <v>141</v>
      </c>
      <c r="K24" s="232">
        <v>152</v>
      </c>
      <c r="L24" s="233">
        <v>74</v>
      </c>
      <c r="M24" s="235">
        <v>142</v>
      </c>
      <c r="N24" s="232">
        <v>20</v>
      </c>
      <c r="O24" s="232">
        <v>189</v>
      </c>
      <c r="P24" s="232">
        <v>148</v>
      </c>
      <c r="Q24" s="236">
        <v>110</v>
      </c>
      <c r="R24" s="234">
        <v>16</v>
      </c>
      <c r="S24" s="232">
        <v>253</v>
      </c>
      <c r="T24" s="232">
        <v>189</v>
      </c>
      <c r="U24" s="232">
        <v>139</v>
      </c>
      <c r="V24" s="233">
        <v>76</v>
      </c>
      <c r="W24" s="235">
        <v>25</v>
      </c>
      <c r="X24" s="232">
        <v>133</v>
      </c>
      <c r="Y24" s="232">
        <v>284</v>
      </c>
      <c r="Z24" s="232">
        <v>121</v>
      </c>
      <c r="AA24" s="236">
        <v>84</v>
      </c>
      <c r="AB24" s="234">
        <v>39</v>
      </c>
      <c r="AC24" s="232">
        <v>103</v>
      </c>
      <c r="AD24" s="232">
        <v>276</v>
      </c>
      <c r="AE24" s="232">
        <v>123</v>
      </c>
      <c r="AF24" s="236">
        <v>90</v>
      </c>
      <c r="AG24" s="237">
        <v>40</v>
      </c>
      <c r="AH24" s="5">
        <v>88</v>
      </c>
      <c r="AI24" s="5">
        <v>280</v>
      </c>
      <c r="AJ24" s="5">
        <v>121</v>
      </c>
      <c r="AK24" s="5">
        <v>83</v>
      </c>
      <c r="AL24" s="237">
        <v>27</v>
      </c>
      <c r="AM24" s="5">
        <v>81</v>
      </c>
      <c r="AN24" s="5">
        <v>306</v>
      </c>
      <c r="AO24" s="5">
        <v>88</v>
      </c>
      <c r="AP24" s="5">
        <v>70</v>
      </c>
      <c r="AQ24" s="237">
        <v>45</v>
      </c>
      <c r="AR24" s="5">
        <v>74</v>
      </c>
      <c r="AS24" s="5">
        <v>324</v>
      </c>
      <c r="AT24" s="5">
        <v>97</v>
      </c>
      <c r="AU24" s="5">
        <v>80</v>
      </c>
      <c r="AV24" s="237">
        <v>28</v>
      </c>
      <c r="AW24" s="5">
        <v>44</v>
      </c>
      <c r="AX24" s="5">
        <v>284</v>
      </c>
      <c r="AY24" s="5">
        <v>111</v>
      </c>
      <c r="AZ24" s="5">
        <v>79</v>
      </c>
      <c r="BA24" s="237">
        <v>28</v>
      </c>
      <c r="BB24" s="5">
        <v>61</v>
      </c>
      <c r="BC24" s="5">
        <v>266</v>
      </c>
      <c r="BD24" s="5">
        <v>110</v>
      </c>
      <c r="BE24" s="5">
        <v>83</v>
      </c>
      <c r="BF24" s="1014" t="s">
        <v>397</v>
      </c>
      <c r="BJ24" s="224"/>
      <c r="BK24" s="224"/>
      <c r="BL24" s="224"/>
      <c r="BM24" s="224"/>
      <c r="BN24" s="224"/>
      <c r="BO24" s="224"/>
      <c r="BP24" s="224"/>
      <c r="BQ24" s="224"/>
      <c r="BT24" s="226" t="s">
        <v>20</v>
      </c>
      <c r="BU24" s="226">
        <v>5763</v>
      </c>
      <c r="BV24" s="226">
        <v>5488</v>
      </c>
      <c r="BW24" s="226">
        <f t="shared" ref="BW24:BX26" si="5">BV7</f>
        <v>5048</v>
      </c>
      <c r="BX24" s="226">
        <f t="shared" si="5"/>
        <v>5178</v>
      </c>
      <c r="BY24" s="219">
        <v>5069</v>
      </c>
      <c r="BZ24" s="219">
        <f>AY6</f>
        <v>4998</v>
      </c>
    </row>
    <row r="25" spans="1:78" s="226" customFormat="1">
      <c r="A25" s="231" t="s">
        <v>38</v>
      </c>
      <c r="B25" s="232">
        <v>1</v>
      </c>
      <c r="C25" s="232">
        <v>21</v>
      </c>
      <c r="D25" s="232">
        <v>29</v>
      </c>
      <c r="E25" s="232">
        <v>14</v>
      </c>
      <c r="F25" s="232">
        <v>17</v>
      </c>
      <c r="G25" s="233"/>
      <c r="H25" s="234">
        <v>1</v>
      </c>
      <c r="I25" s="232">
        <v>33</v>
      </c>
      <c r="J25" s="232">
        <v>19</v>
      </c>
      <c r="K25" s="232">
        <v>13</v>
      </c>
      <c r="L25" s="233">
        <v>12</v>
      </c>
      <c r="M25" s="235">
        <v>60</v>
      </c>
      <c r="N25" s="232">
        <v>9</v>
      </c>
      <c r="O25" s="232">
        <v>24</v>
      </c>
      <c r="P25" s="232">
        <v>24</v>
      </c>
      <c r="Q25" s="236">
        <v>16</v>
      </c>
      <c r="R25" s="234">
        <v>1</v>
      </c>
      <c r="S25" s="232">
        <v>55</v>
      </c>
      <c r="T25" s="232">
        <v>28</v>
      </c>
      <c r="U25" s="232">
        <v>18</v>
      </c>
      <c r="V25" s="233">
        <v>11</v>
      </c>
      <c r="W25" s="235">
        <v>0</v>
      </c>
      <c r="X25" s="232">
        <v>23</v>
      </c>
      <c r="Y25" s="232">
        <v>47</v>
      </c>
      <c r="Z25" s="232">
        <v>20</v>
      </c>
      <c r="AA25" s="236">
        <v>18</v>
      </c>
      <c r="AB25" s="234">
        <v>16</v>
      </c>
      <c r="AC25" s="232">
        <v>24</v>
      </c>
      <c r="AD25" s="232">
        <v>48</v>
      </c>
      <c r="AE25" s="232">
        <v>21</v>
      </c>
      <c r="AF25" s="236">
        <v>7</v>
      </c>
      <c r="AG25" s="237">
        <v>10</v>
      </c>
      <c r="AH25" s="5">
        <v>18</v>
      </c>
      <c r="AI25" s="5">
        <v>55</v>
      </c>
      <c r="AJ25" s="5">
        <v>13</v>
      </c>
      <c r="AK25" s="5">
        <v>11</v>
      </c>
      <c r="AL25" s="237">
        <v>3</v>
      </c>
      <c r="AM25" s="5">
        <v>17</v>
      </c>
      <c r="AN25" s="5">
        <v>56</v>
      </c>
      <c r="AO25" s="5">
        <v>19</v>
      </c>
      <c r="AP25" s="5">
        <v>23</v>
      </c>
      <c r="AQ25" s="237">
        <v>3</v>
      </c>
      <c r="AR25" s="5">
        <v>11</v>
      </c>
      <c r="AS25" s="5">
        <v>41</v>
      </c>
      <c r="AT25" s="5">
        <v>11</v>
      </c>
      <c r="AU25" s="5">
        <v>14</v>
      </c>
      <c r="AV25" s="237">
        <v>6</v>
      </c>
      <c r="AW25" s="5">
        <v>15</v>
      </c>
      <c r="AX25" s="5">
        <v>48</v>
      </c>
      <c r="AY25" s="5">
        <v>13</v>
      </c>
      <c r="AZ25" s="5">
        <v>12</v>
      </c>
      <c r="BA25" s="237">
        <v>2</v>
      </c>
      <c r="BB25" s="5">
        <v>9</v>
      </c>
      <c r="BC25" s="5">
        <v>42</v>
      </c>
      <c r="BD25" s="5">
        <v>14</v>
      </c>
      <c r="BE25" s="5">
        <v>10</v>
      </c>
      <c r="BF25" s="1014" t="s">
        <v>398</v>
      </c>
      <c r="BJ25" s="224"/>
      <c r="BK25" s="224"/>
      <c r="BL25" s="224"/>
      <c r="BM25" s="224"/>
      <c r="BN25" s="224"/>
      <c r="BO25" s="224"/>
      <c r="BP25" s="224"/>
      <c r="BQ25" s="224"/>
      <c r="BT25" s="226" t="s">
        <v>380</v>
      </c>
      <c r="BU25" s="226">
        <v>2417</v>
      </c>
      <c r="BV25" s="226">
        <v>2304</v>
      </c>
      <c r="BW25" s="226">
        <f t="shared" si="5"/>
        <v>1979</v>
      </c>
      <c r="BX25" s="226">
        <f t="shared" si="5"/>
        <v>2191</v>
      </c>
      <c r="BY25" s="219">
        <v>2055</v>
      </c>
      <c r="BZ25" s="219">
        <f>AY7</f>
        <v>1995</v>
      </c>
    </row>
    <row r="26" spans="1:78" s="226" customFormat="1">
      <c r="A26" s="231" t="s">
        <v>39</v>
      </c>
      <c r="B26" s="232">
        <v>15</v>
      </c>
      <c r="C26" s="232">
        <v>136</v>
      </c>
      <c r="D26" s="232">
        <v>84</v>
      </c>
      <c r="E26" s="232">
        <v>82</v>
      </c>
      <c r="F26" s="232">
        <v>34</v>
      </c>
      <c r="G26" s="233"/>
      <c r="H26" s="234">
        <v>4</v>
      </c>
      <c r="I26" s="232">
        <v>62</v>
      </c>
      <c r="J26" s="232">
        <v>72</v>
      </c>
      <c r="K26" s="232">
        <v>70</v>
      </c>
      <c r="L26" s="233">
        <v>32</v>
      </c>
      <c r="M26" s="235">
        <v>99</v>
      </c>
      <c r="N26" s="232">
        <v>24</v>
      </c>
      <c r="O26" s="232">
        <v>65</v>
      </c>
      <c r="P26" s="232">
        <v>69</v>
      </c>
      <c r="Q26" s="236">
        <v>30</v>
      </c>
      <c r="R26" s="234">
        <v>23</v>
      </c>
      <c r="S26" s="232">
        <v>75</v>
      </c>
      <c r="T26" s="232">
        <v>88</v>
      </c>
      <c r="U26" s="232">
        <v>66</v>
      </c>
      <c r="V26" s="233">
        <v>40</v>
      </c>
      <c r="W26" s="235">
        <v>5</v>
      </c>
      <c r="X26" s="232">
        <v>52</v>
      </c>
      <c r="Y26" s="232">
        <v>130</v>
      </c>
      <c r="Z26" s="232">
        <v>71</v>
      </c>
      <c r="AA26" s="236">
        <v>42</v>
      </c>
      <c r="AB26" s="234">
        <v>11</v>
      </c>
      <c r="AC26" s="232">
        <v>24</v>
      </c>
      <c r="AD26" s="232">
        <v>153</v>
      </c>
      <c r="AE26" s="232">
        <v>58</v>
      </c>
      <c r="AF26" s="236">
        <v>41</v>
      </c>
      <c r="AG26" s="237">
        <v>19</v>
      </c>
      <c r="AH26" s="5">
        <v>17</v>
      </c>
      <c r="AI26" s="5">
        <v>123</v>
      </c>
      <c r="AJ26" s="5">
        <v>51</v>
      </c>
      <c r="AK26" s="5">
        <v>31</v>
      </c>
      <c r="AL26" s="237">
        <v>13</v>
      </c>
      <c r="AM26" s="5">
        <v>30</v>
      </c>
      <c r="AN26" s="5">
        <v>136</v>
      </c>
      <c r="AO26" s="5">
        <v>64</v>
      </c>
      <c r="AP26" s="5">
        <v>44</v>
      </c>
      <c r="AQ26" s="237">
        <v>18</v>
      </c>
      <c r="AR26" s="5">
        <v>24</v>
      </c>
      <c r="AS26" s="5">
        <v>112</v>
      </c>
      <c r="AT26" s="5">
        <v>61</v>
      </c>
      <c r="AU26" s="5">
        <v>41</v>
      </c>
      <c r="AV26" s="237">
        <v>7</v>
      </c>
      <c r="AW26" s="5">
        <v>32</v>
      </c>
      <c r="AX26" s="5">
        <v>116</v>
      </c>
      <c r="AY26" s="5">
        <v>55</v>
      </c>
      <c r="AZ26" s="5">
        <v>46</v>
      </c>
      <c r="BA26" s="237">
        <v>17</v>
      </c>
      <c r="BB26" s="5">
        <v>16</v>
      </c>
      <c r="BC26" s="5">
        <v>123</v>
      </c>
      <c r="BD26" s="5">
        <v>45</v>
      </c>
      <c r="BE26" s="5">
        <v>29</v>
      </c>
      <c r="BF26" s="1014" t="s">
        <v>399</v>
      </c>
      <c r="BJ26" s="224"/>
      <c r="BK26" s="224"/>
      <c r="BL26" s="224"/>
      <c r="BM26" s="224"/>
      <c r="BN26" s="224"/>
      <c r="BO26" s="224"/>
      <c r="BP26" s="224"/>
      <c r="BQ26" s="224"/>
      <c r="BT26" s="226" t="s">
        <v>383</v>
      </c>
      <c r="BU26" s="226">
        <v>3346</v>
      </c>
      <c r="BV26" s="226">
        <v>3184</v>
      </c>
      <c r="BW26" s="226">
        <f t="shared" si="5"/>
        <v>3069</v>
      </c>
      <c r="BX26" s="226">
        <f t="shared" si="5"/>
        <v>2987</v>
      </c>
      <c r="BY26" s="219">
        <v>3014</v>
      </c>
      <c r="BZ26" s="219">
        <f>AY13</f>
        <v>3003</v>
      </c>
    </row>
    <row r="27" spans="1:78" s="226" customFormat="1">
      <c r="A27" s="231" t="s">
        <v>41</v>
      </c>
      <c r="B27" s="232">
        <v>15</v>
      </c>
      <c r="C27" s="232">
        <v>86</v>
      </c>
      <c r="D27" s="232">
        <v>84</v>
      </c>
      <c r="E27" s="232">
        <v>94</v>
      </c>
      <c r="F27" s="232">
        <v>50</v>
      </c>
      <c r="G27" s="233"/>
      <c r="H27" s="234">
        <v>14</v>
      </c>
      <c r="I27" s="232">
        <v>83</v>
      </c>
      <c r="J27" s="232">
        <v>70</v>
      </c>
      <c r="K27" s="232">
        <v>76</v>
      </c>
      <c r="L27" s="233">
        <v>33</v>
      </c>
      <c r="M27" s="235">
        <v>106</v>
      </c>
      <c r="N27" s="232">
        <v>12</v>
      </c>
      <c r="O27" s="232">
        <v>87</v>
      </c>
      <c r="P27" s="232">
        <v>87</v>
      </c>
      <c r="Q27" s="236">
        <v>39</v>
      </c>
      <c r="R27" s="234">
        <v>21</v>
      </c>
      <c r="S27" s="232">
        <v>74</v>
      </c>
      <c r="T27" s="232">
        <v>106</v>
      </c>
      <c r="U27" s="232">
        <v>62</v>
      </c>
      <c r="V27" s="233">
        <v>32</v>
      </c>
      <c r="W27" s="235">
        <v>4</v>
      </c>
      <c r="X27" s="232">
        <v>53</v>
      </c>
      <c r="Y27" s="232">
        <v>129</v>
      </c>
      <c r="Z27" s="232">
        <v>68</v>
      </c>
      <c r="AA27" s="236">
        <v>33</v>
      </c>
      <c r="AB27" s="234">
        <v>17</v>
      </c>
      <c r="AC27" s="232">
        <v>42</v>
      </c>
      <c r="AD27" s="232">
        <v>154</v>
      </c>
      <c r="AE27" s="232">
        <v>40</v>
      </c>
      <c r="AF27" s="236">
        <v>35</v>
      </c>
      <c r="AG27" s="237">
        <v>21</v>
      </c>
      <c r="AH27" s="5">
        <v>65</v>
      </c>
      <c r="AI27" s="5">
        <v>149</v>
      </c>
      <c r="AJ27" s="5">
        <v>56</v>
      </c>
      <c r="AK27" s="5">
        <v>30</v>
      </c>
      <c r="AL27" s="237">
        <v>6</v>
      </c>
      <c r="AM27" s="5">
        <v>53</v>
      </c>
      <c r="AN27" s="5">
        <v>143</v>
      </c>
      <c r="AO27" s="5">
        <v>49</v>
      </c>
      <c r="AP27" s="5">
        <v>31</v>
      </c>
      <c r="AQ27" s="237">
        <v>3</v>
      </c>
      <c r="AR27" s="5">
        <v>62</v>
      </c>
      <c r="AS27" s="5">
        <v>141</v>
      </c>
      <c r="AT27" s="5">
        <v>56</v>
      </c>
      <c r="AU27" s="5">
        <v>34</v>
      </c>
      <c r="AV27" s="237">
        <v>5</v>
      </c>
      <c r="AW27" s="5">
        <v>35</v>
      </c>
      <c r="AX27" s="5">
        <v>161</v>
      </c>
      <c r="AY27" s="5">
        <v>52</v>
      </c>
      <c r="AZ27" s="5">
        <v>34</v>
      </c>
      <c r="BA27" s="237">
        <v>12</v>
      </c>
      <c r="BB27" s="5">
        <v>45</v>
      </c>
      <c r="BC27" s="5">
        <v>110</v>
      </c>
      <c r="BD27" s="5">
        <v>55</v>
      </c>
      <c r="BE27" s="5">
        <v>23</v>
      </c>
      <c r="BF27" s="1014" t="s">
        <v>400</v>
      </c>
      <c r="BJ27" s="224"/>
      <c r="BK27" s="224"/>
      <c r="BL27" s="224"/>
      <c r="BM27" s="224"/>
      <c r="BN27" s="224"/>
      <c r="BO27" s="224"/>
      <c r="BP27" s="224"/>
      <c r="BQ27" s="224"/>
    </row>
    <row r="28" spans="1:78" s="226" customFormat="1">
      <c r="A28" s="231" t="s">
        <v>43</v>
      </c>
      <c r="B28" s="232">
        <v>12</v>
      </c>
      <c r="C28" s="232">
        <v>134</v>
      </c>
      <c r="D28" s="232">
        <v>87</v>
      </c>
      <c r="E28" s="232">
        <v>92</v>
      </c>
      <c r="F28" s="232">
        <v>40</v>
      </c>
      <c r="G28" s="233"/>
      <c r="H28" s="234">
        <v>4</v>
      </c>
      <c r="I28" s="232">
        <v>89</v>
      </c>
      <c r="J28" s="232">
        <v>85</v>
      </c>
      <c r="K28" s="232">
        <v>64</v>
      </c>
      <c r="L28" s="233">
        <v>44</v>
      </c>
      <c r="M28" s="235">
        <v>65</v>
      </c>
      <c r="N28" s="232">
        <v>20</v>
      </c>
      <c r="O28" s="232">
        <v>86</v>
      </c>
      <c r="P28" s="232">
        <v>80</v>
      </c>
      <c r="Q28" s="236">
        <v>33</v>
      </c>
      <c r="R28" s="234">
        <v>8</v>
      </c>
      <c r="S28" s="232">
        <v>80</v>
      </c>
      <c r="T28" s="232">
        <v>130</v>
      </c>
      <c r="U28" s="232">
        <v>71</v>
      </c>
      <c r="V28" s="233">
        <v>40</v>
      </c>
      <c r="W28" s="235">
        <v>4</v>
      </c>
      <c r="X28" s="232">
        <v>44</v>
      </c>
      <c r="Y28" s="232">
        <v>145</v>
      </c>
      <c r="Z28" s="232">
        <v>66</v>
      </c>
      <c r="AA28" s="236">
        <v>27</v>
      </c>
      <c r="AB28" s="234">
        <v>17</v>
      </c>
      <c r="AC28" s="232">
        <v>43</v>
      </c>
      <c r="AD28" s="232">
        <v>156</v>
      </c>
      <c r="AE28" s="232">
        <v>58</v>
      </c>
      <c r="AF28" s="236">
        <v>41</v>
      </c>
      <c r="AG28" s="237">
        <v>22</v>
      </c>
      <c r="AH28" s="5">
        <v>41</v>
      </c>
      <c r="AI28" s="5">
        <v>151</v>
      </c>
      <c r="AJ28" s="5">
        <v>56</v>
      </c>
      <c r="AK28" s="5">
        <v>41</v>
      </c>
      <c r="AL28" s="237">
        <v>18</v>
      </c>
      <c r="AM28" s="5">
        <v>45</v>
      </c>
      <c r="AN28" s="5">
        <v>126</v>
      </c>
      <c r="AO28" s="5">
        <v>67</v>
      </c>
      <c r="AP28" s="5">
        <v>34</v>
      </c>
      <c r="AQ28" s="237">
        <v>17</v>
      </c>
      <c r="AR28" s="5">
        <v>30</v>
      </c>
      <c r="AS28" s="5">
        <v>161</v>
      </c>
      <c r="AT28" s="5">
        <v>55</v>
      </c>
      <c r="AU28" s="5">
        <v>43</v>
      </c>
      <c r="AV28" s="237">
        <v>20</v>
      </c>
      <c r="AW28" s="5">
        <v>22</v>
      </c>
      <c r="AX28" s="5">
        <v>110</v>
      </c>
      <c r="AY28" s="5">
        <v>67</v>
      </c>
      <c r="AZ28" s="5">
        <v>27</v>
      </c>
      <c r="BA28" s="237">
        <v>13</v>
      </c>
      <c r="BB28" s="5">
        <v>29</v>
      </c>
      <c r="BC28" s="5">
        <v>134</v>
      </c>
      <c r="BD28" s="5">
        <v>60</v>
      </c>
      <c r="BE28" s="5">
        <v>41</v>
      </c>
      <c r="BF28" s="1014" t="s">
        <v>401</v>
      </c>
      <c r="BJ28" s="224"/>
      <c r="BK28" s="224"/>
      <c r="BL28" s="224"/>
      <c r="BM28" s="224"/>
      <c r="BN28" s="224"/>
      <c r="BO28" s="224"/>
      <c r="BP28" s="224"/>
      <c r="BQ28" s="224"/>
      <c r="BU28" s="226" t="s">
        <v>369</v>
      </c>
    </row>
    <row r="29" spans="1:78" s="226" customFormat="1">
      <c r="A29" s="231" t="s">
        <v>44</v>
      </c>
      <c r="B29" s="232">
        <v>34</v>
      </c>
      <c r="C29" s="232">
        <v>211</v>
      </c>
      <c r="D29" s="232">
        <v>155</v>
      </c>
      <c r="E29" s="232">
        <v>166</v>
      </c>
      <c r="F29" s="232">
        <v>80</v>
      </c>
      <c r="G29" s="233"/>
      <c r="H29" s="234">
        <v>76</v>
      </c>
      <c r="I29" s="232">
        <v>177</v>
      </c>
      <c r="J29" s="232">
        <v>171</v>
      </c>
      <c r="K29" s="232">
        <v>146</v>
      </c>
      <c r="L29" s="233">
        <v>85</v>
      </c>
      <c r="M29" s="235">
        <v>184</v>
      </c>
      <c r="N29" s="232">
        <v>56</v>
      </c>
      <c r="O29" s="232">
        <v>152</v>
      </c>
      <c r="P29" s="232">
        <v>118</v>
      </c>
      <c r="Q29" s="236">
        <v>71</v>
      </c>
      <c r="R29" s="234">
        <v>66</v>
      </c>
      <c r="S29" s="232">
        <v>164</v>
      </c>
      <c r="T29" s="232">
        <v>213</v>
      </c>
      <c r="U29" s="232">
        <v>126</v>
      </c>
      <c r="V29" s="233">
        <v>97</v>
      </c>
      <c r="W29" s="235">
        <v>27</v>
      </c>
      <c r="X29" s="232">
        <v>101</v>
      </c>
      <c r="Y29" s="232">
        <v>277</v>
      </c>
      <c r="Z29" s="232">
        <v>135</v>
      </c>
      <c r="AA29" s="236">
        <v>102</v>
      </c>
      <c r="AB29" s="234">
        <v>72</v>
      </c>
      <c r="AC29" s="232">
        <v>98</v>
      </c>
      <c r="AD29" s="232">
        <v>313</v>
      </c>
      <c r="AE29" s="232">
        <v>139</v>
      </c>
      <c r="AF29" s="236">
        <v>112</v>
      </c>
      <c r="AG29" s="237">
        <v>75</v>
      </c>
      <c r="AH29" s="5">
        <v>81</v>
      </c>
      <c r="AI29" s="5">
        <v>306</v>
      </c>
      <c r="AJ29" s="5">
        <v>130</v>
      </c>
      <c r="AK29" s="5">
        <v>82</v>
      </c>
      <c r="AL29" s="237">
        <v>26</v>
      </c>
      <c r="AM29" s="5">
        <v>80</v>
      </c>
      <c r="AN29" s="5">
        <v>264</v>
      </c>
      <c r="AO29" s="5">
        <v>109</v>
      </c>
      <c r="AP29" s="5">
        <v>74</v>
      </c>
      <c r="AQ29" s="237">
        <v>56</v>
      </c>
      <c r="AR29" s="5">
        <v>91</v>
      </c>
      <c r="AS29" s="5">
        <v>293</v>
      </c>
      <c r="AT29" s="5">
        <v>132</v>
      </c>
      <c r="AU29" s="5">
        <v>96</v>
      </c>
      <c r="AV29" s="237">
        <v>77</v>
      </c>
      <c r="AW29" s="5">
        <v>84</v>
      </c>
      <c r="AX29" s="5">
        <v>266</v>
      </c>
      <c r="AY29" s="5">
        <v>137</v>
      </c>
      <c r="AZ29" s="5">
        <v>74</v>
      </c>
      <c r="BA29" s="237">
        <v>47</v>
      </c>
      <c r="BB29" s="5">
        <v>127</v>
      </c>
      <c r="BC29" s="5">
        <v>272</v>
      </c>
      <c r="BD29" s="5">
        <v>122</v>
      </c>
      <c r="BE29" s="5">
        <v>76</v>
      </c>
      <c r="BF29" s="1014" t="s">
        <v>402</v>
      </c>
      <c r="BJ29" s="224"/>
      <c r="BK29" s="224"/>
      <c r="BL29" s="224"/>
      <c r="BM29" s="224"/>
      <c r="BN29" s="224"/>
      <c r="BO29" s="224"/>
      <c r="BP29" s="224"/>
      <c r="BQ29" s="224"/>
      <c r="BU29" s="226">
        <v>2015</v>
      </c>
      <c r="BV29" s="226">
        <v>2016</v>
      </c>
      <c r="BW29" s="226">
        <v>2017</v>
      </c>
      <c r="BX29" s="226">
        <v>2018</v>
      </c>
      <c r="BY29" s="226">
        <v>2019</v>
      </c>
      <c r="BZ29" s="226">
        <v>2020</v>
      </c>
    </row>
    <row r="30" spans="1:78" s="226" customFormat="1">
      <c r="A30" s="231" t="s">
        <v>34</v>
      </c>
      <c r="B30" s="232">
        <v>75</v>
      </c>
      <c r="C30" s="232">
        <v>515</v>
      </c>
      <c r="D30" s="232">
        <v>331</v>
      </c>
      <c r="E30" s="232">
        <v>250</v>
      </c>
      <c r="F30" s="232">
        <v>142</v>
      </c>
      <c r="G30" s="233"/>
      <c r="H30" s="234">
        <v>108</v>
      </c>
      <c r="I30" s="232">
        <v>374</v>
      </c>
      <c r="J30" s="232">
        <v>291</v>
      </c>
      <c r="K30" s="232">
        <v>242</v>
      </c>
      <c r="L30" s="233">
        <v>117</v>
      </c>
      <c r="M30" s="235">
        <v>289</v>
      </c>
      <c r="N30" s="232">
        <v>139</v>
      </c>
      <c r="O30" s="232">
        <v>347</v>
      </c>
      <c r="P30" s="232">
        <v>230</v>
      </c>
      <c r="Q30" s="236">
        <v>149</v>
      </c>
      <c r="R30" s="234">
        <v>113</v>
      </c>
      <c r="S30" s="232">
        <v>350</v>
      </c>
      <c r="T30" s="232">
        <v>502</v>
      </c>
      <c r="U30" s="232">
        <v>230</v>
      </c>
      <c r="V30" s="233">
        <v>152</v>
      </c>
      <c r="W30" s="235">
        <v>116</v>
      </c>
      <c r="X30" s="232">
        <v>224</v>
      </c>
      <c r="Y30" s="232">
        <v>633</v>
      </c>
      <c r="Z30" s="232">
        <v>256</v>
      </c>
      <c r="AA30" s="236">
        <v>173</v>
      </c>
      <c r="AB30" s="234">
        <v>244</v>
      </c>
      <c r="AC30" s="232">
        <v>167</v>
      </c>
      <c r="AD30" s="232">
        <v>614</v>
      </c>
      <c r="AE30" s="232">
        <v>242</v>
      </c>
      <c r="AF30" s="236">
        <v>165</v>
      </c>
      <c r="AG30" s="237">
        <v>178</v>
      </c>
      <c r="AH30" s="5">
        <v>131</v>
      </c>
      <c r="AI30" s="5">
        <v>630</v>
      </c>
      <c r="AJ30" s="5">
        <v>232</v>
      </c>
      <c r="AK30" s="5">
        <v>169</v>
      </c>
      <c r="AL30" s="237">
        <v>124</v>
      </c>
      <c r="AM30" s="5">
        <v>116</v>
      </c>
      <c r="AN30" s="5">
        <v>482</v>
      </c>
      <c r="AO30" s="5">
        <v>204</v>
      </c>
      <c r="AP30" s="5">
        <v>135</v>
      </c>
      <c r="AQ30" s="237">
        <v>71</v>
      </c>
      <c r="AR30" s="5">
        <v>140</v>
      </c>
      <c r="AS30" s="5">
        <v>557</v>
      </c>
      <c r="AT30" s="5">
        <v>185</v>
      </c>
      <c r="AU30" s="5">
        <v>163</v>
      </c>
      <c r="AV30" s="237">
        <v>88</v>
      </c>
      <c r="AW30" s="5">
        <v>118</v>
      </c>
      <c r="AX30" s="5">
        <v>511</v>
      </c>
      <c r="AY30" s="5">
        <v>214</v>
      </c>
      <c r="AZ30" s="5">
        <v>158</v>
      </c>
      <c r="BA30" s="237">
        <v>77</v>
      </c>
      <c r="BB30" s="5">
        <v>132</v>
      </c>
      <c r="BC30" s="5">
        <v>496</v>
      </c>
      <c r="BD30" s="5">
        <v>224</v>
      </c>
      <c r="BE30" s="5">
        <v>162</v>
      </c>
      <c r="BF30" s="1014" t="s">
        <v>403</v>
      </c>
      <c r="BJ30" s="224"/>
      <c r="BK30" s="224"/>
      <c r="BL30" s="224"/>
      <c r="BM30" s="224"/>
      <c r="BN30" s="224"/>
      <c r="BO30" s="224"/>
      <c r="BP30" s="224"/>
      <c r="BQ30" s="224"/>
      <c r="BT30" s="226" t="s">
        <v>20</v>
      </c>
      <c r="BU30" s="226">
        <v>3358</v>
      </c>
      <c r="BV30" s="226">
        <v>3417</v>
      </c>
      <c r="BW30" s="226">
        <f t="shared" ref="BW30:BX32" si="6">CB7</f>
        <v>3211</v>
      </c>
      <c r="BX30" s="226">
        <f t="shared" si="6"/>
        <v>3109</v>
      </c>
      <c r="BY30" s="226">
        <v>3550</v>
      </c>
      <c r="BZ30" s="226">
        <v>2982</v>
      </c>
    </row>
    <row r="31" spans="1:78" s="226" customFormat="1">
      <c r="A31" s="231" t="s">
        <v>45</v>
      </c>
      <c r="B31" s="232">
        <v>43</v>
      </c>
      <c r="C31" s="232">
        <v>470</v>
      </c>
      <c r="D31" s="232">
        <v>313</v>
      </c>
      <c r="E31" s="232">
        <v>149</v>
      </c>
      <c r="F31" s="232">
        <v>92</v>
      </c>
      <c r="G31" s="233"/>
      <c r="H31" s="234">
        <v>48</v>
      </c>
      <c r="I31" s="232">
        <v>652</v>
      </c>
      <c r="J31" s="232">
        <v>238</v>
      </c>
      <c r="K31" s="232">
        <v>114</v>
      </c>
      <c r="L31" s="233">
        <v>74</v>
      </c>
      <c r="M31" s="235">
        <v>403</v>
      </c>
      <c r="N31" s="232">
        <v>90</v>
      </c>
      <c r="O31" s="232">
        <v>228</v>
      </c>
      <c r="P31" s="232">
        <v>135</v>
      </c>
      <c r="Q31" s="236">
        <v>73</v>
      </c>
      <c r="R31" s="234">
        <v>84</v>
      </c>
      <c r="S31" s="232">
        <v>587</v>
      </c>
      <c r="T31" s="232">
        <v>282</v>
      </c>
      <c r="U31" s="232">
        <v>130</v>
      </c>
      <c r="V31" s="233">
        <v>96</v>
      </c>
      <c r="W31" s="235">
        <v>97</v>
      </c>
      <c r="X31" s="232">
        <v>412</v>
      </c>
      <c r="Y31" s="232">
        <v>372</v>
      </c>
      <c r="Z31" s="232">
        <v>178</v>
      </c>
      <c r="AA31" s="236">
        <v>87</v>
      </c>
      <c r="AB31" s="234">
        <v>143</v>
      </c>
      <c r="AC31" s="232">
        <v>267</v>
      </c>
      <c r="AD31" s="232">
        <v>408</v>
      </c>
      <c r="AE31" s="232">
        <v>124</v>
      </c>
      <c r="AF31" s="236">
        <v>95</v>
      </c>
      <c r="AG31" s="237">
        <v>184</v>
      </c>
      <c r="AH31" s="5">
        <v>284</v>
      </c>
      <c r="AI31" s="5">
        <v>424</v>
      </c>
      <c r="AJ31" s="5">
        <v>141</v>
      </c>
      <c r="AK31" s="5">
        <v>100</v>
      </c>
      <c r="AL31" s="237">
        <v>113</v>
      </c>
      <c r="AM31" s="5">
        <v>189</v>
      </c>
      <c r="AN31" s="5">
        <v>430</v>
      </c>
      <c r="AO31" s="5">
        <v>122</v>
      </c>
      <c r="AP31" s="5">
        <v>82</v>
      </c>
      <c r="AQ31" s="237">
        <v>74</v>
      </c>
      <c r="AR31" s="5">
        <v>180</v>
      </c>
      <c r="AS31" s="5">
        <v>442</v>
      </c>
      <c r="AT31" s="5">
        <v>116</v>
      </c>
      <c r="AU31" s="5">
        <v>93</v>
      </c>
      <c r="AV31" s="237">
        <v>92</v>
      </c>
      <c r="AW31" s="5">
        <v>153</v>
      </c>
      <c r="AX31" s="5">
        <v>441</v>
      </c>
      <c r="AY31" s="5">
        <v>135</v>
      </c>
      <c r="AZ31" s="5">
        <v>83</v>
      </c>
      <c r="BA31" s="237">
        <v>61</v>
      </c>
      <c r="BB31" s="5">
        <v>119</v>
      </c>
      <c r="BC31" s="5">
        <v>321</v>
      </c>
      <c r="BD31" s="5">
        <v>108</v>
      </c>
      <c r="BE31" s="5">
        <v>73</v>
      </c>
      <c r="BF31" s="1014" t="s">
        <v>404</v>
      </c>
      <c r="BJ31" s="224"/>
      <c r="BK31" s="224"/>
      <c r="BL31" s="224"/>
      <c r="BM31" s="224"/>
      <c r="BN31" s="224"/>
      <c r="BO31" s="224"/>
      <c r="BP31" s="224"/>
      <c r="BQ31" s="224"/>
      <c r="BT31" s="226" t="s">
        <v>380</v>
      </c>
      <c r="BU31" s="226">
        <v>1288</v>
      </c>
      <c r="BV31" s="226">
        <v>1341</v>
      </c>
      <c r="BW31" s="226">
        <f t="shared" si="6"/>
        <v>1248</v>
      </c>
      <c r="BX31" s="226">
        <f t="shared" si="6"/>
        <v>1156</v>
      </c>
      <c r="BY31" s="226">
        <v>1260</v>
      </c>
      <c r="BZ31" s="226">
        <v>928</v>
      </c>
    </row>
    <row r="32" spans="1:78" s="226" customFormat="1">
      <c r="A32" s="231" t="s">
        <v>46</v>
      </c>
      <c r="B32" s="232">
        <v>33</v>
      </c>
      <c r="C32" s="232">
        <v>352</v>
      </c>
      <c r="D32" s="232">
        <v>370</v>
      </c>
      <c r="E32" s="232">
        <v>213</v>
      </c>
      <c r="F32" s="232">
        <v>141</v>
      </c>
      <c r="G32" s="233"/>
      <c r="H32" s="234">
        <v>57</v>
      </c>
      <c r="I32" s="232">
        <v>381</v>
      </c>
      <c r="J32" s="232">
        <v>309</v>
      </c>
      <c r="K32" s="232">
        <v>192</v>
      </c>
      <c r="L32" s="233">
        <v>122</v>
      </c>
      <c r="M32" s="235">
        <v>325</v>
      </c>
      <c r="N32" s="232">
        <v>47</v>
      </c>
      <c r="O32" s="232">
        <v>358</v>
      </c>
      <c r="P32" s="232">
        <v>209</v>
      </c>
      <c r="Q32" s="236">
        <v>142</v>
      </c>
      <c r="R32" s="234">
        <v>92</v>
      </c>
      <c r="S32" s="232">
        <v>348</v>
      </c>
      <c r="T32" s="232">
        <v>477</v>
      </c>
      <c r="U32" s="232">
        <v>203</v>
      </c>
      <c r="V32" s="233">
        <v>135</v>
      </c>
      <c r="W32" s="235">
        <v>81</v>
      </c>
      <c r="X32" s="232">
        <v>180</v>
      </c>
      <c r="Y32" s="232">
        <v>505</v>
      </c>
      <c r="Z32" s="232">
        <v>182</v>
      </c>
      <c r="AA32" s="236">
        <v>116</v>
      </c>
      <c r="AB32" s="234">
        <v>225</v>
      </c>
      <c r="AC32" s="232">
        <v>156</v>
      </c>
      <c r="AD32" s="232">
        <v>485</v>
      </c>
      <c r="AE32" s="232">
        <v>175</v>
      </c>
      <c r="AF32" s="236">
        <v>133</v>
      </c>
      <c r="AG32" s="237">
        <v>256</v>
      </c>
      <c r="AH32" s="5">
        <v>124</v>
      </c>
      <c r="AI32" s="5">
        <v>423</v>
      </c>
      <c r="AJ32" s="5">
        <v>178</v>
      </c>
      <c r="AK32" s="5">
        <v>104</v>
      </c>
      <c r="AL32" s="237">
        <v>126</v>
      </c>
      <c r="AM32" s="5">
        <v>147</v>
      </c>
      <c r="AN32" s="5">
        <v>483</v>
      </c>
      <c r="AO32" s="5">
        <v>186</v>
      </c>
      <c r="AP32" s="5">
        <v>130</v>
      </c>
      <c r="AQ32" s="237">
        <v>150</v>
      </c>
      <c r="AR32" s="5">
        <v>153</v>
      </c>
      <c r="AS32" s="5">
        <v>443</v>
      </c>
      <c r="AT32" s="5">
        <v>159</v>
      </c>
      <c r="AU32" s="5">
        <v>109</v>
      </c>
      <c r="AV32" s="237">
        <v>114</v>
      </c>
      <c r="AW32" s="5">
        <v>127</v>
      </c>
      <c r="AX32" s="5">
        <v>462</v>
      </c>
      <c r="AY32" s="5">
        <v>177</v>
      </c>
      <c r="AZ32" s="5">
        <v>120</v>
      </c>
      <c r="BA32" s="237">
        <v>127</v>
      </c>
      <c r="BB32" s="5">
        <v>106</v>
      </c>
      <c r="BC32" s="5">
        <v>424</v>
      </c>
      <c r="BD32" s="5">
        <v>137</v>
      </c>
      <c r="BE32" s="5">
        <v>117</v>
      </c>
      <c r="BF32" s="1014" t="s">
        <v>405</v>
      </c>
      <c r="BJ32" s="224"/>
      <c r="BK32" s="224"/>
      <c r="BL32" s="224"/>
      <c r="BM32" s="224"/>
      <c r="BN32" s="224"/>
      <c r="BO32" s="224"/>
      <c r="BP32" s="224"/>
      <c r="BQ32" s="224"/>
      <c r="BT32" s="226" t="s">
        <v>383</v>
      </c>
      <c r="BU32" s="226">
        <v>2070</v>
      </c>
      <c r="BV32" s="226">
        <v>2076</v>
      </c>
      <c r="BW32" s="226">
        <f t="shared" si="6"/>
        <v>1963</v>
      </c>
      <c r="BX32" s="226">
        <f t="shared" si="6"/>
        <v>1953</v>
      </c>
      <c r="BY32" s="226">
        <v>2290</v>
      </c>
      <c r="BZ32" s="226">
        <v>2054</v>
      </c>
    </row>
    <row r="33" spans="1:80" s="226" customFormat="1">
      <c r="A33" s="231" t="s">
        <v>47</v>
      </c>
      <c r="B33" s="232">
        <v>138</v>
      </c>
      <c r="C33" s="232">
        <v>287</v>
      </c>
      <c r="D33" s="232">
        <v>278</v>
      </c>
      <c r="E33" s="232">
        <v>147</v>
      </c>
      <c r="F33" s="232">
        <v>92</v>
      </c>
      <c r="G33" s="233"/>
      <c r="H33" s="234">
        <v>149</v>
      </c>
      <c r="I33" s="232">
        <v>295</v>
      </c>
      <c r="J33" s="232">
        <v>242</v>
      </c>
      <c r="K33" s="232">
        <v>146</v>
      </c>
      <c r="L33" s="233">
        <v>82</v>
      </c>
      <c r="M33" s="235">
        <v>279</v>
      </c>
      <c r="N33" s="232">
        <v>114</v>
      </c>
      <c r="O33" s="232">
        <v>213</v>
      </c>
      <c r="P33" s="232">
        <v>117</v>
      </c>
      <c r="Q33" s="236">
        <v>83</v>
      </c>
      <c r="R33" s="234">
        <v>105</v>
      </c>
      <c r="S33" s="232">
        <v>377</v>
      </c>
      <c r="T33" s="232">
        <v>348</v>
      </c>
      <c r="U33" s="232">
        <v>119</v>
      </c>
      <c r="V33" s="233">
        <v>115</v>
      </c>
      <c r="W33" s="235">
        <v>138</v>
      </c>
      <c r="X33" s="232">
        <v>212</v>
      </c>
      <c r="Y33" s="232">
        <v>356</v>
      </c>
      <c r="Z33" s="232">
        <v>160</v>
      </c>
      <c r="AA33" s="236">
        <v>87</v>
      </c>
      <c r="AB33" s="234">
        <v>156</v>
      </c>
      <c r="AC33" s="232">
        <v>114</v>
      </c>
      <c r="AD33" s="232">
        <v>377</v>
      </c>
      <c r="AE33" s="232">
        <v>129</v>
      </c>
      <c r="AF33" s="236">
        <v>105</v>
      </c>
      <c r="AG33" s="237">
        <v>275</v>
      </c>
      <c r="AH33" s="5">
        <v>105</v>
      </c>
      <c r="AI33" s="5">
        <v>377</v>
      </c>
      <c r="AJ33" s="5">
        <v>129</v>
      </c>
      <c r="AK33" s="5">
        <v>97</v>
      </c>
      <c r="AL33" s="237">
        <v>164</v>
      </c>
      <c r="AM33" s="5">
        <v>82</v>
      </c>
      <c r="AN33" s="5">
        <v>385</v>
      </c>
      <c r="AO33" s="5">
        <v>159</v>
      </c>
      <c r="AP33" s="5">
        <v>104</v>
      </c>
      <c r="AQ33" s="237">
        <v>126</v>
      </c>
      <c r="AR33" s="5">
        <v>88</v>
      </c>
      <c r="AS33" s="5">
        <v>380</v>
      </c>
      <c r="AT33" s="5">
        <v>136</v>
      </c>
      <c r="AU33" s="5">
        <v>85</v>
      </c>
      <c r="AV33" s="237">
        <v>162</v>
      </c>
      <c r="AW33" s="5">
        <v>136</v>
      </c>
      <c r="AX33" s="5">
        <v>375</v>
      </c>
      <c r="AY33" s="5">
        <v>138</v>
      </c>
      <c r="AZ33" s="5">
        <v>101</v>
      </c>
      <c r="BA33" s="237">
        <v>83</v>
      </c>
      <c r="BB33" s="5">
        <v>103</v>
      </c>
      <c r="BC33" s="5">
        <v>329</v>
      </c>
      <c r="BD33" s="5">
        <v>143</v>
      </c>
      <c r="BE33" s="5">
        <v>101</v>
      </c>
      <c r="BF33" s="1014" t="s">
        <v>406</v>
      </c>
      <c r="BJ33" s="224"/>
      <c r="BK33" s="224"/>
      <c r="BL33" s="224"/>
      <c r="BM33" s="224"/>
      <c r="BN33" s="224"/>
      <c r="BO33" s="224"/>
      <c r="BP33" s="224"/>
      <c r="BQ33" s="224"/>
    </row>
    <row r="34" spans="1:80" s="226" customFormat="1">
      <c r="A34" s="240" t="s">
        <v>29</v>
      </c>
      <c r="B34" s="241">
        <v>214</v>
      </c>
      <c r="C34" s="241">
        <v>527</v>
      </c>
      <c r="D34" s="241">
        <v>571</v>
      </c>
      <c r="E34" s="241">
        <v>389</v>
      </c>
      <c r="F34" s="241">
        <v>194</v>
      </c>
      <c r="G34" s="242"/>
      <c r="H34" s="243">
        <v>244</v>
      </c>
      <c r="I34" s="241">
        <v>390</v>
      </c>
      <c r="J34" s="241">
        <v>428</v>
      </c>
      <c r="K34" s="241">
        <v>283</v>
      </c>
      <c r="L34" s="242">
        <v>178</v>
      </c>
      <c r="M34" s="244">
        <v>497</v>
      </c>
      <c r="N34" s="241">
        <v>185</v>
      </c>
      <c r="O34" s="241">
        <v>499</v>
      </c>
      <c r="P34" s="241">
        <v>286</v>
      </c>
      <c r="Q34" s="245">
        <v>201</v>
      </c>
      <c r="R34" s="243">
        <v>138</v>
      </c>
      <c r="S34" s="241">
        <v>560</v>
      </c>
      <c r="T34" s="241">
        <v>715</v>
      </c>
      <c r="U34" s="241">
        <v>332</v>
      </c>
      <c r="V34" s="242">
        <v>232</v>
      </c>
      <c r="W34" s="244">
        <v>250</v>
      </c>
      <c r="X34" s="241">
        <v>362</v>
      </c>
      <c r="Y34" s="241">
        <v>750</v>
      </c>
      <c r="Z34" s="241">
        <v>297</v>
      </c>
      <c r="AA34" s="245">
        <v>206</v>
      </c>
      <c r="AB34" s="243">
        <v>451</v>
      </c>
      <c r="AC34" s="241">
        <v>342</v>
      </c>
      <c r="AD34" s="241">
        <v>836</v>
      </c>
      <c r="AE34" s="241">
        <v>299</v>
      </c>
      <c r="AF34" s="245">
        <v>192</v>
      </c>
      <c r="AG34" s="246">
        <v>333</v>
      </c>
      <c r="AH34" s="247">
        <v>336</v>
      </c>
      <c r="AI34" s="247">
        <v>783</v>
      </c>
      <c r="AJ34" s="247">
        <v>283</v>
      </c>
      <c r="AK34" s="247">
        <v>179</v>
      </c>
      <c r="AL34" s="246">
        <v>259</v>
      </c>
      <c r="AM34" s="247">
        <v>338</v>
      </c>
      <c r="AN34" s="247">
        <v>791</v>
      </c>
      <c r="AO34" s="247">
        <v>266</v>
      </c>
      <c r="AP34" s="247">
        <v>203</v>
      </c>
      <c r="AQ34" s="246">
        <v>228</v>
      </c>
      <c r="AR34" s="247">
        <v>244</v>
      </c>
      <c r="AS34" s="247">
        <v>817</v>
      </c>
      <c r="AT34" s="247">
        <v>272</v>
      </c>
      <c r="AU34" s="247">
        <v>206</v>
      </c>
      <c r="AV34" s="246">
        <v>195</v>
      </c>
      <c r="AW34" s="247">
        <v>212</v>
      </c>
      <c r="AX34" s="247">
        <v>808</v>
      </c>
      <c r="AY34" s="247">
        <v>301</v>
      </c>
      <c r="AZ34" s="247">
        <v>227</v>
      </c>
      <c r="BA34" s="246">
        <v>164</v>
      </c>
      <c r="BB34" s="247">
        <v>251</v>
      </c>
      <c r="BC34" s="247">
        <v>659</v>
      </c>
      <c r="BD34" s="247">
        <v>286</v>
      </c>
      <c r="BE34" s="29">
        <v>180</v>
      </c>
      <c r="BF34" s="1015" t="s">
        <v>407</v>
      </c>
      <c r="BJ34" s="224"/>
      <c r="BK34" s="224"/>
      <c r="BL34" s="224"/>
      <c r="BM34" s="224"/>
      <c r="BN34" s="224"/>
      <c r="BO34" s="224"/>
      <c r="BP34" s="224"/>
      <c r="BQ34" s="224"/>
    </row>
    <row r="35" spans="1:80" ht="15">
      <c r="A35" s="248" t="s">
        <v>180</v>
      </c>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c r="BC35" s="249"/>
      <c r="BD35" s="249"/>
      <c r="BE35" s="249"/>
      <c r="BF35" s="21" t="s">
        <v>181</v>
      </c>
    </row>
    <row r="37" spans="1:80">
      <c r="BS37" s="226"/>
      <c r="BT37" s="204"/>
      <c r="BU37" s="200"/>
      <c r="BV37" s="200"/>
    </row>
    <row r="38" spans="1:80">
      <c r="BS38" s="226"/>
      <c r="BT38" s="235"/>
      <c r="BU38" s="232"/>
      <c r="BV38" s="232"/>
    </row>
    <row r="39" spans="1:80">
      <c r="BS39" s="226"/>
      <c r="BT39" s="235"/>
      <c r="BU39" s="232"/>
      <c r="BV39" s="232"/>
    </row>
    <row r="40" spans="1:80">
      <c r="BS40" s="226"/>
      <c r="BT40" s="235"/>
      <c r="BU40" s="232"/>
      <c r="BV40" s="232"/>
    </row>
    <row r="41" spans="1:80">
      <c r="BS41" s="226"/>
      <c r="BT41" s="235"/>
      <c r="BU41" s="232"/>
      <c r="BV41" s="232"/>
    </row>
    <row r="42" spans="1:80">
      <c r="BS42" s="226"/>
      <c r="BT42" s="235"/>
      <c r="BU42" s="232"/>
      <c r="BV42" s="232"/>
    </row>
    <row r="43" spans="1:80">
      <c r="BS43" s="226"/>
      <c r="BT43" s="235"/>
      <c r="BU43" s="232"/>
      <c r="BV43" s="232"/>
    </row>
    <row r="44" spans="1:80">
      <c r="BS44" s="226"/>
      <c r="BT44" s="235"/>
      <c r="BU44" s="232"/>
      <c r="BV44" s="232"/>
    </row>
    <row r="45" spans="1:80">
      <c r="BS45" s="226"/>
      <c r="BT45" s="235"/>
      <c r="BU45" s="232"/>
      <c r="BV45" s="232"/>
      <c r="BW45" s="1144" t="s">
        <v>20</v>
      </c>
      <c r="BX45" s="1145"/>
      <c r="BY45" s="1144" t="s">
        <v>380</v>
      </c>
      <c r="BZ45" s="1145"/>
      <c r="CA45" s="1144" t="s">
        <v>383</v>
      </c>
      <c r="CB45" s="1145"/>
    </row>
    <row r="46" spans="1:80">
      <c r="BS46" s="226"/>
      <c r="BT46" s="235"/>
      <c r="BW46" s="932" t="s">
        <v>377</v>
      </c>
      <c r="BX46" s="933" t="s">
        <v>378</v>
      </c>
      <c r="BY46" s="932" t="s">
        <v>377</v>
      </c>
      <c r="BZ46" s="933" t="s">
        <v>378</v>
      </c>
      <c r="CA46" s="932" t="s">
        <v>377</v>
      </c>
      <c r="CB46" s="933" t="s">
        <v>378</v>
      </c>
    </row>
    <row r="47" spans="1:80">
      <c r="BR47" s="253"/>
      <c r="BS47" s="254"/>
      <c r="BT47" s="255"/>
      <c r="BU47" s="256"/>
      <c r="BV47" s="232">
        <v>2015</v>
      </c>
      <c r="BW47" s="250">
        <v>5763</v>
      </c>
      <c r="BX47" s="196">
        <v>3358</v>
      </c>
      <c r="BY47" s="250">
        <v>2417</v>
      </c>
      <c r="BZ47" s="196">
        <v>1288</v>
      </c>
      <c r="CA47" s="250">
        <v>3346</v>
      </c>
      <c r="CB47" s="196">
        <v>2070</v>
      </c>
    </row>
    <row r="48" spans="1:80">
      <c r="BQ48" s="257"/>
      <c r="BR48" s="196"/>
      <c r="BS48" s="258"/>
      <c r="BT48" s="5"/>
      <c r="BU48" s="5"/>
      <c r="BV48" s="256">
        <v>2016</v>
      </c>
      <c r="BW48" s="253">
        <v>5488</v>
      </c>
      <c r="BX48" s="196">
        <v>3417</v>
      </c>
      <c r="BY48" s="253">
        <v>2304</v>
      </c>
      <c r="BZ48" s="196">
        <v>1341</v>
      </c>
      <c r="CA48" s="253">
        <v>3184</v>
      </c>
      <c r="CB48" s="196">
        <v>2076</v>
      </c>
    </row>
    <row r="49" spans="2:80">
      <c r="BQ49" s="257"/>
      <c r="BR49" s="196"/>
      <c r="BS49" s="258"/>
      <c r="BT49" s="5"/>
      <c r="BU49" s="5"/>
      <c r="BV49" s="5">
        <v>2017</v>
      </c>
      <c r="BW49" s="196">
        <v>5048</v>
      </c>
      <c r="BX49" s="196">
        <v>3211</v>
      </c>
      <c r="BY49" s="196">
        <v>1979</v>
      </c>
      <c r="BZ49" s="196">
        <v>1248</v>
      </c>
      <c r="CA49" s="196">
        <v>3069</v>
      </c>
      <c r="CB49" s="196">
        <v>1963</v>
      </c>
    </row>
    <row r="50" spans="2:80" ht="12.75">
      <c r="B50" s="250"/>
      <c r="C50" s="250"/>
      <c r="D50" s="250"/>
      <c r="E50" s="250"/>
      <c r="F50" s="250"/>
      <c r="G50" s="250"/>
      <c r="H50" s="250"/>
      <c r="I50" s="250"/>
      <c r="J50" s="250"/>
      <c r="K50" s="250"/>
      <c r="L50" s="250"/>
      <c r="M50" s="250"/>
      <c r="N50" s="250"/>
      <c r="O50" s="250"/>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Q50" s="257"/>
      <c r="BR50" s="196"/>
      <c r="BS50" s="258"/>
      <c r="BT50" s="5"/>
      <c r="BU50" s="5"/>
      <c r="BV50" s="5">
        <v>2018</v>
      </c>
      <c r="BW50" s="196">
        <v>5178</v>
      </c>
      <c r="BX50" s="196">
        <v>3109</v>
      </c>
      <c r="BY50" s="196">
        <v>2191</v>
      </c>
      <c r="BZ50" s="196">
        <v>1156</v>
      </c>
      <c r="CA50" s="196">
        <v>2987</v>
      </c>
      <c r="CB50" s="196">
        <v>1953</v>
      </c>
    </row>
    <row r="51" spans="2:80" ht="12.75">
      <c r="B51" s="250"/>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Q51" s="257"/>
      <c r="BR51" s="196"/>
      <c r="BS51" s="258"/>
      <c r="BT51" s="5"/>
      <c r="BU51" s="5"/>
      <c r="BV51" s="5">
        <v>2019</v>
      </c>
      <c r="BW51" s="196">
        <v>5069</v>
      </c>
      <c r="BX51" s="196">
        <v>3550</v>
      </c>
      <c r="BY51" s="196">
        <v>2055</v>
      </c>
      <c r="BZ51" s="196">
        <v>1260</v>
      </c>
      <c r="CA51" s="196">
        <v>3014</v>
      </c>
      <c r="CB51" s="196">
        <v>2290</v>
      </c>
    </row>
    <row r="52" spans="2:80" ht="12.75">
      <c r="B52" s="250"/>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Q52" s="257"/>
      <c r="BR52" s="196"/>
      <c r="BS52" s="258"/>
      <c r="BV52" s="5">
        <v>2020</v>
      </c>
      <c r="BW52" s="196">
        <v>4998</v>
      </c>
      <c r="BX52" s="196">
        <v>2982</v>
      </c>
      <c r="BY52" s="196">
        <v>1995</v>
      </c>
      <c r="BZ52" s="196">
        <v>928</v>
      </c>
      <c r="CA52" s="196">
        <v>3003</v>
      </c>
      <c r="CB52" s="196">
        <v>2054</v>
      </c>
    </row>
    <row r="53" spans="2:80" ht="12.75">
      <c r="B53" s="250"/>
      <c r="C53" s="250"/>
      <c r="D53" s="250"/>
      <c r="E53" s="250"/>
      <c r="F53" s="250"/>
      <c r="G53" s="250"/>
      <c r="H53" s="250"/>
      <c r="I53" s="250"/>
      <c r="J53" s="250"/>
      <c r="K53" s="250"/>
      <c r="L53" s="250"/>
      <c r="M53" s="250"/>
      <c r="N53" s="250"/>
      <c r="O53" s="250"/>
      <c r="P53" s="250"/>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Q53" s="257"/>
      <c r="BR53" s="196"/>
      <c r="BS53" s="258"/>
      <c r="BT53" s="5"/>
      <c r="BU53" s="5"/>
      <c r="BV53" s="5">
        <v>2021</v>
      </c>
      <c r="CB53" s="259"/>
    </row>
    <row r="54" spans="2:80" ht="12.75">
      <c r="B54" s="250"/>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Q54" s="257"/>
      <c r="BR54" s="196"/>
      <c r="BS54" s="258"/>
      <c r="BT54" s="5"/>
      <c r="BU54" s="5"/>
      <c r="BV54" s="5"/>
      <c r="CB54" s="259"/>
    </row>
    <row r="55" spans="2:80" ht="12.75">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Q55" s="257"/>
      <c r="BR55" s="196"/>
      <c r="BS55" s="258"/>
      <c r="BT55" s="5"/>
      <c r="BU55" s="5"/>
      <c r="BV55" s="5"/>
      <c r="CB55" s="259"/>
    </row>
    <row r="56" spans="2:80" ht="12.75">
      <c r="B56" s="250"/>
      <c r="C56" s="250"/>
      <c r="D56" s="250"/>
      <c r="E56" s="250"/>
      <c r="F56" s="250"/>
      <c r="G56" s="250"/>
      <c r="H56" s="250"/>
      <c r="I56" s="250"/>
      <c r="J56" s="250"/>
      <c r="K56" s="250"/>
      <c r="L56" s="250"/>
      <c r="M56" s="250"/>
      <c r="N56" s="250"/>
      <c r="O56" s="250"/>
      <c r="P56" s="250"/>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Q56" s="257"/>
      <c r="BR56" s="196"/>
      <c r="BS56" s="258"/>
      <c r="BT56" s="5"/>
      <c r="BU56" s="5"/>
      <c r="BV56" s="5"/>
      <c r="CB56" s="259"/>
    </row>
    <row r="57" spans="2:80" ht="12.75">
      <c r="B57" s="250"/>
      <c r="C57" s="250"/>
      <c r="D57" s="250"/>
      <c r="E57" s="250"/>
      <c r="F57" s="250"/>
      <c r="G57" s="250"/>
      <c r="H57" s="250"/>
      <c r="I57" s="250"/>
      <c r="J57" s="250"/>
      <c r="K57" s="250"/>
      <c r="L57" s="250"/>
      <c r="M57" s="250"/>
      <c r="N57" s="250"/>
      <c r="O57" s="250"/>
      <c r="P57" s="250"/>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Q57" s="257"/>
      <c r="BR57" s="196"/>
      <c r="BS57" s="258"/>
      <c r="BT57" s="5"/>
      <c r="BU57" s="5"/>
      <c r="BV57" s="5"/>
      <c r="CB57" s="259"/>
    </row>
    <row r="58" spans="2:80" ht="12.75">
      <c r="B58" s="250"/>
      <c r="C58" s="250"/>
      <c r="D58" s="250"/>
      <c r="E58" s="250"/>
      <c r="F58" s="250"/>
      <c r="G58" s="250"/>
      <c r="H58" s="250"/>
      <c r="I58" s="250"/>
      <c r="J58" s="250"/>
      <c r="K58" s="250"/>
      <c r="L58" s="250"/>
      <c r="M58" s="250"/>
      <c r="N58" s="250"/>
      <c r="O58" s="250"/>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Q58" s="257"/>
      <c r="BR58" s="196"/>
      <c r="BS58" s="260"/>
      <c r="BT58" s="35"/>
      <c r="BU58" s="35"/>
      <c r="BV58" s="5"/>
      <c r="CB58" s="259"/>
    </row>
    <row r="59" spans="2:80">
      <c r="BQ59" s="257"/>
      <c r="BR59" s="196"/>
      <c r="BS59" s="196"/>
      <c r="BT59" s="196"/>
      <c r="BU59" s="196"/>
      <c r="BV59" s="196"/>
      <c r="BW59" s="196"/>
      <c r="BX59" s="196"/>
      <c r="BY59" s="196"/>
      <c r="BZ59" s="196"/>
      <c r="CA59" s="196"/>
      <c r="CB59" s="259"/>
    </row>
    <row r="60" spans="2:80">
      <c r="BQ60" s="257"/>
      <c r="BR60" s="196"/>
      <c r="BS60" s="196"/>
      <c r="BT60" s="196"/>
      <c r="BU60" s="196"/>
      <c r="BV60" s="196"/>
      <c r="BW60" s="196"/>
      <c r="BX60" s="196"/>
      <c r="BY60" s="196"/>
      <c r="BZ60" s="196"/>
      <c r="CA60" s="196"/>
      <c r="CB60" s="259"/>
    </row>
    <row r="61" spans="2:80">
      <c r="BQ61" s="257"/>
      <c r="BR61" s="196"/>
      <c r="BS61" s="196"/>
      <c r="BT61" s="196"/>
      <c r="BU61" s="196"/>
      <c r="BV61" s="196"/>
      <c r="BW61" s="196"/>
      <c r="BX61" s="196"/>
      <c r="BY61" s="196"/>
      <c r="BZ61" s="196"/>
      <c r="CA61" s="196"/>
      <c r="CB61" s="259"/>
    </row>
    <row r="62" spans="2:80" ht="24.75" customHeight="1">
      <c r="BQ62" s="257"/>
      <c r="BR62" s="196"/>
      <c r="BS62" s="196"/>
      <c r="BT62" s="196"/>
      <c r="BU62" s="196"/>
      <c r="BV62" s="196"/>
      <c r="BW62" s="196"/>
      <c r="BX62" s="196"/>
      <c r="BY62" s="196"/>
      <c r="BZ62" s="196"/>
      <c r="CA62" s="196"/>
      <c r="CB62" s="259"/>
    </row>
    <row r="63" spans="2:80">
      <c r="BQ63" s="257"/>
      <c r="BR63" s="196"/>
      <c r="BS63" s="196"/>
      <c r="BT63" s="196"/>
      <c r="BU63" s="196"/>
      <c r="BV63" s="196"/>
      <c r="BW63" s="196"/>
      <c r="BX63" s="196"/>
      <c r="BY63" s="196"/>
      <c r="BZ63" s="196"/>
      <c r="CA63" s="196"/>
      <c r="CB63" s="259"/>
    </row>
    <row r="64" spans="2:80">
      <c r="BQ64" s="257"/>
      <c r="BR64" s="196"/>
      <c r="BS64" s="196"/>
      <c r="BT64" s="196"/>
      <c r="BU64" s="196"/>
      <c r="BV64" s="196"/>
      <c r="BW64" s="196"/>
      <c r="BX64" s="196"/>
      <c r="BY64" s="196"/>
      <c r="BZ64" s="196"/>
      <c r="CA64" s="196"/>
      <c r="CB64" s="259"/>
    </row>
    <row r="65" spans="2:80">
      <c r="BQ65" s="257"/>
      <c r="BR65" s="196"/>
      <c r="BS65" s="196"/>
      <c r="BT65" s="196"/>
      <c r="BU65" s="196"/>
      <c r="BV65" s="196"/>
      <c r="BW65" s="196"/>
      <c r="BX65" s="196"/>
      <c r="BY65" s="196"/>
      <c r="BZ65" s="196"/>
      <c r="CA65" s="196"/>
      <c r="CB65" s="259"/>
    </row>
    <row r="66" spans="2:80">
      <c r="BQ66" s="257"/>
      <c r="BR66" s="196"/>
      <c r="BS66" s="196"/>
      <c r="BT66" s="196"/>
      <c r="BU66" s="196"/>
      <c r="BV66" s="196"/>
      <c r="BW66" s="196"/>
      <c r="BX66" s="196"/>
      <c r="BY66" s="196"/>
      <c r="BZ66" s="196"/>
      <c r="CA66" s="196"/>
      <c r="CB66" s="259"/>
    </row>
    <row r="67" spans="2:80">
      <c r="BQ67" s="257"/>
      <c r="BR67" s="196"/>
      <c r="BS67" s="196"/>
      <c r="BT67" s="196"/>
      <c r="BU67" s="196"/>
      <c r="BV67" s="196"/>
      <c r="BW67" s="196"/>
      <c r="BX67" s="196"/>
      <c r="BY67" s="196"/>
      <c r="BZ67" s="196"/>
      <c r="CA67" s="196"/>
      <c r="CB67" s="259"/>
    </row>
    <row r="68" spans="2:80">
      <c r="BR68" s="261"/>
      <c r="BS68" s="261"/>
      <c r="BT68" s="261"/>
      <c r="BU68" s="261"/>
      <c r="BV68" s="261"/>
      <c r="BW68" s="261"/>
      <c r="BX68" s="261"/>
      <c r="BY68" s="261"/>
      <c r="BZ68" s="261"/>
      <c r="CA68" s="261"/>
    </row>
    <row r="70" spans="2:80" ht="61.5">
      <c r="B70" s="250"/>
      <c r="C70" s="250"/>
      <c r="D70" s="250"/>
      <c r="E70" s="250"/>
      <c r="F70" s="250"/>
      <c r="G70" s="250"/>
      <c r="H70" s="250"/>
      <c r="I70" s="250"/>
      <c r="J70" s="250"/>
      <c r="K70" s="250"/>
      <c r="L70" s="250"/>
      <c r="M70" s="250"/>
      <c r="N70" s="262"/>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4"/>
    </row>
    <row r="71" spans="2:80" s="253" customFormat="1" ht="36.75" customHeight="1">
      <c r="N71" s="265"/>
      <c r="O71" s="266"/>
      <c r="P71" s="266"/>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7"/>
    </row>
    <row r="72" spans="2:80" s="196" customFormat="1" ht="61.5">
      <c r="N72" s="266"/>
      <c r="O72" s="266"/>
      <c r="P72" s="266"/>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row>
    <row r="73" spans="2:80" s="196" customFormat="1" ht="61.5">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row>
    <row r="74" spans="2:80" s="196" customFormat="1" ht="61.5">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row>
    <row r="75" spans="2:80" s="196" customFormat="1" ht="61.5">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row>
    <row r="76" spans="2:80" s="196" customFormat="1" ht="61.5">
      <c r="N76" s="266"/>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row>
    <row r="77" spans="2:80" s="196" customFormat="1" ht="61.5">
      <c r="N77" s="266"/>
      <c r="O77" s="266"/>
      <c r="P77" s="266"/>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row>
    <row r="78" spans="2:80" s="196" customFormat="1">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c r="AA78" s="268"/>
      <c r="AB78" s="268"/>
      <c r="AC78" s="268"/>
      <c r="AD78" s="268"/>
      <c r="AE78" s="268"/>
      <c r="AF78" s="268"/>
      <c r="AG78" s="268"/>
      <c r="AH78" s="268"/>
      <c r="AI78" s="268"/>
      <c r="AJ78" s="268"/>
      <c r="AK78" s="268"/>
      <c r="AL78" s="268"/>
      <c r="AM78" s="268"/>
      <c r="AN78" s="268"/>
      <c r="AO78" s="268"/>
      <c r="AP78" s="268"/>
      <c r="AQ78" s="268"/>
      <c r="AR78" s="268"/>
      <c r="AS78" s="268"/>
      <c r="AT78" s="268"/>
      <c r="AU78" s="268"/>
      <c r="AV78" s="268"/>
      <c r="AW78" s="268"/>
      <c r="AX78" s="268"/>
      <c r="AY78" s="268"/>
      <c r="AZ78" s="268"/>
      <c r="BA78" s="268"/>
      <c r="BB78" s="268"/>
      <c r="BC78" s="268"/>
      <c r="BD78" s="268"/>
      <c r="BE78" s="268"/>
      <c r="BF78" s="269"/>
    </row>
    <row r="79" spans="2:80" s="196" customFormat="1">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68"/>
      <c r="AH79" s="268"/>
      <c r="AI79" s="268"/>
      <c r="AJ79" s="268"/>
      <c r="AK79" s="268"/>
      <c r="AL79" s="268"/>
      <c r="AM79" s="268"/>
      <c r="AN79" s="268"/>
      <c r="AO79" s="268"/>
      <c r="AP79" s="268"/>
      <c r="AQ79" s="268"/>
      <c r="AR79" s="268"/>
      <c r="AS79" s="268"/>
      <c r="AT79" s="268"/>
      <c r="AU79" s="268"/>
      <c r="AV79" s="268"/>
      <c r="AW79" s="268"/>
      <c r="AX79" s="268"/>
      <c r="AY79" s="268"/>
      <c r="AZ79" s="268"/>
      <c r="BA79" s="268"/>
      <c r="BB79" s="268"/>
      <c r="BC79" s="268"/>
      <c r="BD79" s="268"/>
      <c r="BE79" s="268"/>
      <c r="BF79" s="269"/>
    </row>
    <row r="80" spans="2:80" s="196" customFormat="1">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68"/>
      <c r="BD80" s="268"/>
      <c r="BE80" s="268"/>
      <c r="BF80" s="269"/>
    </row>
    <row r="81" spans="2:58" s="196" customFormat="1">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c r="AI81" s="268"/>
      <c r="AJ81" s="268"/>
      <c r="AK81" s="268"/>
      <c r="AL81" s="268"/>
      <c r="AM81" s="268"/>
      <c r="AN81" s="268"/>
      <c r="AO81" s="268"/>
      <c r="AP81" s="268"/>
      <c r="AQ81" s="268"/>
      <c r="AR81" s="268"/>
      <c r="AS81" s="268"/>
      <c r="AT81" s="268"/>
      <c r="AU81" s="268"/>
      <c r="AV81" s="268"/>
      <c r="AW81" s="268"/>
      <c r="AX81" s="268"/>
      <c r="AY81" s="268"/>
      <c r="AZ81" s="268"/>
      <c r="BA81" s="268"/>
      <c r="BB81" s="268"/>
      <c r="BC81" s="268"/>
      <c r="BD81" s="268"/>
      <c r="BE81" s="268"/>
      <c r="BF81" s="269"/>
    </row>
    <row r="82" spans="2:58" s="196" customFormat="1">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c r="AO82" s="268"/>
      <c r="AP82" s="268"/>
      <c r="AQ82" s="268"/>
      <c r="AR82" s="268"/>
      <c r="AS82" s="268"/>
      <c r="AT82" s="268"/>
      <c r="AU82" s="268"/>
      <c r="AV82" s="268"/>
      <c r="AW82" s="268"/>
      <c r="AX82" s="268"/>
      <c r="AY82" s="268"/>
      <c r="AZ82" s="268"/>
      <c r="BA82" s="268"/>
      <c r="BB82" s="268"/>
      <c r="BC82" s="268"/>
      <c r="BD82" s="268"/>
      <c r="BE82" s="268"/>
      <c r="BF82" s="269"/>
    </row>
    <row r="83" spans="2:58" s="196" customFormat="1">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c r="AA83" s="268"/>
      <c r="AB83" s="268"/>
      <c r="AC83" s="268"/>
      <c r="AD83" s="268"/>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68"/>
      <c r="BD83" s="268"/>
      <c r="BE83" s="268"/>
      <c r="BF83" s="269"/>
    </row>
    <row r="84" spans="2:58" s="196" customFormat="1">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c r="AA84" s="268"/>
      <c r="AB84" s="268"/>
      <c r="AC84" s="268"/>
      <c r="AD84" s="268"/>
      <c r="AE84" s="268"/>
      <c r="AF84" s="268"/>
      <c r="AG84" s="268"/>
      <c r="AH84" s="268"/>
      <c r="AI84" s="268"/>
      <c r="AJ84" s="268"/>
      <c r="AK84" s="268"/>
      <c r="AL84" s="268"/>
      <c r="AM84" s="268"/>
      <c r="AN84" s="268"/>
      <c r="AO84" s="268"/>
      <c r="AP84" s="268"/>
      <c r="AQ84" s="268"/>
      <c r="AR84" s="268"/>
      <c r="AS84" s="268"/>
      <c r="AT84" s="268"/>
      <c r="AU84" s="268"/>
      <c r="AV84" s="268"/>
      <c r="AW84" s="268"/>
      <c r="AX84" s="268"/>
      <c r="AY84" s="268"/>
      <c r="AZ84" s="268"/>
      <c r="BA84" s="268"/>
      <c r="BB84" s="268"/>
      <c r="BC84" s="268"/>
      <c r="BD84" s="268"/>
      <c r="BE84" s="268"/>
      <c r="BF84" s="269"/>
    </row>
    <row r="85" spans="2:58" s="196" customFormat="1">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c r="BA85" s="268"/>
      <c r="BB85" s="268"/>
      <c r="BC85" s="268"/>
      <c r="BD85" s="268"/>
      <c r="BE85" s="268"/>
      <c r="BF85" s="269"/>
    </row>
    <row r="86" spans="2:58" s="261" customFormat="1">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249"/>
      <c r="BF86" s="270"/>
    </row>
  </sheetData>
  <mergeCells count="20">
    <mergeCell ref="CA45:CB45"/>
    <mergeCell ref="A1:BF1"/>
    <mergeCell ref="A2:BF2"/>
    <mergeCell ref="A3:A5"/>
    <mergeCell ref="B3:F3"/>
    <mergeCell ref="H3:L3"/>
    <mergeCell ref="M3:Q3"/>
    <mergeCell ref="R3:V3"/>
    <mergeCell ref="W3:AA3"/>
    <mergeCell ref="AB3:AF3"/>
    <mergeCell ref="AG3:AK3"/>
    <mergeCell ref="BZ5:CE5"/>
    <mergeCell ref="BT5:BY5"/>
    <mergeCell ref="AL3:AP3"/>
    <mergeCell ref="AQ3:AU3"/>
    <mergeCell ref="AV3:AZ3"/>
    <mergeCell ref="BA3:BE3"/>
    <mergeCell ref="BF3:BF5"/>
    <mergeCell ref="BW45:BX45"/>
    <mergeCell ref="BY45:BZ45"/>
  </mergeCells>
  <pageMargins left="0.7" right="0.7" top="0.75" bottom="0.75" header="0.3" footer="0.3"/>
  <pageSetup paperSize="9" scale="51"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G20"/>
  <sheetViews>
    <sheetView view="pageBreakPreview" zoomScale="82" zoomScaleNormal="100" zoomScaleSheetLayoutView="82" workbookViewId="0">
      <selection sqref="A1:G1"/>
    </sheetView>
  </sheetViews>
  <sheetFormatPr defaultColWidth="21.5703125" defaultRowHeight="15"/>
  <cols>
    <col min="1" max="1" width="54.7109375" style="14" customWidth="1"/>
    <col min="2" max="6" width="16.7109375" style="14" customWidth="1"/>
    <col min="7" max="7" width="49" style="14" customWidth="1"/>
    <col min="8" max="16384" width="21.5703125" style="14"/>
  </cols>
  <sheetData>
    <row r="1" spans="1:7" s="271" customFormat="1" ht="21">
      <c r="A1" s="1162" t="s">
        <v>2176</v>
      </c>
      <c r="B1" s="1163"/>
      <c r="C1" s="1163"/>
      <c r="D1" s="1163"/>
      <c r="E1" s="1163"/>
      <c r="F1" s="1163"/>
      <c r="G1" s="1164"/>
    </row>
    <row r="2" spans="1:7" s="271" customFormat="1">
      <c r="A2" s="1165" t="s">
        <v>2175</v>
      </c>
      <c r="B2" s="1166"/>
      <c r="C2" s="1166"/>
      <c r="D2" s="1166"/>
      <c r="E2" s="1166"/>
      <c r="F2" s="1166"/>
      <c r="G2" s="1167"/>
    </row>
    <row r="3" spans="1:7" s="275" customFormat="1" ht="21.75">
      <c r="A3" s="272" t="s">
        <v>408</v>
      </c>
      <c r="B3" s="273">
        <v>2017</v>
      </c>
      <c r="C3" s="273">
        <v>2018</v>
      </c>
      <c r="D3" s="273">
        <v>2019</v>
      </c>
      <c r="E3" s="273">
        <v>2020</v>
      </c>
      <c r="F3" s="273">
        <v>2021</v>
      </c>
      <c r="G3" s="274" t="s">
        <v>65</v>
      </c>
    </row>
    <row r="4" spans="1:7" s="275" customFormat="1" ht="17.25">
      <c r="A4" s="276" t="s">
        <v>1</v>
      </c>
      <c r="B4" s="277" t="s">
        <v>176</v>
      </c>
      <c r="C4" s="277" t="s">
        <v>176</v>
      </c>
      <c r="D4" s="277" t="s">
        <v>176</v>
      </c>
      <c r="E4" s="277" t="s">
        <v>176</v>
      </c>
      <c r="F4" s="277" t="s">
        <v>176</v>
      </c>
      <c r="G4" s="278" t="s">
        <v>49</v>
      </c>
    </row>
    <row r="5" spans="1:7" s="275" customFormat="1" ht="24" customHeight="1">
      <c r="A5" s="279" t="s">
        <v>409</v>
      </c>
      <c r="B5" s="280">
        <v>799</v>
      </c>
      <c r="C5" s="280">
        <v>513</v>
      </c>
      <c r="D5" s="280">
        <v>537</v>
      </c>
      <c r="E5" s="280">
        <v>365</v>
      </c>
      <c r="F5" s="280">
        <v>350</v>
      </c>
      <c r="G5" s="281" t="s">
        <v>3</v>
      </c>
    </row>
    <row r="6" spans="1:7" s="275" customFormat="1" ht="24" customHeight="1">
      <c r="A6" s="282" t="s">
        <v>410</v>
      </c>
      <c r="B6" s="280">
        <v>668</v>
      </c>
      <c r="C6" s="280">
        <v>408</v>
      </c>
      <c r="D6" s="280">
        <v>615</v>
      </c>
      <c r="E6" s="280">
        <v>501</v>
      </c>
      <c r="F6" s="280">
        <v>493</v>
      </c>
      <c r="G6" s="281" t="s">
        <v>66</v>
      </c>
    </row>
    <row r="7" spans="1:7" s="275" customFormat="1" ht="24" customHeight="1">
      <c r="A7" s="282" t="s">
        <v>4</v>
      </c>
      <c r="B7" s="280">
        <v>316</v>
      </c>
      <c r="C7" s="280">
        <v>193</v>
      </c>
      <c r="D7" s="280">
        <v>144</v>
      </c>
      <c r="E7" s="280">
        <v>170</v>
      </c>
      <c r="F7" s="280">
        <v>137</v>
      </c>
      <c r="G7" s="281" t="s">
        <v>8</v>
      </c>
    </row>
    <row r="8" spans="1:7" s="275" customFormat="1" ht="24" customHeight="1">
      <c r="A8" s="282" t="s">
        <v>411</v>
      </c>
      <c r="B8" s="280">
        <v>201</v>
      </c>
      <c r="C8" s="280">
        <v>171</v>
      </c>
      <c r="D8" s="280">
        <v>256</v>
      </c>
      <c r="E8" s="280">
        <v>224</v>
      </c>
      <c r="F8" s="280">
        <v>216</v>
      </c>
      <c r="G8" s="281" t="s">
        <v>412</v>
      </c>
    </row>
    <row r="9" spans="1:7" s="275" customFormat="1" ht="24" customHeight="1">
      <c r="A9" s="282" t="s">
        <v>15</v>
      </c>
      <c r="B9" s="280">
        <v>171</v>
      </c>
      <c r="C9" s="280">
        <v>117</v>
      </c>
      <c r="D9" s="280">
        <v>77</v>
      </c>
      <c r="E9" s="280">
        <v>34</v>
      </c>
      <c r="F9" s="280">
        <v>32</v>
      </c>
      <c r="G9" s="283" t="s">
        <v>413</v>
      </c>
    </row>
    <row r="10" spans="1:7" s="275" customFormat="1" ht="24" customHeight="1">
      <c r="A10" s="279" t="s">
        <v>414</v>
      </c>
      <c r="B10" s="280">
        <v>127</v>
      </c>
      <c r="C10" s="280">
        <v>59</v>
      </c>
      <c r="D10" s="280">
        <v>68</v>
      </c>
      <c r="E10" s="280">
        <v>154</v>
      </c>
      <c r="F10" s="280">
        <v>93</v>
      </c>
      <c r="G10" s="284" t="s">
        <v>415</v>
      </c>
    </row>
    <row r="11" spans="1:7" s="275" customFormat="1" ht="24" customHeight="1">
      <c r="A11" s="282" t="s">
        <v>416</v>
      </c>
      <c r="B11" s="280">
        <v>124</v>
      </c>
      <c r="C11" s="280">
        <v>74</v>
      </c>
      <c r="D11" s="280">
        <v>103</v>
      </c>
      <c r="E11" s="280">
        <v>83</v>
      </c>
      <c r="F11" s="280">
        <v>73</v>
      </c>
      <c r="G11" s="284" t="s">
        <v>417</v>
      </c>
    </row>
    <row r="12" spans="1:7" s="275" customFormat="1" ht="40.5" customHeight="1">
      <c r="A12" s="279" t="s">
        <v>418</v>
      </c>
      <c r="B12" s="280">
        <v>112</v>
      </c>
      <c r="C12" s="280">
        <v>66</v>
      </c>
      <c r="D12" s="280">
        <v>68</v>
      </c>
      <c r="E12" s="280">
        <v>18</v>
      </c>
      <c r="F12" s="280">
        <v>10</v>
      </c>
      <c r="G12" s="283" t="s">
        <v>419</v>
      </c>
    </row>
    <row r="13" spans="1:7" s="275" customFormat="1" ht="24.75" customHeight="1">
      <c r="A13" s="279" t="s">
        <v>420</v>
      </c>
      <c r="B13" s="280">
        <v>87</v>
      </c>
      <c r="C13" s="280">
        <v>45</v>
      </c>
      <c r="D13" s="280">
        <v>21</v>
      </c>
      <c r="E13" s="280">
        <v>45</v>
      </c>
      <c r="F13" s="280">
        <v>30</v>
      </c>
      <c r="G13" s="283" t="s">
        <v>421</v>
      </c>
    </row>
    <row r="14" spans="1:7" s="275" customFormat="1" ht="40.5" customHeight="1">
      <c r="A14" s="279" t="s">
        <v>422</v>
      </c>
      <c r="B14" s="280">
        <v>76</v>
      </c>
      <c r="C14" s="280">
        <v>52</v>
      </c>
      <c r="D14" s="280">
        <v>47</v>
      </c>
      <c r="E14" s="280">
        <v>35</v>
      </c>
      <c r="F14" s="280">
        <v>32</v>
      </c>
      <c r="G14" s="283" t="s">
        <v>423</v>
      </c>
    </row>
    <row r="15" spans="1:7" s="275" customFormat="1" ht="47.25" customHeight="1">
      <c r="A15" s="1323" t="s">
        <v>2161</v>
      </c>
      <c r="B15" s="280" t="s">
        <v>48</v>
      </c>
      <c r="C15" s="280" t="s">
        <v>48</v>
      </c>
      <c r="D15" s="280" t="s">
        <v>48</v>
      </c>
      <c r="E15" s="280" t="s">
        <v>48</v>
      </c>
      <c r="F15" s="280">
        <v>85</v>
      </c>
      <c r="G15" s="1324" t="s">
        <v>2138</v>
      </c>
    </row>
    <row r="16" spans="1:7" s="275" customFormat="1" ht="44.25" customHeight="1">
      <c r="A16" s="279" t="s">
        <v>2163</v>
      </c>
      <c r="B16" s="280" t="s">
        <v>48</v>
      </c>
      <c r="C16" s="280" t="s">
        <v>48</v>
      </c>
      <c r="D16" s="280" t="s">
        <v>48</v>
      </c>
      <c r="E16" s="280" t="s">
        <v>48</v>
      </c>
      <c r="F16" s="280">
        <v>49</v>
      </c>
      <c r="G16" s="283" t="s">
        <v>1339</v>
      </c>
    </row>
    <row r="17" spans="1:7" s="275" customFormat="1" ht="53.25" customHeight="1">
      <c r="A17" s="279" t="s">
        <v>2162</v>
      </c>
      <c r="B17" s="280" t="s">
        <v>48</v>
      </c>
      <c r="C17" s="280" t="s">
        <v>48</v>
      </c>
      <c r="D17" s="280" t="s">
        <v>48</v>
      </c>
      <c r="E17" s="280" t="s">
        <v>48</v>
      </c>
      <c r="F17" s="280">
        <v>36</v>
      </c>
      <c r="G17" s="283" t="s">
        <v>2139</v>
      </c>
    </row>
    <row r="18" spans="1:7" s="275" customFormat="1" ht="24" customHeight="1">
      <c r="A18" s="279" t="s">
        <v>2160</v>
      </c>
      <c r="B18" s="280" t="s">
        <v>48</v>
      </c>
      <c r="C18" s="280" t="s">
        <v>48</v>
      </c>
      <c r="D18" s="280" t="s">
        <v>48</v>
      </c>
      <c r="E18" s="280" t="s">
        <v>48</v>
      </c>
      <c r="F18" s="280">
        <v>35</v>
      </c>
      <c r="G18" s="283" t="s">
        <v>2140</v>
      </c>
    </row>
    <row r="19" spans="1:7" s="275" customFormat="1" ht="24" customHeight="1">
      <c r="A19" s="279" t="s">
        <v>1908</v>
      </c>
      <c r="B19" s="280" t="s">
        <v>48</v>
      </c>
      <c r="C19" s="280" t="s">
        <v>48</v>
      </c>
      <c r="D19" s="280" t="s">
        <v>48</v>
      </c>
      <c r="E19" s="280" t="s">
        <v>48</v>
      </c>
      <c r="F19" s="1016">
        <v>33</v>
      </c>
      <c r="G19" s="1018" t="s">
        <v>1244</v>
      </c>
    </row>
    <row r="20" spans="1:7" s="275" customFormat="1" ht="14.25">
      <c r="A20" s="285" t="s">
        <v>180</v>
      </c>
      <c r="B20" s="286"/>
      <c r="C20" s="286"/>
      <c r="D20" s="286"/>
      <c r="E20" s="286"/>
      <c r="F20" s="409"/>
      <c r="G20" s="85" t="s">
        <v>181</v>
      </c>
    </row>
  </sheetData>
  <mergeCells count="2">
    <mergeCell ref="A1:G1"/>
    <mergeCell ref="A2:G2"/>
  </mergeCells>
  <pageMargins left="0.7" right="0.7" top="0.75" bottom="0.75" header="0.3" footer="0.3"/>
  <pageSetup paperSize="9" scale="4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G19"/>
  <sheetViews>
    <sheetView view="pageBreakPreview" zoomScaleNormal="100" zoomScaleSheetLayoutView="100" workbookViewId="0">
      <selection sqref="A1:G1"/>
    </sheetView>
  </sheetViews>
  <sheetFormatPr defaultColWidth="9.140625" defaultRowHeight="15"/>
  <cols>
    <col min="1" max="1" width="48.5703125" style="14" customWidth="1"/>
    <col min="2" max="2" width="7.140625" style="14" customWidth="1"/>
    <col min="3" max="6" width="10.28515625" style="14" customWidth="1"/>
    <col min="7" max="7" width="45.28515625" style="14" customWidth="1"/>
    <col min="8" max="16384" width="9.140625" style="14"/>
  </cols>
  <sheetData>
    <row r="1" spans="1:7" s="271" customFormat="1" ht="21">
      <c r="A1" s="1162" t="s">
        <v>2178</v>
      </c>
      <c r="B1" s="1163"/>
      <c r="C1" s="1163"/>
      <c r="D1" s="1163"/>
      <c r="E1" s="1163"/>
      <c r="F1" s="1163"/>
      <c r="G1" s="1164"/>
    </row>
    <row r="2" spans="1:7" s="271" customFormat="1">
      <c r="A2" s="1165" t="s">
        <v>2177</v>
      </c>
      <c r="B2" s="1166"/>
      <c r="C2" s="1166"/>
      <c r="D2" s="1166"/>
      <c r="E2" s="1166"/>
      <c r="F2" s="1166"/>
      <c r="G2" s="1167"/>
    </row>
    <row r="3" spans="1:7" s="275" customFormat="1" ht="17.25">
      <c r="A3" s="272" t="s">
        <v>408</v>
      </c>
      <c r="B3" s="288">
        <v>2017</v>
      </c>
      <c r="C3" s="288">
        <v>2018</v>
      </c>
      <c r="D3" s="288">
        <v>2019</v>
      </c>
      <c r="E3" s="288">
        <v>2020</v>
      </c>
      <c r="F3" s="288">
        <v>2021</v>
      </c>
      <c r="G3" s="289" t="s">
        <v>65</v>
      </c>
    </row>
    <row r="4" spans="1:7" s="275" customFormat="1" ht="17.25">
      <c r="A4" s="276" t="s">
        <v>1</v>
      </c>
      <c r="B4" s="290" t="s">
        <v>176</v>
      </c>
      <c r="C4" s="290" t="s">
        <v>176</v>
      </c>
      <c r="D4" s="290" t="s">
        <v>176</v>
      </c>
      <c r="E4" s="290" t="s">
        <v>176</v>
      </c>
      <c r="F4" s="290" t="s">
        <v>176</v>
      </c>
      <c r="G4" s="278" t="s">
        <v>49</v>
      </c>
    </row>
    <row r="5" spans="1:7" s="275" customFormat="1" ht="18.75">
      <c r="A5" s="291" t="s">
        <v>424</v>
      </c>
      <c r="B5" s="292">
        <v>615</v>
      </c>
      <c r="C5" s="292">
        <v>715</v>
      </c>
      <c r="D5" s="292">
        <v>890</v>
      </c>
      <c r="E5" s="292">
        <v>560</v>
      </c>
      <c r="F5" s="1019">
        <v>533</v>
      </c>
      <c r="G5" s="293" t="s">
        <v>425</v>
      </c>
    </row>
    <row r="6" spans="1:7" s="275" customFormat="1" ht="18.75">
      <c r="A6" s="294" t="s">
        <v>426</v>
      </c>
      <c r="B6" s="292">
        <v>599</v>
      </c>
      <c r="C6" s="292">
        <v>151</v>
      </c>
      <c r="D6" s="292">
        <v>115</v>
      </c>
      <c r="E6" s="292">
        <v>829</v>
      </c>
      <c r="F6" s="1019">
        <v>981</v>
      </c>
      <c r="G6" s="293" t="s">
        <v>427</v>
      </c>
    </row>
    <row r="7" spans="1:7" s="275" customFormat="1" ht="18.75">
      <c r="A7" s="294" t="s">
        <v>428</v>
      </c>
      <c r="B7" s="292">
        <v>539</v>
      </c>
      <c r="C7" s="292">
        <v>719</v>
      </c>
      <c r="D7" s="292">
        <v>767</v>
      </c>
      <c r="E7" s="292">
        <v>518</v>
      </c>
      <c r="F7" s="1019">
        <v>480</v>
      </c>
      <c r="G7" s="293" t="s">
        <v>429</v>
      </c>
    </row>
    <row r="8" spans="1:7" s="275" customFormat="1" ht="18.75">
      <c r="A8" s="294" t="s">
        <v>430</v>
      </c>
      <c r="B8" s="292">
        <v>467</v>
      </c>
      <c r="C8" s="292">
        <v>400</v>
      </c>
      <c r="D8" s="292">
        <v>378</v>
      </c>
      <c r="E8" s="292">
        <v>268</v>
      </c>
      <c r="F8" s="1019">
        <v>182</v>
      </c>
      <c r="G8" s="293" t="s">
        <v>431</v>
      </c>
    </row>
    <row r="9" spans="1:7" s="275" customFormat="1" ht="18.75">
      <c r="A9" s="294" t="s">
        <v>432</v>
      </c>
      <c r="B9" s="292">
        <v>353</v>
      </c>
      <c r="C9" s="292">
        <v>639</v>
      </c>
      <c r="D9" s="292">
        <v>599</v>
      </c>
      <c r="E9" s="292">
        <v>401</v>
      </c>
      <c r="F9" s="1019">
        <v>331</v>
      </c>
      <c r="G9" s="295" t="s">
        <v>433</v>
      </c>
    </row>
    <row r="10" spans="1:7" s="275" customFormat="1" ht="18.75">
      <c r="A10" s="291" t="s">
        <v>434</v>
      </c>
      <c r="B10" s="292">
        <v>312</v>
      </c>
      <c r="C10" s="292">
        <v>335</v>
      </c>
      <c r="D10" s="292">
        <v>189</v>
      </c>
      <c r="E10" s="292">
        <v>133</v>
      </c>
      <c r="F10" s="1019">
        <v>79</v>
      </c>
      <c r="G10" s="296" t="s">
        <v>435</v>
      </c>
    </row>
    <row r="11" spans="1:7" s="275" customFormat="1" ht="18.75">
      <c r="A11" s="294" t="s">
        <v>436</v>
      </c>
      <c r="B11" s="292">
        <v>270</v>
      </c>
      <c r="C11" s="292">
        <v>796</v>
      </c>
      <c r="D11" s="292">
        <v>830</v>
      </c>
      <c r="E11" s="292">
        <v>484</v>
      </c>
      <c r="F11" s="1019">
        <v>477</v>
      </c>
      <c r="G11" s="296" t="s">
        <v>437</v>
      </c>
    </row>
    <row r="12" spans="1:7" s="275" customFormat="1" ht="18.75">
      <c r="A12" s="291" t="s">
        <v>438</v>
      </c>
      <c r="B12" s="292">
        <v>252</v>
      </c>
      <c r="C12" s="292">
        <v>266</v>
      </c>
      <c r="D12" s="292">
        <v>249</v>
      </c>
      <c r="E12" s="292">
        <v>276</v>
      </c>
      <c r="F12" s="1019">
        <v>318</v>
      </c>
      <c r="G12" s="295" t="s">
        <v>439</v>
      </c>
    </row>
    <row r="13" spans="1:7" s="275" customFormat="1" ht="18.75">
      <c r="A13" s="297" t="s">
        <v>440</v>
      </c>
      <c r="B13" s="292">
        <v>228</v>
      </c>
      <c r="C13" s="292">
        <v>288</v>
      </c>
      <c r="D13" s="292">
        <v>300</v>
      </c>
      <c r="E13" s="292">
        <v>158</v>
      </c>
      <c r="F13" s="1019">
        <v>147</v>
      </c>
      <c r="G13" s="298" t="s">
        <v>441</v>
      </c>
    </row>
    <row r="14" spans="1:7" ht="18.75">
      <c r="A14" s="299" t="s">
        <v>442</v>
      </c>
      <c r="B14" s="292">
        <v>220</v>
      </c>
      <c r="C14" s="292">
        <v>162</v>
      </c>
      <c r="D14" s="292">
        <v>125</v>
      </c>
      <c r="E14" s="292">
        <v>135</v>
      </c>
      <c r="F14" s="1019">
        <v>158</v>
      </c>
      <c r="G14" s="300" t="s">
        <v>443</v>
      </c>
    </row>
    <row r="15" spans="1:7" s="275" customFormat="1" ht="18.75">
      <c r="A15" s="301" t="s">
        <v>444</v>
      </c>
      <c r="B15" s="302">
        <v>205</v>
      </c>
      <c r="C15" s="302">
        <v>362</v>
      </c>
      <c r="D15" s="302">
        <v>397</v>
      </c>
      <c r="E15" s="302">
        <v>166</v>
      </c>
      <c r="F15" s="1020">
        <v>203</v>
      </c>
      <c r="G15" s="303" t="s">
        <v>445</v>
      </c>
    </row>
    <row r="16" spans="1:7" ht="18.75">
      <c r="A16" s="301" t="s">
        <v>2164</v>
      </c>
      <c r="B16" s="42" t="s">
        <v>48</v>
      </c>
      <c r="C16" s="42" t="s">
        <v>48</v>
      </c>
      <c r="D16" s="42" t="s">
        <v>48</v>
      </c>
      <c r="E16" s="42" t="s">
        <v>48</v>
      </c>
      <c r="F16" s="1019">
        <v>220</v>
      </c>
      <c r="G16" s="1017" t="s">
        <v>2135</v>
      </c>
    </row>
    <row r="17" spans="1:7" ht="18.75">
      <c r="A17" s="301" t="s">
        <v>2165</v>
      </c>
      <c r="B17" s="42" t="s">
        <v>48</v>
      </c>
      <c r="C17" s="42" t="s">
        <v>48</v>
      </c>
      <c r="D17" s="42" t="s">
        <v>48</v>
      </c>
      <c r="E17" s="42" t="s">
        <v>48</v>
      </c>
      <c r="F17" s="1019">
        <v>162</v>
      </c>
      <c r="G17" s="1017" t="s">
        <v>2136</v>
      </c>
    </row>
    <row r="18" spans="1:7" ht="25.5">
      <c r="A18" s="301" t="s">
        <v>2166</v>
      </c>
      <c r="B18" s="42" t="s">
        <v>48</v>
      </c>
      <c r="C18" s="42" t="s">
        <v>48</v>
      </c>
      <c r="D18" s="42" t="s">
        <v>48</v>
      </c>
      <c r="E18" s="42" t="s">
        <v>48</v>
      </c>
      <c r="F18" s="1019">
        <v>114</v>
      </c>
      <c r="G18" s="1017" t="s">
        <v>2137</v>
      </c>
    </row>
    <row r="19" spans="1:7">
      <c r="A19" s="285" t="s">
        <v>180</v>
      </c>
      <c r="B19" s="286"/>
      <c r="C19" s="286"/>
      <c r="D19" s="286"/>
      <c r="E19" s="286"/>
      <c r="F19" s="976"/>
      <c r="G19" s="287" t="s">
        <v>181</v>
      </c>
    </row>
  </sheetData>
  <mergeCells count="2">
    <mergeCell ref="A1:G1"/>
    <mergeCell ref="A2:G2"/>
  </mergeCells>
  <pageMargins left="0.7" right="0.7" top="0.75" bottom="0.75" header="0.3" footer="0.3"/>
  <pageSetup paperSize="9" scale="6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A1:AB17"/>
  <sheetViews>
    <sheetView view="pageBreakPreview" zoomScale="68" zoomScaleNormal="100" zoomScaleSheetLayoutView="68" workbookViewId="0">
      <selection sqref="A1:H1"/>
    </sheetView>
  </sheetViews>
  <sheetFormatPr defaultRowHeight="15"/>
  <cols>
    <col min="1" max="1" width="20.28515625" style="16" customWidth="1"/>
    <col min="2" max="7" width="16.7109375" style="16" customWidth="1"/>
    <col min="8" max="8" width="33" style="16" customWidth="1"/>
    <col min="9" max="16" width="9.140625" style="16"/>
    <col min="17" max="17" width="9.5703125" style="16" bestFit="1" customWidth="1"/>
    <col min="18" max="18" width="9.28515625" style="16" bestFit="1" customWidth="1"/>
    <col min="19" max="19" width="9.5703125" style="16" bestFit="1" customWidth="1"/>
    <col min="20" max="20" width="9.28515625" style="16" bestFit="1" customWidth="1"/>
    <col min="21" max="16384" width="9.140625" style="16"/>
  </cols>
  <sheetData>
    <row r="1" spans="1:28" ht="21">
      <c r="A1" s="1168" t="s">
        <v>2180</v>
      </c>
      <c r="B1" s="1168"/>
      <c r="C1" s="1168"/>
      <c r="D1" s="1168"/>
      <c r="E1" s="1168"/>
      <c r="F1" s="1168"/>
      <c r="G1" s="1168"/>
      <c r="H1" s="1168"/>
    </row>
    <row r="2" spans="1:28">
      <c r="A2" s="1078" t="s">
        <v>2179</v>
      </c>
      <c r="B2" s="1078"/>
      <c r="C2" s="1078"/>
      <c r="D2" s="1078"/>
      <c r="E2" s="1078"/>
      <c r="F2" s="1078"/>
      <c r="G2" s="1078"/>
      <c r="H2" s="1078"/>
    </row>
    <row r="3" spans="1:28" ht="21">
      <c r="A3" s="87" t="s">
        <v>446</v>
      </c>
      <c r="B3" s="89">
        <v>2016</v>
      </c>
      <c r="C3" s="305">
        <v>2017</v>
      </c>
      <c r="D3" s="89">
        <v>2018</v>
      </c>
      <c r="E3" s="89">
        <v>2019</v>
      </c>
      <c r="F3" s="89">
        <v>2020</v>
      </c>
      <c r="G3" s="89">
        <v>2021</v>
      </c>
      <c r="H3" s="306" t="s">
        <v>447</v>
      </c>
    </row>
    <row r="4" spans="1:28" ht="21">
      <c r="A4" s="25" t="s">
        <v>448</v>
      </c>
      <c r="B4" s="307">
        <f t="shared" ref="B4:F6" si="0">B7+B10</f>
        <v>1523</v>
      </c>
      <c r="C4" s="307">
        <f t="shared" si="0"/>
        <v>1562</v>
      </c>
      <c r="D4" s="307">
        <f t="shared" si="0"/>
        <v>1051</v>
      </c>
      <c r="E4" s="307">
        <f t="shared" si="0"/>
        <v>760</v>
      </c>
      <c r="F4" s="307">
        <f t="shared" si="0"/>
        <v>402</v>
      </c>
      <c r="G4" s="307">
        <f t="shared" ref="G4:G6" si="1">G7+G10</f>
        <v>759</v>
      </c>
      <c r="H4" s="308" t="s">
        <v>449</v>
      </c>
    </row>
    <row r="5" spans="1:28" ht="21">
      <c r="A5" s="309" t="s">
        <v>69</v>
      </c>
      <c r="B5" s="70">
        <f t="shared" si="0"/>
        <v>1464</v>
      </c>
      <c r="C5" s="70">
        <f>C8+C11</f>
        <v>1498</v>
      </c>
      <c r="D5" s="70">
        <f>D8+D11</f>
        <v>997</v>
      </c>
      <c r="E5" s="70">
        <f>E8+E11</f>
        <v>743</v>
      </c>
      <c r="F5" s="70">
        <f>F8+F11</f>
        <v>393</v>
      </c>
      <c r="G5" s="70">
        <f t="shared" si="1"/>
        <v>741</v>
      </c>
      <c r="H5" s="311" t="s">
        <v>76</v>
      </c>
    </row>
    <row r="6" spans="1:28" ht="21">
      <c r="A6" s="312" t="s">
        <v>70</v>
      </c>
      <c r="B6" s="315">
        <f t="shared" si="0"/>
        <v>59</v>
      </c>
      <c r="C6" s="315">
        <f t="shared" si="0"/>
        <v>64</v>
      </c>
      <c r="D6" s="315">
        <f>D9+D12</f>
        <v>54</v>
      </c>
      <c r="E6" s="315">
        <f>E9+E12</f>
        <v>17</v>
      </c>
      <c r="F6" s="315">
        <f>F9+F12</f>
        <v>9</v>
      </c>
      <c r="G6" s="315">
        <f t="shared" si="1"/>
        <v>18</v>
      </c>
      <c r="H6" s="313" t="s">
        <v>77</v>
      </c>
    </row>
    <row r="7" spans="1:28" ht="21">
      <c r="A7" s="24" t="s">
        <v>450</v>
      </c>
      <c r="B7" s="310">
        <f>B8+B9</f>
        <v>1408</v>
      </c>
      <c r="C7" s="310">
        <f>C8+C9</f>
        <v>1536</v>
      </c>
      <c r="D7" s="310">
        <f>D9+D8</f>
        <v>1040</v>
      </c>
      <c r="E7" s="310">
        <f>E9+E8</f>
        <v>731</v>
      </c>
      <c r="F7" s="310">
        <f>F9+F8</f>
        <v>394</v>
      </c>
      <c r="G7" s="310">
        <f>G9+G8</f>
        <v>676</v>
      </c>
      <c r="H7" s="314" t="s">
        <v>451</v>
      </c>
    </row>
    <row r="8" spans="1:28" ht="21">
      <c r="A8" s="309" t="s">
        <v>69</v>
      </c>
      <c r="B8" s="70">
        <v>1356</v>
      </c>
      <c r="C8" s="70">
        <v>1475</v>
      </c>
      <c r="D8" s="70">
        <v>987</v>
      </c>
      <c r="E8" s="70">
        <v>715</v>
      </c>
      <c r="F8" s="70">
        <v>385</v>
      </c>
      <c r="G8" s="70">
        <v>661</v>
      </c>
      <c r="H8" s="311" t="s">
        <v>76</v>
      </c>
    </row>
    <row r="9" spans="1:28" ht="21">
      <c r="A9" s="312" t="s">
        <v>70</v>
      </c>
      <c r="B9" s="315">
        <v>52</v>
      </c>
      <c r="C9" s="315">
        <v>61</v>
      </c>
      <c r="D9" s="315">
        <v>53</v>
      </c>
      <c r="E9" s="315">
        <v>16</v>
      </c>
      <c r="F9" s="315">
        <v>9</v>
      </c>
      <c r="G9" s="315">
        <v>15</v>
      </c>
      <c r="H9" s="313" t="s">
        <v>77</v>
      </c>
    </row>
    <row r="10" spans="1:28" ht="21">
      <c r="A10" s="24" t="s">
        <v>452</v>
      </c>
      <c r="B10" s="310">
        <f>B11+B12</f>
        <v>115</v>
      </c>
      <c r="C10" s="310">
        <f>C11+C12</f>
        <v>26</v>
      </c>
      <c r="D10" s="310">
        <f>D12+D11</f>
        <v>11</v>
      </c>
      <c r="E10" s="310">
        <f>E12+E11</f>
        <v>29</v>
      </c>
      <c r="F10" s="310">
        <f>F12+F11</f>
        <v>8</v>
      </c>
      <c r="G10" s="310">
        <f>G12+G11</f>
        <v>83</v>
      </c>
      <c r="H10" s="314" t="s">
        <v>453</v>
      </c>
    </row>
    <row r="11" spans="1:28" ht="21">
      <c r="A11" s="309" t="s">
        <v>69</v>
      </c>
      <c r="B11" s="70">
        <v>108</v>
      </c>
      <c r="C11" s="70">
        <v>23</v>
      </c>
      <c r="D11" s="70">
        <v>10</v>
      </c>
      <c r="E11" s="70">
        <v>28</v>
      </c>
      <c r="F11" s="70">
        <v>8</v>
      </c>
      <c r="G11" s="70">
        <v>80</v>
      </c>
      <c r="H11" s="311" t="s">
        <v>76</v>
      </c>
    </row>
    <row r="12" spans="1:28" ht="21">
      <c r="A12" s="316" t="s">
        <v>70</v>
      </c>
      <c r="B12" s="71">
        <v>7</v>
      </c>
      <c r="C12" s="71">
        <v>3</v>
      </c>
      <c r="D12" s="71">
        <v>1</v>
      </c>
      <c r="E12" s="71">
        <v>1</v>
      </c>
      <c r="F12" s="71">
        <v>0</v>
      </c>
      <c r="G12" s="71">
        <v>3</v>
      </c>
      <c r="H12" s="317" t="s">
        <v>77</v>
      </c>
    </row>
    <row r="13" spans="1:28" ht="15.75">
      <c r="A13" s="181" t="s">
        <v>180</v>
      </c>
      <c r="B13" s="39"/>
      <c r="C13" s="39"/>
      <c r="D13" s="39"/>
      <c r="E13" s="39"/>
      <c r="F13" s="39"/>
      <c r="G13" s="39"/>
      <c r="H13" s="318" t="s">
        <v>181</v>
      </c>
    </row>
    <row r="14" spans="1:28">
      <c r="B14" s="319"/>
      <c r="Q14" s="1083">
        <v>2016</v>
      </c>
      <c r="R14" s="1083"/>
      <c r="S14" s="1083">
        <v>2017</v>
      </c>
      <c r="T14" s="1083"/>
      <c r="U14" s="1083">
        <v>2018</v>
      </c>
      <c r="V14" s="1083"/>
      <c r="W14" s="1083">
        <v>2019</v>
      </c>
      <c r="X14" s="1083"/>
      <c r="Y14" s="1083">
        <v>2020</v>
      </c>
      <c r="Z14" s="1083"/>
      <c r="AA14" s="1083">
        <v>2021</v>
      </c>
      <c r="AB14" s="1083"/>
    </row>
    <row r="15" spans="1:28">
      <c r="Q15" s="16" t="s">
        <v>69</v>
      </c>
      <c r="R15" s="16" t="s">
        <v>70</v>
      </c>
      <c r="S15" s="16" t="s">
        <v>69</v>
      </c>
      <c r="T15" s="16" t="s">
        <v>70</v>
      </c>
      <c r="U15" s="16" t="s">
        <v>69</v>
      </c>
      <c r="V15" s="16" t="s">
        <v>70</v>
      </c>
      <c r="W15" s="16" t="s">
        <v>69</v>
      </c>
      <c r="X15" s="16" t="s">
        <v>70</v>
      </c>
      <c r="Y15" s="16" t="s">
        <v>69</v>
      </c>
      <c r="Z15" s="16" t="s">
        <v>70</v>
      </c>
      <c r="AA15" s="16" t="s">
        <v>69</v>
      </c>
      <c r="AB15" s="16" t="s">
        <v>70</v>
      </c>
    </row>
    <row r="16" spans="1:28">
      <c r="P16" s="16" t="s">
        <v>454</v>
      </c>
      <c r="Q16" s="320">
        <f>B8</f>
        <v>1356</v>
      </c>
      <c r="R16" s="320">
        <f>B9</f>
        <v>52</v>
      </c>
      <c r="S16" s="320">
        <f>C8</f>
        <v>1475</v>
      </c>
      <c r="T16" s="320">
        <f>C9</f>
        <v>61</v>
      </c>
      <c r="U16" s="320">
        <f>D8</f>
        <v>987</v>
      </c>
      <c r="V16" s="320">
        <f>D9</f>
        <v>53</v>
      </c>
      <c r="W16" s="320">
        <f>E8</f>
        <v>715</v>
      </c>
      <c r="X16" s="320">
        <f>E9</f>
        <v>16</v>
      </c>
      <c r="Y16" s="320">
        <f>F8</f>
        <v>385</v>
      </c>
      <c r="Z16" s="320">
        <f>F9</f>
        <v>9</v>
      </c>
      <c r="AA16" s="320">
        <f>G8</f>
        <v>661</v>
      </c>
      <c r="AB16" s="320">
        <f>G9</f>
        <v>15</v>
      </c>
    </row>
    <row r="17" spans="16:28">
      <c r="P17" s="16" t="s">
        <v>455</v>
      </c>
      <c r="Q17" s="320">
        <f>B11</f>
        <v>108</v>
      </c>
      <c r="R17" s="320">
        <f>B12</f>
        <v>7</v>
      </c>
      <c r="S17" s="320">
        <f>C11</f>
        <v>23</v>
      </c>
      <c r="T17" s="320">
        <f>C12</f>
        <v>3</v>
      </c>
      <c r="U17" s="320">
        <f>D11</f>
        <v>10</v>
      </c>
      <c r="V17" s="320">
        <f>D12</f>
        <v>1</v>
      </c>
      <c r="W17" s="320">
        <f>E11</f>
        <v>28</v>
      </c>
      <c r="X17" s="320">
        <f>E12</f>
        <v>1</v>
      </c>
      <c r="Y17" s="934">
        <f>F11</f>
        <v>8</v>
      </c>
      <c r="Z17" s="320">
        <f>F12</f>
        <v>0</v>
      </c>
      <c r="AA17" s="934">
        <f>G11</f>
        <v>80</v>
      </c>
      <c r="AB17" s="320">
        <f>G12</f>
        <v>3</v>
      </c>
    </row>
  </sheetData>
  <mergeCells count="8">
    <mergeCell ref="AA14:AB14"/>
    <mergeCell ref="W14:X14"/>
    <mergeCell ref="Y14:Z14"/>
    <mergeCell ref="A1:H1"/>
    <mergeCell ref="A2:H2"/>
    <mergeCell ref="Q14:R14"/>
    <mergeCell ref="S14:T14"/>
    <mergeCell ref="U14:V14"/>
  </mergeCells>
  <pageMargins left="0.7" right="0.7" top="0.75" bottom="0.75" header="0.3" footer="0.3"/>
  <pageSetup paperSize="9" scale="5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S18"/>
  <sheetViews>
    <sheetView view="pageBreakPreview" zoomScale="60" zoomScaleNormal="100" workbookViewId="0">
      <selection activeCell="M10" sqref="M10"/>
    </sheetView>
  </sheetViews>
  <sheetFormatPr defaultRowHeight="15"/>
  <cols>
    <col min="1" max="1" width="21.5703125" style="16" customWidth="1"/>
    <col min="2" max="2" width="10.5703125" style="16" customWidth="1"/>
    <col min="3" max="5" width="12.85546875" style="16" customWidth="1"/>
    <col min="6" max="7" width="12.42578125" style="16" customWidth="1"/>
    <col min="8" max="8" width="12.42578125" style="16" hidden="1" customWidth="1"/>
    <col min="9" max="9" width="20.42578125" style="16" customWidth="1"/>
    <col min="10" max="10" width="4.28515625" style="16" customWidth="1"/>
    <col min="11" max="16384" width="9.140625" style="16"/>
  </cols>
  <sheetData>
    <row r="1" spans="1:19">
      <c r="A1" s="321"/>
      <c r="B1" s="321"/>
      <c r="C1" s="321"/>
      <c r="D1" s="321"/>
      <c r="E1" s="321"/>
      <c r="F1" s="321"/>
      <c r="G1" s="321"/>
      <c r="H1" s="321"/>
    </row>
    <row r="3" spans="1:19" ht="21">
      <c r="A3" s="1168" t="s">
        <v>2182</v>
      </c>
      <c r="B3" s="1168"/>
      <c r="C3" s="1168"/>
      <c r="D3" s="1168"/>
      <c r="E3" s="1168"/>
      <c r="F3" s="1168"/>
      <c r="G3" s="1168"/>
      <c r="H3" s="1168"/>
      <c r="I3" s="1168"/>
      <c r="J3" s="304"/>
    </row>
    <row r="4" spans="1:19">
      <c r="A4" s="1076" t="s">
        <v>2181</v>
      </c>
      <c r="B4" s="1076"/>
      <c r="C4" s="1076"/>
      <c r="D4" s="1076"/>
      <c r="E4" s="1076"/>
      <c r="F4" s="1076"/>
      <c r="G4" s="1076"/>
      <c r="H4" s="1076"/>
      <c r="I4" s="1076"/>
      <c r="J4" s="17"/>
    </row>
    <row r="5" spans="1:19" ht="21">
      <c r="A5" s="87" t="s">
        <v>456</v>
      </c>
      <c r="B5" s="305">
        <v>2016</v>
      </c>
      <c r="C5" s="305">
        <v>2017</v>
      </c>
      <c r="D5" s="305">
        <v>2018</v>
      </c>
      <c r="E5" s="305">
        <v>2019</v>
      </c>
      <c r="F5" s="305">
        <v>2020</v>
      </c>
      <c r="G5" s="305">
        <v>2021</v>
      </c>
      <c r="H5" s="305">
        <v>2022</v>
      </c>
      <c r="I5" s="322" t="s">
        <v>457</v>
      </c>
      <c r="J5" s="502"/>
    </row>
    <row r="6" spans="1:19" ht="21">
      <c r="A6" s="88" t="s">
        <v>191</v>
      </c>
      <c r="B6" s="307">
        <f>SUM(B7:B15)</f>
        <v>1523</v>
      </c>
      <c r="C6" s="307">
        <f>SUM(C7:C15)</f>
        <v>1562</v>
      </c>
      <c r="D6" s="307">
        <f>SUM(D7:D15)</f>
        <v>1051</v>
      </c>
      <c r="E6" s="307">
        <f>SUM(E7:E15)</f>
        <v>760</v>
      </c>
      <c r="F6" s="307">
        <f>SUM(F7:F16)</f>
        <v>402</v>
      </c>
      <c r="G6" s="307">
        <f>SUM(G7:G16)</f>
        <v>759</v>
      </c>
      <c r="H6" s="307">
        <f>SUM(H7:H16)</f>
        <v>0</v>
      </c>
      <c r="I6" s="323" t="s">
        <v>449</v>
      </c>
      <c r="J6" s="308"/>
    </row>
    <row r="7" spans="1:19" ht="21">
      <c r="A7" s="309" t="s">
        <v>458</v>
      </c>
      <c r="B7" s="70">
        <v>51</v>
      </c>
      <c r="C7" s="70">
        <v>34</v>
      </c>
      <c r="D7" s="70">
        <v>14</v>
      </c>
      <c r="E7" s="70">
        <v>29</v>
      </c>
      <c r="F7" s="70">
        <v>11</v>
      </c>
      <c r="G7" s="70">
        <v>11</v>
      </c>
      <c r="H7" s="70"/>
      <c r="I7" s="311" t="s">
        <v>459</v>
      </c>
      <c r="J7" s="311"/>
    </row>
    <row r="8" spans="1:19" ht="23.25" customHeight="1">
      <c r="A8" s="309" t="s">
        <v>460</v>
      </c>
      <c r="B8" s="70">
        <v>682</v>
      </c>
      <c r="C8" s="70">
        <v>708</v>
      </c>
      <c r="D8" s="70">
        <v>441</v>
      </c>
      <c r="E8" s="70">
        <v>256</v>
      </c>
      <c r="F8" s="70">
        <v>120</v>
      </c>
      <c r="G8" s="70">
        <v>236</v>
      </c>
      <c r="H8" s="70"/>
      <c r="I8" s="324" t="s">
        <v>460</v>
      </c>
      <c r="J8" s="324"/>
    </row>
    <row r="9" spans="1:19" ht="23.25" customHeight="1">
      <c r="A9" s="309" t="s">
        <v>461</v>
      </c>
      <c r="B9" s="70">
        <v>550</v>
      </c>
      <c r="C9" s="70">
        <v>554</v>
      </c>
      <c r="D9" s="70">
        <v>373</v>
      </c>
      <c r="E9" s="70">
        <v>294</v>
      </c>
      <c r="F9" s="70" t="s">
        <v>48</v>
      </c>
      <c r="G9" s="70" t="s">
        <v>48</v>
      </c>
      <c r="H9" s="70"/>
      <c r="I9" s="324" t="s">
        <v>461</v>
      </c>
      <c r="J9" s="324"/>
    </row>
    <row r="10" spans="1:19" ht="23.25" customHeight="1">
      <c r="A10" s="309" t="s">
        <v>599</v>
      </c>
      <c r="B10" s="28" t="s">
        <v>48</v>
      </c>
      <c r="C10" s="28" t="s">
        <v>48</v>
      </c>
      <c r="D10" s="28" t="s">
        <v>48</v>
      </c>
      <c r="E10" s="28" t="s">
        <v>48</v>
      </c>
      <c r="F10" s="28">
        <v>224</v>
      </c>
      <c r="G10" s="28">
        <v>415</v>
      </c>
      <c r="H10" s="28"/>
      <c r="I10" s="324" t="s">
        <v>462</v>
      </c>
      <c r="J10" s="503"/>
      <c r="R10" s="16" t="str">
        <f>A7</f>
        <v>Below 18</v>
      </c>
      <c r="S10" s="46">
        <f>G7</f>
        <v>11</v>
      </c>
    </row>
    <row r="11" spans="1:19" ht="23.25" customHeight="1">
      <c r="A11" s="309" t="s">
        <v>463</v>
      </c>
      <c r="B11" s="70">
        <v>193</v>
      </c>
      <c r="C11" s="70">
        <v>204</v>
      </c>
      <c r="D11" s="70">
        <v>175</v>
      </c>
      <c r="E11" s="70">
        <v>151</v>
      </c>
      <c r="F11" s="70" t="s">
        <v>48</v>
      </c>
      <c r="G11" s="70" t="s">
        <v>48</v>
      </c>
      <c r="H11" s="70"/>
      <c r="I11" s="324" t="s">
        <v>463</v>
      </c>
      <c r="J11" s="325"/>
      <c r="R11" s="16" t="str">
        <f>A8</f>
        <v>18-25</v>
      </c>
      <c r="S11" s="46">
        <f>F8</f>
        <v>120</v>
      </c>
    </row>
    <row r="12" spans="1:19" ht="23.25" customHeight="1">
      <c r="A12" s="309" t="s">
        <v>600</v>
      </c>
      <c r="B12" s="28" t="s">
        <v>48</v>
      </c>
      <c r="C12" s="28" t="s">
        <v>48</v>
      </c>
      <c r="D12" s="28" t="s">
        <v>48</v>
      </c>
      <c r="E12" s="28" t="s">
        <v>48</v>
      </c>
      <c r="F12" s="28">
        <v>45</v>
      </c>
      <c r="G12" s="28">
        <v>92</v>
      </c>
      <c r="H12" s="28"/>
      <c r="I12" s="324" t="s">
        <v>464</v>
      </c>
      <c r="J12" s="504"/>
      <c r="R12" s="16" t="str">
        <f>A10</f>
        <v>26 - 40</v>
      </c>
      <c r="S12" s="46">
        <f>F10</f>
        <v>224</v>
      </c>
    </row>
    <row r="13" spans="1:19" ht="23.25" customHeight="1">
      <c r="A13" s="309" t="s">
        <v>465</v>
      </c>
      <c r="B13" s="70">
        <v>42</v>
      </c>
      <c r="C13" s="70">
        <v>58</v>
      </c>
      <c r="D13" s="70">
        <v>43</v>
      </c>
      <c r="E13" s="70">
        <v>26</v>
      </c>
      <c r="F13" s="70" t="s">
        <v>48</v>
      </c>
      <c r="G13" s="70" t="s">
        <v>48</v>
      </c>
      <c r="H13" s="70"/>
      <c r="I13" s="324" t="s">
        <v>465</v>
      </c>
      <c r="J13" s="325"/>
      <c r="R13" s="16" t="str">
        <f>A12</f>
        <v>41 - 55</v>
      </c>
      <c r="S13" s="46">
        <f>F12</f>
        <v>45</v>
      </c>
    </row>
    <row r="14" spans="1:19" ht="23.25" customHeight="1">
      <c r="A14" s="309" t="s">
        <v>601</v>
      </c>
      <c r="B14" s="28" t="s">
        <v>48</v>
      </c>
      <c r="C14" s="28" t="s">
        <v>48</v>
      </c>
      <c r="D14" s="28" t="s">
        <v>48</v>
      </c>
      <c r="E14" s="28" t="s">
        <v>48</v>
      </c>
      <c r="F14" s="28">
        <v>2</v>
      </c>
      <c r="G14" s="28">
        <v>5</v>
      </c>
      <c r="H14" s="28"/>
      <c r="I14" s="324" t="s">
        <v>466</v>
      </c>
      <c r="J14" s="504"/>
      <c r="R14" s="16" t="str">
        <f>A14</f>
        <v>56 -65</v>
      </c>
      <c r="S14" s="46">
        <f>F14</f>
        <v>2</v>
      </c>
    </row>
    <row r="15" spans="1:19" ht="23.25" customHeight="1">
      <c r="A15" s="309" t="s">
        <v>467</v>
      </c>
      <c r="B15" s="70">
        <v>5</v>
      </c>
      <c r="C15" s="70">
        <v>4</v>
      </c>
      <c r="D15" s="70">
        <v>5</v>
      </c>
      <c r="E15" s="70">
        <v>4</v>
      </c>
      <c r="F15" s="70" t="s">
        <v>48</v>
      </c>
      <c r="G15" s="70" t="s">
        <v>48</v>
      </c>
      <c r="H15" s="70"/>
      <c r="I15" s="325" t="s">
        <v>468</v>
      </c>
      <c r="J15" s="325"/>
      <c r="R15" s="16" t="str">
        <f>A16</f>
        <v>Above 65</v>
      </c>
      <c r="S15" s="46">
        <f>F16</f>
        <v>0</v>
      </c>
    </row>
    <row r="16" spans="1:19" ht="23.25" customHeight="1">
      <c r="A16" s="316" t="s">
        <v>602</v>
      </c>
      <c r="B16" s="30" t="s">
        <v>48</v>
      </c>
      <c r="C16" s="30" t="s">
        <v>48</v>
      </c>
      <c r="D16" s="30" t="s">
        <v>48</v>
      </c>
      <c r="E16" s="30" t="s">
        <v>48</v>
      </c>
      <c r="F16" s="30">
        <v>0</v>
      </c>
      <c r="G16" s="30">
        <v>0</v>
      </c>
      <c r="H16" s="30"/>
      <c r="I16" s="505" t="s">
        <v>469</v>
      </c>
      <c r="J16" s="500"/>
    </row>
    <row r="17" spans="1:10" ht="23.25" customHeight="1">
      <c r="A17" s="51" t="s">
        <v>2117</v>
      </c>
      <c r="I17" s="518" t="s">
        <v>2118</v>
      </c>
      <c r="J17" s="501"/>
    </row>
    <row r="18" spans="1:10" ht="18.75" customHeight="1">
      <c r="A18" s="506" t="s">
        <v>180</v>
      </c>
      <c r="B18" s="70"/>
      <c r="C18" s="70"/>
      <c r="D18" s="70"/>
      <c r="E18" s="70"/>
      <c r="F18" s="70"/>
      <c r="G18" s="70"/>
      <c r="H18" s="70"/>
      <c r="I18" s="501" t="s">
        <v>181</v>
      </c>
      <c r="J18" s="501"/>
    </row>
  </sheetData>
  <mergeCells count="2">
    <mergeCell ref="A3:I3"/>
    <mergeCell ref="A4:I4"/>
  </mergeCells>
  <pageMargins left="0.7" right="0.7" top="0.75" bottom="0.75" header="0.3" footer="0.3"/>
  <pageSetup scale="75" orientation="portrait" r:id="rId1"/>
  <colBreaks count="1" manualBreakCount="1">
    <brk id="10"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U222"/>
  <sheetViews>
    <sheetView view="pageBreakPreview" zoomScale="60" zoomScaleNormal="78" workbookViewId="0">
      <selection activeCell="K13" sqref="K13"/>
    </sheetView>
  </sheetViews>
  <sheetFormatPr defaultColWidth="9.140625" defaultRowHeight="21"/>
  <cols>
    <col min="1" max="1" width="35.42578125" style="16" bestFit="1" customWidth="1"/>
    <col min="2" max="6" width="11.7109375" style="16" customWidth="1"/>
    <col min="7" max="7" width="31.85546875" style="519" customWidth="1"/>
    <col min="8" max="8" width="4.140625" style="16" customWidth="1"/>
    <col min="9" max="9" width="17.42578125" style="16" customWidth="1"/>
    <col min="10" max="10" width="6.42578125" style="16" customWidth="1"/>
    <col min="11" max="11" width="3.42578125" style="16" customWidth="1"/>
    <col min="12" max="19" width="9.140625" style="16"/>
    <col min="20" max="20" width="9.140625" style="16" customWidth="1"/>
    <col min="21" max="16384" width="9.140625" style="16"/>
  </cols>
  <sheetData>
    <row r="1" spans="1:11" s="47" customFormat="1">
      <c r="A1" s="1171" t="s">
        <v>2184</v>
      </c>
      <c r="B1" s="1171"/>
      <c r="C1" s="1171"/>
      <c r="D1" s="1171"/>
      <c r="E1" s="1171"/>
      <c r="F1" s="1171"/>
      <c r="G1" s="1171"/>
      <c r="H1" s="507"/>
      <c r="I1" s="507"/>
      <c r="J1" s="507"/>
      <c r="K1" s="507"/>
    </row>
    <row r="2" spans="1:11" s="10" customFormat="1" ht="15">
      <c r="A2" s="1172" t="s">
        <v>2183</v>
      </c>
      <c r="B2" s="1172"/>
      <c r="C2" s="1172"/>
      <c r="D2" s="1172"/>
      <c r="E2" s="1172"/>
      <c r="F2" s="1172"/>
      <c r="G2" s="1172"/>
      <c r="H2" s="24"/>
      <c r="I2" s="24"/>
      <c r="J2" s="24"/>
      <c r="K2" s="24"/>
    </row>
    <row r="3" spans="1:11" s="25" customFormat="1" ht="21" customHeight="1">
      <c r="A3" s="1169" t="s">
        <v>603</v>
      </c>
      <c r="B3" s="1325" t="s">
        <v>604</v>
      </c>
      <c r="C3" s="1325"/>
      <c r="D3" s="1325"/>
      <c r="E3" s="1325"/>
      <c r="F3" s="1325"/>
      <c r="G3" s="1173" t="s">
        <v>605</v>
      </c>
      <c r="H3" s="17"/>
      <c r="I3" s="17"/>
      <c r="J3" s="17"/>
      <c r="K3" s="17"/>
    </row>
    <row r="4" spans="1:11" s="25" customFormat="1" ht="15" customHeight="1">
      <c r="A4" s="1170"/>
      <c r="B4" s="1176" t="s">
        <v>606</v>
      </c>
      <c r="C4" s="1176"/>
      <c r="D4" s="1176"/>
      <c r="E4" s="1176"/>
      <c r="F4" s="1176"/>
      <c r="G4" s="1174"/>
      <c r="H4" s="17"/>
      <c r="I4" s="17"/>
      <c r="J4" s="17"/>
      <c r="K4" s="17"/>
    </row>
    <row r="5" spans="1:11" s="24" customFormat="1" ht="15">
      <c r="A5" s="1073"/>
      <c r="B5" s="508">
        <v>2017</v>
      </c>
      <c r="C5" s="508">
        <v>2018</v>
      </c>
      <c r="D5" s="508">
        <v>2019</v>
      </c>
      <c r="E5" s="508">
        <v>2020</v>
      </c>
      <c r="F5" s="508">
        <v>2021</v>
      </c>
      <c r="G5" s="1175"/>
    </row>
    <row r="6" spans="1:11" s="17" customFormat="1" ht="19.5">
      <c r="A6" s="52" t="s">
        <v>73</v>
      </c>
      <c r="B6" s="97">
        <f t="shared" ref="B6:F6" si="0">B16+B7</f>
        <v>181</v>
      </c>
      <c r="C6" s="97">
        <f t="shared" si="0"/>
        <v>197</v>
      </c>
      <c r="D6" s="97">
        <f t="shared" si="0"/>
        <v>184</v>
      </c>
      <c r="E6" s="97">
        <f t="shared" si="0"/>
        <v>188</v>
      </c>
      <c r="F6" s="97">
        <f t="shared" si="0"/>
        <v>182</v>
      </c>
      <c r="G6" s="509" t="s">
        <v>49</v>
      </c>
    </row>
    <row r="7" spans="1:11" ht="19.5">
      <c r="A7" s="25" t="s">
        <v>607</v>
      </c>
      <c r="B7" s="58">
        <f t="shared" ref="B7" si="1">SUM(B8:B15)</f>
        <v>53</v>
      </c>
      <c r="C7" s="58">
        <f>SUM(C8:C15)</f>
        <v>60</v>
      </c>
      <c r="D7" s="58">
        <f>SUM(D8:D15)</f>
        <v>56</v>
      </c>
      <c r="E7" s="58">
        <f>SUM(E8:E15)</f>
        <v>62</v>
      </c>
      <c r="F7" s="58">
        <f>SUM(F8:F15)</f>
        <v>63</v>
      </c>
      <c r="G7" s="510" t="s">
        <v>608</v>
      </c>
    </row>
    <row r="8" spans="1:11" ht="19.5">
      <c r="A8" s="16" t="s">
        <v>609</v>
      </c>
      <c r="B8" s="75">
        <v>5</v>
      </c>
      <c r="C8" s="75">
        <v>5</v>
      </c>
      <c r="D8" s="75">
        <v>5</v>
      </c>
      <c r="E8" s="75">
        <v>7</v>
      </c>
      <c r="F8" s="75">
        <v>7</v>
      </c>
      <c r="G8" s="511" t="s">
        <v>610</v>
      </c>
    </row>
    <row r="9" spans="1:11" ht="19.5">
      <c r="A9" s="16" t="s">
        <v>611</v>
      </c>
      <c r="B9" s="75">
        <v>7</v>
      </c>
      <c r="C9" s="75">
        <v>9</v>
      </c>
      <c r="D9" s="75">
        <v>11</v>
      </c>
      <c r="E9" s="75">
        <v>11</v>
      </c>
      <c r="F9" s="75">
        <v>11</v>
      </c>
      <c r="G9" s="511" t="s">
        <v>612</v>
      </c>
    </row>
    <row r="10" spans="1:11" ht="19.5">
      <c r="A10" s="16" t="s">
        <v>193</v>
      </c>
      <c r="B10" s="75">
        <v>13</v>
      </c>
      <c r="C10" s="75">
        <v>16</v>
      </c>
      <c r="D10" s="75">
        <v>12</v>
      </c>
      <c r="E10" s="75">
        <v>15</v>
      </c>
      <c r="F10" s="75">
        <v>14</v>
      </c>
      <c r="G10" s="511" t="s">
        <v>385</v>
      </c>
    </row>
    <row r="11" spans="1:11" ht="19.5">
      <c r="A11" s="16" t="s">
        <v>194</v>
      </c>
      <c r="B11" s="75">
        <v>5</v>
      </c>
      <c r="C11" s="75">
        <v>6</v>
      </c>
      <c r="D11" s="75">
        <v>9</v>
      </c>
      <c r="E11" s="75">
        <v>10</v>
      </c>
      <c r="F11" s="75">
        <v>10</v>
      </c>
      <c r="G11" s="511" t="s">
        <v>613</v>
      </c>
    </row>
    <row r="12" spans="1:11" ht="19.5">
      <c r="A12" s="16" t="s">
        <v>195</v>
      </c>
      <c r="B12" s="75">
        <v>11</v>
      </c>
      <c r="C12" s="75">
        <v>11</v>
      </c>
      <c r="D12" s="75">
        <v>7</v>
      </c>
      <c r="E12" s="75">
        <v>7</v>
      </c>
      <c r="F12" s="75">
        <v>8</v>
      </c>
      <c r="G12" s="511" t="s">
        <v>614</v>
      </c>
    </row>
    <row r="13" spans="1:11" ht="19.5">
      <c r="A13" s="16" t="s">
        <v>196</v>
      </c>
      <c r="B13" s="75">
        <v>4</v>
      </c>
      <c r="C13" s="75">
        <v>4</v>
      </c>
      <c r="D13" s="75">
        <v>4</v>
      </c>
      <c r="E13" s="75">
        <v>4</v>
      </c>
      <c r="F13" s="75">
        <v>4</v>
      </c>
      <c r="G13" s="511" t="s">
        <v>381</v>
      </c>
    </row>
    <row r="14" spans="1:11" s="25" customFormat="1" ht="19.5">
      <c r="A14" s="16" t="s">
        <v>163</v>
      </c>
      <c r="B14" s="75">
        <v>5</v>
      </c>
      <c r="C14" s="75">
        <v>6</v>
      </c>
      <c r="D14" s="75">
        <v>5</v>
      </c>
      <c r="E14" s="75">
        <v>5</v>
      </c>
      <c r="F14" s="75">
        <v>6</v>
      </c>
      <c r="G14" s="511" t="s">
        <v>615</v>
      </c>
      <c r="H14" s="16"/>
      <c r="I14" s="16"/>
      <c r="J14" s="16"/>
      <c r="K14" s="16"/>
    </row>
    <row r="15" spans="1:11" s="25" customFormat="1" ht="19.5">
      <c r="A15" s="16" t="s">
        <v>616</v>
      </c>
      <c r="B15" s="75">
        <v>3</v>
      </c>
      <c r="C15" s="75">
        <v>3</v>
      </c>
      <c r="D15" s="75">
        <v>3</v>
      </c>
      <c r="E15" s="75">
        <v>3</v>
      </c>
      <c r="F15" s="75">
        <v>3</v>
      </c>
      <c r="G15" s="511" t="s">
        <v>617</v>
      </c>
      <c r="H15" s="16"/>
      <c r="I15" s="16"/>
      <c r="J15" s="16"/>
      <c r="K15" s="16"/>
    </row>
    <row r="16" spans="1:11" ht="19.5">
      <c r="A16" s="25" t="s">
        <v>618</v>
      </c>
      <c r="B16" s="58">
        <f t="shared" ref="B16" si="2">B17+B32+B46+B60+B74+B90+B109+B119+B104+B128+B139+B145+B154+B160+B167+B181+B193+B203+B213+B215</f>
        <v>128</v>
      </c>
      <c r="C16" s="58">
        <f>C17+C32+C46+C60+C74+C90+C109+C119+C104+C128+C139+C145+C154+C160+C167+C181+C193+C203+C213+C215</f>
        <v>137</v>
      </c>
      <c r="D16" s="58">
        <f>D17+D32+D46+D60+D74+D90+D109+D119+D104+D128+D139+D145+D154+D160+D167+D181+D193+D203+D213+D215</f>
        <v>128</v>
      </c>
      <c r="E16" s="58">
        <f>E17+E32+E46+E60+E74+E90+E109+E119+E104+E128+E139+E145+E154+E160+E167+E181+E193+E203+E213+E215</f>
        <v>126</v>
      </c>
      <c r="F16" s="58">
        <f>F17+F32+F46+F60+F74+F90+F109+F119+F104+F128+F139+F145+F154+F160+F167+F181+F193+F203+F213+F215</f>
        <v>119</v>
      </c>
      <c r="G16" s="512" t="s">
        <v>619</v>
      </c>
      <c r="H16" s="25"/>
      <c r="I16" s="25"/>
      <c r="J16" s="25"/>
      <c r="K16" s="25"/>
    </row>
    <row r="17" spans="1:11" ht="19.5">
      <c r="A17" s="25" t="s">
        <v>620</v>
      </c>
      <c r="B17" s="58">
        <f t="shared" ref="B17" si="3">SUM(B18:B31)</f>
        <v>9</v>
      </c>
      <c r="C17" s="58">
        <f t="shared" ref="C17:F17" si="4">SUM(C18:C31)</f>
        <v>9</v>
      </c>
      <c r="D17" s="58">
        <f t="shared" si="4"/>
        <v>9</v>
      </c>
      <c r="E17" s="58">
        <f t="shared" si="4"/>
        <v>8</v>
      </c>
      <c r="F17" s="58">
        <f t="shared" si="4"/>
        <v>4</v>
      </c>
      <c r="G17" s="512" t="s">
        <v>621</v>
      </c>
      <c r="H17" s="25"/>
      <c r="I17" s="25"/>
      <c r="J17" s="25"/>
      <c r="K17" s="25"/>
    </row>
    <row r="18" spans="1:11" ht="19.5">
      <c r="A18" s="16" t="s">
        <v>622</v>
      </c>
      <c r="B18" s="75">
        <v>1</v>
      </c>
      <c r="C18" s="75">
        <v>1</v>
      </c>
      <c r="D18" s="75">
        <v>1</v>
      </c>
      <c r="E18" s="75">
        <v>1</v>
      </c>
      <c r="F18" s="75">
        <v>0</v>
      </c>
      <c r="G18" s="511" t="s">
        <v>623</v>
      </c>
    </row>
    <row r="19" spans="1:11" ht="19.5">
      <c r="A19" s="16" t="s">
        <v>624</v>
      </c>
      <c r="B19" s="75">
        <v>0</v>
      </c>
      <c r="C19" s="75">
        <v>0</v>
      </c>
      <c r="D19" s="75">
        <v>0</v>
      </c>
      <c r="E19" s="75">
        <v>0</v>
      </c>
      <c r="F19" s="75">
        <v>0</v>
      </c>
      <c r="G19" s="511" t="s">
        <v>625</v>
      </c>
    </row>
    <row r="20" spans="1:11" ht="19.5">
      <c r="A20" s="16" t="s">
        <v>626</v>
      </c>
      <c r="B20" s="75">
        <v>1</v>
      </c>
      <c r="C20" s="75">
        <v>1</v>
      </c>
      <c r="D20" s="75">
        <v>1</v>
      </c>
      <c r="E20" s="75">
        <v>1</v>
      </c>
      <c r="F20" s="75">
        <v>1</v>
      </c>
      <c r="G20" s="511" t="s">
        <v>627</v>
      </c>
    </row>
    <row r="21" spans="1:11" ht="19.5">
      <c r="A21" s="16" t="s">
        <v>628</v>
      </c>
      <c r="B21" s="75">
        <v>2</v>
      </c>
      <c r="C21" s="75">
        <v>2</v>
      </c>
      <c r="D21" s="75">
        <v>2</v>
      </c>
      <c r="E21" s="75">
        <v>2</v>
      </c>
      <c r="F21" s="75">
        <v>1</v>
      </c>
      <c r="G21" s="511" t="s">
        <v>629</v>
      </c>
    </row>
    <row r="22" spans="1:11" ht="19.5">
      <c r="A22" s="16" t="s">
        <v>630</v>
      </c>
      <c r="B22" s="75">
        <v>1</v>
      </c>
      <c r="C22" s="75">
        <v>1</v>
      </c>
      <c r="D22" s="75">
        <v>1</v>
      </c>
      <c r="E22" s="75">
        <v>0</v>
      </c>
      <c r="F22" s="75">
        <v>0</v>
      </c>
      <c r="G22" s="511" t="s">
        <v>631</v>
      </c>
    </row>
    <row r="23" spans="1:11" ht="19.5">
      <c r="A23" s="16" t="s">
        <v>632</v>
      </c>
      <c r="B23" s="75">
        <v>0</v>
      </c>
      <c r="C23" s="75">
        <v>0</v>
      </c>
      <c r="D23" s="75">
        <v>0</v>
      </c>
      <c r="E23" s="75">
        <v>0</v>
      </c>
      <c r="F23" s="75">
        <v>0</v>
      </c>
      <c r="G23" s="511" t="s">
        <v>633</v>
      </c>
    </row>
    <row r="24" spans="1:11" ht="19.5">
      <c r="A24" s="16" t="s">
        <v>634</v>
      </c>
      <c r="B24" s="75">
        <v>1</v>
      </c>
      <c r="C24" s="75">
        <v>1</v>
      </c>
      <c r="D24" s="75">
        <v>1</v>
      </c>
      <c r="E24" s="75">
        <v>1</v>
      </c>
      <c r="F24" s="75">
        <v>1</v>
      </c>
      <c r="G24" s="511" t="s">
        <v>635</v>
      </c>
    </row>
    <row r="25" spans="1:11" s="25" customFormat="1" ht="19.5">
      <c r="A25" s="16" t="s">
        <v>636</v>
      </c>
      <c r="B25" s="75">
        <v>1</v>
      </c>
      <c r="C25" s="75">
        <v>1</v>
      </c>
      <c r="D25" s="75">
        <v>1</v>
      </c>
      <c r="E25" s="75">
        <v>1</v>
      </c>
      <c r="F25" s="75">
        <v>0</v>
      </c>
      <c r="G25" s="511" t="s">
        <v>637</v>
      </c>
      <c r="H25" s="16"/>
      <c r="I25" s="16"/>
      <c r="J25" s="16"/>
      <c r="K25" s="16"/>
    </row>
    <row r="26" spans="1:11" s="25" customFormat="1" ht="19.5">
      <c r="A26" s="16" t="s">
        <v>638</v>
      </c>
      <c r="B26" s="75">
        <v>0</v>
      </c>
      <c r="C26" s="75">
        <v>0</v>
      </c>
      <c r="D26" s="75">
        <v>0</v>
      </c>
      <c r="E26" s="75">
        <v>0</v>
      </c>
      <c r="F26" s="75">
        <v>0</v>
      </c>
      <c r="G26" s="511" t="s">
        <v>639</v>
      </c>
      <c r="H26" s="16"/>
      <c r="I26" s="16"/>
      <c r="J26" s="16"/>
      <c r="K26" s="16"/>
    </row>
    <row r="27" spans="1:11" s="25" customFormat="1" ht="19.5">
      <c r="A27" s="16" t="s">
        <v>640</v>
      </c>
      <c r="B27" s="75">
        <v>0</v>
      </c>
      <c r="C27" s="75">
        <v>0</v>
      </c>
      <c r="D27" s="75">
        <v>0</v>
      </c>
      <c r="E27" s="75">
        <v>0</v>
      </c>
      <c r="F27" s="75">
        <v>0</v>
      </c>
      <c r="G27" s="511" t="s">
        <v>641</v>
      </c>
      <c r="H27" s="16"/>
      <c r="I27" s="16"/>
      <c r="J27" s="16"/>
      <c r="K27" s="16"/>
    </row>
    <row r="28" spans="1:11" s="25" customFormat="1" ht="19.5">
      <c r="A28" s="16" t="s">
        <v>642</v>
      </c>
      <c r="B28" s="75">
        <v>0</v>
      </c>
      <c r="C28" s="75">
        <v>0</v>
      </c>
      <c r="D28" s="75">
        <v>0</v>
      </c>
      <c r="E28" s="75">
        <v>0</v>
      </c>
      <c r="F28" s="75">
        <v>0</v>
      </c>
      <c r="G28" s="511" t="s">
        <v>643</v>
      </c>
      <c r="H28" s="16"/>
      <c r="I28" s="16"/>
      <c r="J28" s="16"/>
      <c r="K28" s="16"/>
    </row>
    <row r="29" spans="1:11" s="25" customFormat="1" ht="19.5">
      <c r="A29" s="16" t="s">
        <v>644</v>
      </c>
      <c r="B29" s="75">
        <v>0</v>
      </c>
      <c r="C29" s="75">
        <v>0</v>
      </c>
      <c r="D29" s="75">
        <v>0</v>
      </c>
      <c r="E29" s="75">
        <v>0</v>
      </c>
      <c r="F29" s="75">
        <v>0</v>
      </c>
      <c r="G29" s="511" t="s">
        <v>645</v>
      </c>
      <c r="H29" s="16"/>
      <c r="I29" s="16"/>
      <c r="J29" s="16"/>
      <c r="K29" s="16"/>
    </row>
    <row r="30" spans="1:11" s="25" customFormat="1" ht="19.5">
      <c r="A30" s="16" t="s">
        <v>646</v>
      </c>
      <c r="B30" s="75">
        <v>1</v>
      </c>
      <c r="C30" s="75">
        <v>1</v>
      </c>
      <c r="D30" s="75">
        <v>1</v>
      </c>
      <c r="E30" s="75">
        <v>1</v>
      </c>
      <c r="F30" s="75">
        <v>0</v>
      </c>
      <c r="G30" s="511" t="s">
        <v>647</v>
      </c>
      <c r="H30" s="16"/>
      <c r="I30" s="16"/>
      <c r="J30" s="16"/>
      <c r="K30" s="16"/>
    </row>
    <row r="31" spans="1:11" ht="19.5">
      <c r="A31" s="16" t="s">
        <v>648</v>
      </c>
      <c r="B31" s="75">
        <v>1</v>
      </c>
      <c r="C31" s="75">
        <v>1</v>
      </c>
      <c r="D31" s="75">
        <v>1</v>
      </c>
      <c r="E31" s="75">
        <v>1</v>
      </c>
      <c r="F31" s="75">
        <v>1</v>
      </c>
      <c r="G31" s="511" t="s">
        <v>649</v>
      </c>
    </row>
    <row r="32" spans="1:11" ht="19.5">
      <c r="A32" s="25" t="s">
        <v>650</v>
      </c>
      <c r="B32" s="58">
        <f t="shared" ref="B32:F32" si="5">SUM(B33:B45)</f>
        <v>9</v>
      </c>
      <c r="C32" s="58">
        <f t="shared" si="5"/>
        <v>8</v>
      </c>
      <c r="D32" s="58">
        <f t="shared" si="5"/>
        <v>8</v>
      </c>
      <c r="E32" s="58">
        <f t="shared" si="5"/>
        <v>8</v>
      </c>
      <c r="F32" s="58">
        <f t="shared" si="5"/>
        <v>7</v>
      </c>
      <c r="G32" s="512" t="s">
        <v>651</v>
      </c>
      <c r="H32" s="25"/>
      <c r="I32" s="25"/>
      <c r="J32" s="25"/>
      <c r="K32" s="25"/>
    </row>
    <row r="33" spans="1:11" ht="19.5">
      <c r="A33" s="16" t="s">
        <v>652</v>
      </c>
      <c r="B33" s="75">
        <v>2</v>
      </c>
      <c r="C33" s="75">
        <v>3</v>
      </c>
      <c r="D33" s="75">
        <v>3</v>
      </c>
      <c r="E33" s="75">
        <v>3</v>
      </c>
      <c r="F33" s="75">
        <v>3</v>
      </c>
      <c r="G33" s="511" t="s">
        <v>653</v>
      </c>
    </row>
    <row r="34" spans="1:11" ht="19.5">
      <c r="A34" s="16" t="s">
        <v>654</v>
      </c>
      <c r="B34" s="75">
        <v>0</v>
      </c>
      <c r="C34" s="75">
        <v>0</v>
      </c>
      <c r="D34" s="75">
        <v>0</v>
      </c>
      <c r="E34" s="75">
        <v>0</v>
      </c>
      <c r="F34" s="75">
        <v>0</v>
      </c>
      <c r="G34" s="511" t="s">
        <v>655</v>
      </c>
    </row>
    <row r="35" spans="1:11" ht="19.5">
      <c r="A35" s="16" t="s">
        <v>656</v>
      </c>
      <c r="B35" s="75">
        <v>1</v>
      </c>
      <c r="C35" s="75">
        <v>1</v>
      </c>
      <c r="D35" s="75">
        <v>1</v>
      </c>
      <c r="E35" s="75">
        <v>1</v>
      </c>
      <c r="F35" s="75">
        <v>1</v>
      </c>
      <c r="G35" s="511" t="s">
        <v>657</v>
      </c>
    </row>
    <row r="36" spans="1:11" ht="19.5">
      <c r="A36" s="16" t="s">
        <v>658</v>
      </c>
      <c r="B36" s="75">
        <v>1</v>
      </c>
      <c r="C36" s="75">
        <v>1</v>
      </c>
      <c r="D36" s="75">
        <v>1</v>
      </c>
      <c r="E36" s="75">
        <v>1</v>
      </c>
      <c r="F36" s="75">
        <v>0</v>
      </c>
      <c r="G36" s="511" t="s">
        <v>659</v>
      </c>
    </row>
    <row r="37" spans="1:11" ht="19.5">
      <c r="A37" s="16" t="s">
        <v>660</v>
      </c>
      <c r="B37" s="75">
        <v>0</v>
      </c>
      <c r="C37" s="75">
        <v>0</v>
      </c>
      <c r="D37" s="75">
        <v>0</v>
      </c>
      <c r="E37" s="75">
        <v>0</v>
      </c>
      <c r="F37" s="75">
        <v>0</v>
      </c>
      <c r="G37" s="511" t="s">
        <v>661</v>
      </c>
    </row>
    <row r="38" spans="1:11" ht="19.5">
      <c r="A38" s="16" t="s">
        <v>662</v>
      </c>
      <c r="B38" s="75">
        <v>0</v>
      </c>
      <c r="C38" s="75">
        <v>0</v>
      </c>
      <c r="D38" s="75">
        <v>0</v>
      </c>
      <c r="E38" s="75">
        <v>0</v>
      </c>
      <c r="F38" s="75">
        <v>0</v>
      </c>
      <c r="G38" s="511" t="s">
        <v>663</v>
      </c>
    </row>
    <row r="39" spans="1:11" ht="19.5">
      <c r="A39" s="16" t="s">
        <v>664</v>
      </c>
      <c r="B39" s="75">
        <v>0</v>
      </c>
      <c r="C39" s="75">
        <v>0</v>
      </c>
      <c r="D39" s="75">
        <v>0</v>
      </c>
      <c r="E39" s="75">
        <v>0</v>
      </c>
      <c r="F39" s="75">
        <v>0</v>
      </c>
      <c r="G39" s="511" t="s">
        <v>665</v>
      </c>
    </row>
    <row r="40" spans="1:11" ht="19.5">
      <c r="A40" s="16" t="s">
        <v>666</v>
      </c>
      <c r="B40" s="75">
        <v>0</v>
      </c>
      <c r="C40" s="75">
        <v>0</v>
      </c>
      <c r="D40" s="75">
        <v>0</v>
      </c>
      <c r="E40" s="75">
        <v>0</v>
      </c>
      <c r="F40" s="75">
        <v>0</v>
      </c>
      <c r="G40" s="511" t="s">
        <v>667</v>
      </c>
    </row>
    <row r="41" spans="1:11" ht="19.5">
      <c r="A41" s="16" t="s">
        <v>668</v>
      </c>
      <c r="B41" s="75">
        <v>0</v>
      </c>
      <c r="C41" s="75">
        <v>0</v>
      </c>
      <c r="D41" s="75">
        <v>0</v>
      </c>
      <c r="E41" s="75">
        <v>0</v>
      </c>
      <c r="F41" s="75">
        <v>0</v>
      </c>
      <c r="G41" s="511" t="s">
        <v>669</v>
      </c>
    </row>
    <row r="42" spans="1:11" s="25" customFormat="1" ht="18" customHeight="1">
      <c r="A42" s="16" t="s">
        <v>670</v>
      </c>
      <c r="B42" s="75">
        <v>2</v>
      </c>
      <c r="C42" s="75">
        <v>1</v>
      </c>
      <c r="D42" s="75">
        <v>1</v>
      </c>
      <c r="E42" s="75">
        <v>1</v>
      </c>
      <c r="F42" s="75">
        <v>1</v>
      </c>
      <c r="G42" s="511" t="s">
        <v>671</v>
      </c>
      <c r="H42" s="16"/>
      <c r="I42" s="16"/>
      <c r="J42" s="16"/>
      <c r="K42" s="16"/>
    </row>
    <row r="43" spans="1:11" s="25" customFormat="1" ht="19.5">
      <c r="A43" s="16" t="s">
        <v>672</v>
      </c>
      <c r="B43" s="75">
        <v>1</v>
      </c>
      <c r="C43" s="75">
        <v>0</v>
      </c>
      <c r="D43" s="75">
        <v>0</v>
      </c>
      <c r="E43" s="75">
        <v>0</v>
      </c>
      <c r="F43" s="75">
        <v>0</v>
      </c>
      <c r="G43" s="511" t="s">
        <v>673</v>
      </c>
      <c r="H43" s="16"/>
      <c r="I43" s="16"/>
      <c r="J43" s="16"/>
      <c r="K43" s="16"/>
    </row>
    <row r="44" spans="1:11" ht="19.5">
      <c r="A44" s="16" t="s">
        <v>674</v>
      </c>
      <c r="B44" s="75">
        <v>1</v>
      </c>
      <c r="C44" s="75">
        <v>1</v>
      </c>
      <c r="D44" s="75">
        <v>1</v>
      </c>
      <c r="E44" s="75">
        <v>1</v>
      </c>
      <c r="F44" s="75">
        <v>1</v>
      </c>
      <c r="G44" s="511" t="s">
        <v>675</v>
      </c>
    </row>
    <row r="45" spans="1:11" ht="19.5">
      <c r="A45" s="16" t="s">
        <v>676</v>
      </c>
      <c r="B45" s="75">
        <v>1</v>
      </c>
      <c r="C45" s="75">
        <v>1</v>
      </c>
      <c r="D45" s="75">
        <v>1</v>
      </c>
      <c r="E45" s="75">
        <v>1</v>
      </c>
      <c r="F45" s="75">
        <v>1</v>
      </c>
      <c r="G45" s="511" t="s">
        <v>677</v>
      </c>
    </row>
    <row r="46" spans="1:11" ht="19.5">
      <c r="A46" s="25" t="s">
        <v>678</v>
      </c>
      <c r="B46" s="58">
        <f t="shared" ref="B46:F46" si="6">SUM(B47:B59)</f>
        <v>3</v>
      </c>
      <c r="C46" s="58">
        <f t="shared" si="6"/>
        <v>4</v>
      </c>
      <c r="D46" s="58">
        <f t="shared" si="6"/>
        <v>4</v>
      </c>
      <c r="E46" s="58">
        <f t="shared" si="6"/>
        <v>5</v>
      </c>
      <c r="F46" s="58">
        <f t="shared" si="6"/>
        <v>4</v>
      </c>
      <c r="G46" s="512" t="s">
        <v>679</v>
      </c>
      <c r="H46" s="25"/>
      <c r="I46" s="25"/>
      <c r="J46" s="25"/>
      <c r="K46" s="25"/>
    </row>
    <row r="47" spans="1:11" ht="19.5">
      <c r="A47" s="16" t="s">
        <v>680</v>
      </c>
      <c r="B47" s="75">
        <v>0</v>
      </c>
      <c r="C47" s="75">
        <v>0</v>
      </c>
      <c r="D47" s="75">
        <v>0</v>
      </c>
      <c r="E47" s="75">
        <v>1</v>
      </c>
      <c r="F47" s="75">
        <v>0</v>
      </c>
      <c r="G47" s="511" t="s">
        <v>681</v>
      </c>
      <c r="I47" s="25"/>
    </row>
    <row r="48" spans="1:11" ht="19.5">
      <c r="A48" s="16" t="s">
        <v>682</v>
      </c>
      <c r="B48" s="75">
        <v>0</v>
      </c>
      <c r="C48" s="75">
        <v>1</v>
      </c>
      <c r="D48" s="75">
        <v>1</v>
      </c>
      <c r="E48" s="75">
        <v>1</v>
      </c>
      <c r="F48" s="75">
        <v>1</v>
      </c>
      <c r="G48" s="511" t="s">
        <v>683</v>
      </c>
      <c r="I48" s="25"/>
    </row>
    <row r="49" spans="1:11" ht="19.5">
      <c r="A49" s="16" t="s">
        <v>684</v>
      </c>
      <c r="B49" s="75">
        <v>0</v>
      </c>
      <c r="C49" s="75">
        <v>0</v>
      </c>
      <c r="D49" s="75">
        <v>0</v>
      </c>
      <c r="E49" s="75">
        <v>0</v>
      </c>
      <c r="F49" s="75">
        <v>0</v>
      </c>
      <c r="G49" s="511" t="s">
        <v>685</v>
      </c>
      <c r="I49" s="25"/>
    </row>
    <row r="50" spans="1:11" s="25" customFormat="1" ht="19.5">
      <c r="A50" s="16" t="s">
        <v>686</v>
      </c>
      <c r="B50" s="75">
        <v>1</v>
      </c>
      <c r="C50" s="75">
        <v>1</v>
      </c>
      <c r="D50" s="75">
        <v>1</v>
      </c>
      <c r="E50" s="75">
        <v>1</v>
      </c>
      <c r="F50" s="75">
        <v>1</v>
      </c>
      <c r="G50" s="511" t="s">
        <v>687</v>
      </c>
      <c r="H50" s="16"/>
      <c r="K50" s="16"/>
    </row>
    <row r="51" spans="1:11" s="25" customFormat="1" ht="19.5">
      <c r="A51" s="16" t="s">
        <v>688</v>
      </c>
      <c r="B51" s="75">
        <v>0</v>
      </c>
      <c r="C51" s="75">
        <v>0</v>
      </c>
      <c r="D51" s="75">
        <v>0</v>
      </c>
      <c r="E51" s="75">
        <v>0</v>
      </c>
      <c r="F51" s="75">
        <v>0</v>
      </c>
      <c r="G51" s="511" t="s">
        <v>689</v>
      </c>
      <c r="H51" s="16"/>
      <c r="K51" s="16"/>
    </row>
    <row r="52" spans="1:11" s="25" customFormat="1" ht="19.5">
      <c r="A52" s="16" t="s">
        <v>690</v>
      </c>
      <c r="B52" s="75">
        <v>0</v>
      </c>
      <c r="C52" s="75">
        <v>0</v>
      </c>
      <c r="D52" s="75">
        <v>0</v>
      </c>
      <c r="E52" s="75">
        <v>0</v>
      </c>
      <c r="F52" s="75">
        <v>0</v>
      </c>
      <c r="G52" s="511" t="s">
        <v>691</v>
      </c>
      <c r="H52" s="16"/>
      <c r="K52" s="16"/>
    </row>
    <row r="53" spans="1:11" s="25" customFormat="1" ht="19.5">
      <c r="A53" s="16" t="s">
        <v>692</v>
      </c>
      <c r="B53" s="75">
        <v>0</v>
      </c>
      <c r="C53" s="75">
        <v>0</v>
      </c>
      <c r="D53" s="75">
        <v>0</v>
      </c>
      <c r="E53" s="75">
        <v>0</v>
      </c>
      <c r="F53" s="75">
        <v>0</v>
      </c>
      <c r="G53" s="511" t="s">
        <v>693</v>
      </c>
      <c r="H53" s="16"/>
      <c r="K53" s="16"/>
    </row>
    <row r="54" spans="1:11" s="25" customFormat="1" ht="19.5">
      <c r="A54" s="16" t="s">
        <v>694</v>
      </c>
      <c r="B54" s="75">
        <v>0</v>
      </c>
      <c r="C54" s="75">
        <v>0</v>
      </c>
      <c r="D54" s="75">
        <v>0</v>
      </c>
      <c r="E54" s="75">
        <v>0</v>
      </c>
      <c r="F54" s="75">
        <v>0</v>
      </c>
      <c r="G54" s="511" t="s">
        <v>695</v>
      </c>
      <c r="H54" s="16"/>
      <c r="K54" s="16"/>
    </row>
    <row r="55" spans="1:11" s="25" customFormat="1" ht="19.5">
      <c r="A55" s="16" t="s">
        <v>696</v>
      </c>
      <c r="B55" s="75">
        <v>0</v>
      </c>
      <c r="C55" s="75">
        <v>0</v>
      </c>
      <c r="D55" s="75">
        <v>0</v>
      </c>
      <c r="E55" s="75">
        <v>0</v>
      </c>
      <c r="F55" s="75">
        <v>0</v>
      </c>
      <c r="G55" s="511" t="s">
        <v>697</v>
      </c>
      <c r="H55" s="16"/>
      <c r="J55" s="513"/>
      <c r="K55" s="16"/>
    </row>
    <row r="56" spans="1:11" s="25" customFormat="1" ht="19.5">
      <c r="A56" s="16" t="s">
        <v>698</v>
      </c>
      <c r="B56" s="75">
        <v>0</v>
      </c>
      <c r="C56" s="75">
        <v>0</v>
      </c>
      <c r="D56" s="75">
        <v>0</v>
      </c>
      <c r="E56" s="75">
        <v>0</v>
      </c>
      <c r="F56" s="75">
        <v>0</v>
      </c>
      <c r="G56" s="511" t="s">
        <v>699</v>
      </c>
      <c r="H56" s="16"/>
      <c r="K56" s="16"/>
    </row>
    <row r="57" spans="1:11" s="25" customFormat="1" ht="19.5">
      <c r="A57" s="16" t="s">
        <v>700</v>
      </c>
      <c r="B57" s="75">
        <v>0</v>
      </c>
      <c r="C57" s="75">
        <v>0</v>
      </c>
      <c r="D57" s="75">
        <v>0</v>
      </c>
      <c r="E57" s="75">
        <v>0</v>
      </c>
      <c r="F57" s="75">
        <v>0</v>
      </c>
      <c r="G57" s="511" t="s">
        <v>701</v>
      </c>
      <c r="H57" s="16"/>
      <c r="K57" s="16"/>
    </row>
    <row r="58" spans="1:11" ht="19.5">
      <c r="A58" s="16" t="s">
        <v>702</v>
      </c>
      <c r="B58" s="75">
        <v>1</v>
      </c>
      <c r="C58" s="75">
        <v>1</v>
      </c>
      <c r="D58" s="75">
        <v>1</v>
      </c>
      <c r="E58" s="75">
        <v>1</v>
      </c>
      <c r="F58" s="75">
        <v>1</v>
      </c>
      <c r="G58" s="511" t="s">
        <v>703</v>
      </c>
      <c r="I58" s="25"/>
      <c r="J58" s="513"/>
    </row>
    <row r="59" spans="1:11" ht="19.5">
      <c r="A59" s="16" t="s">
        <v>704</v>
      </c>
      <c r="B59" s="75">
        <v>1</v>
      </c>
      <c r="C59" s="75">
        <v>1</v>
      </c>
      <c r="D59" s="75">
        <v>1</v>
      </c>
      <c r="E59" s="75">
        <v>1</v>
      </c>
      <c r="F59" s="75">
        <v>1</v>
      </c>
      <c r="G59" s="511" t="s">
        <v>705</v>
      </c>
      <c r="I59" s="25"/>
    </row>
    <row r="60" spans="1:11" ht="19.5">
      <c r="A60" s="25" t="s">
        <v>706</v>
      </c>
      <c r="B60" s="58">
        <f t="shared" ref="B60:F60" si="7">SUM(B61:B73)</f>
        <v>6</v>
      </c>
      <c r="C60" s="58">
        <f t="shared" si="7"/>
        <v>5</v>
      </c>
      <c r="D60" s="58">
        <f t="shared" si="7"/>
        <v>5</v>
      </c>
      <c r="E60" s="58">
        <f t="shared" si="7"/>
        <v>7</v>
      </c>
      <c r="F60" s="58">
        <f t="shared" si="7"/>
        <v>7</v>
      </c>
      <c r="G60" s="512" t="s">
        <v>707</v>
      </c>
      <c r="H60" s="25"/>
      <c r="I60" s="25"/>
      <c r="K60" s="25"/>
    </row>
    <row r="61" spans="1:11" ht="19.5">
      <c r="A61" s="16" t="s">
        <v>708</v>
      </c>
      <c r="B61" s="75">
        <v>1</v>
      </c>
      <c r="C61" s="75">
        <v>0</v>
      </c>
      <c r="D61" s="75">
        <v>0</v>
      </c>
      <c r="E61" s="75">
        <v>1</v>
      </c>
      <c r="F61" s="75">
        <v>1</v>
      </c>
      <c r="G61" s="511" t="s">
        <v>709</v>
      </c>
      <c r="I61" s="25"/>
    </row>
    <row r="62" spans="1:11" ht="19.5">
      <c r="A62" s="16" t="s">
        <v>710</v>
      </c>
      <c r="B62" s="75">
        <v>1</v>
      </c>
      <c r="C62" s="75">
        <v>1</v>
      </c>
      <c r="D62" s="75">
        <v>1</v>
      </c>
      <c r="E62" s="75">
        <v>1</v>
      </c>
      <c r="F62" s="75">
        <v>1</v>
      </c>
      <c r="G62" s="511" t="s">
        <v>711</v>
      </c>
      <c r="I62" s="25"/>
    </row>
    <row r="63" spans="1:11" ht="19.5">
      <c r="A63" s="16" t="s">
        <v>712</v>
      </c>
      <c r="B63" s="75">
        <v>1</v>
      </c>
      <c r="C63" s="75">
        <v>1</v>
      </c>
      <c r="D63" s="75">
        <v>1</v>
      </c>
      <c r="E63" s="75">
        <v>1</v>
      </c>
      <c r="F63" s="75">
        <v>1</v>
      </c>
      <c r="G63" s="511" t="s">
        <v>713</v>
      </c>
      <c r="I63" s="25"/>
    </row>
    <row r="64" spans="1:11" ht="19.5">
      <c r="A64" s="16" t="s">
        <v>714</v>
      </c>
      <c r="B64" s="75">
        <v>0</v>
      </c>
      <c r="C64" s="75">
        <v>0</v>
      </c>
      <c r="D64" s="75">
        <v>0</v>
      </c>
      <c r="E64" s="75">
        <v>0</v>
      </c>
      <c r="F64" s="75">
        <v>0</v>
      </c>
      <c r="G64" s="511" t="s">
        <v>715</v>
      </c>
    </row>
    <row r="65" spans="1:7" ht="19.5">
      <c r="A65" s="16" t="s">
        <v>716</v>
      </c>
      <c r="B65" s="75">
        <v>0</v>
      </c>
      <c r="C65" s="75">
        <v>0</v>
      </c>
      <c r="D65" s="75">
        <v>0</v>
      </c>
      <c r="E65" s="75">
        <v>0</v>
      </c>
      <c r="F65" s="75">
        <v>0</v>
      </c>
      <c r="G65" s="511" t="s">
        <v>717</v>
      </c>
    </row>
    <row r="66" spans="1:7" ht="19.5">
      <c r="A66" s="16" t="s">
        <v>718</v>
      </c>
      <c r="B66" s="75">
        <v>0</v>
      </c>
      <c r="C66" s="75">
        <v>0</v>
      </c>
      <c r="D66" s="75">
        <v>0</v>
      </c>
      <c r="E66" s="75">
        <v>0</v>
      </c>
      <c r="F66" s="75">
        <v>0</v>
      </c>
      <c r="G66" s="511" t="s">
        <v>719</v>
      </c>
    </row>
    <row r="67" spans="1:7" ht="19.5">
      <c r="A67" s="16" t="s">
        <v>720</v>
      </c>
      <c r="B67" s="75">
        <v>0</v>
      </c>
      <c r="C67" s="75">
        <v>0</v>
      </c>
      <c r="D67" s="75">
        <v>0</v>
      </c>
      <c r="E67" s="75">
        <v>0</v>
      </c>
      <c r="F67" s="75">
        <v>0</v>
      </c>
      <c r="G67" s="511" t="s">
        <v>721</v>
      </c>
    </row>
    <row r="68" spans="1:7" ht="19.5">
      <c r="A68" s="16" t="s">
        <v>722</v>
      </c>
      <c r="B68" s="75">
        <v>0</v>
      </c>
      <c r="C68" s="75">
        <v>0</v>
      </c>
      <c r="D68" s="75">
        <v>0</v>
      </c>
      <c r="E68" s="75">
        <v>0</v>
      </c>
      <c r="F68" s="75">
        <v>0</v>
      </c>
      <c r="G68" s="511" t="s">
        <v>723</v>
      </c>
    </row>
    <row r="69" spans="1:7" ht="19.5">
      <c r="A69" s="16" t="s">
        <v>724</v>
      </c>
      <c r="B69" s="75">
        <v>0</v>
      </c>
      <c r="C69" s="75">
        <v>0</v>
      </c>
      <c r="D69" s="75">
        <v>0</v>
      </c>
      <c r="E69" s="75">
        <v>0</v>
      </c>
      <c r="F69" s="75">
        <v>0</v>
      </c>
      <c r="G69" s="511" t="s">
        <v>725</v>
      </c>
    </row>
    <row r="70" spans="1:7" ht="19.5">
      <c r="A70" s="16" t="s">
        <v>726</v>
      </c>
      <c r="B70" s="75">
        <v>1</v>
      </c>
      <c r="C70" s="75">
        <v>1</v>
      </c>
      <c r="D70" s="75">
        <v>1</v>
      </c>
      <c r="E70" s="75">
        <v>1</v>
      </c>
      <c r="F70" s="75">
        <v>1</v>
      </c>
      <c r="G70" s="511" t="s">
        <v>727</v>
      </c>
    </row>
    <row r="71" spans="1:7" ht="19.5">
      <c r="A71" s="16" t="s">
        <v>728</v>
      </c>
      <c r="B71" s="75">
        <v>0</v>
      </c>
      <c r="C71" s="75">
        <v>0</v>
      </c>
      <c r="D71" s="75">
        <v>0</v>
      </c>
      <c r="E71" s="75">
        <v>1</v>
      </c>
      <c r="F71" s="75">
        <v>1</v>
      </c>
      <c r="G71" s="511" t="s">
        <v>729</v>
      </c>
    </row>
    <row r="72" spans="1:7" ht="19.5">
      <c r="A72" s="16" t="s">
        <v>730</v>
      </c>
      <c r="B72" s="75">
        <v>1</v>
      </c>
      <c r="C72" s="75">
        <v>1</v>
      </c>
      <c r="D72" s="75">
        <v>1</v>
      </c>
      <c r="E72" s="75">
        <v>1</v>
      </c>
      <c r="F72" s="75">
        <v>1</v>
      </c>
      <c r="G72" s="511" t="s">
        <v>731</v>
      </c>
    </row>
    <row r="73" spans="1:7" ht="19.5">
      <c r="A73" s="16" t="s">
        <v>732</v>
      </c>
      <c r="B73" s="75">
        <v>1</v>
      </c>
      <c r="C73" s="75">
        <v>1</v>
      </c>
      <c r="D73" s="75">
        <v>1</v>
      </c>
      <c r="E73" s="75">
        <v>1</v>
      </c>
      <c r="F73" s="75">
        <v>1</v>
      </c>
      <c r="G73" s="511" t="s">
        <v>733</v>
      </c>
    </row>
    <row r="74" spans="1:7" ht="19.5">
      <c r="A74" s="25" t="s">
        <v>734</v>
      </c>
      <c r="B74" s="58">
        <f t="shared" ref="B74:F74" si="8">SUM(B75:B89)</f>
        <v>12</v>
      </c>
      <c r="C74" s="58">
        <f t="shared" si="8"/>
        <v>14</v>
      </c>
      <c r="D74" s="58">
        <f t="shared" si="8"/>
        <v>12</v>
      </c>
      <c r="E74" s="58">
        <f t="shared" si="8"/>
        <v>12</v>
      </c>
      <c r="F74" s="58">
        <f t="shared" si="8"/>
        <v>12</v>
      </c>
      <c r="G74" s="512" t="s">
        <v>735</v>
      </c>
    </row>
    <row r="75" spans="1:7" ht="19.5">
      <c r="A75" s="16" t="s">
        <v>736</v>
      </c>
      <c r="B75" s="75">
        <v>1</v>
      </c>
      <c r="C75" s="75">
        <v>1</v>
      </c>
      <c r="D75" s="75">
        <v>1</v>
      </c>
      <c r="E75" s="75">
        <v>1</v>
      </c>
      <c r="F75" s="75">
        <v>1</v>
      </c>
      <c r="G75" s="511" t="s">
        <v>737</v>
      </c>
    </row>
    <row r="76" spans="1:7" ht="19.5">
      <c r="A76" s="16" t="s">
        <v>738</v>
      </c>
      <c r="B76" s="75">
        <v>1</v>
      </c>
      <c r="C76" s="75">
        <v>2</v>
      </c>
      <c r="D76" s="75">
        <v>2</v>
      </c>
      <c r="E76" s="75">
        <v>2</v>
      </c>
      <c r="F76" s="75">
        <v>2</v>
      </c>
      <c r="G76" s="511" t="s">
        <v>739</v>
      </c>
    </row>
    <row r="77" spans="1:7" ht="19.5">
      <c r="A77" s="16" t="s">
        <v>740</v>
      </c>
      <c r="B77" s="75">
        <v>1</v>
      </c>
      <c r="C77" s="75">
        <v>1</v>
      </c>
      <c r="D77" s="75">
        <v>0</v>
      </c>
      <c r="E77" s="75">
        <v>0</v>
      </c>
      <c r="F77" s="75">
        <v>0</v>
      </c>
      <c r="G77" s="511" t="s">
        <v>741</v>
      </c>
    </row>
    <row r="78" spans="1:7" ht="19.5">
      <c r="A78" s="16" t="s">
        <v>742</v>
      </c>
      <c r="B78" s="75">
        <v>1</v>
      </c>
      <c r="C78" s="75">
        <v>1</v>
      </c>
      <c r="D78" s="75">
        <v>1</v>
      </c>
      <c r="E78" s="75">
        <v>1</v>
      </c>
      <c r="F78" s="75">
        <v>1</v>
      </c>
      <c r="G78" s="511" t="s">
        <v>743</v>
      </c>
    </row>
    <row r="79" spans="1:7" ht="19.5">
      <c r="A79" s="16" t="s">
        <v>744</v>
      </c>
      <c r="B79" s="75">
        <v>1</v>
      </c>
      <c r="C79" s="75">
        <v>1</v>
      </c>
      <c r="D79" s="75">
        <v>1</v>
      </c>
      <c r="E79" s="75">
        <v>1</v>
      </c>
      <c r="F79" s="75">
        <v>1</v>
      </c>
      <c r="G79" s="511" t="s">
        <v>745</v>
      </c>
    </row>
    <row r="80" spans="1:7" ht="19.5">
      <c r="A80" s="16" t="s">
        <v>746</v>
      </c>
      <c r="B80" s="75">
        <v>1</v>
      </c>
      <c r="C80" s="75">
        <v>2</v>
      </c>
      <c r="D80" s="75">
        <v>2</v>
      </c>
      <c r="E80" s="75">
        <v>1</v>
      </c>
      <c r="F80" s="75">
        <v>1</v>
      </c>
      <c r="G80" s="511" t="s">
        <v>747</v>
      </c>
    </row>
    <row r="81" spans="1:21" ht="19.5">
      <c r="A81" s="16" t="s">
        <v>748</v>
      </c>
      <c r="B81" s="75">
        <v>1</v>
      </c>
      <c r="C81" s="75">
        <v>1</v>
      </c>
      <c r="D81" s="75">
        <v>1</v>
      </c>
      <c r="E81" s="75">
        <v>1</v>
      </c>
      <c r="F81" s="75">
        <v>1</v>
      </c>
      <c r="G81" s="511" t="s">
        <v>749</v>
      </c>
    </row>
    <row r="82" spans="1:21" ht="19.5">
      <c r="A82" s="16" t="s">
        <v>750</v>
      </c>
      <c r="B82" s="75">
        <v>1</v>
      </c>
      <c r="C82" s="75">
        <v>1</v>
      </c>
      <c r="D82" s="75">
        <v>1</v>
      </c>
      <c r="E82" s="75">
        <v>1</v>
      </c>
      <c r="F82" s="75">
        <v>1</v>
      </c>
      <c r="G82" s="511" t="s">
        <v>751</v>
      </c>
    </row>
    <row r="83" spans="1:21" ht="19.5">
      <c r="A83" s="16" t="s">
        <v>752</v>
      </c>
      <c r="B83" s="75">
        <v>1</v>
      </c>
      <c r="C83" s="75">
        <v>1</v>
      </c>
      <c r="D83" s="75">
        <v>0</v>
      </c>
      <c r="E83" s="75">
        <v>0</v>
      </c>
      <c r="F83" s="75">
        <v>0</v>
      </c>
      <c r="G83" s="511" t="s">
        <v>753</v>
      </c>
    </row>
    <row r="84" spans="1:21" ht="19.5">
      <c r="A84" s="16" t="s">
        <v>754</v>
      </c>
      <c r="B84" s="75">
        <v>1</v>
      </c>
      <c r="C84" s="75">
        <v>1</v>
      </c>
      <c r="D84" s="75">
        <v>1</v>
      </c>
      <c r="E84" s="75">
        <v>1</v>
      </c>
      <c r="F84" s="75">
        <v>1</v>
      </c>
      <c r="G84" s="511" t="s">
        <v>755</v>
      </c>
    </row>
    <row r="85" spans="1:21" ht="19.5">
      <c r="A85" s="16" t="s">
        <v>756</v>
      </c>
      <c r="B85" s="75">
        <v>1</v>
      </c>
      <c r="C85" s="75">
        <v>1</v>
      </c>
      <c r="D85" s="75">
        <v>1</v>
      </c>
      <c r="E85" s="75">
        <v>1</v>
      </c>
      <c r="F85" s="75">
        <v>1</v>
      </c>
      <c r="G85" s="511" t="s">
        <v>757</v>
      </c>
    </row>
    <row r="86" spans="1:21" ht="19.5">
      <c r="A86" s="16" t="s">
        <v>758</v>
      </c>
      <c r="B86" s="75">
        <v>0</v>
      </c>
      <c r="C86" s="75">
        <v>0</v>
      </c>
      <c r="D86" s="75">
        <v>0</v>
      </c>
      <c r="E86" s="75">
        <v>0</v>
      </c>
      <c r="F86" s="75">
        <v>0</v>
      </c>
      <c r="G86" s="511" t="s">
        <v>759</v>
      </c>
    </row>
    <row r="87" spans="1:21" ht="19.5">
      <c r="A87" s="16" t="s">
        <v>760</v>
      </c>
      <c r="B87" s="75">
        <v>0</v>
      </c>
      <c r="C87" s="75">
        <v>0</v>
      </c>
      <c r="D87" s="75">
        <v>0</v>
      </c>
      <c r="E87" s="75">
        <v>0</v>
      </c>
      <c r="F87" s="75">
        <v>0</v>
      </c>
      <c r="G87" s="511" t="s">
        <v>761</v>
      </c>
    </row>
    <row r="88" spans="1:21" ht="19.5">
      <c r="A88" s="16" t="s">
        <v>762</v>
      </c>
      <c r="B88" s="75">
        <v>0</v>
      </c>
      <c r="C88" s="75">
        <v>0</v>
      </c>
      <c r="D88" s="75">
        <v>0</v>
      </c>
      <c r="E88" s="75">
        <v>1</v>
      </c>
      <c r="F88" s="75">
        <v>1</v>
      </c>
      <c r="G88" s="511" t="s">
        <v>763</v>
      </c>
    </row>
    <row r="89" spans="1:21" ht="19.5">
      <c r="A89" s="16" t="s">
        <v>764</v>
      </c>
      <c r="B89" s="75">
        <v>1</v>
      </c>
      <c r="C89" s="75">
        <v>1</v>
      </c>
      <c r="D89" s="75">
        <v>1</v>
      </c>
      <c r="E89" s="75">
        <v>1</v>
      </c>
      <c r="F89" s="75">
        <v>1</v>
      </c>
      <c r="G89" s="511" t="s">
        <v>765</v>
      </c>
    </row>
    <row r="90" spans="1:21" ht="19.5">
      <c r="A90" s="25" t="s">
        <v>766</v>
      </c>
      <c r="B90" s="58">
        <f t="shared" ref="B90:F90" si="9">SUM(B91:B103)</f>
        <v>8</v>
      </c>
      <c r="C90" s="58">
        <f t="shared" si="9"/>
        <v>6</v>
      </c>
      <c r="D90" s="58">
        <f t="shared" si="9"/>
        <v>6</v>
      </c>
      <c r="E90" s="58">
        <f t="shared" si="9"/>
        <v>7</v>
      </c>
      <c r="F90" s="58">
        <f t="shared" si="9"/>
        <v>5</v>
      </c>
      <c r="G90" s="512" t="s">
        <v>767</v>
      </c>
      <c r="R90" s="25" t="s">
        <v>618</v>
      </c>
      <c r="S90" s="58">
        <f>SUM(S92:S111)</f>
        <v>126</v>
      </c>
      <c r="T90" s="58">
        <f>SUM(T92:T111)</f>
        <v>184</v>
      </c>
      <c r="U90" s="58"/>
    </row>
    <row r="91" spans="1:21" ht="19.5">
      <c r="A91" s="16" t="s">
        <v>768</v>
      </c>
      <c r="B91" s="75">
        <v>0</v>
      </c>
      <c r="C91" s="75">
        <v>1</v>
      </c>
      <c r="D91" s="75">
        <v>1</v>
      </c>
      <c r="E91" s="75">
        <v>1</v>
      </c>
      <c r="F91" s="75">
        <v>1</v>
      </c>
      <c r="G91" s="511" t="s">
        <v>769</v>
      </c>
      <c r="R91" s="25"/>
      <c r="S91" s="58" t="s">
        <v>770</v>
      </c>
      <c r="T91" s="58" t="s">
        <v>771</v>
      </c>
      <c r="U91" s="58"/>
    </row>
    <row r="92" spans="1:21" ht="19.5">
      <c r="A92" s="16" t="s">
        <v>772</v>
      </c>
      <c r="B92" s="75">
        <v>1</v>
      </c>
      <c r="C92" s="75">
        <v>1</v>
      </c>
      <c r="D92" s="75">
        <v>1</v>
      </c>
      <c r="E92" s="75">
        <v>1</v>
      </c>
      <c r="F92" s="75">
        <v>1</v>
      </c>
      <c r="G92" s="511" t="s">
        <v>773</v>
      </c>
      <c r="R92" s="25" t="s">
        <v>26</v>
      </c>
      <c r="S92" s="16">
        <f>E17</f>
        <v>8</v>
      </c>
      <c r="T92" s="16">
        <v>14</v>
      </c>
      <c r="U92" s="58"/>
    </row>
    <row r="93" spans="1:21" ht="19.5">
      <c r="A93" s="16" t="s">
        <v>774</v>
      </c>
      <c r="B93" s="75">
        <v>1</v>
      </c>
      <c r="C93" s="75">
        <v>0</v>
      </c>
      <c r="D93" s="75">
        <v>0</v>
      </c>
      <c r="E93" s="75">
        <v>0</v>
      </c>
      <c r="F93" s="75">
        <v>0</v>
      </c>
      <c r="G93" s="511" t="s">
        <v>775</v>
      </c>
      <c r="R93" s="25" t="s">
        <v>27</v>
      </c>
      <c r="S93" s="16">
        <f>E32</f>
        <v>8</v>
      </c>
      <c r="T93" s="16">
        <v>13</v>
      </c>
      <c r="U93" s="58"/>
    </row>
    <row r="94" spans="1:21" ht="19.5">
      <c r="A94" s="16" t="s">
        <v>776</v>
      </c>
      <c r="B94" s="75">
        <v>1</v>
      </c>
      <c r="C94" s="75">
        <v>1</v>
      </c>
      <c r="D94" s="75">
        <v>1</v>
      </c>
      <c r="E94" s="75">
        <v>1</v>
      </c>
      <c r="F94" s="75">
        <v>0</v>
      </c>
      <c r="G94" s="511" t="s">
        <v>777</v>
      </c>
      <c r="R94" s="25" t="s">
        <v>28</v>
      </c>
      <c r="S94" s="16">
        <f>E46</f>
        <v>5</v>
      </c>
      <c r="T94" s="16">
        <v>13</v>
      </c>
      <c r="U94" s="58"/>
    </row>
    <row r="95" spans="1:21" ht="19.5">
      <c r="A95" s="16" t="s">
        <v>778</v>
      </c>
      <c r="B95" s="75">
        <v>1</v>
      </c>
      <c r="C95" s="75">
        <v>1</v>
      </c>
      <c r="D95" s="75">
        <v>1</v>
      </c>
      <c r="E95" s="75">
        <v>1</v>
      </c>
      <c r="F95" s="75">
        <v>1</v>
      </c>
      <c r="G95" s="511" t="s">
        <v>779</v>
      </c>
      <c r="R95" s="25" t="s">
        <v>30</v>
      </c>
      <c r="S95" s="16">
        <f>E60</f>
        <v>7</v>
      </c>
      <c r="T95" s="16">
        <v>13</v>
      </c>
      <c r="U95" s="58"/>
    </row>
    <row r="96" spans="1:21" ht="19.5">
      <c r="A96" s="16" t="s">
        <v>780</v>
      </c>
      <c r="B96" s="75">
        <v>1</v>
      </c>
      <c r="C96" s="75">
        <v>1</v>
      </c>
      <c r="D96" s="75">
        <v>1</v>
      </c>
      <c r="E96" s="75">
        <v>1</v>
      </c>
      <c r="F96" s="75">
        <v>0</v>
      </c>
      <c r="G96" s="511" t="s">
        <v>781</v>
      </c>
      <c r="R96" s="25" t="s">
        <v>31</v>
      </c>
      <c r="S96" s="16">
        <f>E74</f>
        <v>12</v>
      </c>
      <c r="T96" s="16">
        <v>14</v>
      </c>
      <c r="U96" s="58"/>
    </row>
    <row r="97" spans="1:21" ht="19.5">
      <c r="A97" s="16" t="s">
        <v>782</v>
      </c>
      <c r="B97" s="75">
        <v>1</v>
      </c>
      <c r="C97" s="75">
        <v>0</v>
      </c>
      <c r="D97" s="75">
        <v>0</v>
      </c>
      <c r="E97" s="75">
        <v>0</v>
      </c>
      <c r="F97" s="75">
        <v>0</v>
      </c>
      <c r="G97" s="511" t="s">
        <v>783</v>
      </c>
      <c r="R97" s="25" t="s">
        <v>32</v>
      </c>
      <c r="S97" s="16">
        <f>E90</f>
        <v>7</v>
      </c>
      <c r="T97" s="16">
        <v>13</v>
      </c>
      <c r="U97" s="58"/>
    </row>
    <row r="98" spans="1:21" ht="19.5">
      <c r="A98" s="16" t="s">
        <v>784</v>
      </c>
      <c r="B98" s="75">
        <v>1</v>
      </c>
      <c r="C98" s="75">
        <v>1</v>
      </c>
      <c r="D98" s="75">
        <v>1</v>
      </c>
      <c r="E98" s="75">
        <v>1</v>
      </c>
      <c r="F98" s="75">
        <v>1</v>
      </c>
      <c r="G98" s="511" t="s">
        <v>785</v>
      </c>
      <c r="R98" s="25" t="s">
        <v>33</v>
      </c>
      <c r="S98" s="16">
        <f>E104</f>
        <v>4</v>
      </c>
      <c r="T98" s="16">
        <v>4</v>
      </c>
      <c r="U98" s="58"/>
    </row>
    <row r="99" spans="1:21" ht="19.5">
      <c r="A99" s="16" t="s">
        <v>786</v>
      </c>
      <c r="B99" s="75">
        <v>0</v>
      </c>
      <c r="C99" s="75">
        <v>0</v>
      </c>
      <c r="D99" s="75">
        <v>0</v>
      </c>
      <c r="E99" s="75">
        <v>0</v>
      </c>
      <c r="F99" s="75">
        <v>0</v>
      </c>
      <c r="G99" s="511" t="s">
        <v>787</v>
      </c>
      <c r="R99" s="25" t="s">
        <v>35</v>
      </c>
      <c r="S99" s="16">
        <f>E109</f>
        <v>8</v>
      </c>
      <c r="T99" s="16">
        <v>9</v>
      </c>
      <c r="U99" s="58"/>
    </row>
    <row r="100" spans="1:21" ht="19.5">
      <c r="A100" s="16" t="s">
        <v>788</v>
      </c>
      <c r="B100" s="75">
        <v>0</v>
      </c>
      <c r="C100" s="75">
        <v>0</v>
      </c>
      <c r="D100" s="75">
        <v>0</v>
      </c>
      <c r="E100" s="75">
        <v>0</v>
      </c>
      <c r="F100" s="75">
        <v>0</v>
      </c>
      <c r="G100" s="511" t="s">
        <v>789</v>
      </c>
      <c r="R100" s="25" t="s">
        <v>36</v>
      </c>
      <c r="S100" s="16">
        <f>E119</f>
        <v>4</v>
      </c>
      <c r="T100" s="16">
        <v>8</v>
      </c>
      <c r="U100" s="58"/>
    </row>
    <row r="101" spans="1:21" ht="19.5">
      <c r="A101" s="16" t="s">
        <v>790</v>
      </c>
      <c r="B101" s="75">
        <v>0</v>
      </c>
      <c r="C101" s="75">
        <v>0</v>
      </c>
      <c r="D101" s="75">
        <v>0</v>
      </c>
      <c r="E101" s="75">
        <v>0</v>
      </c>
      <c r="F101" s="75">
        <v>0</v>
      </c>
      <c r="G101" s="511" t="s">
        <v>791</v>
      </c>
      <c r="R101" s="25" t="s">
        <v>37</v>
      </c>
      <c r="S101" s="16">
        <f>E128</f>
        <v>6</v>
      </c>
      <c r="T101" s="16">
        <v>10</v>
      </c>
      <c r="U101" s="58"/>
    </row>
    <row r="102" spans="1:21" ht="19.5">
      <c r="A102" s="16" t="s">
        <v>792</v>
      </c>
      <c r="B102" s="75">
        <v>0</v>
      </c>
      <c r="C102" s="75">
        <v>0</v>
      </c>
      <c r="D102" s="75">
        <v>0</v>
      </c>
      <c r="E102" s="75">
        <v>0</v>
      </c>
      <c r="F102" s="75">
        <v>0</v>
      </c>
      <c r="G102" s="511" t="s">
        <v>793</v>
      </c>
      <c r="R102" s="25" t="s">
        <v>38</v>
      </c>
      <c r="S102" s="16">
        <f>E139</f>
        <v>1</v>
      </c>
      <c r="T102" s="16">
        <v>5</v>
      </c>
      <c r="U102" s="58"/>
    </row>
    <row r="103" spans="1:21" ht="19.5">
      <c r="A103" s="16" t="s">
        <v>794</v>
      </c>
      <c r="B103" s="75">
        <v>1</v>
      </c>
      <c r="C103" s="75">
        <v>0</v>
      </c>
      <c r="D103" s="75">
        <v>0</v>
      </c>
      <c r="E103" s="75">
        <v>1</v>
      </c>
      <c r="F103" s="75">
        <v>1</v>
      </c>
      <c r="G103" s="511" t="s">
        <v>795</v>
      </c>
      <c r="R103" s="25" t="s">
        <v>39</v>
      </c>
      <c r="S103" s="16">
        <f>E145</f>
        <v>4</v>
      </c>
      <c r="T103" s="16">
        <v>8</v>
      </c>
      <c r="U103" s="58"/>
    </row>
    <row r="104" spans="1:21" ht="19.5">
      <c r="A104" s="25" t="s">
        <v>796</v>
      </c>
      <c r="B104" s="58">
        <f t="shared" ref="B104:D104" si="10">SUM(B105:B108)</f>
        <v>4</v>
      </c>
      <c r="C104" s="58">
        <f t="shared" si="10"/>
        <v>4</v>
      </c>
      <c r="D104" s="58">
        <f t="shared" si="10"/>
        <v>4</v>
      </c>
      <c r="E104" s="58">
        <f>SUM(E105:E108)</f>
        <v>4</v>
      </c>
      <c r="F104" s="58">
        <f>SUM(F105:F108)</f>
        <v>4</v>
      </c>
      <c r="G104" s="512" t="s">
        <v>797</v>
      </c>
      <c r="R104" s="25" t="s">
        <v>41</v>
      </c>
      <c r="S104" s="16">
        <f>E154</f>
        <v>4</v>
      </c>
      <c r="T104" s="16">
        <v>5</v>
      </c>
      <c r="U104" s="58"/>
    </row>
    <row r="105" spans="1:21" ht="19.5">
      <c r="A105" s="16" t="s">
        <v>798</v>
      </c>
      <c r="B105" s="75">
        <v>2</v>
      </c>
      <c r="C105" s="75">
        <v>2</v>
      </c>
      <c r="D105" s="75">
        <v>2</v>
      </c>
      <c r="E105" s="75">
        <v>2</v>
      </c>
      <c r="F105" s="75">
        <v>2</v>
      </c>
      <c r="G105" s="511" t="s">
        <v>799</v>
      </c>
      <c r="R105" s="25" t="s">
        <v>43</v>
      </c>
      <c r="S105" s="16">
        <f>E160</f>
        <v>4</v>
      </c>
      <c r="T105" s="16">
        <v>6</v>
      </c>
      <c r="U105" s="58"/>
    </row>
    <row r="106" spans="1:21" ht="19.5">
      <c r="A106" s="16" t="s">
        <v>800</v>
      </c>
      <c r="B106" s="75">
        <v>1</v>
      </c>
      <c r="C106" s="75">
        <v>1</v>
      </c>
      <c r="D106" s="75">
        <v>1</v>
      </c>
      <c r="E106" s="75">
        <v>1</v>
      </c>
      <c r="F106" s="75">
        <v>1</v>
      </c>
      <c r="G106" s="511" t="s">
        <v>801</v>
      </c>
      <c r="R106" s="25" t="s">
        <v>44</v>
      </c>
      <c r="S106" s="16">
        <f>E167</f>
        <v>9</v>
      </c>
      <c r="T106" s="16">
        <v>13</v>
      </c>
      <c r="U106" s="58"/>
    </row>
    <row r="107" spans="1:21" ht="19.5">
      <c r="A107" s="16" t="s">
        <v>802</v>
      </c>
      <c r="B107" s="75">
        <v>0</v>
      </c>
      <c r="C107" s="75">
        <v>0</v>
      </c>
      <c r="D107" s="75">
        <v>0</v>
      </c>
      <c r="E107" s="75">
        <v>0</v>
      </c>
      <c r="F107" s="75">
        <v>0</v>
      </c>
      <c r="G107" s="511" t="s">
        <v>803</v>
      </c>
      <c r="R107" s="25" t="s">
        <v>34</v>
      </c>
      <c r="S107" s="16">
        <f>E181</f>
        <v>12</v>
      </c>
      <c r="T107" s="16">
        <v>11</v>
      </c>
      <c r="U107" s="58"/>
    </row>
    <row r="108" spans="1:21" ht="19.5">
      <c r="A108" s="16" t="s">
        <v>804</v>
      </c>
      <c r="B108" s="75">
        <v>1</v>
      </c>
      <c r="C108" s="75">
        <v>1</v>
      </c>
      <c r="D108" s="75">
        <v>1</v>
      </c>
      <c r="E108" s="75">
        <v>1</v>
      </c>
      <c r="F108" s="75">
        <v>1</v>
      </c>
      <c r="G108" s="511" t="s">
        <v>805</v>
      </c>
      <c r="R108" s="25" t="s">
        <v>45</v>
      </c>
      <c r="S108" s="16">
        <f>E193</f>
        <v>6</v>
      </c>
      <c r="T108" s="16">
        <v>9</v>
      </c>
      <c r="U108" s="58"/>
    </row>
    <row r="109" spans="1:21" ht="19.5">
      <c r="A109" s="25" t="s">
        <v>806</v>
      </c>
      <c r="B109" s="58">
        <f t="shared" ref="B109:D109" si="11">SUM(B110:B118)</f>
        <v>7</v>
      </c>
      <c r="C109" s="58">
        <f t="shared" si="11"/>
        <v>10</v>
      </c>
      <c r="D109" s="58">
        <f t="shared" si="11"/>
        <v>7</v>
      </c>
      <c r="E109" s="58">
        <f>(E110+E111+E112+E113+E114+E115+E116+E117+E118)</f>
        <v>8</v>
      </c>
      <c r="F109" s="58">
        <f>(F110+F111+F112+F113+F114+F115+F116+F117+F118)</f>
        <v>9</v>
      </c>
      <c r="G109" s="512" t="s">
        <v>807</v>
      </c>
      <c r="R109" s="25" t="s">
        <v>46</v>
      </c>
      <c r="S109" s="16">
        <f>E203</f>
        <v>8</v>
      </c>
      <c r="T109" s="16">
        <v>9</v>
      </c>
      <c r="U109" s="58"/>
    </row>
    <row r="110" spans="1:21" ht="19.5">
      <c r="A110" s="16" t="s">
        <v>808</v>
      </c>
      <c r="B110" s="75">
        <v>1</v>
      </c>
      <c r="C110" s="75">
        <v>2</v>
      </c>
      <c r="D110" s="75">
        <v>0</v>
      </c>
      <c r="E110" s="75">
        <v>1</v>
      </c>
      <c r="F110" s="75">
        <v>1</v>
      </c>
      <c r="G110" s="511" t="s">
        <v>809</v>
      </c>
      <c r="R110" s="25" t="s">
        <v>47</v>
      </c>
      <c r="S110" s="16">
        <f>E213</f>
        <v>2</v>
      </c>
      <c r="T110" s="16">
        <v>1</v>
      </c>
      <c r="U110" s="58"/>
    </row>
    <row r="111" spans="1:21" ht="19.5">
      <c r="A111" s="16" t="s">
        <v>810</v>
      </c>
      <c r="B111" s="75">
        <v>1</v>
      </c>
      <c r="C111" s="75">
        <v>1</v>
      </c>
      <c r="D111" s="75">
        <v>1</v>
      </c>
      <c r="E111" s="75">
        <v>1</v>
      </c>
      <c r="F111" s="75">
        <v>1</v>
      </c>
      <c r="G111" s="511" t="s">
        <v>811</v>
      </c>
      <c r="R111" s="25" t="s">
        <v>29</v>
      </c>
      <c r="S111" s="16">
        <f>E215</f>
        <v>7</v>
      </c>
      <c r="T111" s="16">
        <v>6</v>
      </c>
      <c r="U111" s="58"/>
    </row>
    <row r="112" spans="1:21" ht="19.5">
      <c r="A112" s="16" t="s">
        <v>812</v>
      </c>
      <c r="B112" s="75">
        <v>1</v>
      </c>
      <c r="C112" s="75">
        <v>1</v>
      </c>
      <c r="D112" s="75">
        <v>1</v>
      </c>
      <c r="E112" s="75">
        <v>1</v>
      </c>
      <c r="F112" s="75">
        <v>1</v>
      </c>
      <c r="G112" s="511" t="s">
        <v>813</v>
      </c>
      <c r="S112" s="16">
        <f>SUM(S92:S111)</f>
        <v>126</v>
      </c>
      <c r="T112" s="16">
        <f>SUM(T92:T111)</f>
        <v>184</v>
      </c>
      <c r="U112" s="58"/>
    </row>
    <row r="113" spans="1:21" ht="19.5">
      <c r="A113" s="16" t="s">
        <v>814</v>
      </c>
      <c r="B113" s="75">
        <v>1</v>
      </c>
      <c r="C113" s="75">
        <v>1</v>
      </c>
      <c r="D113" s="75">
        <v>1</v>
      </c>
      <c r="E113" s="75">
        <v>1</v>
      </c>
      <c r="F113" s="75">
        <v>0</v>
      </c>
      <c r="G113" s="511" t="s">
        <v>815</v>
      </c>
      <c r="U113" s="58"/>
    </row>
    <row r="114" spans="1:21" ht="19.5">
      <c r="A114" s="16" t="s">
        <v>816</v>
      </c>
      <c r="B114" s="75">
        <v>0</v>
      </c>
      <c r="C114" s="75">
        <v>1</v>
      </c>
      <c r="D114" s="75">
        <v>1</v>
      </c>
      <c r="E114" s="75">
        <v>0</v>
      </c>
      <c r="F114" s="75">
        <v>1</v>
      </c>
      <c r="G114" s="511" t="s">
        <v>817</v>
      </c>
      <c r="U114" s="58"/>
    </row>
    <row r="115" spans="1:21" ht="19.5">
      <c r="A115" s="16" t="s">
        <v>818</v>
      </c>
      <c r="B115" s="75">
        <v>1</v>
      </c>
      <c r="C115" s="75">
        <v>1</v>
      </c>
      <c r="D115" s="75">
        <v>1</v>
      </c>
      <c r="E115" s="75">
        <v>1</v>
      </c>
      <c r="F115" s="75">
        <v>2</v>
      </c>
      <c r="G115" s="511" t="s">
        <v>819</v>
      </c>
      <c r="U115" s="58"/>
    </row>
    <row r="116" spans="1:21" ht="19.5">
      <c r="A116" s="16" t="s">
        <v>820</v>
      </c>
      <c r="B116" s="75">
        <v>1</v>
      </c>
      <c r="C116" s="75">
        <v>1</v>
      </c>
      <c r="D116" s="75">
        <v>0</v>
      </c>
      <c r="E116" s="75">
        <v>1</v>
      </c>
      <c r="F116" s="75">
        <v>1</v>
      </c>
      <c r="G116" s="511" t="s">
        <v>821</v>
      </c>
      <c r="U116" s="58"/>
    </row>
    <row r="117" spans="1:21" ht="19.5">
      <c r="A117" s="16" t="s">
        <v>822</v>
      </c>
      <c r="B117" s="75">
        <v>0</v>
      </c>
      <c r="C117" s="75">
        <v>1</v>
      </c>
      <c r="D117" s="75">
        <v>1</v>
      </c>
      <c r="E117" s="75">
        <v>1</v>
      </c>
      <c r="F117" s="75">
        <v>1</v>
      </c>
      <c r="G117" s="511" t="s">
        <v>823</v>
      </c>
      <c r="U117" s="58"/>
    </row>
    <row r="118" spans="1:21" ht="19.5">
      <c r="A118" s="16" t="s">
        <v>824</v>
      </c>
      <c r="B118" s="75">
        <v>1</v>
      </c>
      <c r="C118" s="75">
        <v>1</v>
      </c>
      <c r="D118" s="75">
        <v>1</v>
      </c>
      <c r="E118" s="75">
        <v>1</v>
      </c>
      <c r="F118" s="75">
        <v>1</v>
      </c>
      <c r="G118" s="511" t="s">
        <v>825</v>
      </c>
      <c r="R118" s="25"/>
      <c r="S118" s="58"/>
      <c r="T118" s="58"/>
      <c r="U118" s="58"/>
    </row>
    <row r="119" spans="1:21" ht="19.5">
      <c r="A119" s="25" t="s">
        <v>826</v>
      </c>
      <c r="B119" s="58">
        <f t="shared" ref="B119:F119" si="12">SUM(B120:B127)</f>
        <v>4</v>
      </c>
      <c r="C119" s="58">
        <f t="shared" si="12"/>
        <v>5</v>
      </c>
      <c r="D119" s="58">
        <f t="shared" si="12"/>
        <v>4</v>
      </c>
      <c r="E119" s="58">
        <f t="shared" si="12"/>
        <v>4</v>
      </c>
      <c r="F119" s="58">
        <f t="shared" si="12"/>
        <v>4</v>
      </c>
      <c r="G119" s="512" t="s">
        <v>827</v>
      </c>
      <c r="R119" s="25"/>
      <c r="S119" s="58"/>
      <c r="T119" s="58"/>
      <c r="U119" s="58"/>
    </row>
    <row r="120" spans="1:21" ht="19.5">
      <c r="A120" s="16" t="s">
        <v>828</v>
      </c>
      <c r="B120" s="75">
        <v>1</v>
      </c>
      <c r="C120" s="75">
        <v>1</v>
      </c>
      <c r="D120" s="75">
        <v>1</v>
      </c>
      <c r="E120" s="75">
        <v>1</v>
      </c>
      <c r="F120" s="75">
        <v>1</v>
      </c>
      <c r="G120" s="511" t="s">
        <v>829</v>
      </c>
      <c r="R120" s="25"/>
      <c r="S120" s="58"/>
      <c r="T120" s="58"/>
      <c r="U120" s="58"/>
    </row>
    <row r="121" spans="1:21" ht="19.5">
      <c r="A121" s="16" t="s">
        <v>830</v>
      </c>
      <c r="B121" s="75">
        <v>1</v>
      </c>
      <c r="C121" s="75">
        <v>1</v>
      </c>
      <c r="D121" s="75">
        <v>1</v>
      </c>
      <c r="E121" s="75">
        <v>1</v>
      </c>
      <c r="F121" s="75">
        <v>1</v>
      </c>
      <c r="G121" s="511" t="s">
        <v>831</v>
      </c>
      <c r="R121" s="25"/>
      <c r="S121" s="58"/>
      <c r="T121" s="58"/>
      <c r="U121" s="58"/>
    </row>
    <row r="122" spans="1:21" ht="19.5">
      <c r="A122" s="16" t="s">
        <v>832</v>
      </c>
      <c r="B122" s="75">
        <v>0</v>
      </c>
      <c r="C122" s="75">
        <v>0</v>
      </c>
      <c r="D122" s="75">
        <v>0</v>
      </c>
      <c r="E122" s="75">
        <v>0</v>
      </c>
      <c r="F122" s="75">
        <v>0</v>
      </c>
      <c r="G122" s="511" t="s">
        <v>833</v>
      </c>
      <c r="R122" s="25"/>
      <c r="S122" s="58"/>
      <c r="T122" s="58"/>
      <c r="U122" s="58"/>
    </row>
    <row r="123" spans="1:21" ht="19.5">
      <c r="A123" s="16" t="s">
        <v>834</v>
      </c>
      <c r="B123" s="75">
        <v>1</v>
      </c>
      <c r="C123" s="75">
        <v>1</v>
      </c>
      <c r="D123" s="75">
        <v>1</v>
      </c>
      <c r="E123" s="75">
        <v>1</v>
      </c>
      <c r="F123" s="75">
        <v>1</v>
      </c>
      <c r="G123" s="511" t="s">
        <v>835</v>
      </c>
      <c r="R123" s="25"/>
      <c r="S123" s="58"/>
      <c r="T123" s="58"/>
      <c r="U123" s="58"/>
    </row>
    <row r="124" spans="1:21" ht="19.5">
      <c r="A124" s="16" t="s">
        <v>836</v>
      </c>
      <c r="B124" s="75">
        <v>0</v>
      </c>
      <c r="C124" s="75">
        <v>1</v>
      </c>
      <c r="D124" s="75">
        <v>0</v>
      </c>
      <c r="E124" s="75">
        <v>0</v>
      </c>
      <c r="F124" s="75">
        <v>0</v>
      </c>
      <c r="G124" s="511" t="s">
        <v>837</v>
      </c>
    </row>
    <row r="125" spans="1:21" ht="19.5">
      <c r="A125" s="16" t="s">
        <v>838</v>
      </c>
      <c r="B125" s="75">
        <v>1</v>
      </c>
      <c r="C125" s="75">
        <v>1</v>
      </c>
      <c r="D125" s="75">
        <v>1</v>
      </c>
      <c r="E125" s="75">
        <v>1</v>
      </c>
      <c r="F125" s="75">
        <v>1</v>
      </c>
      <c r="G125" s="511" t="s">
        <v>839</v>
      </c>
    </row>
    <row r="126" spans="1:21" ht="19.5">
      <c r="A126" s="16" t="s">
        <v>840</v>
      </c>
      <c r="B126" s="75">
        <v>0</v>
      </c>
      <c r="C126" s="75">
        <v>0</v>
      </c>
      <c r="D126" s="75">
        <v>0</v>
      </c>
      <c r="E126" s="75">
        <v>0</v>
      </c>
      <c r="F126" s="75">
        <v>0</v>
      </c>
      <c r="G126" s="511" t="s">
        <v>841</v>
      </c>
    </row>
    <row r="127" spans="1:21" ht="19.5">
      <c r="A127" s="16" t="s">
        <v>842</v>
      </c>
      <c r="B127" s="75">
        <v>0</v>
      </c>
      <c r="C127" s="75">
        <v>0</v>
      </c>
      <c r="D127" s="75">
        <v>0</v>
      </c>
      <c r="E127" s="75">
        <v>0</v>
      </c>
      <c r="F127" s="75">
        <v>0</v>
      </c>
      <c r="G127" s="511" t="s">
        <v>843</v>
      </c>
    </row>
    <row r="128" spans="1:21" ht="30">
      <c r="A128" s="25" t="s">
        <v>844</v>
      </c>
      <c r="B128" s="58">
        <f t="shared" ref="B128:F128" si="13">SUM(B129:B138)</f>
        <v>5</v>
      </c>
      <c r="C128" s="58">
        <f t="shared" si="13"/>
        <v>7</v>
      </c>
      <c r="D128" s="58">
        <f t="shared" si="13"/>
        <v>7</v>
      </c>
      <c r="E128" s="58">
        <f t="shared" si="13"/>
        <v>6</v>
      </c>
      <c r="F128" s="58">
        <f t="shared" si="13"/>
        <v>6</v>
      </c>
      <c r="G128" s="512" t="s">
        <v>845</v>
      </c>
      <c r="R128" s="97">
        <f>R129+R130</f>
        <v>188</v>
      </c>
      <c r="S128" s="514" t="s">
        <v>480</v>
      </c>
    </row>
    <row r="129" spans="1:19" ht="19.5">
      <c r="A129" s="16" t="s">
        <v>846</v>
      </c>
      <c r="B129" s="75">
        <v>2</v>
      </c>
      <c r="C129" s="75">
        <v>1</v>
      </c>
      <c r="D129" s="75">
        <v>1</v>
      </c>
      <c r="E129" s="75">
        <v>2</v>
      </c>
      <c r="F129" s="75">
        <v>2</v>
      </c>
      <c r="G129" s="511" t="s">
        <v>847</v>
      </c>
      <c r="Q129" s="58" t="s">
        <v>22</v>
      </c>
      <c r="R129" s="58">
        <f>E16</f>
        <v>126</v>
      </c>
      <c r="S129" s="514">
        <f>R129/R128*100</f>
        <v>67.021276595744681</v>
      </c>
    </row>
    <row r="130" spans="1:19" ht="19.5">
      <c r="A130" s="16" t="s">
        <v>848</v>
      </c>
      <c r="B130" s="75">
        <v>0</v>
      </c>
      <c r="C130" s="75">
        <v>1</v>
      </c>
      <c r="D130" s="75">
        <v>1</v>
      </c>
      <c r="E130" s="75">
        <v>0</v>
      </c>
      <c r="F130" s="75">
        <v>0</v>
      </c>
      <c r="G130" s="511" t="s">
        <v>849</v>
      </c>
      <c r="Q130" s="58" t="s">
        <v>21</v>
      </c>
      <c r="R130" s="58">
        <f>E7</f>
        <v>62</v>
      </c>
      <c r="S130" s="514">
        <f>R130/R128*100</f>
        <v>32.978723404255319</v>
      </c>
    </row>
    <row r="131" spans="1:19" ht="19.5">
      <c r="A131" s="16" t="s">
        <v>850</v>
      </c>
      <c r="B131" s="75">
        <v>1</v>
      </c>
      <c r="C131" s="75">
        <v>1</v>
      </c>
      <c r="D131" s="75">
        <v>1</v>
      </c>
      <c r="E131" s="75">
        <v>0</v>
      </c>
      <c r="F131" s="75">
        <v>0</v>
      </c>
      <c r="G131" s="511" t="s">
        <v>851</v>
      </c>
    </row>
    <row r="132" spans="1:19" ht="19.5">
      <c r="A132" s="16" t="s">
        <v>852</v>
      </c>
      <c r="B132" s="75">
        <v>1</v>
      </c>
      <c r="C132" s="75">
        <v>1</v>
      </c>
      <c r="D132" s="75">
        <v>1</v>
      </c>
      <c r="E132" s="75">
        <v>1</v>
      </c>
      <c r="F132" s="75">
        <v>1</v>
      </c>
      <c r="G132" s="511" t="s">
        <v>853</v>
      </c>
    </row>
    <row r="133" spans="1:19" ht="19.5">
      <c r="A133" s="16" t="s">
        <v>854</v>
      </c>
      <c r="B133" s="75">
        <v>1</v>
      </c>
      <c r="C133" s="75">
        <v>1</v>
      </c>
      <c r="D133" s="75">
        <v>1</v>
      </c>
      <c r="E133" s="75">
        <v>1</v>
      </c>
      <c r="F133" s="75">
        <v>1</v>
      </c>
      <c r="G133" s="511" t="s">
        <v>855</v>
      </c>
    </row>
    <row r="134" spans="1:19" ht="19.5">
      <c r="A134" s="16" t="s">
        <v>856</v>
      </c>
      <c r="B134" s="75">
        <v>0</v>
      </c>
      <c r="C134" s="75">
        <v>0</v>
      </c>
      <c r="D134" s="75">
        <v>0</v>
      </c>
      <c r="E134" s="75">
        <v>0</v>
      </c>
      <c r="F134" s="75">
        <v>0</v>
      </c>
      <c r="G134" s="511" t="s">
        <v>857</v>
      </c>
    </row>
    <row r="135" spans="1:19" ht="19.5">
      <c r="A135" s="16" t="s">
        <v>858</v>
      </c>
      <c r="B135" s="75">
        <v>0</v>
      </c>
      <c r="C135" s="75">
        <v>0</v>
      </c>
      <c r="D135" s="75">
        <v>0</v>
      </c>
      <c r="E135" s="75">
        <v>0</v>
      </c>
      <c r="F135" s="75">
        <v>0</v>
      </c>
      <c r="G135" s="511" t="s">
        <v>859</v>
      </c>
    </row>
    <row r="136" spans="1:19" ht="19.5">
      <c r="A136" s="16" t="s">
        <v>860</v>
      </c>
      <c r="B136" s="75">
        <v>0</v>
      </c>
      <c r="C136" s="75">
        <v>0</v>
      </c>
      <c r="D136" s="75">
        <v>0</v>
      </c>
      <c r="E136" s="75">
        <v>0</v>
      </c>
      <c r="F136" s="75">
        <v>0</v>
      </c>
      <c r="G136" s="511" t="s">
        <v>861</v>
      </c>
    </row>
    <row r="137" spans="1:19" ht="19.5">
      <c r="A137" s="16" t="s">
        <v>862</v>
      </c>
      <c r="B137" s="75">
        <v>0</v>
      </c>
      <c r="C137" s="75">
        <v>1</v>
      </c>
      <c r="D137" s="75">
        <v>1</v>
      </c>
      <c r="E137" s="75">
        <v>1</v>
      </c>
      <c r="F137" s="75">
        <v>1</v>
      </c>
      <c r="G137" s="511" t="s">
        <v>863</v>
      </c>
    </row>
    <row r="138" spans="1:19" ht="19.5">
      <c r="A138" s="16" t="s">
        <v>864</v>
      </c>
      <c r="B138" s="75">
        <v>0</v>
      </c>
      <c r="C138" s="75">
        <v>1</v>
      </c>
      <c r="D138" s="75">
        <v>1</v>
      </c>
      <c r="E138" s="75">
        <v>1</v>
      </c>
      <c r="F138" s="75">
        <v>1</v>
      </c>
      <c r="G138" s="511" t="s">
        <v>865</v>
      </c>
    </row>
    <row r="139" spans="1:19" ht="19.5">
      <c r="A139" s="25" t="s">
        <v>866</v>
      </c>
      <c r="B139" s="58">
        <f t="shared" ref="B139" si="14">SUM(B140:B144)</f>
        <v>2</v>
      </c>
      <c r="C139" s="58">
        <f t="shared" ref="C139:F139" si="15">SUM(C140:C144)</f>
        <v>2</v>
      </c>
      <c r="D139" s="58">
        <f t="shared" si="15"/>
        <v>2</v>
      </c>
      <c r="E139" s="58">
        <f t="shared" si="15"/>
        <v>1</v>
      </c>
      <c r="F139" s="58">
        <f t="shared" si="15"/>
        <v>2</v>
      </c>
      <c r="G139" s="512" t="s">
        <v>867</v>
      </c>
    </row>
    <row r="140" spans="1:19" ht="19.5">
      <c r="A140" s="16" t="s">
        <v>868</v>
      </c>
      <c r="B140" s="75">
        <v>0</v>
      </c>
      <c r="C140" s="75">
        <v>0</v>
      </c>
      <c r="D140" s="75">
        <v>0</v>
      </c>
      <c r="E140" s="75">
        <v>0</v>
      </c>
      <c r="F140" s="75">
        <v>1</v>
      </c>
      <c r="G140" s="511" t="s">
        <v>869</v>
      </c>
    </row>
    <row r="141" spans="1:19" ht="19.5">
      <c r="A141" s="16" t="s">
        <v>870</v>
      </c>
      <c r="B141" s="75">
        <v>0</v>
      </c>
      <c r="C141" s="75">
        <v>0</v>
      </c>
      <c r="D141" s="75">
        <v>0</v>
      </c>
      <c r="E141" s="75">
        <v>0</v>
      </c>
      <c r="F141" s="75">
        <v>0</v>
      </c>
      <c r="G141" s="511" t="s">
        <v>871</v>
      </c>
    </row>
    <row r="142" spans="1:19" ht="19.5">
      <c r="A142" s="16" t="s">
        <v>872</v>
      </c>
      <c r="B142" s="75">
        <v>1</v>
      </c>
      <c r="C142" s="75">
        <v>1</v>
      </c>
      <c r="D142" s="75">
        <v>1</v>
      </c>
      <c r="E142" s="75">
        <v>1</v>
      </c>
      <c r="F142" s="75">
        <v>1</v>
      </c>
      <c r="G142" s="511" t="s">
        <v>873</v>
      </c>
    </row>
    <row r="143" spans="1:19" ht="19.5">
      <c r="A143" s="16" t="s">
        <v>874</v>
      </c>
      <c r="B143" s="75">
        <v>0</v>
      </c>
      <c r="C143" s="75">
        <v>0</v>
      </c>
      <c r="D143" s="75">
        <v>0</v>
      </c>
      <c r="E143" s="75">
        <v>0</v>
      </c>
      <c r="F143" s="75">
        <v>0</v>
      </c>
      <c r="G143" s="511" t="s">
        <v>875</v>
      </c>
    </row>
    <row r="144" spans="1:19" ht="19.5">
      <c r="A144" s="16" t="s">
        <v>876</v>
      </c>
      <c r="B144" s="75">
        <v>1</v>
      </c>
      <c r="C144" s="75">
        <v>1</v>
      </c>
      <c r="D144" s="75">
        <v>1</v>
      </c>
      <c r="E144" s="75">
        <v>0</v>
      </c>
      <c r="F144" s="75">
        <v>0</v>
      </c>
      <c r="G144" s="511" t="s">
        <v>877</v>
      </c>
    </row>
    <row r="145" spans="1:7" ht="19.5">
      <c r="A145" s="25" t="s">
        <v>878</v>
      </c>
      <c r="B145" s="58">
        <f t="shared" ref="B145:F145" si="16">SUM(B146:B153)</f>
        <v>5</v>
      </c>
      <c r="C145" s="58">
        <f t="shared" si="16"/>
        <v>5</v>
      </c>
      <c r="D145" s="58">
        <f t="shared" si="16"/>
        <v>5</v>
      </c>
      <c r="E145" s="58">
        <f t="shared" si="16"/>
        <v>4</v>
      </c>
      <c r="F145" s="58">
        <f t="shared" si="16"/>
        <v>4</v>
      </c>
      <c r="G145" s="512" t="s">
        <v>879</v>
      </c>
    </row>
    <row r="146" spans="1:7" ht="19.5">
      <c r="A146" s="16" t="s">
        <v>880</v>
      </c>
      <c r="B146" s="75">
        <v>1</v>
      </c>
      <c r="C146" s="75">
        <v>2</v>
      </c>
      <c r="D146" s="75">
        <v>2</v>
      </c>
      <c r="E146" s="75">
        <v>2</v>
      </c>
      <c r="F146" s="75">
        <v>2</v>
      </c>
      <c r="G146" s="511" t="s">
        <v>881</v>
      </c>
    </row>
    <row r="147" spans="1:7" ht="19.5">
      <c r="A147" s="16" t="s">
        <v>882</v>
      </c>
      <c r="B147" s="75">
        <v>1</v>
      </c>
      <c r="C147" s="75">
        <v>1</v>
      </c>
      <c r="D147" s="75">
        <v>1</v>
      </c>
      <c r="E147" s="75">
        <v>0</v>
      </c>
      <c r="F147" s="75">
        <v>0</v>
      </c>
      <c r="G147" s="511" t="s">
        <v>883</v>
      </c>
    </row>
    <row r="148" spans="1:7" ht="19.5">
      <c r="A148" s="16" t="s">
        <v>884</v>
      </c>
      <c r="B148" s="75">
        <v>1</v>
      </c>
      <c r="C148" s="75">
        <v>1</v>
      </c>
      <c r="D148" s="75">
        <v>1</v>
      </c>
      <c r="E148" s="75">
        <v>1</v>
      </c>
      <c r="F148" s="75">
        <v>1</v>
      </c>
      <c r="G148" s="511" t="s">
        <v>885</v>
      </c>
    </row>
    <row r="149" spans="1:7" ht="19.5">
      <c r="A149" s="16" t="s">
        <v>886</v>
      </c>
      <c r="B149" s="75">
        <v>1</v>
      </c>
      <c r="C149" s="75">
        <v>1</v>
      </c>
      <c r="D149" s="75">
        <v>1</v>
      </c>
      <c r="E149" s="75">
        <v>1</v>
      </c>
      <c r="F149" s="75">
        <v>1</v>
      </c>
      <c r="G149" s="511" t="s">
        <v>887</v>
      </c>
    </row>
    <row r="150" spans="1:7" ht="19.5">
      <c r="A150" s="16" t="s">
        <v>888</v>
      </c>
      <c r="B150" s="75">
        <v>0</v>
      </c>
      <c r="C150" s="75">
        <v>0</v>
      </c>
      <c r="D150" s="75">
        <v>0</v>
      </c>
      <c r="E150" s="75">
        <v>0</v>
      </c>
      <c r="F150" s="75">
        <v>0</v>
      </c>
      <c r="G150" s="511" t="s">
        <v>889</v>
      </c>
    </row>
    <row r="151" spans="1:7" ht="19.5">
      <c r="A151" s="16" t="s">
        <v>890</v>
      </c>
      <c r="B151" s="75">
        <v>0</v>
      </c>
      <c r="C151" s="75">
        <v>0</v>
      </c>
      <c r="D151" s="75">
        <v>0</v>
      </c>
      <c r="E151" s="75">
        <v>0</v>
      </c>
      <c r="F151" s="75">
        <v>0</v>
      </c>
      <c r="G151" s="511" t="s">
        <v>891</v>
      </c>
    </row>
    <row r="152" spans="1:7" ht="19.5">
      <c r="A152" s="16" t="s">
        <v>892</v>
      </c>
      <c r="B152" s="75">
        <v>0</v>
      </c>
      <c r="C152" s="75">
        <v>0</v>
      </c>
      <c r="D152" s="75">
        <v>0</v>
      </c>
      <c r="E152" s="75">
        <v>0</v>
      </c>
      <c r="F152" s="75">
        <v>0</v>
      </c>
      <c r="G152" s="511" t="s">
        <v>893</v>
      </c>
    </row>
    <row r="153" spans="1:7" ht="19.5">
      <c r="A153" s="16" t="s">
        <v>894</v>
      </c>
      <c r="B153" s="75">
        <v>1</v>
      </c>
      <c r="C153" s="75">
        <v>0</v>
      </c>
      <c r="D153" s="75">
        <v>0</v>
      </c>
      <c r="E153" s="75">
        <v>0</v>
      </c>
      <c r="F153" s="75">
        <v>0</v>
      </c>
      <c r="G153" s="511" t="s">
        <v>895</v>
      </c>
    </row>
    <row r="154" spans="1:7" ht="19.5">
      <c r="A154" s="25" t="s">
        <v>896</v>
      </c>
      <c r="B154" s="58">
        <f t="shared" ref="B154:F154" si="17">SUM(B155:B159)</f>
        <v>3</v>
      </c>
      <c r="C154" s="58">
        <f t="shared" si="17"/>
        <v>4</v>
      </c>
      <c r="D154" s="58">
        <f t="shared" si="17"/>
        <v>4</v>
      </c>
      <c r="E154" s="58">
        <f t="shared" si="17"/>
        <v>4</v>
      </c>
      <c r="F154" s="58">
        <f t="shared" si="17"/>
        <v>4</v>
      </c>
      <c r="G154" s="512" t="s">
        <v>897</v>
      </c>
    </row>
    <row r="155" spans="1:7" ht="19.5">
      <c r="A155" s="16" t="s">
        <v>898</v>
      </c>
      <c r="B155" s="75">
        <v>2</v>
      </c>
      <c r="C155" s="75">
        <v>2</v>
      </c>
      <c r="D155" s="75">
        <v>2</v>
      </c>
      <c r="E155" s="75">
        <v>2</v>
      </c>
      <c r="F155" s="75">
        <v>2</v>
      </c>
      <c r="G155" s="511" t="s">
        <v>899</v>
      </c>
    </row>
    <row r="156" spans="1:7" ht="19.5">
      <c r="A156" s="16" t="s">
        <v>900</v>
      </c>
      <c r="B156" s="75">
        <v>0</v>
      </c>
      <c r="C156" s="75">
        <v>1</v>
      </c>
      <c r="D156" s="75">
        <v>1</v>
      </c>
      <c r="E156" s="75">
        <v>1</v>
      </c>
      <c r="F156" s="75">
        <v>0</v>
      </c>
      <c r="G156" s="511" t="s">
        <v>901</v>
      </c>
    </row>
    <row r="157" spans="1:7" ht="19.5">
      <c r="A157" s="16" t="s">
        <v>902</v>
      </c>
      <c r="B157" s="75">
        <v>1</v>
      </c>
      <c r="C157" s="75">
        <v>0</v>
      </c>
      <c r="D157" s="75">
        <v>0</v>
      </c>
      <c r="E157" s="75">
        <v>0</v>
      </c>
      <c r="F157" s="75">
        <v>1</v>
      </c>
      <c r="G157" s="511" t="s">
        <v>903</v>
      </c>
    </row>
    <row r="158" spans="1:7" ht="19.5">
      <c r="A158" s="16" t="s">
        <v>904</v>
      </c>
      <c r="B158" s="75">
        <v>0</v>
      </c>
      <c r="C158" s="75">
        <v>1</v>
      </c>
      <c r="D158" s="75">
        <v>1</v>
      </c>
      <c r="E158" s="75">
        <v>1</v>
      </c>
      <c r="F158" s="75">
        <v>1</v>
      </c>
      <c r="G158" s="511" t="s">
        <v>905</v>
      </c>
    </row>
    <row r="159" spans="1:7" ht="19.5">
      <c r="A159" s="16" t="s">
        <v>906</v>
      </c>
      <c r="B159" s="75">
        <v>0</v>
      </c>
      <c r="C159" s="75">
        <v>0</v>
      </c>
      <c r="D159" s="75">
        <v>0</v>
      </c>
      <c r="E159" s="75">
        <v>0</v>
      </c>
      <c r="F159" s="75">
        <v>0</v>
      </c>
      <c r="G159" s="511" t="s">
        <v>907</v>
      </c>
    </row>
    <row r="160" spans="1:7" ht="19.5">
      <c r="A160" s="25" t="s">
        <v>908</v>
      </c>
      <c r="B160" s="58">
        <f t="shared" ref="B160:F160" si="18">SUM(B161:B166)</f>
        <v>4</v>
      </c>
      <c r="C160" s="58">
        <f t="shared" si="18"/>
        <v>5</v>
      </c>
      <c r="D160" s="58">
        <f t="shared" si="18"/>
        <v>5</v>
      </c>
      <c r="E160" s="58">
        <f t="shared" si="18"/>
        <v>4</v>
      </c>
      <c r="F160" s="58">
        <f t="shared" si="18"/>
        <v>2</v>
      </c>
      <c r="G160" s="512" t="s">
        <v>909</v>
      </c>
    </row>
    <row r="161" spans="1:7" ht="19.5">
      <c r="A161" s="16" t="s">
        <v>910</v>
      </c>
      <c r="B161" s="75">
        <v>2</v>
      </c>
      <c r="C161" s="75">
        <v>2</v>
      </c>
      <c r="D161" s="75">
        <v>2</v>
      </c>
      <c r="E161" s="75">
        <v>1</v>
      </c>
      <c r="F161" s="75">
        <v>1</v>
      </c>
      <c r="G161" s="511" t="s">
        <v>911</v>
      </c>
    </row>
    <row r="162" spans="1:7" ht="19.5">
      <c r="A162" s="16" t="s">
        <v>912</v>
      </c>
      <c r="B162" s="75">
        <v>1</v>
      </c>
      <c r="C162" s="75">
        <v>1</v>
      </c>
      <c r="D162" s="75">
        <v>1</v>
      </c>
      <c r="E162" s="75">
        <v>1</v>
      </c>
      <c r="F162" s="75">
        <v>0</v>
      </c>
      <c r="G162" s="511" t="s">
        <v>913</v>
      </c>
    </row>
    <row r="163" spans="1:7" ht="19.5">
      <c r="A163" s="16" t="s">
        <v>914</v>
      </c>
      <c r="B163" s="75">
        <v>0</v>
      </c>
      <c r="C163" s="75">
        <v>0</v>
      </c>
      <c r="D163" s="75">
        <v>0</v>
      </c>
      <c r="E163" s="75"/>
      <c r="F163" s="75">
        <v>0</v>
      </c>
      <c r="G163" s="511" t="s">
        <v>915</v>
      </c>
    </row>
    <row r="164" spans="1:7" ht="19.5">
      <c r="A164" s="16" t="s">
        <v>916</v>
      </c>
      <c r="B164" s="75">
        <v>0</v>
      </c>
      <c r="C164" s="75">
        <v>1</v>
      </c>
      <c r="D164" s="75">
        <v>1</v>
      </c>
      <c r="E164" s="75">
        <v>1</v>
      </c>
      <c r="F164" s="75">
        <v>1</v>
      </c>
      <c r="G164" s="511" t="s">
        <v>917</v>
      </c>
    </row>
    <row r="165" spans="1:7" ht="19.5">
      <c r="A165" s="16" t="s">
        <v>918</v>
      </c>
      <c r="B165" s="75">
        <v>0</v>
      </c>
      <c r="C165" s="75">
        <v>0</v>
      </c>
      <c r="D165" s="75">
        <v>0</v>
      </c>
      <c r="E165" s="75"/>
      <c r="F165" s="75">
        <v>0</v>
      </c>
      <c r="G165" s="511" t="s">
        <v>919</v>
      </c>
    </row>
    <row r="166" spans="1:7" ht="19.5">
      <c r="A166" s="16" t="s">
        <v>920</v>
      </c>
      <c r="B166" s="75">
        <v>1</v>
      </c>
      <c r="C166" s="75">
        <v>1</v>
      </c>
      <c r="D166" s="75">
        <v>1</v>
      </c>
      <c r="E166" s="75">
        <v>1</v>
      </c>
      <c r="F166" s="75">
        <v>0</v>
      </c>
      <c r="G166" s="511" t="s">
        <v>921</v>
      </c>
    </row>
    <row r="167" spans="1:7" ht="19.5">
      <c r="A167" s="25" t="s">
        <v>922</v>
      </c>
      <c r="B167" s="58">
        <f t="shared" ref="B167:F167" si="19">SUM(B168:B180)</f>
        <v>7</v>
      </c>
      <c r="C167" s="58">
        <f t="shared" si="19"/>
        <v>8</v>
      </c>
      <c r="D167" s="58">
        <f t="shared" si="19"/>
        <v>8</v>
      </c>
      <c r="E167" s="58">
        <f t="shared" si="19"/>
        <v>9</v>
      </c>
      <c r="F167" s="58">
        <f t="shared" si="19"/>
        <v>8</v>
      </c>
      <c r="G167" s="512" t="s">
        <v>923</v>
      </c>
    </row>
    <row r="168" spans="1:7" ht="19.5">
      <c r="A168" s="16" t="s">
        <v>924</v>
      </c>
      <c r="B168" s="75">
        <v>1</v>
      </c>
      <c r="C168" s="75">
        <v>1</v>
      </c>
      <c r="D168" s="75">
        <v>1</v>
      </c>
      <c r="E168" s="75">
        <v>1</v>
      </c>
      <c r="F168" s="75">
        <v>1</v>
      </c>
      <c r="G168" s="511" t="s">
        <v>925</v>
      </c>
    </row>
    <row r="169" spans="1:7" ht="19.5">
      <c r="A169" s="16" t="s">
        <v>926</v>
      </c>
      <c r="B169" s="75">
        <v>0</v>
      </c>
      <c r="C169" s="75">
        <v>0</v>
      </c>
      <c r="D169" s="75">
        <v>0</v>
      </c>
      <c r="E169" s="75">
        <v>0</v>
      </c>
      <c r="F169" s="75">
        <v>0</v>
      </c>
      <c r="G169" s="511" t="s">
        <v>927</v>
      </c>
    </row>
    <row r="170" spans="1:7" ht="19.5">
      <c r="A170" s="16" t="s">
        <v>928</v>
      </c>
      <c r="B170" s="75">
        <v>0</v>
      </c>
      <c r="C170" s="75">
        <v>0</v>
      </c>
      <c r="D170" s="75">
        <v>0</v>
      </c>
      <c r="E170" s="75">
        <v>0</v>
      </c>
      <c r="F170" s="75">
        <v>0</v>
      </c>
      <c r="G170" s="511" t="s">
        <v>929</v>
      </c>
    </row>
    <row r="171" spans="1:7" ht="19.5">
      <c r="A171" s="16" t="s">
        <v>930</v>
      </c>
      <c r="B171" s="75">
        <v>0</v>
      </c>
      <c r="C171" s="75">
        <v>0</v>
      </c>
      <c r="D171" s="75">
        <v>0</v>
      </c>
      <c r="E171" s="75">
        <v>0</v>
      </c>
      <c r="F171" s="75">
        <v>0</v>
      </c>
      <c r="G171" s="511" t="s">
        <v>931</v>
      </c>
    </row>
    <row r="172" spans="1:7" ht="19.5">
      <c r="A172" s="16" t="s">
        <v>932</v>
      </c>
      <c r="B172" s="75">
        <v>2</v>
      </c>
      <c r="C172" s="75">
        <v>2</v>
      </c>
      <c r="D172" s="75">
        <v>2</v>
      </c>
      <c r="E172" s="75">
        <v>2</v>
      </c>
      <c r="F172" s="75">
        <v>2</v>
      </c>
      <c r="G172" s="511" t="s">
        <v>933</v>
      </c>
    </row>
    <row r="173" spans="1:7" ht="19.5">
      <c r="A173" s="16" t="s">
        <v>934</v>
      </c>
      <c r="B173" s="75">
        <v>1</v>
      </c>
      <c r="C173" s="75">
        <v>1</v>
      </c>
      <c r="D173" s="75">
        <v>1</v>
      </c>
      <c r="E173" s="75">
        <v>1</v>
      </c>
      <c r="F173" s="75">
        <v>1</v>
      </c>
      <c r="G173" s="511" t="s">
        <v>935</v>
      </c>
    </row>
    <row r="174" spans="1:7" ht="19.5">
      <c r="A174" s="16" t="s">
        <v>936</v>
      </c>
      <c r="B174" s="75">
        <v>1</v>
      </c>
      <c r="C174" s="75">
        <v>1</v>
      </c>
      <c r="D174" s="75">
        <v>1</v>
      </c>
      <c r="E174" s="75">
        <v>1</v>
      </c>
      <c r="F174" s="75">
        <v>1</v>
      </c>
      <c r="G174" s="511" t="s">
        <v>937</v>
      </c>
    </row>
    <row r="175" spans="1:7" ht="19.5">
      <c r="A175" s="16" t="s">
        <v>938</v>
      </c>
      <c r="B175" s="75">
        <v>0</v>
      </c>
      <c r="C175" s="75">
        <v>1</v>
      </c>
      <c r="D175" s="75">
        <v>1</v>
      </c>
      <c r="E175" s="75">
        <v>1</v>
      </c>
      <c r="F175" s="75">
        <v>1</v>
      </c>
      <c r="G175" s="511" t="s">
        <v>939</v>
      </c>
    </row>
    <row r="176" spans="1:7" ht="19.5">
      <c r="A176" s="16" t="s">
        <v>940</v>
      </c>
      <c r="B176" s="75">
        <v>1</v>
      </c>
      <c r="C176" s="75">
        <v>1</v>
      </c>
      <c r="D176" s="75">
        <v>1</v>
      </c>
      <c r="E176" s="75">
        <v>1</v>
      </c>
      <c r="F176" s="75">
        <v>0</v>
      </c>
      <c r="G176" s="511" t="s">
        <v>941</v>
      </c>
    </row>
    <row r="177" spans="1:7" ht="19.5">
      <c r="A177" s="16" t="s">
        <v>942</v>
      </c>
      <c r="B177" s="75">
        <v>0</v>
      </c>
      <c r="C177" s="75">
        <v>0</v>
      </c>
      <c r="D177" s="75">
        <v>0</v>
      </c>
      <c r="E177" s="75">
        <v>1</v>
      </c>
      <c r="F177" s="75">
        <v>1</v>
      </c>
      <c r="G177" s="511" t="s">
        <v>943</v>
      </c>
    </row>
    <row r="178" spans="1:7" ht="19.5">
      <c r="A178" s="16" t="s">
        <v>944</v>
      </c>
      <c r="B178" s="75">
        <v>0</v>
      </c>
      <c r="C178" s="75">
        <v>0</v>
      </c>
      <c r="D178" s="75">
        <v>0</v>
      </c>
      <c r="E178" s="75">
        <v>0</v>
      </c>
      <c r="F178" s="75">
        <v>0</v>
      </c>
      <c r="G178" s="511" t="s">
        <v>945</v>
      </c>
    </row>
    <row r="179" spans="1:7" ht="19.5">
      <c r="A179" s="16" t="s">
        <v>946</v>
      </c>
      <c r="B179" s="75">
        <v>1</v>
      </c>
      <c r="C179" s="75">
        <v>1</v>
      </c>
      <c r="D179" s="75">
        <v>1</v>
      </c>
      <c r="E179" s="75">
        <v>1</v>
      </c>
      <c r="F179" s="75">
        <v>1</v>
      </c>
      <c r="G179" s="511" t="s">
        <v>947</v>
      </c>
    </row>
    <row r="180" spans="1:7" ht="19.5">
      <c r="A180" s="16" t="s">
        <v>948</v>
      </c>
      <c r="B180" s="75">
        <v>0</v>
      </c>
      <c r="C180" s="75">
        <v>0</v>
      </c>
      <c r="D180" s="75">
        <v>0</v>
      </c>
      <c r="E180" s="75">
        <v>0</v>
      </c>
      <c r="F180" s="75">
        <v>0</v>
      </c>
      <c r="G180" s="511" t="s">
        <v>949</v>
      </c>
    </row>
    <row r="181" spans="1:7" ht="19.5">
      <c r="A181" s="25" t="s">
        <v>950</v>
      </c>
      <c r="B181" s="58">
        <f t="shared" ref="B181:F181" si="20">SUM(B182:B192)</f>
        <v>11</v>
      </c>
      <c r="C181" s="58">
        <f t="shared" si="20"/>
        <v>12</v>
      </c>
      <c r="D181" s="58">
        <f t="shared" si="20"/>
        <v>12</v>
      </c>
      <c r="E181" s="58">
        <f t="shared" si="20"/>
        <v>12</v>
      </c>
      <c r="F181" s="58">
        <f t="shared" si="20"/>
        <v>11</v>
      </c>
      <c r="G181" s="512" t="s">
        <v>951</v>
      </c>
    </row>
    <row r="182" spans="1:7" ht="19.5">
      <c r="A182" s="16" t="s">
        <v>952</v>
      </c>
      <c r="B182" s="75">
        <v>2</v>
      </c>
      <c r="C182" s="75">
        <v>2</v>
      </c>
      <c r="D182" s="75">
        <v>2</v>
      </c>
      <c r="E182" s="75">
        <v>2</v>
      </c>
      <c r="F182" s="75">
        <v>2</v>
      </c>
      <c r="G182" s="511" t="s">
        <v>953</v>
      </c>
    </row>
    <row r="183" spans="1:7" ht="19.5">
      <c r="A183" s="16" t="s">
        <v>954</v>
      </c>
      <c r="B183" s="75">
        <v>1</v>
      </c>
      <c r="C183" s="75">
        <v>1</v>
      </c>
      <c r="D183" s="75">
        <v>1</v>
      </c>
      <c r="E183" s="75">
        <v>1</v>
      </c>
      <c r="F183" s="75">
        <v>1</v>
      </c>
      <c r="G183" s="511" t="s">
        <v>955</v>
      </c>
    </row>
    <row r="184" spans="1:7" ht="19.5">
      <c r="A184" s="16" t="s">
        <v>956</v>
      </c>
      <c r="B184" s="75">
        <v>1</v>
      </c>
      <c r="C184" s="75">
        <v>2</v>
      </c>
      <c r="D184" s="75">
        <v>2</v>
      </c>
      <c r="E184" s="75">
        <v>2</v>
      </c>
      <c r="F184" s="75">
        <v>2</v>
      </c>
      <c r="G184" s="511" t="s">
        <v>957</v>
      </c>
    </row>
    <row r="185" spans="1:7" ht="19.5">
      <c r="A185" s="16" t="s">
        <v>958</v>
      </c>
      <c r="B185" s="75">
        <v>1</v>
      </c>
      <c r="C185" s="75">
        <v>1</v>
      </c>
      <c r="D185" s="75">
        <v>1</v>
      </c>
      <c r="E185" s="75">
        <v>1</v>
      </c>
      <c r="F185" s="75">
        <v>0</v>
      </c>
      <c r="G185" s="511" t="s">
        <v>959</v>
      </c>
    </row>
    <row r="186" spans="1:7" ht="19.5">
      <c r="A186" s="16" t="s">
        <v>960</v>
      </c>
      <c r="B186" s="75">
        <v>1</v>
      </c>
      <c r="C186" s="75">
        <v>1</v>
      </c>
      <c r="D186" s="75">
        <v>1</v>
      </c>
      <c r="E186" s="75">
        <v>1</v>
      </c>
      <c r="F186" s="75">
        <v>1</v>
      </c>
      <c r="G186" s="511" t="s">
        <v>961</v>
      </c>
    </row>
    <row r="187" spans="1:7" ht="19.5">
      <c r="A187" s="16" t="s">
        <v>962</v>
      </c>
      <c r="B187" s="75">
        <v>1</v>
      </c>
      <c r="C187" s="75">
        <v>1</v>
      </c>
      <c r="D187" s="75">
        <v>1</v>
      </c>
      <c r="E187" s="75">
        <v>1</v>
      </c>
      <c r="F187" s="75">
        <v>1</v>
      </c>
      <c r="G187" s="511" t="s">
        <v>963</v>
      </c>
    </row>
    <row r="188" spans="1:7" ht="19.5">
      <c r="A188" s="16" t="s">
        <v>964</v>
      </c>
      <c r="B188" s="75">
        <v>1</v>
      </c>
      <c r="C188" s="75">
        <v>1</v>
      </c>
      <c r="D188" s="75">
        <v>1</v>
      </c>
      <c r="E188" s="75">
        <v>1</v>
      </c>
      <c r="F188" s="75">
        <v>1</v>
      </c>
      <c r="G188" s="511" t="s">
        <v>965</v>
      </c>
    </row>
    <row r="189" spans="1:7" ht="19.5">
      <c r="A189" s="16" t="s">
        <v>966</v>
      </c>
      <c r="B189" s="75">
        <v>0</v>
      </c>
      <c r="C189" s="75">
        <v>0</v>
      </c>
      <c r="D189" s="75">
        <v>0</v>
      </c>
      <c r="E189" s="75">
        <v>0</v>
      </c>
      <c r="F189" s="75">
        <v>0</v>
      </c>
      <c r="G189" s="511" t="s">
        <v>967</v>
      </c>
    </row>
    <row r="190" spans="1:7" ht="19.5">
      <c r="A190" s="16" t="s">
        <v>968</v>
      </c>
      <c r="B190" s="75">
        <v>1</v>
      </c>
      <c r="C190" s="75">
        <v>1</v>
      </c>
      <c r="D190" s="75">
        <v>1</v>
      </c>
      <c r="E190" s="75">
        <v>1</v>
      </c>
      <c r="F190" s="75">
        <v>1</v>
      </c>
      <c r="G190" s="511" t="s">
        <v>969</v>
      </c>
    </row>
    <row r="191" spans="1:7" ht="19.5">
      <c r="A191" s="16" t="s">
        <v>970</v>
      </c>
      <c r="B191" s="75">
        <v>1</v>
      </c>
      <c r="C191" s="75">
        <v>1</v>
      </c>
      <c r="D191" s="75">
        <v>1</v>
      </c>
      <c r="E191" s="75">
        <v>1</v>
      </c>
      <c r="F191" s="75">
        <v>1</v>
      </c>
      <c r="G191" s="511" t="s">
        <v>971</v>
      </c>
    </row>
    <row r="192" spans="1:7" ht="19.5">
      <c r="A192" s="16" t="s">
        <v>972</v>
      </c>
      <c r="B192" s="75">
        <v>1</v>
      </c>
      <c r="C192" s="75">
        <v>1</v>
      </c>
      <c r="D192" s="75">
        <v>1</v>
      </c>
      <c r="E192" s="75">
        <v>1</v>
      </c>
      <c r="F192" s="75">
        <v>1</v>
      </c>
      <c r="G192" s="511" t="s">
        <v>973</v>
      </c>
    </row>
    <row r="193" spans="1:7" ht="19.5">
      <c r="A193" s="25" t="s">
        <v>974</v>
      </c>
      <c r="B193" s="58">
        <f t="shared" ref="B193:F193" si="21">SUM(B194:B202)</f>
        <v>8</v>
      </c>
      <c r="C193" s="58">
        <f t="shared" si="21"/>
        <v>8</v>
      </c>
      <c r="D193" s="58">
        <f t="shared" si="21"/>
        <v>8</v>
      </c>
      <c r="E193" s="58">
        <f t="shared" si="21"/>
        <v>6</v>
      </c>
      <c r="F193" s="58">
        <f t="shared" si="21"/>
        <v>8</v>
      </c>
      <c r="G193" s="512" t="s">
        <v>975</v>
      </c>
    </row>
    <row r="194" spans="1:7" ht="19.5">
      <c r="A194" s="16" t="s">
        <v>976</v>
      </c>
      <c r="B194" s="75">
        <v>2</v>
      </c>
      <c r="C194" s="75">
        <v>2</v>
      </c>
      <c r="D194" s="75">
        <v>2</v>
      </c>
      <c r="E194" s="75">
        <v>2</v>
      </c>
      <c r="F194" s="75">
        <v>2</v>
      </c>
      <c r="G194" s="511" t="s">
        <v>977</v>
      </c>
    </row>
    <row r="195" spans="1:7" ht="19.5">
      <c r="A195" s="16" t="s">
        <v>978</v>
      </c>
      <c r="B195" s="75">
        <v>0</v>
      </c>
      <c r="C195" s="75">
        <v>0</v>
      </c>
      <c r="D195" s="75">
        <v>0</v>
      </c>
      <c r="E195" s="75">
        <v>0</v>
      </c>
      <c r="F195" s="75">
        <v>1</v>
      </c>
      <c r="G195" s="511" t="s">
        <v>979</v>
      </c>
    </row>
    <row r="196" spans="1:7" ht="19.5">
      <c r="A196" s="16" t="s">
        <v>980</v>
      </c>
      <c r="B196" s="75">
        <v>1</v>
      </c>
      <c r="C196" s="75">
        <v>1</v>
      </c>
      <c r="D196" s="75">
        <v>1</v>
      </c>
      <c r="E196" s="75">
        <v>1</v>
      </c>
      <c r="F196" s="75">
        <v>1</v>
      </c>
      <c r="G196" s="511" t="s">
        <v>981</v>
      </c>
    </row>
    <row r="197" spans="1:7" ht="19.5">
      <c r="A197" s="16" t="s">
        <v>982</v>
      </c>
      <c r="B197" s="75">
        <v>1</v>
      </c>
      <c r="C197" s="75">
        <v>1</v>
      </c>
      <c r="D197" s="75">
        <v>1</v>
      </c>
      <c r="E197" s="75">
        <v>0</v>
      </c>
      <c r="F197" s="75">
        <v>1</v>
      </c>
      <c r="G197" s="511" t="s">
        <v>983</v>
      </c>
    </row>
    <row r="198" spans="1:7" ht="19.5">
      <c r="A198" s="16" t="s">
        <v>984</v>
      </c>
      <c r="B198" s="75">
        <v>1</v>
      </c>
      <c r="C198" s="75">
        <v>1</v>
      </c>
      <c r="D198" s="75">
        <v>1</v>
      </c>
      <c r="E198" s="75">
        <v>1</v>
      </c>
      <c r="F198" s="75">
        <v>1</v>
      </c>
      <c r="G198" s="511" t="s">
        <v>985</v>
      </c>
    </row>
    <row r="199" spans="1:7" ht="19.5">
      <c r="A199" s="16" t="s">
        <v>986</v>
      </c>
      <c r="B199" s="75">
        <v>0</v>
      </c>
      <c r="C199" s="75">
        <v>0</v>
      </c>
      <c r="D199" s="75">
        <v>0</v>
      </c>
      <c r="E199" s="75">
        <v>0</v>
      </c>
      <c r="F199" s="75">
        <v>0</v>
      </c>
      <c r="G199" s="511" t="s">
        <v>987</v>
      </c>
    </row>
    <row r="200" spans="1:7" ht="19.5">
      <c r="A200" s="16" t="s">
        <v>988</v>
      </c>
      <c r="B200" s="75">
        <v>1</v>
      </c>
      <c r="C200" s="75">
        <v>1</v>
      </c>
      <c r="D200" s="75">
        <v>1</v>
      </c>
      <c r="E200" s="75">
        <v>1</v>
      </c>
      <c r="F200" s="75">
        <v>1</v>
      </c>
      <c r="G200" s="511" t="s">
        <v>989</v>
      </c>
    </row>
    <row r="201" spans="1:7" ht="19.5">
      <c r="A201" s="16" t="s">
        <v>990</v>
      </c>
      <c r="B201" s="75">
        <v>1</v>
      </c>
      <c r="C201" s="75">
        <v>1</v>
      </c>
      <c r="D201" s="75">
        <v>1</v>
      </c>
      <c r="E201" s="75">
        <v>1</v>
      </c>
      <c r="F201" s="75">
        <v>1</v>
      </c>
      <c r="G201" s="511" t="s">
        <v>991</v>
      </c>
    </row>
    <row r="202" spans="1:7" ht="19.5">
      <c r="A202" s="16" t="s">
        <v>992</v>
      </c>
      <c r="B202" s="75">
        <v>1</v>
      </c>
      <c r="C202" s="75">
        <v>1</v>
      </c>
      <c r="D202" s="75">
        <v>1</v>
      </c>
      <c r="E202" s="75">
        <v>0</v>
      </c>
      <c r="F202" s="75">
        <v>0</v>
      </c>
      <c r="G202" s="511" t="s">
        <v>993</v>
      </c>
    </row>
    <row r="203" spans="1:7" ht="19.5">
      <c r="A203" s="25" t="s">
        <v>994</v>
      </c>
      <c r="B203" s="58">
        <f t="shared" ref="B203:F203" si="22">SUM(B204:B212)</f>
        <v>10</v>
      </c>
      <c r="C203" s="58">
        <f t="shared" si="22"/>
        <v>10</v>
      </c>
      <c r="D203" s="58">
        <f t="shared" si="22"/>
        <v>8</v>
      </c>
      <c r="E203" s="58">
        <f t="shared" si="22"/>
        <v>8</v>
      </c>
      <c r="F203" s="58">
        <f t="shared" si="22"/>
        <v>7</v>
      </c>
      <c r="G203" s="512" t="s">
        <v>995</v>
      </c>
    </row>
    <row r="204" spans="1:7" ht="19.5">
      <c r="A204" s="16" t="s">
        <v>996</v>
      </c>
      <c r="B204" s="75">
        <v>3</v>
      </c>
      <c r="C204" s="75">
        <v>3</v>
      </c>
      <c r="D204" s="75">
        <v>1</v>
      </c>
      <c r="E204" s="75">
        <v>3</v>
      </c>
      <c r="F204" s="75">
        <v>2</v>
      </c>
      <c r="G204" s="511" t="s">
        <v>997</v>
      </c>
    </row>
    <row r="205" spans="1:7" ht="19.5">
      <c r="A205" s="16" t="s">
        <v>998</v>
      </c>
      <c r="B205" s="75">
        <v>1</v>
      </c>
      <c r="C205" s="75">
        <v>1</v>
      </c>
      <c r="D205" s="75">
        <v>1</v>
      </c>
      <c r="E205" s="75">
        <v>1</v>
      </c>
      <c r="F205" s="75">
        <v>1</v>
      </c>
      <c r="G205" s="511" t="s">
        <v>999</v>
      </c>
    </row>
    <row r="206" spans="1:7" ht="19.5">
      <c r="A206" s="16" t="s">
        <v>1000</v>
      </c>
      <c r="B206" s="75">
        <v>1</v>
      </c>
      <c r="C206" s="75">
        <v>1</v>
      </c>
      <c r="D206" s="75">
        <v>1</v>
      </c>
      <c r="E206" s="75">
        <v>1</v>
      </c>
      <c r="F206" s="75">
        <v>1</v>
      </c>
      <c r="G206" s="511" t="s">
        <v>1001</v>
      </c>
    </row>
    <row r="207" spans="1:7" ht="19.5">
      <c r="A207" s="16" t="s">
        <v>1002</v>
      </c>
      <c r="B207" s="75">
        <v>1</v>
      </c>
      <c r="C207" s="75">
        <v>1</v>
      </c>
      <c r="D207" s="75">
        <v>1</v>
      </c>
      <c r="E207" s="75">
        <v>1</v>
      </c>
      <c r="F207" s="75">
        <v>1</v>
      </c>
      <c r="G207" s="511" t="s">
        <v>1003</v>
      </c>
    </row>
    <row r="208" spans="1:7" ht="16.5" customHeight="1">
      <c r="A208" s="16" t="s">
        <v>1004</v>
      </c>
      <c r="B208" s="75">
        <v>0</v>
      </c>
      <c r="C208" s="75">
        <v>0</v>
      </c>
      <c r="D208" s="75">
        <v>0</v>
      </c>
      <c r="E208" s="75">
        <v>0</v>
      </c>
      <c r="F208" s="75">
        <v>0</v>
      </c>
      <c r="G208" s="511" t="s">
        <v>1005</v>
      </c>
    </row>
    <row r="209" spans="1:11" ht="19.5">
      <c r="A209" s="16" t="s">
        <v>1006</v>
      </c>
      <c r="B209" s="75">
        <v>0</v>
      </c>
      <c r="C209" s="75">
        <v>0</v>
      </c>
      <c r="D209" s="75">
        <v>0</v>
      </c>
      <c r="E209" s="75">
        <v>0</v>
      </c>
      <c r="F209" s="75">
        <v>0</v>
      </c>
      <c r="G209" s="511" t="s">
        <v>1007</v>
      </c>
    </row>
    <row r="210" spans="1:11" ht="19.5">
      <c r="A210" s="16" t="s">
        <v>1008</v>
      </c>
      <c r="B210" s="75">
        <v>1</v>
      </c>
      <c r="C210" s="75">
        <v>1</v>
      </c>
      <c r="D210" s="75">
        <v>1</v>
      </c>
      <c r="E210" s="75">
        <v>1</v>
      </c>
      <c r="F210" s="75">
        <v>1</v>
      </c>
      <c r="G210" s="511" t="s">
        <v>1009</v>
      </c>
    </row>
    <row r="211" spans="1:11" ht="19.5">
      <c r="A211" s="16" t="s">
        <v>1010</v>
      </c>
      <c r="B211" s="75">
        <v>2</v>
      </c>
      <c r="C211" s="75">
        <v>2</v>
      </c>
      <c r="D211" s="75">
        <v>2</v>
      </c>
      <c r="E211" s="75">
        <v>1</v>
      </c>
      <c r="F211" s="75">
        <v>1</v>
      </c>
      <c r="G211" s="511" t="s">
        <v>1011</v>
      </c>
    </row>
    <row r="212" spans="1:11" ht="19.5">
      <c r="A212" s="16" t="s">
        <v>1012</v>
      </c>
      <c r="B212" s="75">
        <v>1</v>
      </c>
      <c r="C212" s="75">
        <v>1</v>
      </c>
      <c r="D212" s="75">
        <v>1</v>
      </c>
      <c r="E212" s="75">
        <v>0</v>
      </c>
      <c r="F212" s="75">
        <v>0</v>
      </c>
      <c r="G212" s="511" t="s">
        <v>1013</v>
      </c>
    </row>
    <row r="213" spans="1:11" ht="19.5">
      <c r="A213" s="25" t="s">
        <v>1014</v>
      </c>
      <c r="B213" s="58">
        <f t="shared" ref="B213:F213" si="23">SUM(B214)</f>
        <v>2</v>
      </c>
      <c r="C213" s="58">
        <f t="shared" si="23"/>
        <v>4</v>
      </c>
      <c r="D213" s="58">
        <f t="shared" si="23"/>
        <v>3</v>
      </c>
      <c r="E213" s="58">
        <f t="shared" si="23"/>
        <v>2</v>
      </c>
      <c r="F213" s="58">
        <f t="shared" si="23"/>
        <v>3</v>
      </c>
      <c r="G213" s="512" t="s">
        <v>1015</v>
      </c>
    </row>
    <row r="214" spans="1:11" ht="19.5">
      <c r="A214" s="16" t="s">
        <v>1016</v>
      </c>
      <c r="B214" s="75">
        <v>2</v>
      </c>
      <c r="C214" s="75">
        <v>4</v>
      </c>
      <c r="D214" s="75">
        <v>3</v>
      </c>
      <c r="E214" s="75">
        <v>2</v>
      </c>
      <c r="F214" s="75">
        <v>3</v>
      </c>
      <c r="G214" s="511" t="s">
        <v>1017</v>
      </c>
    </row>
    <row r="215" spans="1:11" ht="19.5">
      <c r="A215" s="25" t="s">
        <v>1018</v>
      </c>
      <c r="B215" s="58">
        <f t="shared" ref="B215:C215" si="24">SUM(B216:B221)</f>
        <v>9</v>
      </c>
      <c r="C215" s="58">
        <f t="shared" si="24"/>
        <v>7</v>
      </c>
      <c r="D215" s="58">
        <f t="shared" ref="D215:F215" si="25">SUM(D216:D224)</f>
        <v>7</v>
      </c>
      <c r="E215" s="58">
        <f t="shared" si="25"/>
        <v>7</v>
      </c>
      <c r="F215" s="58">
        <f t="shared" si="25"/>
        <v>8</v>
      </c>
      <c r="G215" s="512" t="s">
        <v>1019</v>
      </c>
    </row>
    <row r="216" spans="1:11" ht="19.5">
      <c r="A216" s="16" t="s">
        <v>1020</v>
      </c>
      <c r="B216" s="75">
        <v>3</v>
      </c>
      <c r="C216" s="75">
        <v>2</v>
      </c>
      <c r="D216" s="75">
        <v>2</v>
      </c>
      <c r="E216" s="75">
        <v>2</v>
      </c>
      <c r="F216" s="75">
        <v>3</v>
      </c>
      <c r="G216" s="511" t="s">
        <v>1021</v>
      </c>
    </row>
    <row r="217" spans="1:11" ht="19.5">
      <c r="A217" s="16" t="s">
        <v>1022</v>
      </c>
      <c r="B217" s="75">
        <v>1</v>
      </c>
      <c r="C217" s="75">
        <v>1</v>
      </c>
      <c r="D217" s="75">
        <v>1</v>
      </c>
      <c r="E217" s="75">
        <v>1</v>
      </c>
      <c r="F217" s="75">
        <v>1</v>
      </c>
      <c r="G217" s="511" t="s">
        <v>1023</v>
      </c>
    </row>
    <row r="218" spans="1:11" ht="19.5">
      <c r="A218" s="16" t="s">
        <v>1024</v>
      </c>
      <c r="B218" s="75">
        <v>1</v>
      </c>
      <c r="C218" s="75">
        <v>1</v>
      </c>
      <c r="D218" s="75">
        <v>1</v>
      </c>
      <c r="E218" s="75">
        <v>1</v>
      </c>
      <c r="F218" s="75">
        <v>1</v>
      </c>
      <c r="G218" s="511" t="s">
        <v>1025</v>
      </c>
    </row>
    <row r="219" spans="1:11" ht="19.5">
      <c r="A219" s="16" t="s">
        <v>1026</v>
      </c>
      <c r="B219" s="75">
        <v>2</v>
      </c>
      <c r="C219" s="75">
        <v>1</v>
      </c>
      <c r="D219" s="75">
        <v>1</v>
      </c>
      <c r="E219" s="75">
        <v>1</v>
      </c>
      <c r="F219" s="75">
        <v>1</v>
      </c>
      <c r="G219" s="511" t="s">
        <v>1027</v>
      </c>
    </row>
    <row r="220" spans="1:11" ht="19.5">
      <c r="A220" s="16" t="s">
        <v>1028</v>
      </c>
      <c r="B220" s="75">
        <v>1</v>
      </c>
      <c r="C220" s="75">
        <v>1</v>
      </c>
      <c r="D220" s="75">
        <v>1</v>
      </c>
      <c r="E220" s="75">
        <v>1</v>
      </c>
      <c r="F220" s="75">
        <v>1</v>
      </c>
      <c r="G220" s="511" t="s">
        <v>1029</v>
      </c>
    </row>
    <row r="221" spans="1:11" s="517" customFormat="1" ht="19.5">
      <c r="A221" s="43" t="s">
        <v>1030</v>
      </c>
      <c r="B221" s="515">
        <v>1</v>
      </c>
      <c r="C221" s="515">
        <v>1</v>
      </c>
      <c r="D221" s="515">
        <v>1</v>
      </c>
      <c r="E221" s="515">
        <v>1</v>
      </c>
      <c r="F221" s="515">
        <v>1</v>
      </c>
      <c r="G221" s="516" t="s">
        <v>1031</v>
      </c>
      <c r="H221" s="16"/>
      <c r="I221" s="16"/>
      <c r="J221" s="16"/>
      <c r="K221" s="16"/>
    </row>
    <row r="222" spans="1:11" ht="18.75">
      <c r="A222" s="31" t="s">
        <v>1032</v>
      </c>
      <c r="B222" s="517"/>
      <c r="C222" s="517"/>
      <c r="D222" s="517"/>
      <c r="E222" s="517"/>
      <c r="F222" s="517"/>
      <c r="G222" s="518" t="s">
        <v>477</v>
      </c>
    </row>
  </sheetData>
  <mergeCells count="6">
    <mergeCell ref="A3:A5"/>
    <mergeCell ref="A1:G1"/>
    <mergeCell ref="A2:G2"/>
    <mergeCell ref="G3:G5"/>
    <mergeCell ref="B3:F3"/>
    <mergeCell ref="B4:F4"/>
  </mergeCells>
  <pageMargins left="0.7" right="0.7" top="0.75" bottom="0.75" header="0.3" footer="0.3"/>
  <pageSetup paperSize="9" scale="67" orientation="portrait" r:id="rId1"/>
  <rowBreaks count="1" manualBreakCount="1">
    <brk id="222" max="12" man="1"/>
  </rowBreaks>
  <colBreaks count="1" manualBreakCount="1">
    <brk id="8"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1:AP33"/>
  <sheetViews>
    <sheetView zoomScale="89" zoomScaleNormal="89" workbookViewId="0">
      <selection sqref="A1:O1"/>
    </sheetView>
  </sheetViews>
  <sheetFormatPr defaultColWidth="9.140625" defaultRowHeight="15"/>
  <cols>
    <col min="1" max="1" width="40.28515625" style="33" customWidth="1"/>
    <col min="2" max="4" width="14.28515625" style="33" hidden="1" customWidth="1"/>
    <col min="5" max="5" width="14.28515625" style="33" customWidth="1"/>
    <col min="6" max="11" width="13.7109375" style="33" customWidth="1"/>
    <col min="12" max="12" width="15" style="33" customWidth="1"/>
    <col min="13" max="13" width="17" style="33" customWidth="1"/>
    <col min="14" max="14" width="13.7109375" style="33" hidden="1" customWidth="1"/>
    <col min="15" max="15" width="38.5703125" style="33" customWidth="1"/>
    <col min="16" max="16" width="2.28515625" style="33" customWidth="1"/>
    <col min="17" max="16384" width="9.140625" style="33"/>
  </cols>
  <sheetData>
    <row r="1" spans="1:42" ht="21">
      <c r="A1" s="1181" t="s">
        <v>2186</v>
      </c>
      <c r="B1" s="1181"/>
      <c r="C1" s="1181"/>
      <c r="D1" s="1181"/>
      <c r="E1" s="1181"/>
      <c r="F1" s="1181"/>
      <c r="G1" s="1181"/>
      <c r="H1" s="1181"/>
      <c r="I1" s="1181"/>
      <c r="J1" s="1181"/>
      <c r="K1" s="1181"/>
      <c r="L1" s="1181"/>
      <c r="M1" s="1181"/>
      <c r="N1" s="1181"/>
      <c r="O1" s="1181"/>
    </row>
    <row r="2" spans="1:42">
      <c r="A2" s="1075" t="s">
        <v>2185</v>
      </c>
      <c r="B2" s="1075"/>
      <c r="C2" s="1075"/>
      <c r="D2" s="1075"/>
      <c r="E2" s="1075"/>
      <c r="F2" s="1075"/>
      <c r="G2" s="1075"/>
      <c r="H2" s="1075"/>
      <c r="I2" s="1075"/>
      <c r="J2" s="1075"/>
      <c r="K2" s="1075"/>
      <c r="L2" s="1075"/>
      <c r="M2" s="1075"/>
      <c r="N2" s="1075"/>
      <c r="O2" s="1075"/>
    </row>
    <row r="3" spans="1:42">
      <c r="A3" s="58"/>
      <c r="B3" s="58"/>
      <c r="C3" s="58"/>
      <c r="D3" s="58"/>
      <c r="E3" s="58"/>
      <c r="F3" s="58"/>
      <c r="G3" s="58"/>
      <c r="H3" s="58"/>
      <c r="I3" s="58"/>
      <c r="J3" s="58"/>
      <c r="K3" s="58"/>
      <c r="L3" s="58"/>
      <c r="M3" s="58"/>
      <c r="N3" s="58"/>
    </row>
    <row r="4" spans="1:42">
      <c r="A4" s="1182" t="s">
        <v>470</v>
      </c>
      <c r="B4" s="1185" t="s">
        <v>471</v>
      </c>
      <c r="C4" s="1185"/>
      <c r="D4" s="1185"/>
      <c r="E4" s="1185"/>
      <c r="F4" s="1185"/>
      <c r="G4" s="1185"/>
      <c r="H4" s="1185"/>
      <c r="I4" s="1185"/>
      <c r="J4" s="1185"/>
      <c r="K4" s="1185"/>
      <c r="L4" s="1185"/>
      <c r="M4" s="1185"/>
      <c r="N4" s="1185"/>
      <c r="O4" s="1183" t="s">
        <v>75</v>
      </c>
    </row>
    <row r="5" spans="1:42">
      <c r="A5" s="1073"/>
      <c r="B5" s="26">
        <v>2010</v>
      </c>
      <c r="C5" s="26">
        <v>2011</v>
      </c>
      <c r="D5" s="26">
        <v>2012</v>
      </c>
      <c r="E5" s="26">
        <v>2013</v>
      </c>
      <c r="F5" s="26">
        <v>2014</v>
      </c>
      <c r="G5" s="26">
        <v>2015</v>
      </c>
      <c r="H5" s="26">
        <v>2016</v>
      </c>
      <c r="I5" s="26">
        <v>2017</v>
      </c>
      <c r="J5" s="26">
        <v>2018</v>
      </c>
      <c r="K5" s="26">
        <v>2019</v>
      </c>
      <c r="L5" s="26">
        <v>2020</v>
      </c>
      <c r="M5" s="26">
        <v>2021</v>
      </c>
      <c r="N5" s="26">
        <v>2022</v>
      </c>
      <c r="O5" s="1184"/>
    </row>
    <row r="6" spans="1:42" s="61" customFormat="1" ht="18.75">
      <c r="A6" s="59" t="s">
        <v>472</v>
      </c>
      <c r="B6" s="60">
        <f t="shared" ref="B6:J6" si="0">SUM(B7:B8)</f>
        <v>202</v>
      </c>
      <c r="C6" s="60">
        <f t="shared" si="0"/>
        <v>197</v>
      </c>
      <c r="D6" s="60">
        <f t="shared" si="0"/>
        <v>164</v>
      </c>
      <c r="E6" s="60">
        <f t="shared" si="0"/>
        <v>185</v>
      </c>
      <c r="F6" s="60">
        <f t="shared" si="0"/>
        <v>182</v>
      </c>
      <c r="G6" s="60">
        <f t="shared" si="0"/>
        <v>183</v>
      </c>
      <c r="H6" s="60">
        <f t="shared" si="0"/>
        <v>178</v>
      </c>
      <c r="I6" s="60">
        <f t="shared" si="0"/>
        <v>181</v>
      </c>
      <c r="J6" s="60">
        <f t="shared" si="0"/>
        <v>197</v>
      </c>
      <c r="K6" s="60">
        <f>SUM(K7:K8)</f>
        <v>184</v>
      </c>
      <c r="L6" s="60">
        <f>SUM(L7:L8)</f>
        <v>188</v>
      </c>
      <c r="M6" s="60">
        <f>SUM(M7:M8)</f>
        <v>182</v>
      </c>
      <c r="N6" s="60"/>
      <c r="O6" s="326" t="s">
        <v>473</v>
      </c>
    </row>
    <row r="7" spans="1:42" ht="18.75">
      <c r="A7" s="62" t="s">
        <v>69</v>
      </c>
      <c r="B7" s="63">
        <v>198</v>
      </c>
      <c r="C7" s="63">
        <v>192</v>
      </c>
      <c r="D7" s="63">
        <v>159</v>
      </c>
      <c r="E7" s="63">
        <v>176</v>
      </c>
      <c r="F7" s="63">
        <v>174</v>
      </c>
      <c r="G7" s="63">
        <v>176</v>
      </c>
      <c r="H7" s="63">
        <v>173</v>
      </c>
      <c r="I7" s="63">
        <v>174</v>
      </c>
      <c r="J7" s="63">
        <v>187</v>
      </c>
      <c r="K7" s="63">
        <v>173</v>
      </c>
      <c r="L7" s="63">
        <v>173</v>
      </c>
      <c r="M7" s="63">
        <v>162</v>
      </c>
      <c r="N7" s="961"/>
      <c r="O7" s="327" t="s">
        <v>76</v>
      </c>
      <c r="Q7" s="67"/>
    </row>
    <row r="8" spans="1:42" ht="18.75">
      <c r="A8" s="62" t="s">
        <v>70</v>
      </c>
      <c r="B8" s="63">
        <v>4</v>
      </c>
      <c r="C8" s="63">
        <v>5</v>
      </c>
      <c r="D8" s="63">
        <v>5</v>
      </c>
      <c r="E8" s="63">
        <v>9</v>
      </c>
      <c r="F8" s="63">
        <v>8</v>
      </c>
      <c r="G8" s="63">
        <v>7</v>
      </c>
      <c r="H8" s="63">
        <v>5</v>
      </c>
      <c r="I8" s="63">
        <v>7</v>
      </c>
      <c r="J8" s="63">
        <v>10</v>
      </c>
      <c r="K8" s="63">
        <v>11</v>
      </c>
      <c r="L8" s="63">
        <v>15</v>
      </c>
      <c r="M8" s="63">
        <v>20</v>
      </c>
      <c r="N8" s="961"/>
      <c r="O8" s="327" t="s">
        <v>77</v>
      </c>
      <c r="Q8" s="67"/>
    </row>
    <row r="9" spans="1:42" ht="21">
      <c r="A9" s="64" t="s">
        <v>474</v>
      </c>
      <c r="B9" s="328">
        <v>211.38208</v>
      </c>
      <c r="C9" s="328">
        <v>253.832494</v>
      </c>
      <c r="D9" s="328">
        <v>298.93866270999996</v>
      </c>
      <c r="E9" s="328">
        <v>292.36569200000002</v>
      </c>
      <c r="F9" s="328">
        <v>326.90534851999996</v>
      </c>
      <c r="G9" s="328">
        <v>468.04598700000003</v>
      </c>
      <c r="H9" s="328">
        <v>448.00623200000001</v>
      </c>
      <c r="I9" s="328">
        <v>413</v>
      </c>
      <c r="J9" s="328">
        <v>447.08000700000002</v>
      </c>
      <c r="K9" s="328">
        <v>487.6</v>
      </c>
      <c r="L9" s="328">
        <v>417.8</v>
      </c>
      <c r="M9" s="328">
        <v>413.46338150000003</v>
      </c>
      <c r="N9" s="977"/>
      <c r="O9" s="329" t="s">
        <v>475</v>
      </c>
    </row>
    <row r="10" spans="1:42" s="332" customFormat="1" ht="17.25">
      <c r="A10" s="32" t="s">
        <v>476</v>
      </c>
      <c r="B10" s="330"/>
      <c r="C10" s="330"/>
      <c r="D10" s="330"/>
      <c r="E10" s="330"/>
      <c r="F10" s="330"/>
      <c r="G10" s="330"/>
      <c r="H10" s="330"/>
      <c r="I10" s="330"/>
      <c r="J10" s="330"/>
      <c r="K10" s="330"/>
      <c r="L10" s="330"/>
      <c r="M10" s="330"/>
      <c r="N10" s="330"/>
      <c r="O10" s="331" t="s">
        <v>477</v>
      </c>
    </row>
    <row r="11" spans="1:42" ht="17.25">
      <c r="A11" s="333" t="s">
        <v>478</v>
      </c>
      <c r="B11" s="332"/>
      <c r="C11" s="332"/>
      <c r="O11" s="334" t="s">
        <v>479</v>
      </c>
      <c r="Q11" s="1177"/>
      <c r="R11" s="1178"/>
    </row>
    <row r="12" spans="1:42" s="332" customFormat="1">
      <c r="C12" s="150"/>
      <c r="K12" s="33"/>
      <c r="L12" s="33"/>
      <c r="M12" s="33"/>
      <c r="Q12" s="1179"/>
      <c r="R12" s="1180"/>
    </row>
    <row r="13" spans="1:42" s="332" customFormat="1" ht="12">
      <c r="Q13" s="1179"/>
      <c r="R13" s="1180"/>
      <c r="AH13" s="332">
        <f t="shared" ref="AH13:AO13" si="1">AH15+AH16</f>
        <v>182</v>
      </c>
      <c r="AI13" s="332">
        <f t="shared" si="1"/>
        <v>183</v>
      </c>
      <c r="AJ13" s="332">
        <f t="shared" si="1"/>
        <v>178</v>
      </c>
      <c r="AK13" s="332">
        <f t="shared" si="1"/>
        <v>181</v>
      </c>
      <c r="AL13" s="332">
        <f t="shared" si="1"/>
        <v>197</v>
      </c>
      <c r="AM13" s="332">
        <f t="shared" si="1"/>
        <v>184</v>
      </c>
      <c r="AN13" s="332">
        <f t="shared" si="1"/>
        <v>188</v>
      </c>
      <c r="AO13" s="332">
        <f t="shared" si="1"/>
        <v>182</v>
      </c>
    </row>
    <row r="14" spans="1:42">
      <c r="A14" s="1079"/>
      <c r="B14" s="1079"/>
      <c r="C14" s="1079"/>
      <c r="D14" s="1079"/>
      <c r="E14" s="1079"/>
      <c r="F14" s="1079"/>
      <c r="G14" s="1079"/>
      <c r="H14" s="1079"/>
      <c r="I14" s="1079"/>
      <c r="J14" s="1079"/>
      <c r="K14" s="1079"/>
      <c r="L14" s="1079"/>
      <c r="M14" s="1079"/>
      <c r="N14" s="1079"/>
      <c r="O14" s="1079"/>
      <c r="Q14" s="1179"/>
      <c r="R14" s="1180"/>
      <c r="AD14" s="89">
        <v>2010</v>
      </c>
      <c r="AE14" s="89">
        <v>2011</v>
      </c>
      <c r="AF14" s="89">
        <v>2012</v>
      </c>
      <c r="AG14" s="89">
        <v>2013</v>
      </c>
      <c r="AH14" s="335">
        <v>2014</v>
      </c>
      <c r="AI14" s="89">
        <v>2015</v>
      </c>
      <c r="AJ14" s="89">
        <v>2016</v>
      </c>
      <c r="AK14" s="335">
        <v>2017</v>
      </c>
      <c r="AL14" s="335">
        <v>2018</v>
      </c>
      <c r="AM14" s="335">
        <v>2019</v>
      </c>
      <c r="AN14" s="335">
        <v>2020</v>
      </c>
      <c r="AO14" s="335">
        <v>2021</v>
      </c>
      <c r="AP14" s="33" t="s">
        <v>2146</v>
      </c>
    </row>
    <row r="15" spans="1:42">
      <c r="Q15" s="1179"/>
      <c r="R15" s="1180"/>
      <c r="AC15" s="62" t="s">
        <v>69</v>
      </c>
      <c r="AD15" s="63">
        <v>198</v>
      </c>
      <c r="AE15" s="63">
        <v>192</v>
      </c>
      <c r="AF15" s="63">
        <v>159</v>
      </c>
      <c r="AG15" s="63">
        <f t="shared" ref="AG15:AO16" si="2">E7</f>
        <v>176</v>
      </c>
      <c r="AH15" s="33">
        <f t="shared" si="2"/>
        <v>174</v>
      </c>
      <c r="AI15" s="33">
        <f t="shared" si="2"/>
        <v>176</v>
      </c>
      <c r="AJ15" s="33">
        <f t="shared" si="2"/>
        <v>173</v>
      </c>
      <c r="AK15" s="33">
        <f t="shared" si="2"/>
        <v>174</v>
      </c>
      <c r="AL15" s="33">
        <f t="shared" si="2"/>
        <v>187</v>
      </c>
      <c r="AM15" s="33">
        <f t="shared" si="2"/>
        <v>173</v>
      </c>
      <c r="AN15" s="33">
        <f t="shared" si="2"/>
        <v>173</v>
      </c>
      <c r="AO15" s="33">
        <f>M7</f>
        <v>162</v>
      </c>
      <c r="AP15" s="336">
        <f>AO15/AO13*100</f>
        <v>89.010989010989007</v>
      </c>
    </row>
    <row r="16" spans="1:42">
      <c r="AC16" s="62" t="s">
        <v>70</v>
      </c>
      <c r="AD16" s="63">
        <v>4</v>
      </c>
      <c r="AE16" s="63">
        <v>5</v>
      </c>
      <c r="AF16" s="63">
        <v>5</v>
      </c>
      <c r="AG16" s="63">
        <f t="shared" si="2"/>
        <v>9</v>
      </c>
      <c r="AH16" s="33">
        <f t="shared" si="2"/>
        <v>8</v>
      </c>
      <c r="AI16" s="33">
        <f t="shared" si="2"/>
        <v>7</v>
      </c>
      <c r="AJ16" s="33">
        <f t="shared" si="2"/>
        <v>5</v>
      </c>
      <c r="AK16" s="33">
        <f t="shared" si="2"/>
        <v>7</v>
      </c>
      <c r="AL16" s="33">
        <f t="shared" si="2"/>
        <v>10</v>
      </c>
      <c r="AM16" s="33">
        <f t="shared" si="2"/>
        <v>11</v>
      </c>
      <c r="AN16" s="33">
        <f t="shared" si="2"/>
        <v>15</v>
      </c>
      <c r="AO16" s="33">
        <f t="shared" si="2"/>
        <v>20</v>
      </c>
      <c r="AP16" s="336">
        <f>AO16/AO13*100</f>
        <v>10.989010989010989</v>
      </c>
    </row>
    <row r="17" spans="1:41">
      <c r="AC17" s="33" t="s">
        <v>481</v>
      </c>
      <c r="AD17" s="337">
        <f t="shared" ref="AD17:AN17" si="3">AD16/B6*100</f>
        <v>1.9801980198019802</v>
      </c>
      <c r="AE17" s="337">
        <f t="shared" si="3"/>
        <v>2.5380710659898478</v>
      </c>
      <c r="AF17" s="337">
        <f t="shared" si="3"/>
        <v>3.0487804878048781</v>
      </c>
      <c r="AG17" s="337">
        <f t="shared" si="3"/>
        <v>4.8648648648648649</v>
      </c>
      <c r="AH17" s="337">
        <f t="shared" si="3"/>
        <v>4.395604395604396</v>
      </c>
      <c r="AI17" s="337">
        <f t="shared" si="3"/>
        <v>3.8251366120218582</v>
      </c>
      <c r="AJ17" s="337">
        <f t="shared" si="3"/>
        <v>2.8089887640449436</v>
      </c>
      <c r="AK17" s="337">
        <f t="shared" si="3"/>
        <v>3.867403314917127</v>
      </c>
      <c r="AL17" s="337">
        <f t="shared" si="3"/>
        <v>5.0761421319796955</v>
      </c>
      <c r="AM17" s="337">
        <f t="shared" si="3"/>
        <v>5.9782608695652177</v>
      </c>
      <c r="AN17" s="337">
        <f t="shared" si="3"/>
        <v>7.9787234042553195</v>
      </c>
      <c r="AO17" s="337">
        <f>AO16/M6*100</f>
        <v>10.989010989010989</v>
      </c>
    </row>
    <row r="18" spans="1:41">
      <c r="A18" s="59"/>
    </row>
    <row r="20" spans="1:41">
      <c r="AD20" s="63"/>
      <c r="AE20" s="63"/>
      <c r="AF20" s="63"/>
    </row>
    <row r="21" spans="1:41">
      <c r="AD21" s="63"/>
      <c r="AE21" s="63"/>
      <c r="AF21" s="63"/>
    </row>
    <row r="33" spans="18:18">
      <c r="R33" s="61"/>
    </row>
  </sheetData>
  <mergeCells count="7">
    <mergeCell ref="Q11:R15"/>
    <mergeCell ref="A14:O14"/>
    <mergeCell ref="A1:O1"/>
    <mergeCell ref="A2:O2"/>
    <mergeCell ref="A4:A5"/>
    <mergeCell ref="O4:O5"/>
    <mergeCell ref="B4:N4"/>
  </mergeCells>
  <pageMargins left="0.7" right="0.7" top="0.75" bottom="0.75" header="0.3" footer="0.3"/>
  <pageSetup paperSize="9" scale="41" orientation="portrait" r:id="rId1"/>
  <colBreaks count="1" manualBreakCount="1">
    <brk id="16" max="1048575"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4C49-C0D9-40E6-8AE3-AB53D5063413}">
  <sheetPr>
    <tabColor rgb="FF92D050"/>
  </sheetPr>
  <dimension ref="A3:E12"/>
  <sheetViews>
    <sheetView workbookViewId="0">
      <selection activeCell="G3" sqref="G3"/>
    </sheetView>
  </sheetViews>
  <sheetFormatPr defaultColWidth="9.140625" defaultRowHeight="15"/>
  <cols>
    <col min="1" max="1" width="30.42578125" style="16" customWidth="1"/>
    <col min="2" max="4" width="14" style="16" customWidth="1"/>
    <col min="5" max="5" width="45.85546875" style="16" bestFit="1" customWidth="1"/>
    <col min="6" max="16384" width="9.140625" style="16"/>
  </cols>
  <sheetData>
    <row r="3" spans="1:5" ht="21">
      <c r="A3" s="1171" t="s">
        <v>2141</v>
      </c>
      <c r="B3" s="1171"/>
      <c r="C3" s="1171"/>
      <c r="D3" s="1171"/>
      <c r="E3" s="1171"/>
    </row>
    <row r="4" spans="1:5" ht="15.75">
      <c r="A4" s="1186" t="s">
        <v>2187</v>
      </c>
      <c r="B4" s="1186"/>
      <c r="C4" s="1186"/>
      <c r="D4" s="1186"/>
      <c r="E4" s="1186"/>
    </row>
    <row r="5" spans="1:5" ht="15.75">
      <c r="A5" s="520"/>
      <c r="B5" s="520"/>
      <c r="C5" s="520"/>
      <c r="D5" s="520"/>
      <c r="E5" s="520"/>
    </row>
    <row r="6" spans="1:5" ht="21">
      <c r="A6" s="971" t="s">
        <v>117</v>
      </c>
      <c r="B6" s="971">
        <v>2019</v>
      </c>
      <c r="C6" s="971">
        <v>2020</v>
      </c>
      <c r="D6" s="971">
        <v>2021</v>
      </c>
      <c r="E6" s="1024" t="s">
        <v>67</v>
      </c>
    </row>
    <row r="7" spans="1:5" ht="21">
      <c r="A7" s="24" t="s">
        <v>1</v>
      </c>
      <c r="B7" s="521">
        <f>SUM(B9:B10)</f>
        <v>168</v>
      </c>
      <c r="C7" s="521">
        <f>SUM(C9:C10)</f>
        <v>95</v>
      </c>
      <c r="D7" s="521">
        <v>114</v>
      </c>
      <c r="E7" s="507" t="s">
        <v>49</v>
      </c>
    </row>
    <row r="8" spans="1:5" ht="21">
      <c r="A8" s="649" t="s">
        <v>2142</v>
      </c>
      <c r="B8" s="504" t="s">
        <v>48</v>
      </c>
      <c r="C8" s="504" t="s">
        <v>48</v>
      </c>
      <c r="D8" s="1064">
        <v>404</v>
      </c>
      <c r="E8" s="685" t="s">
        <v>2143</v>
      </c>
    </row>
    <row r="9" spans="1:5" ht="21">
      <c r="A9" s="649" t="s">
        <v>1033</v>
      </c>
      <c r="B9" s="937">
        <v>114</v>
      </c>
      <c r="C9" s="937">
        <v>41</v>
      </c>
      <c r="D9" s="1064">
        <v>26</v>
      </c>
      <c r="E9" s="685" t="s">
        <v>2144</v>
      </c>
    </row>
    <row r="10" spans="1:5" ht="21">
      <c r="A10" s="650" t="s">
        <v>1034</v>
      </c>
      <c r="B10" s="938">
        <v>54</v>
      </c>
      <c r="C10" s="938">
        <v>54</v>
      </c>
      <c r="D10" s="1063">
        <v>88</v>
      </c>
      <c r="E10" s="686" t="s">
        <v>2145</v>
      </c>
    </row>
    <row r="11" spans="1:5" ht="18">
      <c r="A11" s="32" t="s">
        <v>476</v>
      </c>
      <c r="E11" s="331" t="s">
        <v>477</v>
      </c>
    </row>
    <row r="12" spans="1:5">
      <c r="A12" s="517"/>
    </row>
  </sheetData>
  <mergeCells count="2">
    <mergeCell ref="A3:E3"/>
    <mergeCell ref="A4:E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E15"/>
  <sheetViews>
    <sheetView view="pageBreakPreview" zoomScale="80" zoomScaleNormal="100" zoomScaleSheetLayoutView="80" workbookViewId="0">
      <selection activeCell="R30" sqref="R30"/>
    </sheetView>
  </sheetViews>
  <sheetFormatPr defaultColWidth="9.140625" defaultRowHeight="15"/>
  <cols>
    <col min="1" max="1" width="30.42578125" style="16" customWidth="1"/>
    <col min="2" max="4" width="14" style="16" customWidth="1"/>
    <col min="5" max="5" width="45.85546875" style="16" bestFit="1" customWidth="1"/>
    <col min="6" max="16384" width="9.140625" style="16"/>
  </cols>
  <sheetData>
    <row r="3" spans="1:5" ht="21">
      <c r="A3" s="1171" t="s">
        <v>2189</v>
      </c>
      <c r="B3" s="1171"/>
      <c r="C3" s="1171"/>
      <c r="D3" s="1171"/>
      <c r="E3" s="1171"/>
    </row>
    <row r="4" spans="1:5" ht="15.75">
      <c r="A4" s="1186" t="s">
        <v>2188</v>
      </c>
      <c r="B4" s="1186"/>
      <c r="C4" s="1186"/>
      <c r="D4" s="1186"/>
      <c r="E4" s="1186"/>
    </row>
    <row r="5" spans="1:5" ht="15.75">
      <c r="A5" s="520"/>
      <c r="B5" s="520"/>
      <c r="C5" s="520"/>
      <c r="D5" s="520"/>
      <c r="E5" s="520"/>
    </row>
    <row r="6" spans="1:5" ht="21">
      <c r="A6" s="971" t="s">
        <v>117</v>
      </c>
      <c r="B6" s="971">
        <v>2019</v>
      </c>
      <c r="C6" s="971">
        <v>2020</v>
      </c>
      <c r="D6" s="971">
        <v>2021</v>
      </c>
      <c r="E6" s="1024" t="s">
        <v>67</v>
      </c>
    </row>
    <row r="7" spans="1:5" ht="21">
      <c r="A7" s="24" t="s">
        <v>1</v>
      </c>
      <c r="B7" s="521">
        <f>SUM(B8:B14)</f>
        <v>114</v>
      </c>
      <c r="C7" s="521">
        <f>SUM(C8:C14)</f>
        <v>41</v>
      </c>
      <c r="D7" s="521"/>
      <c r="E7" s="507" t="s">
        <v>49</v>
      </c>
    </row>
    <row r="8" spans="1:5" ht="21">
      <c r="A8" s="522"/>
      <c r="B8" s="978">
        <v>66</v>
      </c>
      <c r="C8" s="978">
        <v>29</v>
      </c>
      <c r="D8" s="978"/>
      <c r="E8" s="935" t="s">
        <v>1035</v>
      </c>
    </row>
    <row r="9" spans="1:5" ht="21">
      <c r="A9" s="522"/>
      <c r="B9" s="978">
        <v>14</v>
      </c>
      <c r="C9" s="978">
        <v>0</v>
      </c>
      <c r="D9" s="978"/>
      <c r="E9" s="935" t="s">
        <v>1036</v>
      </c>
    </row>
    <row r="10" spans="1:5" ht="21">
      <c r="A10" s="522"/>
      <c r="B10" s="978">
        <v>19</v>
      </c>
      <c r="C10" s="978">
        <v>0</v>
      </c>
      <c r="D10" s="978"/>
      <c r="E10" s="935" t="s">
        <v>1037</v>
      </c>
    </row>
    <row r="11" spans="1:5" ht="21">
      <c r="A11" s="522"/>
      <c r="B11" s="978">
        <v>6</v>
      </c>
      <c r="C11" s="978">
        <v>7</v>
      </c>
      <c r="D11" s="978"/>
      <c r="E11" s="935" t="s">
        <v>1038</v>
      </c>
    </row>
    <row r="12" spans="1:5" ht="21">
      <c r="A12" s="522"/>
      <c r="B12" s="978">
        <v>8</v>
      </c>
      <c r="C12" s="978">
        <v>2</v>
      </c>
      <c r="D12" s="978"/>
      <c r="E12" s="935" t="s">
        <v>1039</v>
      </c>
    </row>
    <row r="13" spans="1:5" ht="21">
      <c r="A13" s="522"/>
      <c r="B13" s="978">
        <v>1</v>
      </c>
      <c r="C13" s="978">
        <v>1</v>
      </c>
      <c r="D13" s="978"/>
      <c r="E13" s="935" t="s">
        <v>1040</v>
      </c>
    </row>
    <row r="14" spans="1:5" ht="21">
      <c r="A14" s="523"/>
      <c r="B14" s="979">
        <v>0</v>
      </c>
      <c r="C14" s="979">
        <v>2</v>
      </c>
      <c r="D14" s="979"/>
      <c r="E14" s="936" t="s">
        <v>1041</v>
      </c>
    </row>
    <row r="15" spans="1:5" ht="18">
      <c r="A15" s="32" t="s">
        <v>476</v>
      </c>
      <c r="E15" s="331" t="s">
        <v>477</v>
      </c>
    </row>
  </sheetData>
  <mergeCells count="2">
    <mergeCell ref="A4:E4"/>
    <mergeCell ref="A3:E3"/>
  </mergeCells>
  <pageMargins left="0.7" right="0.7" top="0.75" bottom="0.75" header="0.3" footer="0.3"/>
  <pageSetup paperSize="9" scale="73"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AV26"/>
  <sheetViews>
    <sheetView view="pageBreakPreview" zoomScale="60" zoomScaleNormal="100" workbookViewId="0">
      <selection activeCell="AK10" sqref="AK10"/>
    </sheetView>
  </sheetViews>
  <sheetFormatPr defaultColWidth="22.28515625" defaultRowHeight="12.75"/>
  <cols>
    <col min="1" max="1" width="33.5703125" style="413" customWidth="1"/>
    <col min="2" max="7" width="9.85546875" style="15" hidden="1" customWidth="1"/>
    <col min="8" max="8" width="10" style="15" hidden="1" customWidth="1"/>
    <col min="9" max="19" width="9.28515625" style="15" hidden="1" customWidth="1"/>
    <col min="20" max="28" width="9.28515625" style="15" customWidth="1"/>
    <col min="29" max="31" width="9.28515625" style="15" hidden="1" customWidth="1"/>
    <col min="32" max="34" width="9.28515625" style="15" customWidth="1"/>
    <col min="35" max="35" width="28.5703125" style="15" customWidth="1"/>
    <col min="36" max="36" width="11.140625" style="15" customWidth="1"/>
    <col min="37" max="37" width="5.28515625" style="15" customWidth="1"/>
    <col min="38" max="39" width="4.28515625" style="15" customWidth="1"/>
    <col min="40" max="40" width="22.28515625" style="15"/>
    <col min="41" max="41" width="6.7109375" style="15" customWidth="1"/>
    <col min="42" max="16384" width="22.28515625" style="15"/>
  </cols>
  <sheetData>
    <row r="1" spans="1:48" ht="21">
      <c r="A1" s="1133" t="s">
        <v>2132</v>
      </c>
      <c r="B1" s="1133"/>
      <c r="C1" s="1133"/>
      <c r="D1" s="1133"/>
      <c r="E1" s="1133"/>
      <c r="F1" s="1133"/>
      <c r="G1" s="1133"/>
      <c r="H1" s="1133"/>
      <c r="I1" s="1133"/>
      <c r="J1" s="1133"/>
      <c r="K1" s="1133"/>
      <c r="L1" s="1133"/>
      <c r="M1" s="1133"/>
      <c r="N1" s="1133"/>
      <c r="O1" s="1133"/>
      <c r="P1" s="1133"/>
      <c r="Q1" s="1133"/>
      <c r="R1" s="1133"/>
      <c r="S1" s="1133"/>
      <c r="T1" s="1133"/>
      <c r="U1" s="1133"/>
      <c r="V1" s="1133"/>
      <c r="W1" s="1133"/>
      <c r="X1" s="1133"/>
      <c r="Y1" s="1133"/>
      <c r="Z1" s="1133"/>
      <c r="AA1" s="1133"/>
      <c r="AB1" s="1133"/>
      <c r="AC1" s="1133"/>
      <c r="AD1" s="1133"/>
      <c r="AE1" s="1133"/>
      <c r="AF1" s="1133"/>
      <c r="AG1" s="1133"/>
      <c r="AH1" s="1133"/>
      <c r="AI1" s="1190"/>
      <c r="AJ1" s="338"/>
    </row>
    <row r="2" spans="1:48" ht="15">
      <c r="A2" s="1191" t="s">
        <v>2131</v>
      </c>
      <c r="B2" s="1191"/>
      <c r="C2" s="1191"/>
      <c r="D2" s="1191"/>
      <c r="E2" s="1191"/>
      <c r="F2" s="1191"/>
      <c r="G2" s="1191"/>
      <c r="H2" s="1191"/>
      <c r="I2" s="1191"/>
      <c r="J2" s="1191"/>
      <c r="K2" s="1191"/>
      <c r="L2" s="1191"/>
      <c r="M2" s="1191"/>
      <c r="N2" s="1191"/>
      <c r="O2" s="1191"/>
      <c r="P2" s="1191"/>
      <c r="Q2" s="1191"/>
      <c r="R2" s="1191"/>
      <c r="S2" s="1191"/>
      <c r="T2" s="1191"/>
      <c r="U2" s="1191"/>
      <c r="V2" s="1191"/>
      <c r="W2" s="1191"/>
      <c r="X2" s="1191"/>
      <c r="Y2" s="1191"/>
      <c r="Z2" s="1191"/>
      <c r="AA2" s="1191"/>
      <c r="AB2" s="1191"/>
      <c r="AC2" s="1191"/>
      <c r="AD2" s="1191"/>
      <c r="AE2" s="1191"/>
      <c r="AF2" s="1191"/>
      <c r="AG2" s="1191"/>
      <c r="AH2" s="1191"/>
      <c r="AI2" s="1191"/>
      <c r="AJ2" s="338"/>
    </row>
    <row r="3" spans="1:48" ht="15">
      <c r="A3" s="1192"/>
      <c r="B3" s="1193"/>
      <c r="C3" s="1193"/>
      <c r="D3" s="1193"/>
      <c r="E3" s="1193"/>
      <c r="F3" s="1193"/>
      <c r="G3" s="1193"/>
      <c r="H3" s="1193"/>
      <c r="I3" s="1193"/>
      <c r="J3" s="1193"/>
      <c r="K3" s="1193"/>
      <c r="L3" s="1193"/>
      <c r="M3" s="1193"/>
      <c r="N3" s="1193"/>
      <c r="O3" s="1193"/>
      <c r="P3" s="1193"/>
      <c r="Q3" s="1193"/>
      <c r="R3" s="1193"/>
      <c r="S3" s="1193"/>
      <c r="T3" s="1193"/>
      <c r="U3" s="1193"/>
      <c r="V3" s="1193"/>
      <c r="W3" s="1193"/>
      <c r="X3" s="1193"/>
      <c r="Y3" s="1193"/>
      <c r="Z3" s="1193"/>
      <c r="AA3" s="1193"/>
      <c r="AB3" s="1193"/>
      <c r="AC3" s="1193"/>
      <c r="AD3" s="1193"/>
      <c r="AE3" s="1193"/>
      <c r="AF3" s="1193"/>
      <c r="AG3" s="1193"/>
      <c r="AH3" s="1193"/>
      <c r="AI3" s="1194"/>
      <c r="AJ3" s="338"/>
    </row>
    <row r="4" spans="1:48" ht="25.5">
      <c r="A4" s="1195" t="s">
        <v>482</v>
      </c>
      <c r="B4" s="339" t="s">
        <v>68</v>
      </c>
      <c r="C4" s="339" t="s">
        <v>483</v>
      </c>
      <c r="D4" s="340" t="s">
        <v>70</v>
      </c>
      <c r="E4" s="341" t="s">
        <v>68</v>
      </c>
      <c r="F4" s="339" t="s">
        <v>483</v>
      </c>
      <c r="G4" s="342" t="s">
        <v>70</v>
      </c>
      <c r="H4" s="343" t="s">
        <v>68</v>
      </c>
      <c r="I4" s="344" t="s">
        <v>483</v>
      </c>
      <c r="J4" s="345" t="s">
        <v>70</v>
      </c>
      <c r="K4" s="343" t="s">
        <v>68</v>
      </c>
      <c r="L4" s="344" t="s">
        <v>483</v>
      </c>
      <c r="M4" s="345" t="s">
        <v>70</v>
      </c>
      <c r="N4" s="346" t="s">
        <v>68</v>
      </c>
      <c r="O4" s="344" t="s">
        <v>483</v>
      </c>
      <c r="P4" s="347" t="s">
        <v>70</v>
      </c>
      <c r="Q4" s="348" t="s">
        <v>68</v>
      </c>
      <c r="R4" s="344" t="s">
        <v>483</v>
      </c>
      <c r="S4" s="347" t="s">
        <v>70</v>
      </c>
      <c r="T4" s="348" t="s">
        <v>68</v>
      </c>
      <c r="U4" s="344" t="s">
        <v>483</v>
      </c>
      <c r="V4" s="345" t="s">
        <v>70</v>
      </c>
      <c r="W4" s="346" t="s">
        <v>68</v>
      </c>
      <c r="X4" s="344" t="s">
        <v>483</v>
      </c>
      <c r="Y4" s="347" t="s">
        <v>70</v>
      </c>
      <c r="Z4" s="346" t="s">
        <v>68</v>
      </c>
      <c r="AA4" s="344" t="s">
        <v>483</v>
      </c>
      <c r="AB4" s="345" t="s">
        <v>70</v>
      </c>
      <c r="AC4" s="346" t="s">
        <v>68</v>
      </c>
      <c r="AD4" s="344" t="s">
        <v>483</v>
      </c>
      <c r="AE4" s="347" t="s">
        <v>70</v>
      </c>
      <c r="AF4" s="346" t="s">
        <v>68</v>
      </c>
      <c r="AG4" s="344" t="s">
        <v>483</v>
      </c>
      <c r="AH4" s="344" t="s">
        <v>70</v>
      </c>
      <c r="AI4" s="1198" t="s">
        <v>484</v>
      </c>
      <c r="AJ4" s="338"/>
    </row>
    <row r="5" spans="1:48" ht="18.75">
      <c r="A5" s="1196"/>
      <c r="B5" s="349" t="s">
        <v>71</v>
      </c>
      <c r="C5" s="349" t="s">
        <v>76</v>
      </c>
      <c r="D5" s="350" t="s">
        <v>77</v>
      </c>
      <c r="E5" s="351" t="s">
        <v>71</v>
      </c>
      <c r="F5" s="349" t="s">
        <v>76</v>
      </c>
      <c r="G5" s="352" t="s">
        <v>77</v>
      </c>
      <c r="H5" s="353" t="s">
        <v>71</v>
      </c>
      <c r="I5" s="349" t="s">
        <v>76</v>
      </c>
      <c r="J5" s="352" t="s">
        <v>77</v>
      </c>
      <c r="K5" s="353" t="s">
        <v>71</v>
      </c>
      <c r="L5" s="349" t="s">
        <v>76</v>
      </c>
      <c r="M5" s="352" t="s">
        <v>77</v>
      </c>
      <c r="N5" s="354" t="s">
        <v>71</v>
      </c>
      <c r="O5" s="349" t="s">
        <v>76</v>
      </c>
      <c r="P5" s="355" t="s">
        <v>77</v>
      </c>
      <c r="Q5" s="351" t="s">
        <v>71</v>
      </c>
      <c r="R5" s="349" t="s">
        <v>76</v>
      </c>
      <c r="S5" s="355" t="s">
        <v>77</v>
      </c>
      <c r="T5" s="351" t="s">
        <v>71</v>
      </c>
      <c r="U5" s="349" t="s">
        <v>76</v>
      </c>
      <c r="V5" s="352" t="s">
        <v>77</v>
      </c>
      <c r="W5" s="354" t="s">
        <v>71</v>
      </c>
      <c r="X5" s="349" t="s">
        <v>76</v>
      </c>
      <c r="Y5" s="355" t="s">
        <v>77</v>
      </c>
      <c r="Z5" s="354" t="s">
        <v>71</v>
      </c>
      <c r="AA5" s="349" t="s">
        <v>76</v>
      </c>
      <c r="AB5" s="352" t="s">
        <v>77</v>
      </c>
      <c r="AC5" s="354" t="s">
        <v>71</v>
      </c>
      <c r="AD5" s="349" t="s">
        <v>76</v>
      </c>
      <c r="AE5" s="355" t="s">
        <v>77</v>
      </c>
      <c r="AF5" s="354" t="s">
        <v>71</v>
      </c>
      <c r="AG5" s="349" t="s">
        <v>76</v>
      </c>
      <c r="AH5" s="349" t="s">
        <v>77</v>
      </c>
      <c r="AI5" s="1199"/>
      <c r="AJ5" s="338"/>
      <c r="AT5" s="15" t="s">
        <v>485</v>
      </c>
    </row>
    <row r="6" spans="1:48">
      <c r="A6" s="1197"/>
      <c r="B6" s="1201">
        <v>2012</v>
      </c>
      <c r="C6" s="1202"/>
      <c r="D6" s="1203"/>
      <c r="E6" s="1202">
        <v>2013</v>
      </c>
      <c r="F6" s="1202"/>
      <c r="G6" s="1202"/>
      <c r="H6" s="1204">
        <v>2014</v>
      </c>
      <c r="I6" s="1202"/>
      <c r="J6" s="1202"/>
      <c r="K6" s="1205">
        <v>2015</v>
      </c>
      <c r="L6" s="1206"/>
      <c r="M6" s="1206"/>
      <c r="N6" s="1207">
        <v>2016</v>
      </c>
      <c r="O6" s="1206"/>
      <c r="P6" s="1208"/>
      <c r="Q6" s="1202">
        <v>2017</v>
      </c>
      <c r="R6" s="1202"/>
      <c r="S6" s="1210"/>
      <c r="T6" s="1202">
        <v>2018</v>
      </c>
      <c r="U6" s="1202"/>
      <c r="V6" s="1202"/>
      <c r="W6" s="1209">
        <v>2019</v>
      </c>
      <c r="X6" s="1202"/>
      <c r="Y6" s="1210"/>
      <c r="Z6" s="1209">
        <v>2020</v>
      </c>
      <c r="AA6" s="1202"/>
      <c r="AB6" s="1202"/>
      <c r="AC6" s="1209">
        <v>2022</v>
      </c>
      <c r="AD6" s="1202"/>
      <c r="AE6" s="1210"/>
      <c r="AF6" s="1209" t="s">
        <v>486</v>
      </c>
      <c r="AG6" s="1202"/>
      <c r="AH6" s="1211"/>
      <c r="AI6" s="1200"/>
      <c r="AJ6" s="338"/>
    </row>
    <row r="7" spans="1:48" ht="21">
      <c r="A7" s="356" t="s">
        <v>73</v>
      </c>
      <c r="B7" s="357">
        <f>C7+D7</f>
        <v>641</v>
      </c>
      <c r="C7" s="357">
        <f>SUM(C8:C16)</f>
        <v>435</v>
      </c>
      <c r="D7" s="358">
        <f>SUM(D8:D16)</f>
        <v>206</v>
      </c>
      <c r="E7" s="359">
        <f>F7+G7</f>
        <v>699</v>
      </c>
      <c r="F7" s="357">
        <f>SUM(F8:F16)</f>
        <v>466</v>
      </c>
      <c r="G7" s="360">
        <f>SUM(G8:G16)</f>
        <v>233</v>
      </c>
      <c r="H7" s="361">
        <f>SUM(I7:J7)</f>
        <v>798</v>
      </c>
      <c r="I7" s="362">
        <f>SUM(I8:I16)</f>
        <v>521</v>
      </c>
      <c r="J7" s="363">
        <f>SUM(J8:J16)</f>
        <v>277</v>
      </c>
      <c r="K7" s="361">
        <f>SUM(L7:M7)</f>
        <v>145</v>
      </c>
      <c r="L7" s="362">
        <f>SUM(L8:L16)</f>
        <v>72</v>
      </c>
      <c r="M7" s="363">
        <f>SUM(M8:M16)</f>
        <v>73</v>
      </c>
      <c r="N7" s="364">
        <f>SUM(O7:P7)</f>
        <v>132</v>
      </c>
      <c r="O7" s="365">
        <f>SUM(O8:O16)</f>
        <v>54</v>
      </c>
      <c r="P7" s="366">
        <f>SUM(P8:P16)</f>
        <v>78</v>
      </c>
      <c r="Q7" s="367">
        <f>SUM(R7:S7)</f>
        <v>0</v>
      </c>
      <c r="R7" s="362">
        <f>SUM(R8:R16)</f>
        <v>0</v>
      </c>
      <c r="S7" s="368">
        <f>SUM(S8:S16)</f>
        <v>0</v>
      </c>
      <c r="T7" s="367">
        <f t="shared" ref="T7:T12" si="0">SUM(U7:V7)</f>
        <v>661</v>
      </c>
      <c r="U7" s="362">
        <f>SUM(U8:U16)</f>
        <v>435</v>
      </c>
      <c r="V7" s="363">
        <f>SUM(V8:V16)</f>
        <v>226</v>
      </c>
      <c r="W7" s="369">
        <f>SUM(X7:Y7)</f>
        <v>215</v>
      </c>
      <c r="X7" s="362">
        <f>SUM(X8:X16)</f>
        <v>108</v>
      </c>
      <c r="Y7" s="368">
        <f>SUM(Y8:Y16)</f>
        <v>107</v>
      </c>
      <c r="Z7" s="538">
        <f>AA7+AB7</f>
        <v>281</v>
      </c>
      <c r="AA7" s="538">
        <v>125</v>
      </c>
      <c r="AB7" s="538">
        <v>156</v>
      </c>
      <c r="AC7" s="980">
        <f>AD7+AE7</f>
        <v>0</v>
      </c>
      <c r="AD7" s="538">
        <f>SUM(AD8:AD12)</f>
        <v>0</v>
      </c>
      <c r="AE7" s="538">
        <f>SUM(AE8:AE12)</f>
        <v>0</v>
      </c>
      <c r="AF7" s="369">
        <f>H7+K7+N7+Q7+T7+W7+Z7+AC7</f>
        <v>2232</v>
      </c>
      <c r="AG7" s="369">
        <f>I7+L7+O7+R7+U7+X7+AA7+AD7</f>
        <v>1315</v>
      </c>
      <c r="AH7" s="369">
        <f>J7+M7+P7+S7+V7+Y7+AB7+AE7</f>
        <v>917</v>
      </c>
      <c r="AI7" s="370" t="s">
        <v>49</v>
      </c>
      <c r="AJ7" s="338"/>
      <c r="AT7" s="15">
        <v>423</v>
      </c>
      <c r="AU7" s="15" t="s">
        <v>42</v>
      </c>
      <c r="AV7" s="15">
        <f>AT7/AT9*100</f>
        <v>39.348837209302324</v>
      </c>
    </row>
    <row r="8" spans="1:48" ht="21">
      <c r="A8" s="271" t="s">
        <v>487</v>
      </c>
      <c r="B8" s="371">
        <f>SUM(C8:D8)</f>
        <v>91</v>
      </c>
      <c r="C8" s="372">
        <v>91</v>
      </c>
      <c r="D8" s="373">
        <v>0</v>
      </c>
      <c r="E8" s="374">
        <f>SUM(F8:G8)</f>
        <v>89</v>
      </c>
      <c r="F8" s="372">
        <v>89</v>
      </c>
      <c r="G8" s="375">
        <v>0</v>
      </c>
      <c r="H8" s="376">
        <f>SUM(I8:J8)</f>
        <v>90</v>
      </c>
      <c r="I8" s="376">
        <v>90</v>
      </c>
      <c r="J8" s="377">
        <v>0</v>
      </c>
      <c r="K8" s="378">
        <f t="shared" ref="K8:K16" si="1">SUM(L8:M8)</f>
        <v>0</v>
      </c>
      <c r="L8" s="379">
        <v>0</v>
      </c>
      <c r="M8" s="380">
        <v>0</v>
      </c>
      <c r="N8" s="381">
        <f t="shared" ref="N8:N16" si="2">SUM(O8:P8)</f>
        <v>0</v>
      </c>
      <c r="O8" s="379">
        <v>0</v>
      </c>
      <c r="P8" s="380">
        <v>0</v>
      </c>
      <c r="Q8" s="382">
        <v>0</v>
      </c>
      <c r="R8" s="382">
        <v>0</v>
      </c>
      <c r="S8" s="383">
        <v>0</v>
      </c>
      <c r="T8" s="382">
        <f t="shared" si="0"/>
        <v>90</v>
      </c>
      <c r="U8" s="384">
        <v>90</v>
      </c>
      <c r="V8" s="385">
        <v>0</v>
      </c>
      <c r="W8" s="540">
        <v>0</v>
      </c>
      <c r="X8" s="384">
        <v>0</v>
      </c>
      <c r="Y8" s="939">
        <v>0</v>
      </c>
      <c r="Z8" s="940">
        <v>0</v>
      </c>
      <c r="AA8" s="940">
        <v>0</v>
      </c>
      <c r="AB8" s="940">
        <v>0</v>
      </c>
      <c r="AC8" s="981">
        <v>0</v>
      </c>
      <c r="AD8" s="982"/>
      <c r="AE8" s="983"/>
      <c r="AF8" s="369">
        <f t="shared" ref="AF8:AF16" si="3">H8+K8+N8+Q8+T8+W8+Z8+AC8</f>
        <v>180</v>
      </c>
      <c r="AG8" s="540">
        <f t="shared" ref="AG8:AG16" si="4">I8+L8+O8+R8+U8+X8+AA8+AD8</f>
        <v>180</v>
      </c>
      <c r="AH8" s="540">
        <f t="shared" ref="AH8:AH16" si="5">J8+M8+P8+S8+V8+Y8+AB8+AE8</f>
        <v>0</v>
      </c>
      <c r="AI8" s="386" t="s">
        <v>488</v>
      </c>
      <c r="AJ8" s="338"/>
      <c r="AT8" s="15">
        <v>652</v>
      </c>
      <c r="AU8" s="15" t="s">
        <v>40</v>
      </c>
      <c r="AV8" s="15">
        <f>AT8/AT9*100</f>
        <v>60.651162790697676</v>
      </c>
    </row>
    <row r="9" spans="1:48" ht="21">
      <c r="A9" s="387" t="s">
        <v>489</v>
      </c>
      <c r="B9" s="371">
        <f t="shared" ref="B9:B16" si="6">SUM(C9:D9)</f>
        <v>74</v>
      </c>
      <c r="C9" s="372">
        <v>73</v>
      </c>
      <c r="D9" s="373">
        <v>1</v>
      </c>
      <c r="E9" s="374">
        <f t="shared" ref="E9:E16" si="7">SUM(F9:G9)</f>
        <v>74</v>
      </c>
      <c r="F9" s="372">
        <v>73</v>
      </c>
      <c r="G9" s="375">
        <v>1</v>
      </c>
      <c r="H9" s="376">
        <f t="shared" ref="H9:H16" si="8">SUM(I9:J9)</f>
        <v>72</v>
      </c>
      <c r="I9" s="376">
        <v>71</v>
      </c>
      <c r="J9" s="377">
        <v>1</v>
      </c>
      <c r="K9" s="378">
        <f t="shared" si="1"/>
        <v>0</v>
      </c>
      <c r="L9" s="379">
        <v>0</v>
      </c>
      <c r="M9" s="380">
        <v>0</v>
      </c>
      <c r="N9" s="381">
        <f t="shared" si="2"/>
        <v>0</v>
      </c>
      <c r="O9" s="379">
        <v>0</v>
      </c>
      <c r="P9" s="380">
        <v>0</v>
      </c>
      <c r="Q9" s="382">
        <v>0</v>
      </c>
      <c r="R9" s="382">
        <v>0</v>
      </c>
      <c r="S9" s="383">
        <v>0</v>
      </c>
      <c r="T9" s="382">
        <f t="shared" si="0"/>
        <v>72</v>
      </c>
      <c r="U9" s="384">
        <v>71</v>
      </c>
      <c r="V9" s="385">
        <v>1</v>
      </c>
      <c r="W9" s="540">
        <v>0</v>
      </c>
      <c r="X9" s="384">
        <v>0</v>
      </c>
      <c r="Y9" s="939">
        <v>0</v>
      </c>
      <c r="Z9" s="940">
        <v>0</v>
      </c>
      <c r="AA9" s="940">
        <v>0</v>
      </c>
      <c r="AB9" s="940">
        <v>0</v>
      </c>
      <c r="AC9" s="981">
        <v>0</v>
      </c>
      <c r="AD9" s="982"/>
      <c r="AE9" s="983"/>
      <c r="AF9" s="369">
        <f t="shared" si="3"/>
        <v>144</v>
      </c>
      <c r="AG9" s="540">
        <f t="shared" si="4"/>
        <v>142</v>
      </c>
      <c r="AH9" s="540">
        <f t="shared" si="5"/>
        <v>2</v>
      </c>
      <c r="AI9" s="386" t="s">
        <v>490</v>
      </c>
      <c r="AJ9" s="338"/>
      <c r="AT9" s="15">
        <v>1075</v>
      </c>
    </row>
    <row r="10" spans="1:48" ht="21">
      <c r="A10" s="387" t="s">
        <v>491</v>
      </c>
      <c r="B10" s="371">
        <f t="shared" si="6"/>
        <v>7</v>
      </c>
      <c r="C10" s="388">
        <v>7</v>
      </c>
      <c r="D10" s="389">
        <v>0</v>
      </c>
      <c r="E10" s="374">
        <f t="shared" si="7"/>
        <v>7</v>
      </c>
      <c r="F10" s="388">
        <v>7</v>
      </c>
      <c r="G10" s="390">
        <v>0</v>
      </c>
      <c r="H10" s="376">
        <f t="shared" si="8"/>
        <v>7</v>
      </c>
      <c r="I10" s="376">
        <v>7</v>
      </c>
      <c r="J10" s="377">
        <v>0</v>
      </c>
      <c r="K10" s="378">
        <f t="shared" si="1"/>
        <v>0</v>
      </c>
      <c r="L10" s="379">
        <v>0</v>
      </c>
      <c r="M10" s="380">
        <v>0</v>
      </c>
      <c r="N10" s="381">
        <f t="shared" si="2"/>
        <v>0</v>
      </c>
      <c r="O10" s="379">
        <v>0</v>
      </c>
      <c r="P10" s="380">
        <v>0</v>
      </c>
      <c r="Q10" s="382">
        <v>0</v>
      </c>
      <c r="R10" s="382">
        <v>0</v>
      </c>
      <c r="S10" s="383">
        <v>0</v>
      </c>
      <c r="T10" s="382">
        <f t="shared" si="0"/>
        <v>7</v>
      </c>
      <c r="U10" s="384">
        <v>7</v>
      </c>
      <c r="V10" s="385">
        <v>0</v>
      </c>
      <c r="W10" s="540">
        <v>0</v>
      </c>
      <c r="X10" s="384">
        <v>0</v>
      </c>
      <c r="Y10" s="939">
        <v>0</v>
      </c>
      <c r="Z10" s="940">
        <v>0</v>
      </c>
      <c r="AA10" s="940">
        <v>0</v>
      </c>
      <c r="AB10" s="940">
        <v>0</v>
      </c>
      <c r="AC10" s="981">
        <v>0</v>
      </c>
      <c r="AD10" s="982"/>
      <c r="AE10" s="983"/>
      <c r="AF10" s="369">
        <f t="shared" si="3"/>
        <v>14</v>
      </c>
      <c r="AG10" s="540">
        <f t="shared" si="4"/>
        <v>14</v>
      </c>
      <c r="AH10" s="540">
        <f t="shared" si="5"/>
        <v>0</v>
      </c>
      <c r="AI10" s="386" t="s">
        <v>492</v>
      </c>
      <c r="AJ10" s="338"/>
    </row>
    <row r="11" spans="1:48" ht="21">
      <c r="A11" s="271" t="s">
        <v>493</v>
      </c>
      <c r="B11" s="371">
        <f t="shared" si="6"/>
        <v>43</v>
      </c>
      <c r="C11" s="388">
        <v>25</v>
      </c>
      <c r="D11" s="389">
        <v>18</v>
      </c>
      <c r="E11" s="374">
        <f t="shared" si="7"/>
        <v>43</v>
      </c>
      <c r="F11" s="388">
        <v>25</v>
      </c>
      <c r="G11" s="390">
        <v>18</v>
      </c>
      <c r="H11" s="376">
        <f t="shared" si="8"/>
        <v>43</v>
      </c>
      <c r="I11" s="376">
        <v>25</v>
      </c>
      <c r="J11" s="377">
        <v>18</v>
      </c>
      <c r="K11" s="378">
        <f t="shared" si="1"/>
        <v>0</v>
      </c>
      <c r="L11" s="379">
        <v>0</v>
      </c>
      <c r="M11" s="380">
        <v>0</v>
      </c>
      <c r="N11" s="381">
        <f t="shared" si="2"/>
        <v>0</v>
      </c>
      <c r="O11" s="379">
        <v>0</v>
      </c>
      <c r="P11" s="380">
        <v>0</v>
      </c>
      <c r="Q11" s="382">
        <v>0</v>
      </c>
      <c r="R11" s="382">
        <v>0</v>
      </c>
      <c r="S11" s="383">
        <v>0</v>
      </c>
      <c r="T11" s="382">
        <f t="shared" si="0"/>
        <v>43</v>
      </c>
      <c r="U11" s="384">
        <v>25</v>
      </c>
      <c r="V11" s="385">
        <v>18</v>
      </c>
      <c r="W11" s="540">
        <v>0</v>
      </c>
      <c r="X11" s="384">
        <v>0</v>
      </c>
      <c r="Y11" s="939">
        <v>0</v>
      </c>
      <c r="Z11" s="940">
        <v>0</v>
      </c>
      <c r="AA11" s="940">
        <v>0</v>
      </c>
      <c r="AB11" s="940">
        <v>0</v>
      </c>
      <c r="AC11" s="981">
        <v>0</v>
      </c>
      <c r="AD11" s="982"/>
      <c r="AE11" s="983"/>
      <c r="AF11" s="369">
        <f t="shared" si="3"/>
        <v>86</v>
      </c>
      <c r="AG11" s="540">
        <f t="shared" si="4"/>
        <v>50</v>
      </c>
      <c r="AH11" s="540">
        <f t="shared" si="5"/>
        <v>36</v>
      </c>
      <c r="AI11" s="386" t="s">
        <v>494</v>
      </c>
      <c r="AJ11" s="338"/>
    </row>
    <row r="12" spans="1:48" ht="21">
      <c r="A12" s="271" t="s">
        <v>495</v>
      </c>
      <c r="B12" s="371">
        <f t="shared" si="6"/>
        <v>68</v>
      </c>
      <c r="C12" s="388">
        <v>31</v>
      </c>
      <c r="D12" s="389">
        <v>37</v>
      </c>
      <c r="E12" s="374">
        <f t="shared" si="7"/>
        <v>68</v>
      </c>
      <c r="F12" s="388">
        <v>31</v>
      </c>
      <c r="G12" s="390">
        <v>37</v>
      </c>
      <c r="H12" s="376">
        <f t="shared" si="8"/>
        <v>68</v>
      </c>
      <c r="I12" s="376">
        <v>31</v>
      </c>
      <c r="J12" s="377">
        <v>37</v>
      </c>
      <c r="K12" s="378">
        <f t="shared" si="1"/>
        <v>0</v>
      </c>
      <c r="L12" s="379">
        <v>0</v>
      </c>
      <c r="M12" s="380">
        <v>0</v>
      </c>
      <c r="N12" s="381">
        <f t="shared" si="2"/>
        <v>0</v>
      </c>
      <c r="O12" s="379">
        <v>0</v>
      </c>
      <c r="P12" s="380">
        <v>0</v>
      </c>
      <c r="Q12" s="382">
        <v>0</v>
      </c>
      <c r="R12" s="382">
        <v>0</v>
      </c>
      <c r="S12" s="383">
        <v>0</v>
      </c>
      <c r="T12" s="382">
        <f t="shared" si="0"/>
        <v>68</v>
      </c>
      <c r="U12" s="384">
        <v>31</v>
      </c>
      <c r="V12" s="385">
        <v>37</v>
      </c>
      <c r="W12" s="540">
        <v>0</v>
      </c>
      <c r="X12" s="384">
        <v>0</v>
      </c>
      <c r="Y12" s="939">
        <v>0</v>
      </c>
      <c r="Z12" s="940">
        <v>0</v>
      </c>
      <c r="AA12" s="940">
        <v>0</v>
      </c>
      <c r="AB12" s="940">
        <v>0</v>
      </c>
      <c r="AC12" s="981">
        <v>0</v>
      </c>
      <c r="AD12" s="982"/>
      <c r="AE12" s="983"/>
      <c r="AF12" s="369">
        <f t="shared" si="3"/>
        <v>136</v>
      </c>
      <c r="AG12" s="540">
        <f t="shared" si="4"/>
        <v>62</v>
      </c>
      <c r="AH12" s="540">
        <f t="shared" si="5"/>
        <v>74</v>
      </c>
      <c r="AI12" s="386" t="s">
        <v>496</v>
      </c>
      <c r="AJ12" s="338"/>
    </row>
    <row r="13" spans="1:48" ht="21">
      <c r="A13" s="387" t="s">
        <v>497</v>
      </c>
      <c r="B13" s="371">
        <f t="shared" si="6"/>
        <v>331</v>
      </c>
      <c r="C13" s="388">
        <v>183</v>
      </c>
      <c r="D13" s="389">
        <v>148</v>
      </c>
      <c r="E13" s="374">
        <f t="shared" si="7"/>
        <v>391</v>
      </c>
      <c r="F13" s="388">
        <v>216</v>
      </c>
      <c r="G13" s="390">
        <v>175</v>
      </c>
      <c r="H13" s="376">
        <f t="shared" si="8"/>
        <v>492</v>
      </c>
      <c r="I13" s="391">
        <v>273</v>
      </c>
      <c r="J13" s="392">
        <v>219</v>
      </c>
      <c r="K13" s="378">
        <f t="shared" si="1"/>
        <v>145</v>
      </c>
      <c r="L13" s="388">
        <v>72</v>
      </c>
      <c r="M13" s="389">
        <v>73</v>
      </c>
      <c r="N13" s="381">
        <f t="shared" si="2"/>
        <v>132</v>
      </c>
      <c r="O13" s="388">
        <v>54</v>
      </c>
      <c r="P13" s="389">
        <v>78</v>
      </c>
      <c r="Q13" s="382">
        <v>0</v>
      </c>
      <c r="R13" s="382">
        <v>0</v>
      </c>
      <c r="S13" s="383">
        <v>0</v>
      </c>
      <c r="T13" s="382">
        <v>355</v>
      </c>
      <c r="U13" s="384">
        <v>187</v>
      </c>
      <c r="V13" s="385">
        <v>168</v>
      </c>
      <c r="W13" s="540">
        <v>215</v>
      </c>
      <c r="X13" s="384">
        <v>108</v>
      </c>
      <c r="Y13" s="939">
        <v>107</v>
      </c>
      <c r="Z13" s="538">
        <f>AA13+AB13</f>
        <v>281</v>
      </c>
      <c r="AA13" s="538">
        <v>125</v>
      </c>
      <c r="AB13" s="538">
        <v>156</v>
      </c>
      <c r="AC13" s="980">
        <f>AD13+AE13</f>
        <v>0</v>
      </c>
      <c r="AD13" s="538">
        <f>SUM(AD14:AD16)</f>
        <v>0</v>
      </c>
      <c r="AE13" s="538">
        <f>SUM(AE14:AE16)</f>
        <v>0</v>
      </c>
      <c r="AF13" s="369">
        <f t="shared" si="3"/>
        <v>1620</v>
      </c>
      <c r="AG13" s="540">
        <f t="shared" si="4"/>
        <v>819</v>
      </c>
      <c r="AH13" s="540">
        <f t="shared" si="5"/>
        <v>801</v>
      </c>
      <c r="AI13" s="386" t="s">
        <v>498</v>
      </c>
      <c r="AJ13" s="338"/>
    </row>
    <row r="14" spans="1:48" ht="21">
      <c r="A14" s="271" t="s">
        <v>499</v>
      </c>
      <c r="B14" s="371">
        <f t="shared" si="6"/>
        <v>10</v>
      </c>
      <c r="C14" s="388">
        <v>8</v>
      </c>
      <c r="D14" s="389">
        <v>2</v>
      </c>
      <c r="E14" s="374">
        <f t="shared" si="7"/>
        <v>11</v>
      </c>
      <c r="F14" s="388">
        <v>9</v>
      </c>
      <c r="G14" s="390">
        <v>2</v>
      </c>
      <c r="H14" s="376">
        <f t="shared" si="8"/>
        <v>11</v>
      </c>
      <c r="I14" s="376">
        <v>9</v>
      </c>
      <c r="J14" s="377">
        <v>2</v>
      </c>
      <c r="K14" s="378">
        <f t="shared" si="1"/>
        <v>0</v>
      </c>
      <c r="L14" s="379">
        <v>0</v>
      </c>
      <c r="M14" s="380">
        <v>0</v>
      </c>
      <c r="N14" s="381">
        <f t="shared" si="2"/>
        <v>0</v>
      </c>
      <c r="O14" s="379">
        <v>0</v>
      </c>
      <c r="P14" s="380">
        <v>0</v>
      </c>
      <c r="Q14" s="382">
        <v>0</v>
      </c>
      <c r="R14" s="382">
        <v>0</v>
      </c>
      <c r="S14" s="383">
        <v>0</v>
      </c>
      <c r="T14" s="382">
        <f>SUM(U14:V14)</f>
        <v>11</v>
      </c>
      <c r="U14" s="384">
        <v>9</v>
      </c>
      <c r="V14" s="385">
        <v>2</v>
      </c>
      <c r="W14" s="540">
        <v>0</v>
      </c>
      <c r="X14" s="384">
        <v>0</v>
      </c>
      <c r="Y14" s="939">
        <v>0</v>
      </c>
      <c r="Z14" s="940">
        <v>0</v>
      </c>
      <c r="AA14" s="940">
        <v>0</v>
      </c>
      <c r="AB14" s="940">
        <v>0</v>
      </c>
      <c r="AC14" s="981">
        <v>0</v>
      </c>
      <c r="AD14" s="982"/>
      <c r="AE14" s="983"/>
      <c r="AF14" s="369">
        <f t="shared" si="3"/>
        <v>22</v>
      </c>
      <c r="AG14" s="540">
        <f t="shared" si="4"/>
        <v>18</v>
      </c>
      <c r="AH14" s="540">
        <f t="shared" si="5"/>
        <v>4</v>
      </c>
      <c r="AI14" s="386" t="s">
        <v>500</v>
      </c>
      <c r="AJ14" s="338"/>
    </row>
    <row r="15" spans="1:48" ht="21">
      <c r="A15" s="387" t="s">
        <v>501</v>
      </c>
      <c r="B15" s="371">
        <f t="shared" si="6"/>
        <v>2</v>
      </c>
      <c r="C15" s="388">
        <v>2</v>
      </c>
      <c r="D15" s="389">
        <v>0</v>
      </c>
      <c r="E15" s="374">
        <f t="shared" si="7"/>
        <v>1</v>
      </c>
      <c r="F15" s="388">
        <v>1</v>
      </c>
      <c r="G15" s="390">
        <v>0</v>
      </c>
      <c r="H15" s="376">
        <f t="shared" si="8"/>
        <v>1</v>
      </c>
      <c r="I15" s="376">
        <v>1</v>
      </c>
      <c r="J15" s="377">
        <v>0</v>
      </c>
      <c r="K15" s="378">
        <f t="shared" si="1"/>
        <v>0</v>
      </c>
      <c r="L15" s="379">
        <v>0</v>
      </c>
      <c r="M15" s="380">
        <v>0</v>
      </c>
      <c r="N15" s="381">
        <f t="shared" si="2"/>
        <v>0</v>
      </c>
      <c r="O15" s="379">
        <v>0</v>
      </c>
      <c r="P15" s="380">
        <v>0</v>
      </c>
      <c r="Q15" s="382">
        <v>0</v>
      </c>
      <c r="R15" s="382">
        <v>0</v>
      </c>
      <c r="S15" s="383">
        <v>0</v>
      </c>
      <c r="T15" s="382">
        <f>SUM(U15:V15)</f>
        <v>1</v>
      </c>
      <c r="U15" s="384">
        <v>1</v>
      </c>
      <c r="V15" s="385">
        <v>0</v>
      </c>
      <c r="W15" s="540">
        <v>0</v>
      </c>
      <c r="X15" s="384">
        <v>0</v>
      </c>
      <c r="Y15" s="939">
        <v>0</v>
      </c>
      <c r="Z15" s="940">
        <v>0</v>
      </c>
      <c r="AA15" s="940">
        <v>0</v>
      </c>
      <c r="AB15" s="940">
        <v>0</v>
      </c>
      <c r="AC15" s="981">
        <v>0</v>
      </c>
      <c r="AD15" s="982"/>
      <c r="AE15" s="983"/>
      <c r="AF15" s="369">
        <f t="shared" si="3"/>
        <v>2</v>
      </c>
      <c r="AG15" s="540">
        <f t="shared" si="4"/>
        <v>2</v>
      </c>
      <c r="AH15" s="540">
        <f t="shared" si="5"/>
        <v>0</v>
      </c>
      <c r="AI15" s="386" t="s">
        <v>502</v>
      </c>
      <c r="AJ15" s="338"/>
    </row>
    <row r="16" spans="1:48" ht="21">
      <c r="A16" s="393" t="s">
        <v>503</v>
      </c>
      <c r="B16" s="394">
        <f t="shared" si="6"/>
        <v>15</v>
      </c>
      <c r="C16" s="395">
        <v>15</v>
      </c>
      <c r="D16" s="396">
        <v>0</v>
      </c>
      <c r="E16" s="397">
        <f t="shared" si="7"/>
        <v>15</v>
      </c>
      <c r="F16" s="395">
        <v>15</v>
      </c>
      <c r="G16" s="398">
        <v>0</v>
      </c>
      <c r="H16" s="399">
        <f t="shared" si="8"/>
        <v>14</v>
      </c>
      <c r="I16" s="399">
        <v>14</v>
      </c>
      <c r="J16" s="400">
        <v>0</v>
      </c>
      <c r="K16" s="401">
        <f t="shared" si="1"/>
        <v>0</v>
      </c>
      <c r="L16" s="402">
        <v>0</v>
      </c>
      <c r="M16" s="403">
        <v>0</v>
      </c>
      <c r="N16" s="402">
        <f t="shared" si="2"/>
        <v>0</v>
      </c>
      <c r="O16" s="402">
        <v>0</v>
      </c>
      <c r="P16" s="403">
        <v>0</v>
      </c>
      <c r="Q16" s="404">
        <v>0</v>
      </c>
      <c r="R16" s="404">
        <v>0</v>
      </c>
      <c r="S16" s="405">
        <v>0</v>
      </c>
      <c r="T16" s="404">
        <f>SUM(U16:V16)</f>
        <v>14</v>
      </c>
      <c r="U16" s="399">
        <v>14</v>
      </c>
      <c r="V16" s="400">
        <v>0</v>
      </c>
      <c r="W16" s="941">
        <v>0</v>
      </c>
      <c r="X16" s="399">
        <v>0</v>
      </c>
      <c r="Y16" s="942">
        <v>0</v>
      </c>
      <c r="Z16" s="943">
        <v>0</v>
      </c>
      <c r="AA16" s="944">
        <v>0</v>
      </c>
      <c r="AB16" s="944">
        <v>0</v>
      </c>
      <c r="AC16" s="943">
        <v>0</v>
      </c>
      <c r="AD16" s="984"/>
      <c r="AE16" s="985"/>
      <c r="AF16" s="406">
        <f t="shared" si="3"/>
        <v>28</v>
      </c>
      <c r="AG16" s="941">
        <f t="shared" si="4"/>
        <v>28</v>
      </c>
      <c r="AH16" s="941">
        <f t="shared" si="5"/>
        <v>0</v>
      </c>
      <c r="AI16" s="407" t="s">
        <v>13</v>
      </c>
      <c r="AJ16" s="338"/>
    </row>
    <row r="17" spans="1:36" ht="18.75">
      <c r="A17" s="57"/>
      <c r="B17" s="408"/>
      <c r="C17" s="408"/>
      <c r="D17" s="408"/>
      <c r="E17" s="408"/>
      <c r="F17" s="408"/>
      <c r="G17" s="275"/>
      <c r="H17" s="409"/>
      <c r="I17" s="409"/>
      <c r="J17" s="409"/>
      <c r="Q17" s="410"/>
      <c r="R17" s="411"/>
      <c r="S17" s="411"/>
      <c r="T17" s="410"/>
      <c r="U17" s="411"/>
      <c r="V17" s="411"/>
      <c r="W17" s="410"/>
      <c r="X17" s="411"/>
      <c r="Y17" s="411"/>
      <c r="Z17" s="411"/>
      <c r="AA17" s="411"/>
      <c r="AB17" s="411"/>
      <c r="AC17" s="411"/>
      <c r="AD17" s="411"/>
      <c r="AE17" s="411"/>
      <c r="AF17" s="411"/>
      <c r="AG17" s="411"/>
      <c r="AH17" s="411"/>
      <c r="AI17" s="986" t="s">
        <v>1048</v>
      </c>
      <c r="AJ17" s="338"/>
    </row>
    <row r="18" spans="1:36" ht="18.75">
      <c r="A18" s="57" t="s">
        <v>2147</v>
      </c>
      <c r="Z18" s="414"/>
      <c r="AA18" s="414"/>
      <c r="AB18" s="414"/>
      <c r="AC18" s="414"/>
      <c r="AD18" s="414"/>
      <c r="AE18" s="414"/>
      <c r="AF18" s="414"/>
      <c r="AG18" s="414"/>
      <c r="AH18" s="414"/>
      <c r="AI18" s="412" t="s">
        <v>1047</v>
      </c>
      <c r="AJ18" s="338"/>
    </row>
    <row r="19" spans="1:36" ht="18.75">
      <c r="A19" s="1187"/>
      <c r="B19" s="1188"/>
      <c r="C19" s="1188"/>
      <c r="D19" s="1189"/>
      <c r="E19" s="415"/>
      <c r="F19" s="415"/>
      <c r="G19" s="415"/>
      <c r="Q19" s="415"/>
      <c r="R19" s="415"/>
      <c r="S19" s="415"/>
      <c r="T19" s="415"/>
      <c r="U19" s="415"/>
      <c r="V19" s="415"/>
      <c r="W19" s="415"/>
      <c r="X19" s="415"/>
      <c r="Y19" s="415"/>
      <c r="Z19" s="415"/>
      <c r="AA19" s="415"/>
      <c r="AB19" s="415"/>
      <c r="AC19" s="415"/>
      <c r="AD19" s="415"/>
      <c r="AE19" s="415"/>
      <c r="AF19" s="415"/>
      <c r="AG19" s="415"/>
      <c r="AH19" s="415"/>
      <c r="AI19" s="412" t="s">
        <v>1049</v>
      </c>
      <c r="AJ19" s="338"/>
    </row>
    <row r="20" spans="1:36" ht="17.25">
      <c r="AI20" s="539" t="s">
        <v>1050</v>
      </c>
      <c r="AJ20" s="338"/>
    </row>
    <row r="21" spans="1:36">
      <c r="A21" s="416"/>
      <c r="B21" s="414"/>
      <c r="C21" s="414"/>
      <c r="D21" s="414"/>
      <c r="E21" s="414"/>
      <c r="F21" s="414"/>
      <c r="G21" s="414"/>
      <c r="H21" s="414"/>
      <c r="I21" s="414"/>
      <c r="Q21" s="414"/>
      <c r="R21" s="414"/>
      <c r="S21" s="414"/>
      <c r="T21" s="414"/>
      <c r="U21" s="414"/>
      <c r="W21" s="414"/>
      <c r="X21" s="414"/>
      <c r="Z21" s="417"/>
      <c r="AA21" s="417"/>
      <c r="AB21" s="417"/>
      <c r="AC21" s="417"/>
      <c r="AD21" s="417"/>
      <c r="AE21" s="417"/>
      <c r="AF21" s="417"/>
      <c r="AG21" s="417"/>
      <c r="AH21" s="417"/>
      <c r="AJ21" s="338"/>
    </row>
    <row r="22" spans="1:36">
      <c r="A22" s="416"/>
      <c r="B22" s="414"/>
      <c r="C22" s="414"/>
      <c r="D22" s="414"/>
      <c r="E22" s="414"/>
      <c r="F22" s="414"/>
      <c r="G22" s="414"/>
      <c r="H22" s="414"/>
      <c r="I22" s="414"/>
      <c r="Q22" s="414"/>
      <c r="R22" s="414"/>
      <c r="S22" s="414"/>
      <c r="T22" s="414"/>
      <c r="U22" s="414"/>
      <c r="V22" s="414"/>
      <c r="W22" s="414"/>
      <c r="X22" s="414"/>
      <c r="Y22" s="414"/>
      <c r="Z22" s="414"/>
      <c r="AA22" s="414"/>
      <c r="AB22" s="414"/>
      <c r="AC22" s="414"/>
      <c r="AD22" s="414"/>
      <c r="AE22" s="414"/>
      <c r="AF22" s="414"/>
      <c r="AG22" s="414"/>
      <c r="AH22" s="414"/>
      <c r="AJ22" s="338"/>
    </row>
    <row r="23" spans="1:36">
      <c r="T23" s="414"/>
      <c r="W23" s="414"/>
      <c r="AJ23" s="418"/>
    </row>
    <row r="24" spans="1:36">
      <c r="T24" s="414"/>
      <c r="W24" s="414"/>
      <c r="AJ24" s="418"/>
    </row>
    <row r="25" spans="1:36">
      <c r="T25" s="414"/>
      <c r="W25" s="414"/>
      <c r="AJ25" s="418"/>
    </row>
    <row r="26" spans="1:36" ht="14.25">
      <c r="A26" s="1025"/>
      <c r="AJ26" s="418"/>
    </row>
  </sheetData>
  <mergeCells count="17">
    <mergeCell ref="AC6:AE6"/>
    <mergeCell ref="A19:D19"/>
    <mergeCell ref="A1:AI1"/>
    <mergeCell ref="A2:AI2"/>
    <mergeCell ref="A3:AI3"/>
    <mergeCell ref="A4:A6"/>
    <mergeCell ref="AI4:AI6"/>
    <mergeCell ref="B6:D6"/>
    <mergeCell ref="E6:G6"/>
    <mergeCell ref="H6:J6"/>
    <mergeCell ref="K6:M6"/>
    <mergeCell ref="N6:P6"/>
    <mergeCell ref="Z6:AB6"/>
    <mergeCell ref="Q6:S6"/>
    <mergeCell ref="T6:V6"/>
    <mergeCell ref="W6:Y6"/>
    <mergeCell ref="AF6:AH6"/>
  </mergeCells>
  <pageMargins left="0.7" right="0.7" top="0.75" bottom="0.75" header="0.3" footer="0.3"/>
  <pageSetup paperSize="9" scale="47" orientation="portrait" r:id="rId1"/>
  <colBreaks count="1" manualBreakCount="1">
    <brk id="36" max="1048575" man="1"/>
  </colBreaks>
  <ignoredErrors>
    <ignoredError sqref="T7:AE7 U8:AE16" formula="1"/>
    <ignoredError sqref="T8:T16" formula="1" formulaRange="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AE15"/>
  <sheetViews>
    <sheetView view="pageBreakPreview" zoomScale="60" zoomScaleNormal="100" workbookViewId="0">
      <selection activeCell="AF22" sqref="AF22"/>
    </sheetView>
  </sheetViews>
  <sheetFormatPr defaultRowHeight="15"/>
  <cols>
    <col min="1" max="1" width="15.5703125" style="16" customWidth="1"/>
    <col min="2" max="7" width="8.7109375" style="10" hidden="1" customWidth="1"/>
    <col min="8" max="13" width="8.7109375" style="16" hidden="1" customWidth="1"/>
    <col min="14" max="25" width="9.140625" style="16"/>
    <col min="26" max="31" width="0" style="16" hidden="1" customWidth="1"/>
    <col min="32" max="16384" width="9.140625" style="16"/>
  </cols>
  <sheetData>
    <row r="1" spans="1:31" ht="21">
      <c r="A1" s="1171" t="s">
        <v>2149</v>
      </c>
      <c r="B1" s="1171"/>
      <c r="C1" s="1171"/>
      <c r="D1" s="1171"/>
      <c r="E1" s="1171"/>
      <c r="F1" s="1171"/>
      <c r="G1" s="1171"/>
      <c r="H1" s="1171"/>
      <c r="I1" s="1171"/>
      <c r="J1" s="1171"/>
      <c r="K1" s="1171"/>
      <c r="L1" s="1171"/>
      <c r="M1" s="1171"/>
      <c r="N1" s="1171"/>
      <c r="O1" s="1171"/>
      <c r="P1" s="1171"/>
      <c r="Q1" s="1171"/>
      <c r="R1" s="1171"/>
      <c r="S1" s="1171"/>
      <c r="T1" s="1171"/>
      <c r="U1" s="1171"/>
      <c r="V1" s="1171"/>
      <c r="W1" s="1171"/>
      <c r="X1" s="1171"/>
      <c r="Y1" s="1171"/>
      <c r="Z1" s="1171"/>
      <c r="AA1" s="1171"/>
      <c r="AB1" s="1171"/>
      <c r="AC1" s="1171"/>
      <c r="AD1" s="1171"/>
      <c r="AE1" s="1171"/>
    </row>
    <row r="2" spans="1:31" ht="16.5" customHeight="1">
      <c r="A2" s="1076" t="s">
        <v>2148</v>
      </c>
      <c r="B2" s="1076"/>
      <c r="C2" s="1076"/>
      <c r="D2" s="1076"/>
      <c r="E2" s="1076"/>
      <c r="F2" s="1076"/>
      <c r="G2" s="1076"/>
      <c r="H2" s="1076"/>
      <c r="I2" s="1076"/>
      <c r="J2" s="1076"/>
      <c r="K2" s="1076"/>
      <c r="L2" s="1076"/>
      <c r="M2" s="1076"/>
      <c r="N2" s="1076"/>
      <c r="O2" s="1076"/>
      <c r="P2" s="1076"/>
      <c r="Q2" s="1076"/>
      <c r="R2" s="1076"/>
      <c r="S2" s="1076"/>
      <c r="T2" s="1076"/>
      <c r="U2" s="1076"/>
      <c r="V2" s="1076"/>
      <c r="W2" s="1076"/>
      <c r="X2" s="1076"/>
      <c r="Y2" s="1076"/>
      <c r="Z2" s="1076"/>
      <c r="AA2" s="1076"/>
      <c r="AB2" s="1076"/>
      <c r="AC2" s="1076"/>
      <c r="AD2" s="1076"/>
      <c r="AE2" s="1076"/>
    </row>
    <row r="4" spans="1:31">
      <c r="A4" s="1182" t="s">
        <v>1042</v>
      </c>
      <c r="B4" s="1214">
        <v>2018</v>
      </c>
      <c r="C4" s="1214"/>
      <c r="D4" s="1214"/>
      <c r="E4" s="1214"/>
      <c r="F4" s="1214"/>
      <c r="G4" s="1214"/>
      <c r="H4" s="1215">
        <v>2019</v>
      </c>
      <c r="I4" s="1214"/>
      <c r="J4" s="1214"/>
      <c r="K4" s="1214"/>
      <c r="L4" s="1214"/>
      <c r="M4" s="1214"/>
      <c r="N4" s="1215">
        <v>2020</v>
      </c>
      <c r="O4" s="1214"/>
      <c r="P4" s="1214"/>
      <c r="Q4" s="1214"/>
      <c r="R4" s="1214"/>
      <c r="S4" s="1214"/>
      <c r="T4" s="1215">
        <v>2021</v>
      </c>
      <c r="U4" s="1214"/>
      <c r="V4" s="1214"/>
      <c r="W4" s="1214"/>
      <c r="X4" s="1214"/>
      <c r="Y4" s="1214"/>
      <c r="Z4" s="1215">
        <v>2022</v>
      </c>
      <c r="AA4" s="1214"/>
      <c r="AB4" s="1214"/>
      <c r="AC4" s="1214"/>
      <c r="AD4" s="1214"/>
      <c r="AE4" s="1214"/>
    </row>
    <row r="5" spans="1:31">
      <c r="A5" s="1170"/>
      <c r="B5" s="1080" t="s">
        <v>1043</v>
      </c>
      <c r="C5" s="1080"/>
      <c r="D5" s="1080"/>
      <c r="E5" s="1212" t="s">
        <v>1044</v>
      </c>
      <c r="F5" s="1080"/>
      <c r="G5" s="1080"/>
      <c r="H5" s="1213" t="s">
        <v>1043</v>
      </c>
      <c r="I5" s="1080"/>
      <c r="J5" s="1080"/>
      <c r="K5" s="1212" t="s">
        <v>1044</v>
      </c>
      <c r="L5" s="1080"/>
      <c r="M5" s="1080"/>
      <c r="N5" s="1213" t="s">
        <v>1043</v>
      </c>
      <c r="O5" s="1080"/>
      <c r="P5" s="1080"/>
      <c r="Q5" s="1212" t="s">
        <v>1044</v>
      </c>
      <c r="R5" s="1080"/>
      <c r="S5" s="1080"/>
      <c r="T5" s="1213" t="s">
        <v>1043</v>
      </c>
      <c r="U5" s="1080"/>
      <c r="V5" s="1080"/>
      <c r="W5" s="1212" t="s">
        <v>1044</v>
      </c>
      <c r="X5" s="1080"/>
      <c r="Y5" s="1080"/>
      <c r="Z5" s="1213" t="s">
        <v>1043</v>
      </c>
      <c r="AA5" s="1080"/>
      <c r="AB5" s="1080"/>
      <c r="AC5" s="1212" t="s">
        <v>1044</v>
      </c>
      <c r="AD5" s="1080"/>
      <c r="AE5" s="1080"/>
    </row>
    <row r="6" spans="1:31" ht="15" customHeight="1">
      <c r="A6" s="1073"/>
      <c r="B6" s="92" t="s">
        <v>119</v>
      </c>
      <c r="C6" s="92" t="s">
        <v>69</v>
      </c>
      <c r="D6" s="92" t="s">
        <v>70</v>
      </c>
      <c r="E6" s="524" t="s">
        <v>119</v>
      </c>
      <c r="F6" s="92" t="s">
        <v>69</v>
      </c>
      <c r="G6" s="92" t="s">
        <v>70</v>
      </c>
      <c r="H6" s="525" t="s">
        <v>119</v>
      </c>
      <c r="I6" s="92" t="s">
        <v>69</v>
      </c>
      <c r="J6" s="92" t="s">
        <v>70</v>
      </c>
      <c r="K6" s="524" t="s">
        <v>119</v>
      </c>
      <c r="L6" s="92" t="s">
        <v>69</v>
      </c>
      <c r="M6" s="92" t="s">
        <v>70</v>
      </c>
      <c r="N6" s="525" t="s">
        <v>119</v>
      </c>
      <c r="O6" s="92" t="s">
        <v>69</v>
      </c>
      <c r="P6" s="92" t="s">
        <v>70</v>
      </c>
      <c r="Q6" s="524" t="s">
        <v>119</v>
      </c>
      <c r="R6" s="92" t="s">
        <v>69</v>
      </c>
      <c r="S6" s="92" t="s">
        <v>70</v>
      </c>
      <c r="T6" s="525" t="s">
        <v>119</v>
      </c>
      <c r="U6" s="92" t="s">
        <v>69</v>
      </c>
      <c r="V6" s="92" t="s">
        <v>70</v>
      </c>
      <c r="W6" s="524" t="s">
        <v>119</v>
      </c>
      <c r="X6" s="92" t="s">
        <v>69</v>
      </c>
      <c r="Y6" s="92" t="s">
        <v>70</v>
      </c>
      <c r="Z6" s="525" t="s">
        <v>119</v>
      </c>
      <c r="AA6" s="92" t="s">
        <v>69</v>
      </c>
      <c r="AB6" s="92" t="s">
        <v>70</v>
      </c>
      <c r="AC6" s="524" t="s">
        <v>119</v>
      </c>
      <c r="AD6" s="92" t="s">
        <v>69</v>
      </c>
      <c r="AE6" s="92" t="s">
        <v>70</v>
      </c>
    </row>
    <row r="7" spans="1:31" s="25" customFormat="1">
      <c r="A7" s="1065" t="s">
        <v>1</v>
      </c>
      <c r="B7" s="17">
        <f>SUM(C7:D7)</f>
        <v>5</v>
      </c>
      <c r="C7" s="17">
        <f>SUM(C8:C10)</f>
        <v>5</v>
      </c>
      <c r="D7" s="17">
        <f>SUM(D8:D10)</f>
        <v>0</v>
      </c>
      <c r="E7" s="1066">
        <f>SUM(F7:G7)</f>
        <v>5</v>
      </c>
      <c r="F7" s="17">
        <f>SUM(F8:F10)</f>
        <v>5</v>
      </c>
      <c r="G7" s="17">
        <f>SUM(G8:G10)</f>
        <v>0</v>
      </c>
      <c r="H7" s="1067">
        <f>SUM(I7:J7)</f>
        <v>1</v>
      </c>
      <c r="I7" s="17">
        <f>SUM(I8:I10)</f>
        <v>1</v>
      </c>
      <c r="J7" s="17">
        <f>SUM(J8:J10)</f>
        <v>0</v>
      </c>
      <c r="K7" s="1066">
        <f>SUM(L7:M7)</f>
        <v>1</v>
      </c>
      <c r="L7" s="17">
        <f>SUM(L8:L10)</f>
        <v>0</v>
      </c>
      <c r="M7" s="17">
        <f>SUM(M8:M10)</f>
        <v>1</v>
      </c>
      <c r="N7" s="1067">
        <f>SUM(O7:P7)</f>
        <v>0</v>
      </c>
      <c r="O7" s="17">
        <f>SUM(O8:O10)</f>
        <v>0</v>
      </c>
      <c r="P7" s="17">
        <f>SUM(P8:P10)</f>
        <v>0</v>
      </c>
      <c r="Q7" s="1066">
        <f>SUM(R7:S7)</f>
        <v>0</v>
      </c>
      <c r="R7" s="17">
        <f>SUM(R8:R10)</f>
        <v>0</v>
      </c>
      <c r="S7" s="17">
        <f>SUM(S8:S10)</f>
        <v>0</v>
      </c>
      <c r="T7" s="1067">
        <f>SUM(U7:V7)</f>
        <v>3</v>
      </c>
      <c r="U7" s="17">
        <f>SUM(U8:U13)</f>
        <v>3</v>
      </c>
      <c r="V7" s="17">
        <f>SUM(V8:V13)</f>
        <v>0</v>
      </c>
      <c r="W7" s="1066">
        <f>SUM(X7:Y7)</f>
        <v>0</v>
      </c>
      <c r="X7" s="17">
        <v>0</v>
      </c>
      <c r="Y7" s="17">
        <v>0</v>
      </c>
      <c r="Z7" s="1067">
        <f>SUM(AA7:AB7)</f>
        <v>0</v>
      </c>
      <c r="AA7" s="17">
        <f>SUM(AA8:AA10)</f>
        <v>0</v>
      </c>
      <c r="AB7" s="17">
        <f>SUM(AB8:AB10)</f>
        <v>0</v>
      </c>
      <c r="AC7" s="1066">
        <f>SUM(AD7:AE7)</f>
        <v>0</v>
      </c>
      <c r="AD7" s="17">
        <f>SUM(AD8:AD10)</f>
        <v>0</v>
      </c>
      <c r="AE7" s="17">
        <f>SUM(AE8:AE10)</f>
        <v>0</v>
      </c>
    </row>
    <row r="8" spans="1:31">
      <c r="A8" s="309" t="s">
        <v>458</v>
      </c>
      <c r="B8" s="10">
        <f t="shared" ref="B8:B13" si="0">SUM(C8:D8)</f>
        <v>0</v>
      </c>
      <c r="C8" s="10">
        <v>0</v>
      </c>
      <c r="D8" s="10">
        <v>0</v>
      </c>
      <c r="E8" s="526">
        <f t="shared" ref="E8:E13" si="1">SUM(F8:G8)</f>
        <v>0</v>
      </c>
      <c r="F8" s="10">
        <v>0</v>
      </c>
      <c r="G8" s="10">
        <v>0</v>
      </c>
      <c r="H8" s="527">
        <f t="shared" ref="H8:H13" si="2">SUM(I8:J8)</f>
        <v>0</v>
      </c>
      <c r="I8" s="10">
        <v>0</v>
      </c>
      <c r="J8" s="10">
        <v>0</v>
      </c>
      <c r="K8" s="526">
        <f t="shared" ref="K8:K13" si="3">SUM(L8:M8)</f>
        <v>0</v>
      </c>
      <c r="L8" s="10">
        <v>0</v>
      </c>
      <c r="M8" s="10">
        <v>0</v>
      </c>
      <c r="N8" s="527">
        <f t="shared" ref="N8:N13" si="4">SUM(O8:P8)</f>
        <v>0</v>
      </c>
      <c r="O8" s="10">
        <v>0</v>
      </c>
      <c r="P8" s="10">
        <v>0</v>
      </c>
      <c r="Q8" s="526">
        <f t="shared" ref="Q8:Q13" si="5">SUM(R8:S8)</f>
        <v>0</v>
      </c>
      <c r="R8" s="10">
        <v>0</v>
      </c>
      <c r="S8" s="10">
        <v>0</v>
      </c>
      <c r="T8" s="527">
        <f t="shared" ref="T8:T13" si="6">SUM(U8:V8)</f>
        <v>0</v>
      </c>
      <c r="U8" s="10">
        <v>0</v>
      </c>
      <c r="V8" s="10">
        <v>0</v>
      </c>
      <c r="W8" s="526">
        <f t="shared" ref="W8:W13" si="7">SUM(X8:Y8)</f>
        <v>0</v>
      </c>
      <c r="X8" s="10">
        <v>0</v>
      </c>
      <c r="Y8" s="10">
        <v>0</v>
      </c>
      <c r="Z8" s="527">
        <f t="shared" ref="Z8:Z13" si="8">SUM(AA8:AB8)</f>
        <v>0</v>
      </c>
      <c r="AA8" s="987"/>
      <c r="AB8" s="987"/>
      <c r="AC8" s="526">
        <f t="shared" ref="AC8:AC13" si="9">SUM(AD8:AE8)</f>
        <v>0</v>
      </c>
      <c r="AD8" s="987"/>
      <c r="AE8" s="987"/>
    </row>
    <row r="9" spans="1:31">
      <c r="A9" s="309" t="s">
        <v>460</v>
      </c>
      <c r="B9" s="10">
        <f t="shared" si="0"/>
        <v>2</v>
      </c>
      <c r="C9" s="10">
        <v>2</v>
      </c>
      <c r="D9" s="10">
        <v>0</v>
      </c>
      <c r="E9" s="526">
        <f t="shared" si="1"/>
        <v>0</v>
      </c>
      <c r="F9" s="10">
        <v>0</v>
      </c>
      <c r="G9" s="10">
        <v>0</v>
      </c>
      <c r="H9" s="527">
        <f t="shared" si="2"/>
        <v>0</v>
      </c>
      <c r="I9" s="10">
        <v>0</v>
      </c>
      <c r="J9" s="528">
        <v>0</v>
      </c>
      <c r="K9" s="10">
        <f t="shared" si="3"/>
        <v>0</v>
      </c>
      <c r="L9" s="10">
        <v>0</v>
      </c>
      <c r="M9" s="10">
        <v>0</v>
      </c>
      <c r="N9" s="527">
        <f t="shared" si="4"/>
        <v>0</v>
      </c>
      <c r="O9" s="10">
        <v>0</v>
      </c>
      <c r="P9" s="528">
        <v>0</v>
      </c>
      <c r="Q9" s="10">
        <f t="shared" si="5"/>
        <v>0</v>
      </c>
      <c r="R9" s="10">
        <v>0</v>
      </c>
      <c r="S9" s="10">
        <v>0</v>
      </c>
      <c r="T9" s="527">
        <f t="shared" si="6"/>
        <v>0</v>
      </c>
      <c r="U9" s="10">
        <v>0</v>
      </c>
      <c r="V9" s="528">
        <v>0</v>
      </c>
      <c r="W9" s="10">
        <f t="shared" si="7"/>
        <v>0</v>
      </c>
      <c r="X9" s="10">
        <v>0</v>
      </c>
      <c r="Y9" s="10">
        <v>0</v>
      </c>
      <c r="Z9" s="527">
        <f t="shared" si="8"/>
        <v>0</v>
      </c>
      <c r="AA9" s="987"/>
      <c r="AB9" s="988"/>
      <c r="AC9" s="10">
        <f t="shared" si="9"/>
        <v>0</v>
      </c>
      <c r="AD9" s="987"/>
      <c r="AE9" s="987"/>
    </row>
    <row r="10" spans="1:31">
      <c r="A10" s="309" t="s">
        <v>461</v>
      </c>
      <c r="B10" s="10">
        <f t="shared" si="0"/>
        <v>3</v>
      </c>
      <c r="C10" s="10">
        <v>3</v>
      </c>
      <c r="D10" s="10">
        <v>0</v>
      </c>
      <c r="E10" s="526">
        <f t="shared" si="1"/>
        <v>5</v>
      </c>
      <c r="F10" s="10">
        <v>5</v>
      </c>
      <c r="G10" s="10">
        <v>0</v>
      </c>
      <c r="H10" s="527">
        <f t="shared" si="2"/>
        <v>1</v>
      </c>
      <c r="I10" s="10">
        <v>1</v>
      </c>
      <c r="J10" s="528">
        <v>0</v>
      </c>
      <c r="K10" s="10">
        <f t="shared" si="3"/>
        <v>1</v>
      </c>
      <c r="L10" s="10">
        <v>0</v>
      </c>
      <c r="M10" s="10">
        <v>1</v>
      </c>
      <c r="N10" s="527">
        <f t="shared" si="4"/>
        <v>0</v>
      </c>
      <c r="O10" s="10">
        <v>0</v>
      </c>
      <c r="P10" s="528">
        <v>0</v>
      </c>
      <c r="Q10" s="10">
        <f t="shared" si="5"/>
        <v>0</v>
      </c>
      <c r="R10" s="10">
        <v>0</v>
      </c>
      <c r="S10" s="10">
        <v>0</v>
      </c>
      <c r="T10" s="527">
        <f t="shared" si="6"/>
        <v>0</v>
      </c>
      <c r="U10" s="10">
        <v>0</v>
      </c>
      <c r="V10" s="528">
        <v>0</v>
      </c>
      <c r="W10" s="10">
        <f t="shared" si="7"/>
        <v>0</v>
      </c>
      <c r="X10" s="10">
        <v>0</v>
      </c>
      <c r="Y10" s="10">
        <v>0</v>
      </c>
      <c r="Z10" s="527">
        <f t="shared" si="8"/>
        <v>0</v>
      </c>
      <c r="AA10" s="987"/>
      <c r="AB10" s="988"/>
      <c r="AC10" s="10">
        <f t="shared" si="9"/>
        <v>0</v>
      </c>
      <c r="AD10" s="987"/>
      <c r="AE10" s="987"/>
    </row>
    <row r="11" spans="1:31">
      <c r="A11" s="309" t="s">
        <v>463</v>
      </c>
      <c r="B11" s="10">
        <f t="shared" si="0"/>
        <v>0</v>
      </c>
      <c r="C11" s="10">
        <v>0</v>
      </c>
      <c r="D11" s="10">
        <v>0</v>
      </c>
      <c r="E11" s="526">
        <f t="shared" si="1"/>
        <v>0</v>
      </c>
      <c r="F11" s="10">
        <v>0</v>
      </c>
      <c r="G11" s="10">
        <v>0</v>
      </c>
      <c r="H11" s="527">
        <f t="shared" si="2"/>
        <v>0</v>
      </c>
      <c r="I11" s="10">
        <v>0</v>
      </c>
      <c r="J11" s="528">
        <v>0</v>
      </c>
      <c r="K11" s="10">
        <f t="shared" si="3"/>
        <v>0</v>
      </c>
      <c r="L11" s="10">
        <v>0</v>
      </c>
      <c r="M11" s="10">
        <v>0</v>
      </c>
      <c r="N11" s="527">
        <f t="shared" si="4"/>
        <v>0</v>
      </c>
      <c r="O11" s="10">
        <v>0</v>
      </c>
      <c r="P11" s="528">
        <v>0</v>
      </c>
      <c r="Q11" s="10">
        <f t="shared" si="5"/>
        <v>0</v>
      </c>
      <c r="R11" s="10">
        <v>0</v>
      </c>
      <c r="S11" s="10">
        <v>0</v>
      </c>
      <c r="T11" s="527">
        <f t="shared" si="6"/>
        <v>3</v>
      </c>
      <c r="U11" s="10">
        <v>3</v>
      </c>
      <c r="V11" s="528">
        <v>0</v>
      </c>
      <c r="W11" s="10">
        <f t="shared" si="7"/>
        <v>0</v>
      </c>
      <c r="X11" s="10">
        <v>0</v>
      </c>
      <c r="Y11" s="10">
        <v>0</v>
      </c>
      <c r="Z11" s="527">
        <f t="shared" si="8"/>
        <v>0</v>
      </c>
      <c r="AA11" s="987"/>
      <c r="AB11" s="988"/>
      <c r="AC11" s="10">
        <f t="shared" si="9"/>
        <v>0</v>
      </c>
      <c r="AD11" s="987"/>
      <c r="AE11" s="987"/>
    </row>
    <row r="12" spans="1:31">
      <c r="A12" s="309" t="s">
        <v>465</v>
      </c>
      <c r="B12" s="10">
        <f t="shared" si="0"/>
        <v>0</v>
      </c>
      <c r="C12" s="10">
        <v>0</v>
      </c>
      <c r="D12" s="10">
        <v>0</v>
      </c>
      <c r="E12" s="526">
        <f t="shared" si="1"/>
        <v>0</v>
      </c>
      <c r="F12" s="10">
        <v>0</v>
      </c>
      <c r="G12" s="10">
        <v>0</v>
      </c>
      <c r="H12" s="527">
        <f t="shared" si="2"/>
        <v>0</v>
      </c>
      <c r="I12" s="10">
        <v>0</v>
      </c>
      <c r="J12" s="528">
        <v>0</v>
      </c>
      <c r="K12" s="10">
        <f t="shared" si="3"/>
        <v>0</v>
      </c>
      <c r="L12" s="10">
        <v>0</v>
      </c>
      <c r="M12" s="10">
        <v>0</v>
      </c>
      <c r="N12" s="527">
        <f t="shared" si="4"/>
        <v>0</v>
      </c>
      <c r="O12" s="10">
        <v>0</v>
      </c>
      <c r="P12" s="528">
        <v>0</v>
      </c>
      <c r="Q12" s="10">
        <f t="shared" si="5"/>
        <v>0</v>
      </c>
      <c r="R12" s="10">
        <v>0</v>
      </c>
      <c r="S12" s="10">
        <v>0</v>
      </c>
      <c r="T12" s="527">
        <f t="shared" si="6"/>
        <v>0</v>
      </c>
      <c r="U12" s="10">
        <v>0</v>
      </c>
      <c r="V12" s="528">
        <v>0</v>
      </c>
      <c r="W12" s="10">
        <f t="shared" si="7"/>
        <v>0</v>
      </c>
      <c r="X12" s="10">
        <v>0</v>
      </c>
      <c r="Y12" s="10">
        <v>0</v>
      </c>
      <c r="Z12" s="527">
        <f t="shared" si="8"/>
        <v>0</v>
      </c>
      <c r="AA12" s="987"/>
      <c r="AB12" s="988"/>
      <c r="AC12" s="10">
        <f t="shared" si="9"/>
        <v>0</v>
      </c>
      <c r="AD12" s="987"/>
      <c r="AE12" s="987"/>
    </row>
    <row r="13" spans="1:31">
      <c r="A13" s="316" t="s">
        <v>467</v>
      </c>
      <c r="B13" s="529">
        <f t="shared" si="0"/>
        <v>0</v>
      </c>
      <c r="C13" s="529">
        <v>0</v>
      </c>
      <c r="D13" s="529">
        <v>0</v>
      </c>
      <c r="E13" s="530">
        <f t="shared" si="1"/>
        <v>0</v>
      </c>
      <c r="F13" s="529">
        <v>0</v>
      </c>
      <c r="G13" s="529">
        <v>0</v>
      </c>
      <c r="H13" s="531">
        <f t="shared" si="2"/>
        <v>0</v>
      </c>
      <c r="I13" s="529">
        <v>0</v>
      </c>
      <c r="J13" s="532">
        <v>0</v>
      </c>
      <c r="K13" s="529">
        <f t="shared" si="3"/>
        <v>0</v>
      </c>
      <c r="L13" s="529">
        <v>0</v>
      </c>
      <c r="M13" s="529">
        <v>0</v>
      </c>
      <c r="N13" s="531">
        <f t="shared" si="4"/>
        <v>0</v>
      </c>
      <c r="O13" s="529">
        <v>0</v>
      </c>
      <c r="P13" s="532">
        <v>0</v>
      </c>
      <c r="Q13" s="529">
        <f t="shared" si="5"/>
        <v>0</v>
      </c>
      <c r="R13" s="529">
        <v>0</v>
      </c>
      <c r="S13" s="529">
        <v>0</v>
      </c>
      <c r="T13" s="531">
        <f t="shared" si="6"/>
        <v>0</v>
      </c>
      <c r="U13" s="529">
        <v>0</v>
      </c>
      <c r="V13" s="532">
        <v>0</v>
      </c>
      <c r="W13" s="529">
        <f t="shared" si="7"/>
        <v>0</v>
      </c>
      <c r="X13" s="529">
        <v>0</v>
      </c>
      <c r="Y13" s="529">
        <v>0</v>
      </c>
      <c r="Z13" s="531">
        <f t="shared" si="8"/>
        <v>0</v>
      </c>
      <c r="AA13" s="989"/>
      <c r="AB13" s="990"/>
      <c r="AC13" s="529">
        <f t="shared" si="9"/>
        <v>0</v>
      </c>
      <c r="AD13" s="989"/>
      <c r="AE13" s="989"/>
    </row>
    <row r="14" spans="1:31">
      <c r="A14" s="31" t="s">
        <v>2119</v>
      </c>
      <c r="Y14" s="85" t="s">
        <v>181</v>
      </c>
      <c r="AE14" s="85" t="s">
        <v>181</v>
      </c>
    </row>
    <row r="15" spans="1:31">
      <c r="A15" s="57" t="s">
        <v>180</v>
      </c>
      <c r="G15" s="16"/>
      <c r="H15" s="10"/>
      <c r="I15" s="10"/>
      <c r="J15" s="10"/>
      <c r="K15" s="10"/>
      <c r="L15" s="10"/>
      <c r="M15" s="85"/>
      <c r="N15" s="10"/>
      <c r="O15" s="10"/>
      <c r="P15" s="10"/>
      <c r="Q15" s="10"/>
      <c r="R15" s="10"/>
      <c r="T15" s="10"/>
    </row>
  </sheetData>
  <mergeCells count="18">
    <mergeCell ref="Z4:AE4"/>
    <mergeCell ref="Z5:AB5"/>
    <mergeCell ref="AC5:AE5"/>
    <mergeCell ref="A2:AE2"/>
    <mergeCell ref="A1:AE1"/>
    <mergeCell ref="N5:P5"/>
    <mergeCell ref="Q5:S5"/>
    <mergeCell ref="A4:A6"/>
    <mergeCell ref="B4:G4"/>
    <mergeCell ref="H4:M4"/>
    <mergeCell ref="N4:S4"/>
    <mergeCell ref="B5:D5"/>
    <mergeCell ref="E5:G5"/>
    <mergeCell ref="H5:J5"/>
    <mergeCell ref="K5:M5"/>
    <mergeCell ref="T4:Y4"/>
    <mergeCell ref="T5:V5"/>
    <mergeCell ref="W5:Y5"/>
  </mergeCells>
  <pageMargins left="0.7" right="0.7" top="0.75" bottom="0.75" header="0.3" footer="0.3"/>
  <pageSetup paperSize="9" scale="6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1:M8"/>
  <sheetViews>
    <sheetView zoomScaleNormal="100" workbookViewId="0">
      <selection activeCell="I5" sqref="I5"/>
    </sheetView>
  </sheetViews>
  <sheetFormatPr defaultRowHeight="15"/>
  <cols>
    <col min="1" max="1" width="28.85546875" style="16" customWidth="1"/>
    <col min="2" max="5" width="23.28515625" style="16" customWidth="1"/>
    <col min="6" max="6" width="15.28515625" style="16" hidden="1" customWidth="1"/>
    <col min="7" max="7" width="23" style="16" customWidth="1"/>
    <col min="8" max="8" width="16.5703125" style="16" customWidth="1"/>
    <col min="9" max="16384" width="9.140625" style="16"/>
  </cols>
  <sheetData>
    <row r="1" spans="1:13" ht="21">
      <c r="A1" s="1168" t="s">
        <v>2133</v>
      </c>
      <c r="B1" s="1168"/>
      <c r="C1" s="1168"/>
      <c r="D1" s="1168"/>
      <c r="E1" s="1168"/>
      <c r="F1" s="1168"/>
      <c r="G1" s="308"/>
      <c r="H1" s="308"/>
      <c r="I1" s="308"/>
      <c r="J1" s="308"/>
      <c r="K1" s="308"/>
      <c r="L1" s="308"/>
      <c r="M1" s="308"/>
    </row>
    <row r="2" spans="1:13" ht="18.75" customHeight="1">
      <c r="A2" s="1076" t="s">
        <v>2134</v>
      </c>
      <c r="B2" s="1076"/>
      <c r="C2" s="1076"/>
      <c r="D2" s="1076"/>
      <c r="E2" s="1076"/>
      <c r="F2" s="1076"/>
    </row>
    <row r="4" spans="1:13" ht="18.75">
      <c r="A4" s="533" t="s">
        <v>74</v>
      </c>
      <c r="B4" s="533">
        <v>2018</v>
      </c>
      <c r="C4" s="533">
        <v>2019</v>
      </c>
      <c r="D4" s="533">
        <v>2020</v>
      </c>
      <c r="E4" s="533">
        <v>2021</v>
      </c>
      <c r="F4" s="533">
        <v>2022</v>
      </c>
    </row>
    <row r="5" spans="1:13" ht="39" customHeight="1">
      <c r="A5" s="534" t="s">
        <v>1045</v>
      </c>
      <c r="B5" s="535">
        <v>0</v>
      </c>
      <c r="C5" s="535">
        <v>3</v>
      </c>
      <c r="D5" s="535">
        <v>0</v>
      </c>
      <c r="E5" s="535">
        <v>2</v>
      </c>
      <c r="F5" s="991"/>
    </row>
    <row r="6" spans="1:13" ht="39" customHeight="1">
      <c r="A6" s="536" t="s">
        <v>1046</v>
      </c>
      <c r="B6" s="537">
        <v>2</v>
      </c>
      <c r="C6" s="537">
        <v>1</v>
      </c>
      <c r="D6" s="537">
        <v>0</v>
      </c>
      <c r="E6" s="537">
        <v>0</v>
      </c>
      <c r="F6" s="992"/>
    </row>
    <row r="7" spans="1:13" s="31" customFormat="1" ht="12.75">
      <c r="A7" s="31" t="s">
        <v>2119</v>
      </c>
    </row>
    <row r="8" spans="1:13">
      <c r="A8" s="57" t="s">
        <v>180</v>
      </c>
      <c r="C8" s="85"/>
      <c r="F8" s="85" t="s">
        <v>181</v>
      </c>
    </row>
  </sheetData>
  <mergeCells count="2">
    <mergeCell ref="A1:F1"/>
    <mergeCell ref="A2:F2"/>
  </mergeCells>
  <pageMargins left="0.7" right="0.7" top="0.75" bottom="0.75" header="0.3" footer="0.3"/>
  <pageSetup paperSize="9" scale="55" orientation="portrait" r:id="rId1"/>
  <colBreaks count="2" manualBreakCount="2">
    <brk id="5" max="7" man="1"/>
    <brk id="6"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sheetPr>
  <dimension ref="A2:L278"/>
  <sheetViews>
    <sheetView view="pageBreakPreview" topLeftCell="A217" zoomScale="60" zoomScaleNormal="100" workbookViewId="0">
      <selection activeCell="I282" sqref="I282"/>
    </sheetView>
  </sheetViews>
  <sheetFormatPr defaultColWidth="9.140625" defaultRowHeight="15"/>
  <cols>
    <col min="1" max="1" width="6.5703125" style="96" customWidth="1"/>
    <col min="2" max="2" width="62.140625" style="809" customWidth="1"/>
    <col min="3" max="5" width="14.85546875" style="16" customWidth="1"/>
    <col min="6" max="8" width="14.85546875" style="16" hidden="1" customWidth="1"/>
    <col min="9" max="9" width="64.5703125" style="828" customWidth="1"/>
    <col min="10" max="10" width="6.5703125" style="39" customWidth="1"/>
    <col min="11" max="11" width="9.140625" style="16"/>
    <col min="12" max="12" width="41.85546875" style="16" customWidth="1"/>
    <col min="13" max="16384" width="9.140625" style="16"/>
  </cols>
  <sheetData>
    <row r="2" spans="1:11" ht="21.75">
      <c r="A2" s="1216" t="s">
        <v>2151</v>
      </c>
      <c r="B2" s="1216"/>
      <c r="C2" s="1216"/>
      <c r="D2" s="1216"/>
      <c r="E2" s="1216"/>
      <c r="F2" s="1216"/>
      <c r="G2" s="1216"/>
      <c r="H2" s="1216"/>
      <c r="I2" s="1216"/>
      <c r="J2" s="1216"/>
    </row>
    <row r="3" spans="1:11" ht="15.75">
      <c r="A3" s="1217" t="s">
        <v>2150</v>
      </c>
      <c r="B3" s="1217"/>
      <c r="C3" s="1217"/>
      <c r="D3" s="1217"/>
      <c r="E3" s="1217"/>
      <c r="F3" s="1217"/>
      <c r="G3" s="1217"/>
      <c r="H3" s="1217"/>
      <c r="I3" s="1217"/>
      <c r="J3" s="1217"/>
      <c r="K3" s="793"/>
    </row>
    <row r="4" spans="1:11" ht="24.75" customHeight="1">
      <c r="A4" s="794"/>
      <c r="B4" s="795" t="s">
        <v>74</v>
      </c>
      <c r="C4" s="796">
        <v>2017</v>
      </c>
      <c r="D4" s="796">
        <v>2018</v>
      </c>
      <c r="E4" s="796">
        <v>2019</v>
      </c>
      <c r="F4" s="796">
        <v>2020</v>
      </c>
      <c r="G4" s="796">
        <v>2021</v>
      </c>
      <c r="H4" s="796">
        <v>2022</v>
      </c>
      <c r="I4" s="797" t="s">
        <v>1578</v>
      </c>
      <c r="J4" s="797"/>
      <c r="K4" s="798"/>
    </row>
    <row r="5" spans="1:11" ht="24.75" customHeight="1">
      <c r="A5" s="799"/>
      <c r="B5" s="800" t="s">
        <v>1</v>
      </c>
      <c r="C5" s="799">
        <f t="shared" ref="C5:H5" si="0">SUM(C6:C275)</f>
        <v>3222</v>
      </c>
      <c r="D5" s="799">
        <f t="shared" si="0"/>
        <v>2650</v>
      </c>
      <c r="E5" s="799">
        <f t="shared" si="0"/>
        <v>3032</v>
      </c>
      <c r="F5" s="799">
        <f t="shared" si="0"/>
        <v>0</v>
      </c>
      <c r="G5" s="799">
        <f t="shared" si="0"/>
        <v>0</v>
      </c>
      <c r="H5" s="799">
        <f t="shared" si="0"/>
        <v>0</v>
      </c>
      <c r="I5" s="775" t="s">
        <v>49</v>
      </c>
      <c r="J5" s="798"/>
      <c r="K5" s="798"/>
    </row>
    <row r="6" spans="1:11" ht="21">
      <c r="A6" s="801">
        <v>1</v>
      </c>
      <c r="B6" s="626" t="s">
        <v>1107</v>
      </c>
      <c r="C6" s="801">
        <v>1</v>
      </c>
      <c r="D6" s="802">
        <v>2</v>
      </c>
      <c r="E6" s="802">
        <v>0</v>
      </c>
      <c r="F6" s="803"/>
      <c r="G6" s="803"/>
      <c r="H6" s="803"/>
      <c r="I6" s="804" t="s">
        <v>1108</v>
      </c>
      <c r="J6" s="805">
        <v>1</v>
      </c>
      <c r="K6" s="798"/>
    </row>
    <row r="7" spans="1:11" ht="21">
      <c r="A7" s="801">
        <v>2</v>
      </c>
      <c r="B7" s="626" t="s">
        <v>1579</v>
      </c>
      <c r="C7" s="801" t="s">
        <v>1580</v>
      </c>
      <c r="D7" s="802">
        <v>1</v>
      </c>
      <c r="E7" s="802">
        <v>2</v>
      </c>
      <c r="F7" s="803"/>
      <c r="G7" s="803"/>
      <c r="H7" s="803"/>
      <c r="I7" s="804" t="s">
        <v>1581</v>
      </c>
      <c r="J7" s="805">
        <v>2</v>
      </c>
      <c r="K7" s="798"/>
    </row>
    <row r="8" spans="1:11" ht="21">
      <c r="A8" s="801">
        <v>3</v>
      </c>
      <c r="B8" s="626" t="s">
        <v>1582</v>
      </c>
      <c r="C8" s="802">
        <v>9</v>
      </c>
      <c r="D8" s="801" t="s">
        <v>1580</v>
      </c>
      <c r="E8" s="801">
        <v>0</v>
      </c>
      <c r="F8" s="806"/>
      <c r="G8" s="806"/>
      <c r="H8" s="806"/>
      <c r="I8" s="804" t="s">
        <v>1583</v>
      </c>
      <c r="J8" s="805">
        <v>3</v>
      </c>
    </row>
    <row r="9" spans="1:11" ht="21">
      <c r="A9" s="801">
        <v>4</v>
      </c>
      <c r="B9" s="626" t="s">
        <v>1584</v>
      </c>
      <c r="C9" s="802">
        <v>5</v>
      </c>
      <c r="D9" s="801" t="s">
        <v>1580</v>
      </c>
      <c r="E9" s="801">
        <v>0</v>
      </c>
      <c r="F9" s="806"/>
      <c r="G9" s="806"/>
      <c r="H9" s="806"/>
      <c r="I9" s="804" t="s">
        <v>1585</v>
      </c>
      <c r="J9" s="805">
        <v>4</v>
      </c>
    </row>
    <row r="10" spans="1:11" ht="21">
      <c r="A10" s="801">
        <v>5</v>
      </c>
      <c r="B10" s="626" t="s">
        <v>1586</v>
      </c>
      <c r="C10" s="802">
        <v>1</v>
      </c>
      <c r="D10" s="802">
        <v>3</v>
      </c>
      <c r="E10" s="802">
        <v>0</v>
      </c>
      <c r="F10" s="803"/>
      <c r="G10" s="803"/>
      <c r="H10" s="803"/>
      <c r="I10" s="804" t="s">
        <v>1587</v>
      </c>
      <c r="J10" s="805">
        <v>5</v>
      </c>
    </row>
    <row r="11" spans="1:11" ht="21">
      <c r="A11" s="801">
        <v>6</v>
      </c>
      <c r="B11" s="626" t="s">
        <v>1588</v>
      </c>
      <c r="C11" s="802">
        <v>39</v>
      </c>
      <c r="D11" s="801" t="s">
        <v>1580</v>
      </c>
      <c r="E11" s="801">
        <v>0</v>
      </c>
      <c r="F11" s="806"/>
      <c r="G11" s="806"/>
      <c r="H11" s="806"/>
      <c r="I11" s="804" t="s">
        <v>1589</v>
      </c>
      <c r="J11" s="805">
        <v>6</v>
      </c>
    </row>
    <row r="12" spans="1:11" ht="21">
      <c r="A12" s="801">
        <v>7</v>
      </c>
      <c r="B12" s="626" t="s">
        <v>1590</v>
      </c>
      <c r="C12" s="802">
        <v>1</v>
      </c>
      <c r="D12" s="801" t="s">
        <v>1580</v>
      </c>
      <c r="E12" s="801">
        <v>0</v>
      </c>
      <c r="F12" s="806"/>
      <c r="G12" s="806"/>
      <c r="H12" s="806"/>
      <c r="I12" s="804" t="s">
        <v>1591</v>
      </c>
      <c r="J12" s="805">
        <v>7</v>
      </c>
    </row>
    <row r="13" spans="1:11" ht="21">
      <c r="A13" s="801">
        <v>8</v>
      </c>
      <c r="B13" s="626" t="s">
        <v>1592</v>
      </c>
      <c r="C13" s="802">
        <v>11</v>
      </c>
      <c r="D13" s="801" t="s">
        <v>1580</v>
      </c>
      <c r="E13" s="801">
        <v>1</v>
      </c>
      <c r="F13" s="806"/>
      <c r="G13" s="806"/>
      <c r="H13" s="806"/>
      <c r="I13" s="804" t="s">
        <v>1593</v>
      </c>
      <c r="J13" s="805">
        <v>8</v>
      </c>
    </row>
    <row r="14" spans="1:11" ht="21">
      <c r="A14" s="801">
        <v>9</v>
      </c>
      <c r="B14" s="626" t="s">
        <v>1594</v>
      </c>
      <c r="C14" s="802">
        <v>1</v>
      </c>
      <c r="D14" s="801" t="s">
        <v>1580</v>
      </c>
      <c r="E14" s="801">
        <v>0</v>
      </c>
      <c r="F14" s="806"/>
      <c r="G14" s="806"/>
      <c r="H14" s="806"/>
      <c r="I14" s="804" t="s">
        <v>1595</v>
      </c>
      <c r="J14" s="805">
        <v>9</v>
      </c>
    </row>
    <row r="15" spans="1:11" ht="21">
      <c r="A15" s="801">
        <v>10</v>
      </c>
      <c r="B15" s="626" t="s">
        <v>1592</v>
      </c>
      <c r="C15" s="802">
        <v>2</v>
      </c>
      <c r="D15" s="802">
        <v>1</v>
      </c>
      <c r="E15" s="802">
        <v>1</v>
      </c>
      <c r="F15" s="803"/>
      <c r="G15" s="803"/>
      <c r="H15" s="803"/>
      <c r="I15" s="804" t="s">
        <v>1596</v>
      </c>
      <c r="J15" s="805">
        <v>10</v>
      </c>
    </row>
    <row r="16" spans="1:11" ht="30">
      <c r="A16" s="801">
        <v>11</v>
      </c>
      <c r="B16" s="626" t="s">
        <v>1105</v>
      </c>
      <c r="C16" s="801" t="s">
        <v>1580</v>
      </c>
      <c r="D16" s="802">
        <v>1</v>
      </c>
      <c r="E16" s="802">
        <v>0</v>
      </c>
      <c r="F16" s="803"/>
      <c r="G16" s="803"/>
      <c r="H16" s="803"/>
      <c r="I16" s="804" t="s">
        <v>1597</v>
      </c>
      <c r="J16" s="805">
        <v>11</v>
      </c>
    </row>
    <row r="17" spans="1:10" ht="21">
      <c r="A17" s="801">
        <v>12</v>
      </c>
      <c r="B17" s="626" t="s">
        <v>1598</v>
      </c>
      <c r="C17" s="801" t="s">
        <v>1580</v>
      </c>
      <c r="D17" s="802">
        <v>1</v>
      </c>
      <c r="E17" s="802">
        <v>2</v>
      </c>
      <c r="F17" s="803"/>
      <c r="G17" s="803"/>
      <c r="H17" s="803"/>
      <c r="I17" s="804" t="s">
        <v>1599</v>
      </c>
      <c r="J17" s="805">
        <v>12</v>
      </c>
    </row>
    <row r="18" spans="1:10" ht="24.75" customHeight="1">
      <c r="A18" s="801">
        <v>13</v>
      </c>
      <c r="B18" s="626" t="s">
        <v>1600</v>
      </c>
      <c r="C18" s="801" t="s">
        <v>1580</v>
      </c>
      <c r="D18" s="802">
        <v>1</v>
      </c>
      <c r="E18" s="802">
        <v>0</v>
      </c>
      <c r="F18" s="803"/>
      <c r="G18" s="803"/>
      <c r="H18" s="803"/>
      <c r="I18" s="804" t="s">
        <v>1601</v>
      </c>
      <c r="J18" s="805">
        <v>13</v>
      </c>
    </row>
    <row r="19" spans="1:10" ht="24.75" customHeight="1">
      <c r="A19" s="801">
        <v>14</v>
      </c>
      <c r="B19" s="626" t="s">
        <v>1602</v>
      </c>
      <c r="C19" s="801" t="s">
        <v>1580</v>
      </c>
      <c r="D19" s="802">
        <v>2</v>
      </c>
      <c r="E19" s="802">
        <v>0</v>
      </c>
      <c r="F19" s="803"/>
      <c r="G19" s="803"/>
      <c r="H19" s="803"/>
      <c r="I19" s="804" t="s">
        <v>1603</v>
      </c>
      <c r="J19" s="805">
        <v>14</v>
      </c>
    </row>
    <row r="20" spans="1:10" ht="21">
      <c r="A20" s="801">
        <v>15</v>
      </c>
      <c r="B20" s="626" t="s">
        <v>1604</v>
      </c>
      <c r="C20" s="802">
        <v>1</v>
      </c>
      <c r="D20" s="802">
        <v>8</v>
      </c>
      <c r="E20" s="802">
        <v>3</v>
      </c>
      <c r="F20" s="803"/>
      <c r="G20" s="803"/>
      <c r="H20" s="803"/>
      <c r="I20" s="804" t="s">
        <v>1605</v>
      </c>
      <c r="J20" s="805">
        <v>15</v>
      </c>
    </row>
    <row r="21" spans="1:10" ht="21">
      <c r="A21" s="801">
        <v>16</v>
      </c>
      <c r="B21" s="626" t="s">
        <v>1606</v>
      </c>
      <c r="C21" s="802">
        <v>4</v>
      </c>
      <c r="D21" s="802" t="s">
        <v>1580</v>
      </c>
      <c r="E21" s="802">
        <v>0</v>
      </c>
      <c r="F21" s="803"/>
      <c r="G21" s="803"/>
      <c r="H21" s="803"/>
      <c r="I21" s="804" t="s">
        <v>1220</v>
      </c>
      <c r="J21" s="805">
        <v>16</v>
      </c>
    </row>
    <row r="22" spans="1:10" ht="21">
      <c r="A22" s="801">
        <v>17</v>
      </c>
      <c r="B22" s="626" t="s">
        <v>1607</v>
      </c>
      <c r="C22" s="802">
        <v>5</v>
      </c>
      <c r="D22" s="802" t="s">
        <v>1580</v>
      </c>
      <c r="E22" s="802">
        <v>0</v>
      </c>
      <c r="F22" s="803"/>
      <c r="G22" s="803"/>
      <c r="H22" s="803"/>
      <c r="I22" s="804" t="s">
        <v>1608</v>
      </c>
      <c r="J22" s="805">
        <v>17</v>
      </c>
    </row>
    <row r="23" spans="1:10" ht="21">
      <c r="A23" s="801">
        <v>18</v>
      </c>
      <c r="B23" s="626" t="s">
        <v>1609</v>
      </c>
      <c r="C23" s="802">
        <v>57</v>
      </c>
      <c r="D23" s="802" t="s">
        <v>1580</v>
      </c>
      <c r="E23" s="802">
        <v>0</v>
      </c>
      <c r="F23" s="803"/>
      <c r="G23" s="803"/>
      <c r="H23" s="803"/>
      <c r="I23" s="804" t="s">
        <v>1610</v>
      </c>
      <c r="J23" s="805">
        <v>18</v>
      </c>
    </row>
    <row r="24" spans="1:10" ht="24.75" customHeight="1">
      <c r="A24" s="801">
        <v>19</v>
      </c>
      <c r="B24" s="626" t="s">
        <v>1611</v>
      </c>
      <c r="C24" s="801" t="s">
        <v>1580</v>
      </c>
      <c r="D24" s="802">
        <v>1</v>
      </c>
      <c r="E24" s="802">
        <v>1</v>
      </c>
      <c r="F24" s="803"/>
      <c r="G24" s="803"/>
      <c r="H24" s="803"/>
      <c r="I24" s="804" t="s">
        <v>1612</v>
      </c>
      <c r="J24" s="805">
        <v>19</v>
      </c>
    </row>
    <row r="25" spans="1:10" ht="19.5" customHeight="1">
      <c r="A25" s="801">
        <v>20</v>
      </c>
      <c r="B25" s="626" t="s">
        <v>1613</v>
      </c>
      <c r="C25" s="801" t="s">
        <v>1580</v>
      </c>
      <c r="D25" s="802">
        <v>1</v>
      </c>
      <c r="E25" s="802">
        <v>2</v>
      </c>
      <c r="F25" s="803"/>
      <c r="G25" s="803"/>
      <c r="H25" s="803"/>
      <c r="I25" s="804" t="s">
        <v>1614</v>
      </c>
      <c r="J25" s="805">
        <v>20</v>
      </c>
    </row>
    <row r="26" spans="1:10" ht="19.5" customHeight="1">
      <c r="A26" s="801">
        <v>21</v>
      </c>
      <c r="B26" s="626" t="s">
        <v>1117</v>
      </c>
      <c r="C26" s="802">
        <v>49</v>
      </c>
      <c r="D26" s="802">
        <v>5</v>
      </c>
      <c r="E26" s="802">
        <v>1</v>
      </c>
      <c r="F26" s="803"/>
      <c r="G26" s="803"/>
      <c r="H26" s="803"/>
      <c r="I26" s="804" t="s">
        <v>1615</v>
      </c>
      <c r="J26" s="805">
        <v>21</v>
      </c>
    </row>
    <row r="27" spans="1:10" ht="21">
      <c r="A27" s="801">
        <v>22</v>
      </c>
      <c r="B27" s="626" t="s">
        <v>1616</v>
      </c>
      <c r="C27" s="801" t="s">
        <v>1580</v>
      </c>
      <c r="D27" s="802">
        <v>3</v>
      </c>
      <c r="E27" s="802">
        <v>0</v>
      </c>
      <c r="F27" s="803"/>
      <c r="G27" s="803"/>
      <c r="H27" s="803"/>
      <c r="I27" s="804" t="s">
        <v>1617</v>
      </c>
      <c r="J27" s="805">
        <v>22</v>
      </c>
    </row>
    <row r="28" spans="1:10" ht="30">
      <c r="A28" s="801">
        <v>23</v>
      </c>
      <c r="B28" s="626" t="s">
        <v>1618</v>
      </c>
      <c r="C28" s="802">
        <v>2</v>
      </c>
      <c r="D28" s="802" t="s">
        <v>1580</v>
      </c>
      <c r="E28" s="802">
        <v>0</v>
      </c>
      <c r="F28" s="803"/>
      <c r="G28" s="803"/>
      <c r="H28" s="803"/>
      <c r="I28" s="804" t="s">
        <v>1619</v>
      </c>
      <c r="J28" s="805">
        <v>23</v>
      </c>
    </row>
    <row r="29" spans="1:10" ht="21">
      <c r="A29" s="801">
        <v>24</v>
      </c>
      <c r="B29" s="626" t="s">
        <v>1620</v>
      </c>
      <c r="C29" s="802">
        <v>93</v>
      </c>
      <c r="D29" s="802" t="s">
        <v>1580</v>
      </c>
      <c r="E29" s="802">
        <v>0</v>
      </c>
      <c r="F29" s="803"/>
      <c r="G29" s="803"/>
      <c r="H29" s="803"/>
      <c r="I29" s="804" t="s">
        <v>1621</v>
      </c>
      <c r="J29" s="805">
        <v>24</v>
      </c>
    </row>
    <row r="30" spans="1:10" ht="24.75" customHeight="1">
      <c r="A30" s="801">
        <v>25</v>
      </c>
      <c r="B30" s="626" t="s">
        <v>1622</v>
      </c>
      <c r="C30" s="801" t="s">
        <v>1580</v>
      </c>
      <c r="D30" s="802">
        <v>2</v>
      </c>
      <c r="E30" s="802">
        <v>0</v>
      </c>
      <c r="F30" s="803"/>
      <c r="G30" s="803"/>
      <c r="H30" s="803"/>
      <c r="I30" s="804" t="s">
        <v>1623</v>
      </c>
      <c r="J30" s="805">
        <v>25</v>
      </c>
    </row>
    <row r="31" spans="1:10" ht="21">
      <c r="A31" s="801">
        <v>26</v>
      </c>
      <c r="B31" s="626" t="s">
        <v>1624</v>
      </c>
      <c r="C31" s="802">
        <v>9</v>
      </c>
      <c r="D31" s="802" t="s">
        <v>1580</v>
      </c>
      <c r="E31" s="802">
        <v>0</v>
      </c>
      <c r="F31" s="803"/>
      <c r="G31" s="803"/>
      <c r="H31" s="803"/>
      <c r="I31" s="804" t="s">
        <v>1625</v>
      </c>
      <c r="J31" s="805">
        <v>26</v>
      </c>
    </row>
    <row r="32" spans="1:10" ht="21">
      <c r="A32" s="801">
        <v>27</v>
      </c>
      <c r="B32" s="626" t="s">
        <v>1626</v>
      </c>
      <c r="C32" s="802">
        <v>4</v>
      </c>
      <c r="D32" s="802" t="s">
        <v>1580</v>
      </c>
      <c r="E32" s="802">
        <v>1</v>
      </c>
      <c r="F32" s="803"/>
      <c r="G32" s="803"/>
      <c r="H32" s="803"/>
      <c r="I32" s="804" t="s">
        <v>1627</v>
      </c>
      <c r="J32" s="805">
        <v>27</v>
      </c>
    </row>
    <row r="33" spans="1:10" ht="21">
      <c r="A33" s="801">
        <v>28</v>
      </c>
      <c r="B33" s="626" t="s">
        <v>1628</v>
      </c>
      <c r="C33" s="802">
        <v>1</v>
      </c>
      <c r="D33" s="802">
        <v>8</v>
      </c>
      <c r="E33" s="802">
        <v>0</v>
      </c>
      <c r="F33" s="803"/>
      <c r="G33" s="803"/>
      <c r="H33" s="803"/>
      <c r="I33" s="804" t="s">
        <v>1629</v>
      </c>
      <c r="J33" s="805">
        <v>28</v>
      </c>
    </row>
    <row r="34" spans="1:10" ht="21">
      <c r="A34" s="801">
        <v>29</v>
      </c>
      <c r="B34" s="626" t="s">
        <v>1630</v>
      </c>
      <c r="C34" s="801" t="s">
        <v>1580</v>
      </c>
      <c r="D34" s="802" t="s">
        <v>1580</v>
      </c>
      <c r="E34" s="802">
        <v>0</v>
      </c>
      <c r="F34" s="803"/>
      <c r="G34" s="803"/>
      <c r="H34" s="803"/>
      <c r="I34" s="804" t="s">
        <v>1631</v>
      </c>
      <c r="J34" s="805">
        <v>29</v>
      </c>
    </row>
    <row r="35" spans="1:10" ht="30">
      <c r="A35" s="801">
        <v>30</v>
      </c>
      <c r="B35" s="626" t="s">
        <v>1632</v>
      </c>
      <c r="C35" s="802">
        <v>43</v>
      </c>
      <c r="D35" s="802">
        <v>1</v>
      </c>
      <c r="E35" s="802">
        <v>0</v>
      </c>
      <c r="F35" s="803"/>
      <c r="G35" s="803"/>
      <c r="H35" s="803"/>
      <c r="I35" s="804" t="s">
        <v>1633</v>
      </c>
      <c r="J35" s="805">
        <v>30</v>
      </c>
    </row>
    <row r="36" spans="1:10" ht="21">
      <c r="A36" s="801">
        <v>31</v>
      </c>
      <c r="B36" s="626" t="s">
        <v>1634</v>
      </c>
      <c r="C36" s="802">
        <v>5</v>
      </c>
      <c r="D36" s="802" t="s">
        <v>1580</v>
      </c>
      <c r="E36" s="802">
        <v>0</v>
      </c>
      <c r="F36" s="803"/>
      <c r="G36" s="803"/>
      <c r="H36" s="803"/>
      <c r="I36" s="804" t="s">
        <v>1635</v>
      </c>
      <c r="J36" s="805">
        <v>31</v>
      </c>
    </row>
    <row r="37" spans="1:10" ht="21">
      <c r="A37" s="801">
        <v>32</v>
      </c>
      <c r="B37" s="626" t="s">
        <v>1636</v>
      </c>
      <c r="C37" s="801" t="s">
        <v>1580</v>
      </c>
      <c r="D37" s="802">
        <v>3</v>
      </c>
      <c r="E37" s="802">
        <v>0</v>
      </c>
      <c r="F37" s="803"/>
      <c r="G37" s="803"/>
      <c r="H37" s="803"/>
      <c r="I37" s="804" t="s">
        <v>1637</v>
      </c>
      <c r="J37" s="805">
        <v>32</v>
      </c>
    </row>
    <row r="38" spans="1:10" ht="21">
      <c r="A38" s="801">
        <v>33</v>
      </c>
      <c r="B38" s="626" t="s">
        <v>1638</v>
      </c>
      <c r="C38" s="801" t="s">
        <v>1580</v>
      </c>
      <c r="D38" s="802">
        <v>1</v>
      </c>
      <c r="E38" s="802">
        <v>0</v>
      </c>
      <c r="F38" s="803"/>
      <c r="G38" s="803"/>
      <c r="H38" s="803"/>
      <c r="I38" s="804" t="s">
        <v>1639</v>
      </c>
      <c r="J38" s="805">
        <v>33</v>
      </c>
    </row>
    <row r="39" spans="1:10" ht="19.5" customHeight="1">
      <c r="A39" s="801">
        <v>34</v>
      </c>
      <c r="B39" s="626" t="s">
        <v>1640</v>
      </c>
      <c r="C39" s="802">
        <v>1</v>
      </c>
      <c r="D39" s="802" t="s">
        <v>1580</v>
      </c>
      <c r="E39" s="802">
        <v>3</v>
      </c>
      <c r="F39" s="803"/>
      <c r="G39" s="803"/>
      <c r="H39" s="803"/>
      <c r="I39" s="804" t="s">
        <v>1641</v>
      </c>
      <c r="J39" s="805">
        <v>34</v>
      </c>
    </row>
    <row r="40" spans="1:10" ht="19.5" customHeight="1">
      <c r="A40" s="801">
        <v>35</v>
      </c>
      <c r="B40" s="626" t="s">
        <v>1642</v>
      </c>
      <c r="C40" s="802">
        <v>23</v>
      </c>
      <c r="D40" s="802">
        <v>9</v>
      </c>
      <c r="E40" s="802">
        <v>3</v>
      </c>
      <c r="F40" s="803"/>
      <c r="G40" s="803"/>
      <c r="H40" s="803"/>
      <c r="I40" s="804" t="s">
        <v>1643</v>
      </c>
      <c r="J40" s="805">
        <v>35</v>
      </c>
    </row>
    <row r="41" spans="1:10" ht="19.5" customHeight="1">
      <c r="A41" s="801">
        <v>36</v>
      </c>
      <c r="B41" s="626" t="s">
        <v>1644</v>
      </c>
      <c r="C41" s="801" t="s">
        <v>1580</v>
      </c>
      <c r="D41" s="802">
        <v>3</v>
      </c>
      <c r="E41" s="802">
        <v>0</v>
      </c>
      <c r="F41" s="803"/>
      <c r="G41" s="803"/>
      <c r="H41" s="803"/>
      <c r="I41" s="804" t="s">
        <v>1645</v>
      </c>
      <c r="J41" s="805">
        <v>36</v>
      </c>
    </row>
    <row r="42" spans="1:10" ht="19.5" customHeight="1">
      <c r="A42" s="801">
        <v>37</v>
      </c>
      <c r="B42" s="626" t="s">
        <v>1646</v>
      </c>
      <c r="C42" s="801" t="s">
        <v>1580</v>
      </c>
      <c r="D42" s="802" t="s">
        <v>1580</v>
      </c>
      <c r="E42" s="802">
        <v>0</v>
      </c>
      <c r="F42" s="803"/>
      <c r="G42" s="803"/>
      <c r="H42" s="803"/>
      <c r="I42" s="804" t="s">
        <v>1647</v>
      </c>
      <c r="J42" s="805">
        <v>37</v>
      </c>
    </row>
    <row r="43" spans="1:10" ht="21">
      <c r="A43" s="801">
        <v>38</v>
      </c>
      <c r="B43" s="626" t="s">
        <v>1648</v>
      </c>
      <c r="C43" s="801" t="s">
        <v>1580</v>
      </c>
      <c r="D43" s="802" t="s">
        <v>1580</v>
      </c>
      <c r="E43" s="802">
        <v>1</v>
      </c>
      <c r="F43" s="803"/>
      <c r="G43" s="803"/>
      <c r="H43" s="803"/>
      <c r="I43" s="804" t="s">
        <v>1649</v>
      </c>
      <c r="J43" s="805">
        <v>38</v>
      </c>
    </row>
    <row r="44" spans="1:10" ht="21">
      <c r="A44" s="801">
        <v>39</v>
      </c>
      <c r="B44" s="626" t="s">
        <v>1119</v>
      </c>
      <c r="C44" s="802">
        <v>115</v>
      </c>
      <c r="D44" s="802">
        <v>34</v>
      </c>
      <c r="E44" s="802">
        <v>38</v>
      </c>
      <c r="F44" s="803"/>
      <c r="G44" s="803"/>
      <c r="H44" s="803"/>
      <c r="I44" s="804" t="s">
        <v>1650</v>
      </c>
      <c r="J44" s="805">
        <v>39</v>
      </c>
    </row>
    <row r="45" spans="1:10" ht="21">
      <c r="A45" s="801">
        <v>40</v>
      </c>
      <c r="B45" s="626" t="s">
        <v>1651</v>
      </c>
      <c r="C45" s="801" t="s">
        <v>1580</v>
      </c>
      <c r="D45" s="802" t="s">
        <v>1580</v>
      </c>
      <c r="E45" s="802">
        <v>0</v>
      </c>
      <c r="F45" s="803"/>
      <c r="G45" s="803"/>
      <c r="H45" s="803"/>
      <c r="I45" s="804" t="s">
        <v>1652</v>
      </c>
      <c r="J45" s="805">
        <v>40</v>
      </c>
    </row>
    <row r="46" spans="1:10" ht="21">
      <c r="A46" s="801">
        <v>41</v>
      </c>
      <c r="B46" s="626" t="s">
        <v>1122</v>
      </c>
      <c r="C46" s="801" t="s">
        <v>1580</v>
      </c>
      <c r="D46" s="802" t="s">
        <v>1580</v>
      </c>
      <c r="E46" s="802">
        <v>1</v>
      </c>
      <c r="F46" s="803"/>
      <c r="G46" s="803"/>
      <c r="H46" s="803"/>
      <c r="I46" s="804" t="s">
        <v>1653</v>
      </c>
      <c r="J46" s="805">
        <v>41</v>
      </c>
    </row>
    <row r="47" spans="1:10" ht="21">
      <c r="A47" s="801">
        <v>42</v>
      </c>
      <c r="B47" s="626" t="s">
        <v>1125</v>
      </c>
      <c r="C47" s="801" t="s">
        <v>1580</v>
      </c>
      <c r="D47" s="802">
        <v>5</v>
      </c>
      <c r="E47" s="802">
        <v>2</v>
      </c>
      <c r="F47" s="803"/>
      <c r="G47" s="803"/>
      <c r="H47" s="803"/>
      <c r="I47" s="804" t="s">
        <v>1126</v>
      </c>
      <c r="J47" s="805">
        <v>42</v>
      </c>
    </row>
    <row r="48" spans="1:10" ht="21">
      <c r="A48" s="801">
        <v>43</v>
      </c>
      <c r="B48" s="626" t="s">
        <v>1124</v>
      </c>
      <c r="C48" s="802">
        <v>549</v>
      </c>
      <c r="D48" s="802">
        <v>43</v>
      </c>
      <c r="E48" s="802">
        <v>26</v>
      </c>
      <c r="F48" s="803"/>
      <c r="G48" s="803"/>
      <c r="H48" s="803"/>
      <c r="I48" s="804" t="s">
        <v>421</v>
      </c>
      <c r="J48" s="805">
        <v>43</v>
      </c>
    </row>
    <row r="49" spans="1:10" ht="21">
      <c r="A49" s="801">
        <v>44</v>
      </c>
      <c r="B49" s="626" t="s">
        <v>1654</v>
      </c>
      <c r="C49" s="802">
        <v>22</v>
      </c>
      <c r="D49" s="802">
        <v>3</v>
      </c>
      <c r="E49" s="802">
        <v>1</v>
      </c>
      <c r="F49" s="803"/>
      <c r="G49" s="803"/>
      <c r="H49" s="803"/>
      <c r="I49" s="804" t="s">
        <v>1655</v>
      </c>
      <c r="J49" s="805">
        <v>44</v>
      </c>
    </row>
    <row r="50" spans="1:10" ht="21">
      <c r="A50" s="801">
        <v>45</v>
      </c>
      <c r="B50" s="626" t="s">
        <v>1656</v>
      </c>
      <c r="C50" s="801" t="s">
        <v>1580</v>
      </c>
      <c r="D50" s="802">
        <v>2</v>
      </c>
      <c r="E50" s="802">
        <v>0</v>
      </c>
      <c r="F50" s="803"/>
      <c r="G50" s="803"/>
      <c r="H50" s="803"/>
      <c r="I50" s="804" t="s">
        <v>1657</v>
      </c>
      <c r="J50" s="805">
        <v>45</v>
      </c>
    </row>
    <row r="51" spans="1:10" ht="21">
      <c r="A51" s="801">
        <v>46</v>
      </c>
      <c r="B51" s="626" t="s">
        <v>50</v>
      </c>
      <c r="C51" s="801" t="s">
        <v>1580</v>
      </c>
      <c r="D51" s="802" t="s">
        <v>1580</v>
      </c>
      <c r="E51" s="802">
        <v>0</v>
      </c>
      <c r="F51" s="803"/>
      <c r="G51" s="803"/>
      <c r="H51" s="803"/>
      <c r="I51" s="804" t="s">
        <v>1658</v>
      </c>
      <c r="J51" s="805">
        <v>46</v>
      </c>
    </row>
    <row r="52" spans="1:10" ht="21">
      <c r="A52" s="801">
        <v>47</v>
      </c>
      <c r="B52" s="626" t="s">
        <v>418</v>
      </c>
      <c r="C52" s="802">
        <v>1</v>
      </c>
      <c r="D52" s="802">
        <v>63</v>
      </c>
      <c r="E52" s="802">
        <v>121</v>
      </c>
      <c r="F52" s="803"/>
      <c r="G52" s="803"/>
      <c r="H52" s="803"/>
      <c r="I52" s="804" t="s">
        <v>1659</v>
      </c>
      <c r="J52" s="805">
        <v>47</v>
      </c>
    </row>
    <row r="53" spans="1:10" ht="24.75" customHeight="1">
      <c r="A53" s="801">
        <v>48</v>
      </c>
      <c r="B53" s="626" t="s">
        <v>1660</v>
      </c>
      <c r="C53" s="801" t="s">
        <v>1580</v>
      </c>
      <c r="D53" s="802">
        <v>1</v>
      </c>
      <c r="E53" s="802">
        <v>0</v>
      </c>
      <c r="F53" s="803"/>
      <c r="G53" s="803"/>
      <c r="H53" s="803"/>
      <c r="I53" s="804" t="s">
        <v>1661</v>
      </c>
      <c r="J53" s="805">
        <v>48</v>
      </c>
    </row>
    <row r="54" spans="1:10" ht="21">
      <c r="A54" s="801">
        <v>49</v>
      </c>
      <c r="B54" s="626" t="s">
        <v>1662</v>
      </c>
      <c r="C54" s="802">
        <v>9</v>
      </c>
      <c r="D54" s="802">
        <v>10</v>
      </c>
      <c r="E54" s="802">
        <v>23</v>
      </c>
      <c r="F54" s="803"/>
      <c r="G54" s="803"/>
      <c r="H54" s="803"/>
      <c r="I54" s="804" t="s">
        <v>1663</v>
      </c>
      <c r="J54" s="805">
        <v>49</v>
      </c>
    </row>
    <row r="55" spans="1:10" ht="21">
      <c r="A55" s="801">
        <v>50</v>
      </c>
      <c r="B55" s="626" t="s">
        <v>1662</v>
      </c>
      <c r="C55" s="802">
        <v>132</v>
      </c>
      <c r="D55" s="802" t="s">
        <v>1580</v>
      </c>
      <c r="E55" s="802">
        <v>0</v>
      </c>
      <c r="F55" s="803"/>
      <c r="G55" s="803"/>
      <c r="H55" s="803"/>
      <c r="I55" s="804" t="s">
        <v>1131</v>
      </c>
      <c r="J55" s="805">
        <v>50</v>
      </c>
    </row>
    <row r="56" spans="1:10" ht="24.75" customHeight="1">
      <c r="A56" s="801">
        <v>51</v>
      </c>
      <c r="B56" s="626" t="s">
        <v>1664</v>
      </c>
      <c r="C56" s="801" t="s">
        <v>1580</v>
      </c>
      <c r="D56" s="802">
        <v>5</v>
      </c>
      <c r="E56" s="802">
        <v>30</v>
      </c>
      <c r="F56" s="803"/>
      <c r="G56" s="803"/>
      <c r="H56" s="803"/>
      <c r="I56" s="804" t="s">
        <v>1665</v>
      </c>
      <c r="J56" s="805">
        <v>51</v>
      </c>
    </row>
    <row r="57" spans="1:10" ht="33" customHeight="1">
      <c r="A57" s="801">
        <v>52</v>
      </c>
      <c r="B57" s="626" t="s">
        <v>1666</v>
      </c>
      <c r="C57" s="802">
        <v>7</v>
      </c>
      <c r="D57" s="802">
        <v>1</v>
      </c>
      <c r="E57" s="802">
        <v>9</v>
      </c>
      <c r="F57" s="803"/>
      <c r="G57" s="803"/>
      <c r="H57" s="803"/>
      <c r="I57" s="804" t="s">
        <v>1667</v>
      </c>
      <c r="J57" s="805">
        <v>52</v>
      </c>
    </row>
    <row r="58" spans="1:10" ht="24.75" customHeight="1">
      <c r="A58" s="801">
        <v>53</v>
      </c>
      <c r="B58" s="626" t="s">
        <v>1668</v>
      </c>
      <c r="C58" s="801" t="s">
        <v>1580</v>
      </c>
      <c r="D58" s="802">
        <v>1</v>
      </c>
      <c r="E58" s="802">
        <v>0</v>
      </c>
      <c r="F58" s="803"/>
      <c r="G58" s="803"/>
      <c r="H58" s="803"/>
      <c r="I58" s="804" t="s">
        <v>1669</v>
      </c>
      <c r="J58" s="805">
        <v>53</v>
      </c>
    </row>
    <row r="59" spans="1:10" ht="21">
      <c r="A59" s="801">
        <v>54</v>
      </c>
      <c r="B59" s="626" t="s">
        <v>1670</v>
      </c>
      <c r="C59" s="802">
        <v>4</v>
      </c>
      <c r="D59" s="802">
        <v>2</v>
      </c>
      <c r="E59" s="802">
        <v>0</v>
      </c>
      <c r="F59" s="803"/>
      <c r="G59" s="803"/>
      <c r="H59" s="803"/>
      <c r="I59" s="804" t="s">
        <v>1671</v>
      </c>
      <c r="J59" s="805">
        <v>54</v>
      </c>
    </row>
    <row r="60" spans="1:10" ht="21">
      <c r="A60" s="801">
        <v>55</v>
      </c>
      <c r="B60" s="626" t="s">
        <v>1672</v>
      </c>
      <c r="C60" s="802">
        <v>3</v>
      </c>
      <c r="D60" s="802" t="s">
        <v>1580</v>
      </c>
      <c r="E60" s="802">
        <v>1</v>
      </c>
      <c r="F60" s="803"/>
      <c r="G60" s="803"/>
      <c r="H60" s="803"/>
      <c r="I60" s="804" t="s">
        <v>1673</v>
      </c>
      <c r="J60" s="805">
        <v>55</v>
      </c>
    </row>
    <row r="61" spans="1:10" ht="21">
      <c r="A61" s="801">
        <v>56</v>
      </c>
      <c r="B61" s="626" t="s">
        <v>1674</v>
      </c>
      <c r="C61" s="802">
        <v>5</v>
      </c>
      <c r="D61" s="802">
        <v>20</v>
      </c>
      <c r="E61" s="802">
        <v>1</v>
      </c>
      <c r="F61" s="803"/>
      <c r="G61" s="803"/>
      <c r="H61" s="803"/>
      <c r="I61" s="804" t="s">
        <v>1675</v>
      </c>
      <c r="J61" s="805">
        <v>56</v>
      </c>
    </row>
    <row r="62" spans="1:10" ht="33.75" customHeight="1">
      <c r="A62" s="801">
        <v>57</v>
      </c>
      <c r="B62" s="626" t="s">
        <v>1676</v>
      </c>
      <c r="C62" s="801" t="s">
        <v>1580</v>
      </c>
      <c r="D62" s="802">
        <v>1</v>
      </c>
      <c r="E62" s="802">
        <v>1</v>
      </c>
      <c r="F62" s="803"/>
      <c r="G62" s="803"/>
      <c r="H62" s="803"/>
      <c r="I62" s="804" t="s">
        <v>1677</v>
      </c>
      <c r="J62" s="805">
        <v>57</v>
      </c>
    </row>
    <row r="63" spans="1:10" ht="21">
      <c r="A63" s="801">
        <v>58</v>
      </c>
      <c r="B63" s="626" t="s">
        <v>1678</v>
      </c>
      <c r="C63" s="802">
        <v>18</v>
      </c>
      <c r="D63" s="802" t="s">
        <v>1580</v>
      </c>
      <c r="E63" s="802">
        <v>0</v>
      </c>
      <c r="F63" s="803"/>
      <c r="G63" s="803"/>
      <c r="H63" s="803"/>
      <c r="I63" s="804" t="s">
        <v>1679</v>
      </c>
      <c r="J63" s="805">
        <v>58</v>
      </c>
    </row>
    <row r="64" spans="1:10" ht="21">
      <c r="A64" s="801">
        <v>59</v>
      </c>
      <c r="B64" s="626" t="s">
        <v>1680</v>
      </c>
      <c r="C64" s="801" t="s">
        <v>1580</v>
      </c>
      <c r="D64" s="802" t="s">
        <v>1580</v>
      </c>
      <c r="E64" s="802">
        <v>0</v>
      </c>
      <c r="F64" s="803"/>
      <c r="G64" s="803"/>
      <c r="H64" s="803"/>
      <c r="I64" s="804" t="s">
        <v>1681</v>
      </c>
      <c r="J64" s="805">
        <v>59</v>
      </c>
    </row>
    <row r="65" spans="1:12" ht="21">
      <c r="A65" s="801">
        <v>60</v>
      </c>
      <c r="B65" s="626" t="s">
        <v>1682</v>
      </c>
      <c r="C65" s="802">
        <v>6</v>
      </c>
      <c r="D65" s="802" t="s">
        <v>1580</v>
      </c>
      <c r="E65" s="802">
        <v>6</v>
      </c>
      <c r="F65" s="803"/>
      <c r="G65" s="803"/>
      <c r="H65" s="803"/>
      <c r="I65" s="804" t="s">
        <v>1683</v>
      </c>
      <c r="J65" s="805">
        <v>60</v>
      </c>
    </row>
    <row r="66" spans="1:12" ht="21">
      <c r="A66" s="801">
        <v>61</v>
      </c>
      <c r="B66" s="626" t="s">
        <v>1684</v>
      </c>
      <c r="C66" s="802">
        <v>236</v>
      </c>
      <c r="D66" s="802">
        <v>1</v>
      </c>
      <c r="E66" s="802">
        <v>2</v>
      </c>
      <c r="F66" s="803"/>
      <c r="G66" s="803"/>
      <c r="H66" s="803"/>
      <c r="I66" s="804" t="s">
        <v>1685</v>
      </c>
      <c r="J66" s="805">
        <v>61</v>
      </c>
    </row>
    <row r="67" spans="1:12" ht="21">
      <c r="A67" s="801">
        <v>62</v>
      </c>
      <c r="B67" s="626" t="s">
        <v>1686</v>
      </c>
      <c r="C67" s="801" t="s">
        <v>1580</v>
      </c>
      <c r="D67" s="802">
        <v>6</v>
      </c>
      <c r="E67" s="802">
        <v>19</v>
      </c>
      <c r="F67" s="803"/>
      <c r="G67" s="803"/>
      <c r="H67" s="803"/>
      <c r="I67" s="804" t="s">
        <v>1687</v>
      </c>
      <c r="J67" s="805">
        <v>62</v>
      </c>
    </row>
    <row r="68" spans="1:12" ht="21">
      <c r="A68" s="801">
        <v>63</v>
      </c>
      <c r="B68" s="626" t="s">
        <v>1688</v>
      </c>
      <c r="C68" s="802">
        <v>7</v>
      </c>
      <c r="D68" s="802">
        <v>68</v>
      </c>
      <c r="E68" s="802">
        <v>8</v>
      </c>
      <c r="F68" s="803"/>
      <c r="G68" s="803"/>
      <c r="H68" s="803"/>
      <c r="I68" s="804" t="s">
        <v>1689</v>
      </c>
      <c r="J68" s="805">
        <v>63</v>
      </c>
    </row>
    <row r="69" spans="1:12" ht="21">
      <c r="A69" s="801">
        <v>64</v>
      </c>
      <c r="B69" s="626" t="s">
        <v>1690</v>
      </c>
      <c r="C69" s="802">
        <v>2</v>
      </c>
      <c r="D69" s="802">
        <v>341</v>
      </c>
      <c r="E69" s="802">
        <v>474</v>
      </c>
      <c r="F69" s="803"/>
      <c r="G69" s="803"/>
      <c r="H69" s="803"/>
      <c r="I69" s="804" t="s">
        <v>1691</v>
      </c>
      <c r="J69" s="805">
        <v>64</v>
      </c>
    </row>
    <row r="70" spans="1:12" ht="21">
      <c r="A70" s="801">
        <v>65</v>
      </c>
      <c r="B70" s="626" t="s">
        <v>1692</v>
      </c>
      <c r="C70" s="802">
        <v>163</v>
      </c>
      <c r="D70" s="802">
        <v>1</v>
      </c>
      <c r="E70" s="802">
        <v>2</v>
      </c>
      <c r="F70" s="803"/>
      <c r="G70" s="803"/>
      <c r="H70" s="803"/>
      <c r="I70" s="804" t="s">
        <v>1693</v>
      </c>
      <c r="J70" s="805">
        <v>65</v>
      </c>
    </row>
    <row r="71" spans="1:12" ht="21">
      <c r="A71" s="801">
        <v>66</v>
      </c>
      <c r="B71" s="626" t="s">
        <v>1694</v>
      </c>
      <c r="C71" s="802">
        <v>1</v>
      </c>
      <c r="D71" s="802">
        <v>9</v>
      </c>
      <c r="E71" s="802">
        <v>11</v>
      </c>
      <c r="F71" s="803"/>
      <c r="G71" s="803"/>
      <c r="H71" s="803"/>
      <c r="I71" s="804" t="s">
        <v>1695</v>
      </c>
      <c r="J71" s="805">
        <v>66</v>
      </c>
    </row>
    <row r="72" spans="1:12" ht="21">
      <c r="A72" s="801">
        <v>67</v>
      </c>
      <c r="B72" s="626" t="s">
        <v>1696</v>
      </c>
      <c r="C72" s="802">
        <v>2</v>
      </c>
      <c r="D72" s="802" t="s">
        <v>1580</v>
      </c>
      <c r="E72" s="802">
        <v>0</v>
      </c>
      <c r="F72" s="803"/>
      <c r="G72" s="803"/>
      <c r="H72" s="803"/>
      <c r="I72" s="804" t="s">
        <v>1697</v>
      </c>
      <c r="J72" s="805">
        <v>67</v>
      </c>
    </row>
    <row r="73" spans="1:12" ht="21">
      <c r="A73" s="801">
        <v>68</v>
      </c>
      <c r="B73" s="626" t="s">
        <v>1696</v>
      </c>
      <c r="C73" s="802">
        <v>1</v>
      </c>
      <c r="D73" s="802" t="s">
        <v>1580</v>
      </c>
      <c r="E73" s="802">
        <v>8</v>
      </c>
      <c r="F73" s="803"/>
      <c r="G73" s="803"/>
      <c r="H73" s="803"/>
      <c r="I73" s="804" t="s">
        <v>1698</v>
      </c>
      <c r="J73" s="805">
        <v>68</v>
      </c>
    </row>
    <row r="74" spans="1:12" ht="21">
      <c r="A74" s="801">
        <v>69</v>
      </c>
      <c r="B74" s="626" t="s">
        <v>1696</v>
      </c>
      <c r="C74" s="802">
        <v>3</v>
      </c>
      <c r="D74" s="802">
        <v>176</v>
      </c>
      <c r="E74" s="802">
        <v>99</v>
      </c>
      <c r="F74" s="803"/>
      <c r="G74" s="803"/>
      <c r="H74" s="803"/>
      <c r="I74" s="804" t="s">
        <v>1699</v>
      </c>
      <c r="J74" s="805">
        <v>69</v>
      </c>
    </row>
    <row r="75" spans="1:12" ht="21">
      <c r="A75" s="801">
        <v>70</v>
      </c>
      <c r="B75" s="626" t="s">
        <v>1700</v>
      </c>
      <c r="C75" s="802">
        <v>15</v>
      </c>
      <c r="D75" s="802" t="s">
        <v>1580</v>
      </c>
      <c r="E75" s="802">
        <v>2</v>
      </c>
      <c r="F75" s="803"/>
      <c r="G75" s="803"/>
      <c r="H75" s="803"/>
      <c r="I75" s="804" t="s">
        <v>1701</v>
      </c>
      <c r="J75" s="805">
        <v>70</v>
      </c>
    </row>
    <row r="76" spans="1:12" ht="21">
      <c r="A76" s="801">
        <v>71</v>
      </c>
      <c r="B76" s="626" t="s">
        <v>1702</v>
      </c>
      <c r="C76" s="801" t="s">
        <v>1580</v>
      </c>
      <c r="D76" s="802" t="s">
        <v>1580</v>
      </c>
      <c r="E76" s="802">
        <v>0</v>
      </c>
      <c r="F76" s="803"/>
      <c r="G76" s="803"/>
      <c r="H76" s="803"/>
      <c r="I76" s="804" t="s">
        <v>1140</v>
      </c>
      <c r="J76" s="805">
        <v>71</v>
      </c>
      <c r="L76" s="807"/>
    </row>
    <row r="77" spans="1:12" ht="21">
      <c r="A77" s="801">
        <v>72</v>
      </c>
      <c r="B77" s="626" t="s">
        <v>1703</v>
      </c>
      <c r="C77" s="802">
        <v>38</v>
      </c>
      <c r="D77" s="802" t="s">
        <v>1580</v>
      </c>
      <c r="E77" s="802">
        <v>0</v>
      </c>
      <c r="F77" s="803"/>
      <c r="G77" s="803"/>
      <c r="H77" s="803"/>
      <c r="I77" s="804" t="s">
        <v>1141</v>
      </c>
      <c r="J77" s="805">
        <v>72</v>
      </c>
    </row>
    <row r="78" spans="1:12" ht="21">
      <c r="A78" s="801">
        <v>73</v>
      </c>
      <c r="B78" s="626" t="s">
        <v>1704</v>
      </c>
      <c r="C78" s="802">
        <v>4</v>
      </c>
      <c r="D78" s="802" t="s">
        <v>1580</v>
      </c>
      <c r="E78" s="802">
        <v>5</v>
      </c>
      <c r="F78" s="803"/>
      <c r="G78" s="803"/>
      <c r="H78" s="803"/>
      <c r="I78" s="804" t="s">
        <v>1146</v>
      </c>
      <c r="J78" s="805">
        <v>73</v>
      </c>
    </row>
    <row r="79" spans="1:12" ht="21">
      <c r="A79" s="801">
        <v>74</v>
      </c>
      <c r="B79" s="626" t="s">
        <v>1705</v>
      </c>
      <c r="C79" s="802">
        <v>12</v>
      </c>
      <c r="D79" s="802" t="s">
        <v>1580</v>
      </c>
      <c r="E79" s="802">
        <v>0</v>
      </c>
      <c r="F79" s="803"/>
      <c r="G79" s="803"/>
      <c r="H79" s="803"/>
      <c r="I79" s="804" t="s">
        <v>1706</v>
      </c>
      <c r="J79" s="805">
        <v>74</v>
      </c>
    </row>
    <row r="80" spans="1:12" ht="24.75" customHeight="1">
      <c r="A80" s="801">
        <v>75</v>
      </c>
      <c r="B80" s="626" t="s">
        <v>1626</v>
      </c>
      <c r="C80" s="801" t="s">
        <v>1580</v>
      </c>
      <c r="D80" s="802" t="s">
        <v>1580</v>
      </c>
      <c r="E80" s="802">
        <v>0</v>
      </c>
      <c r="F80" s="803"/>
      <c r="G80" s="803"/>
      <c r="H80" s="803"/>
      <c r="I80" s="804" t="s">
        <v>1707</v>
      </c>
      <c r="J80" s="805">
        <v>75</v>
      </c>
    </row>
    <row r="81" spans="1:10" ht="30">
      <c r="A81" s="801">
        <v>76</v>
      </c>
      <c r="B81" s="626" t="s">
        <v>1708</v>
      </c>
      <c r="C81" s="802">
        <v>5</v>
      </c>
      <c r="D81" s="802" t="s">
        <v>1580</v>
      </c>
      <c r="E81" s="802">
        <v>0</v>
      </c>
      <c r="F81" s="803"/>
      <c r="G81" s="803"/>
      <c r="H81" s="803"/>
      <c r="I81" s="804" t="s">
        <v>1709</v>
      </c>
      <c r="J81" s="805">
        <v>76</v>
      </c>
    </row>
    <row r="82" spans="1:10" ht="21">
      <c r="A82" s="801">
        <v>77</v>
      </c>
      <c r="B82" s="626" t="s">
        <v>1710</v>
      </c>
      <c r="C82" s="802">
        <v>11</v>
      </c>
      <c r="D82" s="802" t="s">
        <v>1580</v>
      </c>
      <c r="E82" s="802">
        <v>2</v>
      </c>
      <c r="F82" s="803"/>
      <c r="G82" s="803"/>
      <c r="H82" s="803"/>
      <c r="I82" s="804" t="s">
        <v>1711</v>
      </c>
      <c r="J82" s="805">
        <v>77</v>
      </c>
    </row>
    <row r="83" spans="1:10" ht="21">
      <c r="A83" s="801">
        <v>78</v>
      </c>
      <c r="B83" s="626" t="s">
        <v>1710</v>
      </c>
      <c r="C83" s="801" t="s">
        <v>1580</v>
      </c>
      <c r="D83" s="802">
        <v>6</v>
      </c>
      <c r="E83" s="802">
        <v>0</v>
      </c>
      <c r="F83" s="803"/>
      <c r="G83" s="803"/>
      <c r="H83" s="803"/>
      <c r="I83" s="804" t="s">
        <v>1712</v>
      </c>
      <c r="J83" s="805">
        <v>78</v>
      </c>
    </row>
    <row r="84" spans="1:10" ht="21">
      <c r="A84" s="801">
        <v>79</v>
      </c>
      <c r="B84" s="626" t="s">
        <v>1713</v>
      </c>
      <c r="C84" s="802">
        <v>17</v>
      </c>
      <c r="D84" s="802" t="s">
        <v>1580</v>
      </c>
      <c r="E84" s="802">
        <v>0</v>
      </c>
      <c r="F84" s="803"/>
      <c r="G84" s="803"/>
      <c r="H84" s="803"/>
      <c r="I84" s="804" t="s">
        <v>1714</v>
      </c>
      <c r="J84" s="805">
        <v>79</v>
      </c>
    </row>
    <row r="85" spans="1:10" ht="30">
      <c r="A85" s="801">
        <v>80</v>
      </c>
      <c r="B85" s="626" t="s">
        <v>1715</v>
      </c>
      <c r="C85" s="802">
        <v>195</v>
      </c>
      <c r="D85" s="802">
        <v>31</v>
      </c>
      <c r="E85" s="802">
        <v>47</v>
      </c>
      <c r="F85" s="803"/>
      <c r="G85" s="803"/>
      <c r="H85" s="803"/>
      <c r="I85" s="804" t="s">
        <v>1716</v>
      </c>
      <c r="J85" s="805">
        <v>80</v>
      </c>
    </row>
    <row r="86" spans="1:10" ht="30">
      <c r="A86" s="801">
        <v>81</v>
      </c>
      <c r="B86" s="626" t="s">
        <v>1717</v>
      </c>
      <c r="C86" s="802">
        <v>5</v>
      </c>
      <c r="D86" s="802">
        <v>8</v>
      </c>
      <c r="E86" s="802">
        <v>50</v>
      </c>
      <c r="F86" s="803"/>
      <c r="G86" s="803"/>
      <c r="H86" s="803"/>
      <c r="I86" s="804" t="s">
        <v>1718</v>
      </c>
      <c r="J86" s="805">
        <v>81</v>
      </c>
    </row>
    <row r="87" spans="1:10" ht="30">
      <c r="A87" s="801">
        <v>82</v>
      </c>
      <c r="B87" s="626" t="s">
        <v>1719</v>
      </c>
      <c r="C87" s="802">
        <v>6</v>
      </c>
      <c r="D87" s="802" t="s">
        <v>1580</v>
      </c>
      <c r="E87" s="802">
        <v>0</v>
      </c>
      <c r="F87" s="803"/>
      <c r="G87" s="803"/>
      <c r="H87" s="803"/>
      <c r="I87" s="804" t="s">
        <v>1720</v>
      </c>
      <c r="J87" s="805">
        <v>82</v>
      </c>
    </row>
    <row r="88" spans="1:10" ht="30">
      <c r="A88" s="801">
        <v>83</v>
      </c>
      <c r="B88" s="626" t="s">
        <v>1715</v>
      </c>
      <c r="C88" s="802">
        <v>5</v>
      </c>
      <c r="D88" s="802">
        <v>167</v>
      </c>
      <c r="E88" s="802">
        <v>148</v>
      </c>
      <c r="F88" s="803"/>
      <c r="G88" s="803"/>
      <c r="H88" s="803"/>
      <c r="I88" s="804" t="s">
        <v>1721</v>
      </c>
      <c r="J88" s="805">
        <v>83</v>
      </c>
    </row>
    <row r="89" spans="1:10" ht="24.75" customHeight="1">
      <c r="A89" s="801">
        <v>84</v>
      </c>
      <c r="B89" s="626" t="s">
        <v>1722</v>
      </c>
      <c r="C89" s="802">
        <v>5</v>
      </c>
      <c r="D89" s="802">
        <v>3</v>
      </c>
      <c r="E89" s="802">
        <v>5</v>
      </c>
      <c r="F89" s="803"/>
      <c r="G89" s="803"/>
      <c r="H89" s="803"/>
      <c r="I89" s="804" t="s">
        <v>1723</v>
      </c>
      <c r="J89" s="805">
        <v>84</v>
      </c>
    </row>
    <row r="90" spans="1:10" ht="21">
      <c r="A90" s="801">
        <v>85</v>
      </c>
      <c r="B90" s="626" t="s">
        <v>1724</v>
      </c>
      <c r="C90" s="802">
        <v>2</v>
      </c>
      <c r="D90" s="802" t="s">
        <v>1580</v>
      </c>
      <c r="E90" s="802">
        <v>0</v>
      </c>
      <c r="F90" s="803"/>
      <c r="G90" s="803"/>
      <c r="H90" s="803"/>
      <c r="I90" s="804" t="s">
        <v>1725</v>
      </c>
      <c r="J90" s="805">
        <v>85</v>
      </c>
    </row>
    <row r="91" spans="1:10" ht="21">
      <c r="A91" s="801">
        <v>86</v>
      </c>
      <c r="B91" s="626" t="s">
        <v>411</v>
      </c>
      <c r="C91" s="802">
        <v>123</v>
      </c>
      <c r="D91" s="802">
        <v>176</v>
      </c>
      <c r="E91" s="802">
        <v>262</v>
      </c>
      <c r="F91" s="803"/>
      <c r="G91" s="803"/>
      <c r="H91" s="803"/>
      <c r="I91" s="804" t="s">
        <v>1726</v>
      </c>
      <c r="J91" s="805">
        <v>86</v>
      </c>
    </row>
    <row r="92" spans="1:10" ht="21">
      <c r="A92" s="801">
        <v>87</v>
      </c>
      <c r="B92" s="626" t="s">
        <v>1727</v>
      </c>
      <c r="C92" s="802">
        <v>3</v>
      </c>
      <c r="D92" s="802" t="s">
        <v>1580</v>
      </c>
      <c r="E92" s="802">
        <v>0</v>
      </c>
      <c r="F92" s="803"/>
      <c r="G92" s="803"/>
      <c r="H92" s="803"/>
      <c r="I92" s="804" t="s">
        <v>1150</v>
      </c>
      <c r="J92" s="805">
        <v>87</v>
      </c>
    </row>
    <row r="93" spans="1:10" ht="21">
      <c r="A93" s="801">
        <v>88</v>
      </c>
      <c r="B93" s="626" t="s">
        <v>1728</v>
      </c>
      <c r="C93" s="802">
        <v>33</v>
      </c>
      <c r="D93" s="802" t="s">
        <v>1580</v>
      </c>
      <c r="E93" s="802">
        <v>0</v>
      </c>
      <c r="F93" s="803"/>
      <c r="G93" s="803"/>
      <c r="H93" s="803"/>
      <c r="I93" s="804" t="s">
        <v>1729</v>
      </c>
      <c r="J93" s="805">
        <v>88</v>
      </c>
    </row>
    <row r="94" spans="1:10" ht="21">
      <c r="A94" s="801">
        <v>89</v>
      </c>
      <c r="B94" s="626" t="s">
        <v>1730</v>
      </c>
      <c r="C94" s="802">
        <v>6</v>
      </c>
      <c r="D94" s="802" t="s">
        <v>1580</v>
      </c>
      <c r="E94" s="802">
        <v>0</v>
      </c>
      <c r="F94" s="803"/>
      <c r="G94" s="803"/>
      <c r="H94" s="803"/>
      <c r="I94" s="804" t="s">
        <v>1731</v>
      </c>
      <c r="J94" s="805">
        <v>89</v>
      </c>
    </row>
    <row r="95" spans="1:10" ht="21">
      <c r="A95" s="801">
        <v>90</v>
      </c>
      <c r="B95" s="626" t="s">
        <v>1732</v>
      </c>
      <c r="C95" s="801" t="s">
        <v>1580</v>
      </c>
      <c r="D95" s="802">
        <v>1</v>
      </c>
      <c r="E95" s="802">
        <v>0</v>
      </c>
      <c r="F95" s="803"/>
      <c r="G95" s="803"/>
      <c r="H95" s="803"/>
      <c r="I95" s="804" t="s">
        <v>1733</v>
      </c>
      <c r="J95" s="805">
        <v>90</v>
      </c>
    </row>
    <row r="96" spans="1:10" ht="21">
      <c r="A96" s="801">
        <v>91</v>
      </c>
      <c r="B96" s="626" t="s">
        <v>1734</v>
      </c>
      <c r="C96" s="802">
        <v>9</v>
      </c>
      <c r="D96" s="802">
        <v>3</v>
      </c>
      <c r="E96" s="802">
        <v>3</v>
      </c>
      <c r="F96" s="803"/>
      <c r="G96" s="803"/>
      <c r="H96" s="803"/>
      <c r="I96" s="804" t="s">
        <v>1735</v>
      </c>
      <c r="J96" s="805">
        <v>91</v>
      </c>
    </row>
    <row r="97" spans="1:10" ht="24.75" customHeight="1">
      <c r="A97" s="801">
        <v>92</v>
      </c>
      <c r="B97" s="626" t="s">
        <v>1736</v>
      </c>
      <c r="C97" s="801" t="s">
        <v>1580</v>
      </c>
      <c r="D97" s="802">
        <v>4</v>
      </c>
      <c r="E97" s="802">
        <v>0</v>
      </c>
      <c r="F97" s="803"/>
      <c r="G97" s="803"/>
      <c r="H97" s="803"/>
      <c r="I97" s="804" t="s">
        <v>1737</v>
      </c>
      <c r="J97" s="805">
        <v>92</v>
      </c>
    </row>
    <row r="98" spans="1:10" ht="21">
      <c r="A98" s="801">
        <v>93</v>
      </c>
      <c r="B98" s="626" t="s">
        <v>1734</v>
      </c>
      <c r="C98" s="802">
        <v>2</v>
      </c>
      <c r="D98" s="802" t="s">
        <v>1580</v>
      </c>
      <c r="E98" s="802">
        <v>0</v>
      </c>
      <c r="F98" s="803"/>
      <c r="G98" s="803"/>
      <c r="H98" s="803"/>
      <c r="I98" s="804" t="s">
        <v>1738</v>
      </c>
      <c r="J98" s="805">
        <v>93</v>
      </c>
    </row>
    <row r="99" spans="1:10" ht="21">
      <c r="A99" s="801">
        <v>94</v>
      </c>
      <c r="B99" s="626" t="s">
        <v>1734</v>
      </c>
      <c r="C99" s="802">
        <v>1</v>
      </c>
      <c r="D99" s="802" t="s">
        <v>1580</v>
      </c>
      <c r="E99" s="802">
        <v>0</v>
      </c>
      <c r="F99" s="803"/>
      <c r="G99" s="803"/>
      <c r="H99" s="803"/>
      <c r="I99" s="804" t="s">
        <v>1739</v>
      </c>
      <c r="J99" s="805">
        <v>94</v>
      </c>
    </row>
    <row r="100" spans="1:10" ht="21">
      <c r="A100" s="801">
        <v>95</v>
      </c>
      <c r="B100" s="626" t="s">
        <v>1740</v>
      </c>
      <c r="C100" s="802">
        <v>1</v>
      </c>
      <c r="D100" s="802" t="s">
        <v>1580</v>
      </c>
      <c r="E100" s="802">
        <v>0</v>
      </c>
      <c r="F100" s="803"/>
      <c r="G100" s="803"/>
      <c r="H100" s="803"/>
      <c r="I100" s="804" t="s">
        <v>1741</v>
      </c>
      <c r="J100" s="805">
        <v>95</v>
      </c>
    </row>
    <row r="101" spans="1:10" ht="21">
      <c r="A101" s="801">
        <v>96</v>
      </c>
      <c r="B101" s="626" t="s">
        <v>1742</v>
      </c>
      <c r="C101" s="802">
        <v>2</v>
      </c>
      <c r="D101" s="802">
        <v>2</v>
      </c>
      <c r="E101" s="802">
        <v>5</v>
      </c>
      <c r="F101" s="803"/>
      <c r="G101" s="803"/>
      <c r="H101" s="803"/>
      <c r="I101" s="804" t="s">
        <v>1743</v>
      </c>
      <c r="J101" s="805">
        <v>96</v>
      </c>
    </row>
    <row r="102" spans="1:10" ht="21">
      <c r="A102" s="801">
        <v>97</v>
      </c>
      <c r="B102" s="626" t="s">
        <v>1744</v>
      </c>
      <c r="C102" s="802">
        <v>1</v>
      </c>
      <c r="D102" s="802" t="s">
        <v>1580</v>
      </c>
      <c r="E102" s="802">
        <v>0</v>
      </c>
      <c r="F102" s="803"/>
      <c r="G102" s="803"/>
      <c r="H102" s="803"/>
      <c r="I102" s="804" t="s">
        <v>1745</v>
      </c>
      <c r="J102" s="805">
        <v>97</v>
      </c>
    </row>
    <row r="103" spans="1:10" ht="21">
      <c r="A103" s="801">
        <v>98</v>
      </c>
      <c r="B103" s="626" t="s">
        <v>1744</v>
      </c>
      <c r="C103" s="801" t="s">
        <v>1580</v>
      </c>
      <c r="D103" s="802" t="s">
        <v>1580</v>
      </c>
      <c r="E103" s="802">
        <v>0</v>
      </c>
      <c r="F103" s="803"/>
      <c r="G103" s="803"/>
      <c r="H103" s="803"/>
      <c r="I103" s="804" t="s">
        <v>1153</v>
      </c>
      <c r="J103" s="805">
        <v>98</v>
      </c>
    </row>
    <row r="104" spans="1:10" ht="24.75" customHeight="1">
      <c r="A104" s="801">
        <v>99</v>
      </c>
      <c r="B104" s="626" t="s">
        <v>1746</v>
      </c>
      <c r="C104" s="801" t="s">
        <v>1580</v>
      </c>
      <c r="D104" s="802">
        <v>7</v>
      </c>
      <c r="E104" s="802">
        <v>1</v>
      </c>
      <c r="F104" s="803"/>
      <c r="G104" s="803"/>
      <c r="H104" s="803"/>
      <c r="I104" s="804" t="s">
        <v>1747</v>
      </c>
      <c r="J104" s="805">
        <v>99</v>
      </c>
    </row>
    <row r="105" spans="1:10" ht="21">
      <c r="A105" s="801">
        <v>100</v>
      </c>
      <c r="B105" s="626" t="s">
        <v>1748</v>
      </c>
      <c r="C105" s="801" t="s">
        <v>1580</v>
      </c>
      <c r="D105" s="802">
        <v>4</v>
      </c>
      <c r="E105" s="802">
        <v>0</v>
      </c>
      <c r="F105" s="803"/>
      <c r="G105" s="803"/>
      <c r="H105" s="803"/>
      <c r="I105" s="804" t="s">
        <v>1749</v>
      </c>
      <c r="J105" s="805">
        <v>100</v>
      </c>
    </row>
    <row r="106" spans="1:10" ht="21">
      <c r="A106" s="801">
        <v>101</v>
      </c>
      <c r="B106" s="626" t="s">
        <v>1750</v>
      </c>
      <c r="C106" s="802">
        <v>9</v>
      </c>
      <c r="D106" s="802" t="s">
        <v>1580</v>
      </c>
      <c r="E106" s="802">
        <v>1</v>
      </c>
      <c r="F106" s="803"/>
      <c r="G106" s="803"/>
      <c r="H106" s="803"/>
      <c r="I106" s="804" t="s">
        <v>1751</v>
      </c>
      <c r="J106" s="805">
        <v>101</v>
      </c>
    </row>
    <row r="107" spans="1:10" ht="24.75" customHeight="1">
      <c r="A107" s="801">
        <v>102</v>
      </c>
      <c r="B107" s="626" t="s">
        <v>1752</v>
      </c>
      <c r="C107" s="801" t="s">
        <v>1580</v>
      </c>
      <c r="D107" s="802">
        <v>1</v>
      </c>
      <c r="E107" s="802">
        <v>0</v>
      </c>
      <c r="F107" s="803"/>
      <c r="G107" s="803"/>
      <c r="H107" s="803"/>
      <c r="I107" s="804" t="s">
        <v>1753</v>
      </c>
      <c r="J107" s="805">
        <v>102</v>
      </c>
    </row>
    <row r="108" spans="1:10" ht="21">
      <c r="A108" s="801">
        <v>103</v>
      </c>
      <c r="B108" s="626" t="s">
        <v>1754</v>
      </c>
      <c r="C108" s="802">
        <v>72</v>
      </c>
      <c r="D108" s="802">
        <v>11</v>
      </c>
      <c r="E108" s="802">
        <v>7</v>
      </c>
      <c r="F108" s="803"/>
      <c r="G108" s="803"/>
      <c r="H108" s="803"/>
      <c r="I108" s="804" t="s">
        <v>1755</v>
      </c>
      <c r="J108" s="805">
        <v>103</v>
      </c>
    </row>
    <row r="109" spans="1:10" ht="21">
      <c r="A109" s="801">
        <v>104</v>
      </c>
      <c r="B109" s="626" t="s">
        <v>1756</v>
      </c>
      <c r="C109" s="802">
        <v>1</v>
      </c>
      <c r="D109" s="802">
        <v>12</v>
      </c>
      <c r="E109" s="802">
        <v>2</v>
      </c>
      <c r="F109" s="803"/>
      <c r="G109" s="803"/>
      <c r="H109" s="803"/>
      <c r="I109" s="804" t="s">
        <v>1757</v>
      </c>
      <c r="J109" s="805">
        <v>104</v>
      </c>
    </row>
    <row r="110" spans="1:10" ht="21">
      <c r="A110" s="801">
        <v>105</v>
      </c>
      <c r="B110" s="626" t="s">
        <v>12</v>
      </c>
      <c r="C110" s="802">
        <v>20</v>
      </c>
      <c r="D110" s="802" t="s">
        <v>1580</v>
      </c>
      <c r="E110" s="802">
        <v>10</v>
      </c>
      <c r="F110" s="803"/>
      <c r="G110" s="803"/>
      <c r="H110" s="803"/>
      <c r="I110" s="804" t="s">
        <v>1758</v>
      </c>
      <c r="J110" s="805">
        <v>105</v>
      </c>
    </row>
    <row r="111" spans="1:10" ht="21">
      <c r="A111" s="801">
        <v>106</v>
      </c>
      <c r="B111" s="626" t="s">
        <v>1759</v>
      </c>
      <c r="C111" s="802">
        <v>2</v>
      </c>
      <c r="D111" s="802">
        <v>2</v>
      </c>
      <c r="E111" s="802">
        <v>0</v>
      </c>
      <c r="F111" s="803"/>
      <c r="G111" s="803"/>
      <c r="H111" s="803"/>
      <c r="I111" s="804" t="s">
        <v>1760</v>
      </c>
      <c r="J111" s="805">
        <v>106</v>
      </c>
    </row>
    <row r="112" spans="1:10" ht="24.75" customHeight="1">
      <c r="A112" s="801">
        <v>107</v>
      </c>
      <c r="B112" s="626" t="s">
        <v>1761</v>
      </c>
      <c r="C112" s="801" t="s">
        <v>1580</v>
      </c>
      <c r="D112" s="802">
        <v>3</v>
      </c>
      <c r="E112" s="802">
        <v>1</v>
      </c>
      <c r="F112" s="803"/>
      <c r="G112" s="803"/>
      <c r="H112" s="803"/>
      <c r="I112" s="804" t="s">
        <v>1762</v>
      </c>
      <c r="J112" s="805">
        <v>107</v>
      </c>
    </row>
    <row r="113" spans="1:10" ht="21">
      <c r="A113" s="801">
        <v>108</v>
      </c>
      <c r="B113" s="626" t="s">
        <v>12</v>
      </c>
      <c r="C113" s="802">
        <v>2</v>
      </c>
      <c r="D113" s="802">
        <v>16</v>
      </c>
      <c r="E113" s="802">
        <v>0</v>
      </c>
      <c r="F113" s="803"/>
      <c r="G113" s="803"/>
      <c r="H113" s="803"/>
      <c r="I113" s="804" t="s">
        <v>1763</v>
      </c>
      <c r="J113" s="805">
        <v>108</v>
      </c>
    </row>
    <row r="114" spans="1:10" ht="42">
      <c r="A114" s="801">
        <v>109</v>
      </c>
      <c r="B114" s="626" t="s">
        <v>1764</v>
      </c>
      <c r="C114" s="802">
        <v>7</v>
      </c>
      <c r="D114" s="802" t="s">
        <v>1580</v>
      </c>
      <c r="E114" s="802">
        <v>0</v>
      </c>
      <c r="F114" s="803"/>
      <c r="G114" s="803"/>
      <c r="H114" s="803"/>
      <c r="I114" s="804" t="s">
        <v>1765</v>
      </c>
      <c r="J114" s="805">
        <v>109</v>
      </c>
    </row>
    <row r="115" spans="1:10" ht="42">
      <c r="A115" s="801">
        <v>110</v>
      </c>
      <c r="B115" s="626" t="s">
        <v>1766</v>
      </c>
      <c r="C115" s="802">
        <v>5</v>
      </c>
      <c r="D115" s="802" t="s">
        <v>1580</v>
      </c>
      <c r="E115" s="802">
        <v>0</v>
      </c>
      <c r="F115" s="803"/>
      <c r="G115" s="803"/>
      <c r="H115" s="803"/>
      <c r="I115" s="804" t="s">
        <v>1767</v>
      </c>
      <c r="J115" s="805">
        <v>110</v>
      </c>
    </row>
    <row r="116" spans="1:10" ht="21">
      <c r="A116" s="801">
        <v>111</v>
      </c>
      <c r="B116" s="626" t="s">
        <v>0</v>
      </c>
      <c r="C116" s="802">
        <v>1</v>
      </c>
      <c r="D116" s="802">
        <v>18</v>
      </c>
      <c r="E116" s="802">
        <v>0</v>
      </c>
      <c r="F116" s="803"/>
      <c r="G116" s="803"/>
      <c r="H116" s="803"/>
      <c r="I116" s="804" t="s">
        <v>3</v>
      </c>
      <c r="J116" s="805">
        <v>111</v>
      </c>
    </row>
    <row r="117" spans="1:10" ht="21">
      <c r="A117" s="801">
        <v>112</v>
      </c>
      <c r="B117" s="626" t="s">
        <v>1768</v>
      </c>
      <c r="C117" s="802">
        <v>20</v>
      </c>
      <c r="D117" s="802">
        <v>9</v>
      </c>
      <c r="E117" s="802">
        <v>10</v>
      </c>
      <c r="F117" s="803"/>
      <c r="G117" s="803"/>
      <c r="H117" s="803"/>
      <c r="I117" s="804" t="s">
        <v>1769</v>
      </c>
      <c r="J117" s="805">
        <v>112</v>
      </c>
    </row>
    <row r="118" spans="1:10" ht="21">
      <c r="A118" s="801">
        <v>113</v>
      </c>
      <c r="B118" s="626" t="s">
        <v>0</v>
      </c>
      <c r="C118" s="802">
        <v>76</v>
      </c>
      <c r="D118" s="802">
        <v>193</v>
      </c>
      <c r="E118" s="802">
        <v>283</v>
      </c>
      <c r="F118" s="803"/>
      <c r="G118" s="803"/>
      <c r="H118" s="803"/>
      <c r="I118" s="804" t="s">
        <v>1770</v>
      </c>
      <c r="J118" s="805">
        <v>113</v>
      </c>
    </row>
    <row r="119" spans="1:10" ht="21">
      <c r="A119" s="801">
        <v>114</v>
      </c>
      <c r="B119" s="626" t="s">
        <v>1771</v>
      </c>
      <c r="C119" s="802">
        <v>3</v>
      </c>
      <c r="D119" s="802" t="s">
        <v>1580</v>
      </c>
      <c r="E119" s="802">
        <v>5</v>
      </c>
      <c r="F119" s="803"/>
      <c r="G119" s="803"/>
      <c r="H119" s="803"/>
      <c r="I119" s="804" t="s">
        <v>1772</v>
      </c>
      <c r="J119" s="805">
        <v>114</v>
      </c>
    </row>
    <row r="120" spans="1:10" ht="21">
      <c r="A120" s="801">
        <v>115</v>
      </c>
      <c r="B120" s="626" t="s">
        <v>1773</v>
      </c>
      <c r="C120" s="802">
        <v>3</v>
      </c>
      <c r="D120" s="802">
        <v>3</v>
      </c>
      <c r="E120" s="802">
        <v>2</v>
      </c>
      <c r="F120" s="803"/>
      <c r="G120" s="803"/>
      <c r="H120" s="803"/>
      <c r="I120" s="804" t="s">
        <v>1774</v>
      </c>
      <c r="J120" s="805">
        <v>115</v>
      </c>
    </row>
    <row r="121" spans="1:10" ht="21">
      <c r="A121" s="801">
        <v>116</v>
      </c>
      <c r="B121" s="626" t="s">
        <v>1775</v>
      </c>
      <c r="C121" s="802">
        <v>43</v>
      </c>
      <c r="D121" s="802" t="s">
        <v>1580</v>
      </c>
      <c r="E121" s="802">
        <v>0</v>
      </c>
      <c r="F121" s="803"/>
      <c r="G121" s="803"/>
      <c r="H121" s="803"/>
      <c r="I121" s="804" t="s">
        <v>1776</v>
      </c>
      <c r="J121" s="805">
        <v>116</v>
      </c>
    </row>
    <row r="122" spans="1:10" ht="21">
      <c r="A122" s="801">
        <v>117</v>
      </c>
      <c r="B122" s="626" t="s">
        <v>1777</v>
      </c>
      <c r="C122" s="802">
        <v>2</v>
      </c>
      <c r="D122" s="802">
        <v>2</v>
      </c>
      <c r="E122" s="802">
        <v>1</v>
      </c>
      <c r="F122" s="803"/>
      <c r="G122" s="803"/>
      <c r="H122" s="803"/>
      <c r="I122" s="804" t="s">
        <v>1778</v>
      </c>
      <c r="J122" s="805">
        <v>117</v>
      </c>
    </row>
    <row r="123" spans="1:10" ht="21">
      <c r="A123" s="801">
        <v>118</v>
      </c>
      <c r="B123" s="626" t="s">
        <v>1779</v>
      </c>
      <c r="C123" s="802">
        <v>37</v>
      </c>
      <c r="D123" s="802">
        <v>1</v>
      </c>
      <c r="E123" s="802">
        <v>0</v>
      </c>
      <c r="F123" s="803"/>
      <c r="G123" s="803"/>
      <c r="H123" s="803"/>
      <c r="I123" s="804" t="s">
        <v>1780</v>
      </c>
      <c r="J123" s="805">
        <v>118</v>
      </c>
    </row>
    <row r="124" spans="1:10" ht="21">
      <c r="A124" s="801">
        <v>119</v>
      </c>
      <c r="B124" s="626" t="s">
        <v>1777</v>
      </c>
      <c r="C124" s="802">
        <v>378</v>
      </c>
      <c r="D124" s="802" t="s">
        <v>1580</v>
      </c>
      <c r="E124" s="802">
        <v>0</v>
      </c>
      <c r="F124" s="803"/>
      <c r="G124" s="803"/>
      <c r="H124" s="803"/>
      <c r="I124" s="804" t="s">
        <v>1781</v>
      </c>
      <c r="J124" s="805">
        <v>119</v>
      </c>
    </row>
    <row r="125" spans="1:10" ht="21">
      <c r="A125" s="801">
        <v>120</v>
      </c>
      <c r="B125" s="626" t="s">
        <v>1782</v>
      </c>
      <c r="C125" s="802">
        <v>2</v>
      </c>
      <c r="D125" s="802">
        <v>11</v>
      </c>
      <c r="E125" s="802">
        <v>0</v>
      </c>
      <c r="F125" s="803"/>
      <c r="G125" s="803"/>
      <c r="H125" s="803"/>
      <c r="I125" s="804" t="s">
        <v>1230</v>
      </c>
      <c r="J125" s="805">
        <v>120</v>
      </c>
    </row>
    <row r="126" spans="1:10" ht="42">
      <c r="A126" s="801">
        <v>121</v>
      </c>
      <c r="B126" s="626" t="s">
        <v>1783</v>
      </c>
      <c r="C126" s="801" t="s">
        <v>1580</v>
      </c>
      <c r="D126" s="802">
        <v>1</v>
      </c>
      <c r="E126" s="802">
        <v>0</v>
      </c>
      <c r="F126" s="803"/>
      <c r="G126" s="803"/>
      <c r="H126" s="803"/>
      <c r="I126" s="804" t="s">
        <v>1784</v>
      </c>
      <c r="J126" s="805">
        <v>121</v>
      </c>
    </row>
    <row r="127" spans="1:10" ht="24.75" customHeight="1">
      <c r="A127" s="801">
        <v>122</v>
      </c>
      <c r="B127" s="626" t="s">
        <v>1785</v>
      </c>
      <c r="C127" s="801" t="s">
        <v>1580</v>
      </c>
      <c r="D127" s="802">
        <v>2</v>
      </c>
      <c r="E127" s="802">
        <v>0</v>
      </c>
      <c r="F127" s="803"/>
      <c r="G127" s="803"/>
      <c r="H127" s="803"/>
      <c r="I127" s="804" t="s">
        <v>1786</v>
      </c>
      <c r="J127" s="805">
        <v>122</v>
      </c>
    </row>
    <row r="128" spans="1:10" ht="21">
      <c r="A128" s="801">
        <v>123</v>
      </c>
      <c r="B128" s="626" t="s">
        <v>15</v>
      </c>
      <c r="C128" s="802">
        <v>70</v>
      </c>
      <c r="D128" s="802" t="s">
        <v>1580</v>
      </c>
      <c r="E128" s="802">
        <v>0</v>
      </c>
      <c r="F128" s="803"/>
      <c r="G128" s="803"/>
      <c r="H128" s="803"/>
      <c r="I128" s="804" t="s">
        <v>11</v>
      </c>
      <c r="J128" s="805">
        <v>123</v>
      </c>
    </row>
    <row r="129" spans="1:10" ht="21">
      <c r="A129" s="801">
        <v>124</v>
      </c>
      <c r="B129" s="626" t="s">
        <v>15</v>
      </c>
      <c r="C129" s="802">
        <v>3</v>
      </c>
      <c r="D129" s="802">
        <v>54</v>
      </c>
      <c r="E129" s="802">
        <v>35</v>
      </c>
      <c r="F129" s="803"/>
      <c r="G129" s="803"/>
      <c r="H129" s="803"/>
      <c r="I129" s="804" t="s">
        <v>1787</v>
      </c>
      <c r="J129" s="805">
        <v>124</v>
      </c>
    </row>
    <row r="130" spans="1:10" ht="21">
      <c r="A130" s="801">
        <v>125</v>
      </c>
      <c r="B130" s="626" t="s">
        <v>1788</v>
      </c>
      <c r="C130" s="802">
        <v>46</v>
      </c>
      <c r="D130" s="802" t="s">
        <v>1580</v>
      </c>
      <c r="E130" s="802">
        <v>0</v>
      </c>
      <c r="F130" s="803"/>
      <c r="G130" s="803"/>
      <c r="H130" s="803"/>
      <c r="I130" s="804" t="s">
        <v>1789</v>
      </c>
      <c r="J130" s="805">
        <v>125</v>
      </c>
    </row>
    <row r="131" spans="1:10" ht="21">
      <c r="A131" s="801">
        <v>126</v>
      </c>
      <c r="B131" s="626" t="s">
        <v>1790</v>
      </c>
      <c r="C131" s="802">
        <v>3</v>
      </c>
      <c r="D131" s="802">
        <v>6</v>
      </c>
      <c r="E131" s="802">
        <v>0</v>
      </c>
      <c r="F131" s="803"/>
      <c r="G131" s="803"/>
      <c r="H131" s="803"/>
      <c r="I131" s="804" t="s">
        <v>1791</v>
      </c>
      <c r="J131" s="805">
        <v>126</v>
      </c>
    </row>
    <row r="132" spans="1:10" ht="21">
      <c r="A132" s="801">
        <v>127</v>
      </c>
      <c r="B132" s="626" t="s">
        <v>1792</v>
      </c>
      <c r="C132" s="802">
        <v>1</v>
      </c>
      <c r="D132" s="802" t="s">
        <v>1580</v>
      </c>
      <c r="E132" s="802">
        <v>0</v>
      </c>
      <c r="F132" s="803"/>
      <c r="G132" s="803"/>
      <c r="H132" s="803"/>
      <c r="I132" s="804" t="s">
        <v>1793</v>
      </c>
      <c r="J132" s="805">
        <v>127</v>
      </c>
    </row>
    <row r="133" spans="1:10" ht="21">
      <c r="A133" s="801">
        <v>128</v>
      </c>
      <c r="B133" s="626" t="s">
        <v>1794</v>
      </c>
      <c r="C133" s="802">
        <v>4</v>
      </c>
      <c r="D133" s="802" t="s">
        <v>1580</v>
      </c>
      <c r="E133" s="802">
        <v>0</v>
      </c>
      <c r="F133" s="803"/>
      <c r="G133" s="803"/>
      <c r="H133" s="803"/>
      <c r="I133" s="804" t="s">
        <v>1795</v>
      </c>
      <c r="J133" s="805">
        <v>128</v>
      </c>
    </row>
    <row r="134" spans="1:10" ht="21">
      <c r="A134" s="801">
        <v>129</v>
      </c>
      <c r="B134" s="626" t="s">
        <v>1796</v>
      </c>
      <c r="C134" s="802">
        <v>2</v>
      </c>
      <c r="D134" s="802">
        <v>4</v>
      </c>
      <c r="E134" s="802">
        <v>0</v>
      </c>
      <c r="F134" s="803"/>
      <c r="G134" s="803"/>
      <c r="H134" s="803"/>
      <c r="I134" s="804" t="s">
        <v>1797</v>
      </c>
      <c r="J134" s="805">
        <v>129</v>
      </c>
    </row>
    <row r="135" spans="1:10" ht="21">
      <c r="A135" s="801">
        <v>130</v>
      </c>
      <c r="B135" s="626" t="s">
        <v>1798</v>
      </c>
      <c r="C135" s="802">
        <v>18</v>
      </c>
      <c r="D135" s="802">
        <v>53</v>
      </c>
      <c r="E135" s="802">
        <v>24</v>
      </c>
      <c r="F135" s="803"/>
      <c r="G135" s="803"/>
      <c r="H135" s="803"/>
      <c r="I135" s="804" t="s">
        <v>1799</v>
      </c>
      <c r="J135" s="805">
        <v>130</v>
      </c>
    </row>
    <row r="136" spans="1:10" ht="24.75" customHeight="1">
      <c r="A136" s="801">
        <v>131</v>
      </c>
      <c r="B136" s="626" t="s">
        <v>1800</v>
      </c>
      <c r="C136" s="801" t="s">
        <v>1580</v>
      </c>
      <c r="D136" s="802">
        <v>1</v>
      </c>
      <c r="E136" s="802">
        <v>0</v>
      </c>
      <c r="F136" s="803"/>
      <c r="G136" s="803"/>
      <c r="H136" s="803"/>
      <c r="I136" s="804" t="s">
        <v>1801</v>
      </c>
      <c r="J136" s="805">
        <v>131</v>
      </c>
    </row>
    <row r="137" spans="1:10" ht="21">
      <c r="A137" s="801">
        <v>132</v>
      </c>
      <c r="B137" s="626" t="s">
        <v>1802</v>
      </c>
      <c r="C137" s="802">
        <v>7</v>
      </c>
      <c r="D137" s="802" t="s">
        <v>1580</v>
      </c>
      <c r="E137" s="802">
        <v>0</v>
      </c>
      <c r="F137" s="803"/>
      <c r="G137" s="803"/>
      <c r="H137" s="803"/>
      <c r="I137" s="804" t="s">
        <v>1803</v>
      </c>
      <c r="J137" s="805">
        <v>132</v>
      </c>
    </row>
    <row r="138" spans="1:10" ht="42">
      <c r="A138" s="801">
        <v>133</v>
      </c>
      <c r="B138" s="626" t="s">
        <v>1804</v>
      </c>
      <c r="C138" s="802">
        <v>32</v>
      </c>
      <c r="D138" s="802" t="s">
        <v>1580</v>
      </c>
      <c r="E138" s="802">
        <v>0</v>
      </c>
      <c r="F138" s="803"/>
      <c r="G138" s="803"/>
      <c r="H138" s="803"/>
      <c r="I138" s="804" t="s">
        <v>1805</v>
      </c>
      <c r="J138" s="805">
        <v>133</v>
      </c>
    </row>
    <row r="139" spans="1:10" ht="42">
      <c r="A139" s="801">
        <v>134</v>
      </c>
      <c r="B139" s="626" t="s">
        <v>1806</v>
      </c>
      <c r="C139" s="802">
        <v>18</v>
      </c>
      <c r="D139" s="802">
        <v>10</v>
      </c>
      <c r="E139" s="802">
        <v>7</v>
      </c>
      <c r="F139" s="803"/>
      <c r="G139" s="803"/>
      <c r="H139" s="803"/>
      <c r="I139" s="804" t="s">
        <v>1807</v>
      </c>
      <c r="J139" s="805">
        <v>134</v>
      </c>
    </row>
    <row r="140" spans="1:10" ht="42">
      <c r="A140" s="801">
        <v>135</v>
      </c>
      <c r="B140" s="626" t="s">
        <v>1808</v>
      </c>
      <c r="C140" s="802">
        <v>1</v>
      </c>
      <c r="D140" s="802">
        <v>8</v>
      </c>
      <c r="E140" s="802">
        <v>3</v>
      </c>
      <c r="F140" s="803"/>
      <c r="G140" s="803"/>
      <c r="H140" s="803"/>
      <c r="I140" s="804" t="s">
        <v>1809</v>
      </c>
      <c r="J140" s="805">
        <v>135</v>
      </c>
    </row>
    <row r="141" spans="1:10" ht="21">
      <c r="A141" s="801">
        <v>136</v>
      </c>
      <c r="B141" s="626" t="s">
        <v>1810</v>
      </c>
      <c r="C141" s="802">
        <v>1</v>
      </c>
      <c r="D141" s="802">
        <v>7</v>
      </c>
      <c r="E141" s="802">
        <v>2</v>
      </c>
      <c r="F141" s="803"/>
      <c r="G141" s="803"/>
      <c r="H141" s="803"/>
      <c r="I141" s="804" t="s">
        <v>1811</v>
      </c>
      <c r="J141" s="805">
        <v>136</v>
      </c>
    </row>
    <row r="142" spans="1:10" ht="42">
      <c r="A142" s="801">
        <v>137</v>
      </c>
      <c r="B142" s="626" t="s">
        <v>1812</v>
      </c>
      <c r="C142" s="802">
        <v>3</v>
      </c>
      <c r="D142" s="802" t="s">
        <v>1580</v>
      </c>
      <c r="E142" s="802">
        <v>0</v>
      </c>
      <c r="F142" s="803"/>
      <c r="G142" s="803"/>
      <c r="H142" s="803"/>
      <c r="I142" s="804" t="s">
        <v>1813</v>
      </c>
      <c r="J142" s="805">
        <v>137</v>
      </c>
    </row>
    <row r="143" spans="1:10" ht="24.75" customHeight="1">
      <c r="A143" s="801">
        <v>138</v>
      </c>
      <c r="B143" s="626" t="s">
        <v>1814</v>
      </c>
      <c r="C143" s="801" t="s">
        <v>1580</v>
      </c>
      <c r="D143" s="802">
        <v>1</v>
      </c>
      <c r="E143" s="802">
        <v>0</v>
      </c>
      <c r="F143" s="803"/>
      <c r="G143" s="803"/>
      <c r="H143" s="803"/>
      <c r="I143" s="804" t="s">
        <v>1815</v>
      </c>
      <c r="J143" s="805">
        <v>138</v>
      </c>
    </row>
    <row r="144" spans="1:10" ht="24.75" customHeight="1">
      <c r="A144" s="801">
        <v>139</v>
      </c>
      <c r="B144" s="626" t="s">
        <v>1816</v>
      </c>
      <c r="C144" s="801" t="s">
        <v>1580</v>
      </c>
      <c r="D144" s="802">
        <v>1</v>
      </c>
      <c r="E144" s="802">
        <v>1</v>
      </c>
      <c r="F144" s="803"/>
      <c r="G144" s="803"/>
      <c r="H144" s="803"/>
      <c r="I144" s="804" t="s">
        <v>1817</v>
      </c>
      <c r="J144" s="805">
        <v>139</v>
      </c>
    </row>
    <row r="145" spans="1:11" ht="42">
      <c r="A145" s="801">
        <v>140</v>
      </c>
      <c r="B145" s="626" t="s">
        <v>1818</v>
      </c>
      <c r="C145" s="801" t="s">
        <v>1580</v>
      </c>
      <c r="D145" s="802">
        <v>1</v>
      </c>
      <c r="E145" s="802">
        <v>0</v>
      </c>
      <c r="F145" s="803"/>
      <c r="G145" s="803"/>
      <c r="H145" s="803"/>
      <c r="I145" s="804" t="s">
        <v>1819</v>
      </c>
      <c r="J145" s="805">
        <v>140</v>
      </c>
    </row>
    <row r="146" spans="1:11" ht="24.75" customHeight="1">
      <c r="A146" s="801">
        <v>141</v>
      </c>
      <c r="B146" s="626" t="s">
        <v>1820</v>
      </c>
      <c r="C146" s="801" t="s">
        <v>1580</v>
      </c>
      <c r="D146" s="802">
        <v>2</v>
      </c>
      <c r="E146" s="802">
        <v>0</v>
      </c>
      <c r="F146" s="803"/>
      <c r="G146" s="803"/>
      <c r="H146" s="803"/>
      <c r="I146" s="804" t="s">
        <v>1821</v>
      </c>
      <c r="J146" s="805">
        <v>141</v>
      </c>
    </row>
    <row r="147" spans="1:11" ht="21">
      <c r="A147" s="801">
        <v>142</v>
      </c>
      <c r="B147" s="626" t="s">
        <v>1822</v>
      </c>
      <c r="C147" s="802">
        <v>2</v>
      </c>
      <c r="D147" s="802" t="s">
        <v>1580</v>
      </c>
      <c r="E147" s="802">
        <v>0</v>
      </c>
      <c r="F147" s="803"/>
      <c r="G147" s="803"/>
      <c r="H147" s="803"/>
      <c r="I147" s="804" t="s">
        <v>1823</v>
      </c>
      <c r="J147" s="805">
        <v>142</v>
      </c>
    </row>
    <row r="148" spans="1:11" ht="21.75">
      <c r="A148" s="801">
        <v>143</v>
      </c>
      <c r="B148" s="626" t="s">
        <v>1824</v>
      </c>
      <c r="C148" s="802">
        <v>1</v>
      </c>
      <c r="D148" s="802">
        <v>12</v>
      </c>
      <c r="E148" s="802">
        <v>7</v>
      </c>
      <c r="F148" s="803"/>
      <c r="G148" s="803"/>
      <c r="H148" s="803"/>
      <c r="I148" s="804" t="s">
        <v>1825</v>
      </c>
      <c r="J148" s="805">
        <v>143</v>
      </c>
      <c r="K148" s="808"/>
    </row>
    <row r="149" spans="1:11" ht="21">
      <c r="A149" s="801">
        <v>144</v>
      </c>
      <c r="B149" s="626" t="s">
        <v>1826</v>
      </c>
      <c r="C149" s="802">
        <v>1</v>
      </c>
      <c r="D149" s="802" t="s">
        <v>1580</v>
      </c>
      <c r="E149" s="802">
        <v>0</v>
      </c>
      <c r="F149" s="803"/>
      <c r="G149" s="803"/>
      <c r="H149" s="803"/>
      <c r="I149" s="804" t="s">
        <v>1175</v>
      </c>
      <c r="J149" s="805">
        <v>144</v>
      </c>
    </row>
    <row r="150" spans="1:11" ht="21">
      <c r="A150" s="801">
        <v>145</v>
      </c>
      <c r="B150" s="626" t="s">
        <v>1827</v>
      </c>
      <c r="C150" s="802">
        <v>1</v>
      </c>
      <c r="D150" s="802" t="s">
        <v>1580</v>
      </c>
      <c r="E150" s="802">
        <v>0</v>
      </c>
      <c r="F150" s="803"/>
      <c r="G150" s="803"/>
      <c r="H150" s="803"/>
      <c r="I150" s="804" t="s">
        <v>1828</v>
      </c>
      <c r="J150" s="805">
        <v>145</v>
      </c>
    </row>
    <row r="151" spans="1:11" ht="21">
      <c r="A151" s="801">
        <v>146</v>
      </c>
      <c r="B151" s="626" t="s">
        <v>1829</v>
      </c>
      <c r="C151" s="802">
        <v>1</v>
      </c>
      <c r="D151" s="802" t="s">
        <v>1580</v>
      </c>
      <c r="E151" s="802">
        <v>1</v>
      </c>
      <c r="F151" s="803"/>
      <c r="G151" s="803"/>
      <c r="H151" s="803"/>
      <c r="I151" s="804" t="s">
        <v>1174</v>
      </c>
      <c r="J151" s="805">
        <v>146</v>
      </c>
    </row>
    <row r="152" spans="1:11" ht="21">
      <c r="A152" s="801">
        <v>147</v>
      </c>
      <c r="B152" s="626" t="s">
        <v>1830</v>
      </c>
      <c r="C152" s="802">
        <v>1</v>
      </c>
      <c r="D152" s="802">
        <v>1</v>
      </c>
      <c r="E152" s="802">
        <v>0</v>
      </c>
      <c r="F152" s="803"/>
      <c r="G152" s="803"/>
      <c r="H152" s="803"/>
      <c r="I152" s="804" t="s">
        <v>1831</v>
      </c>
      <c r="J152" s="805">
        <v>147</v>
      </c>
    </row>
    <row r="153" spans="1:11" ht="21">
      <c r="A153" s="801">
        <v>148</v>
      </c>
      <c r="B153" s="626" t="s">
        <v>1832</v>
      </c>
      <c r="C153" s="802">
        <v>1</v>
      </c>
      <c r="D153" s="802">
        <v>7</v>
      </c>
      <c r="E153" s="802">
        <v>35</v>
      </c>
      <c r="F153" s="803"/>
      <c r="G153" s="803"/>
      <c r="H153" s="803"/>
      <c r="I153" s="804" t="s">
        <v>1178</v>
      </c>
      <c r="J153" s="805">
        <v>148</v>
      </c>
    </row>
    <row r="154" spans="1:11" ht="42">
      <c r="A154" s="801">
        <v>149</v>
      </c>
      <c r="B154" s="626" t="s">
        <v>1833</v>
      </c>
      <c r="C154" s="801" t="s">
        <v>1580</v>
      </c>
      <c r="D154" s="802">
        <v>1</v>
      </c>
      <c r="E154" s="802">
        <v>0</v>
      </c>
      <c r="F154" s="803"/>
      <c r="G154" s="803"/>
      <c r="H154" s="803"/>
      <c r="I154" s="804" t="s">
        <v>1834</v>
      </c>
      <c r="J154" s="805">
        <v>149</v>
      </c>
    </row>
    <row r="155" spans="1:11" ht="21">
      <c r="A155" s="801">
        <v>150</v>
      </c>
      <c r="B155" s="626" t="s">
        <v>1835</v>
      </c>
      <c r="C155" s="802">
        <v>1</v>
      </c>
      <c r="D155" s="802">
        <v>67</v>
      </c>
      <c r="E155" s="802">
        <v>73</v>
      </c>
      <c r="F155" s="803"/>
      <c r="G155" s="803"/>
      <c r="H155" s="803"/>
      <c r="I155" s="804" t="s">
        <v>1836</v>
      </c>
      <c r="J155" s="805">
        <v>150</v>
      </c>
    </row>
    <row r="156" spans="1:11" ht="30">
      <c r="A156" s="801">
        <v>151</v>
      </c>
      <c r="B156" s="626" t="s">
        <v>1837</v>
      </c>
      <c r="C156" s="802">
        <v>1</v>
      </c>
      <c r="D156" s="802">
        <v>2</v>
      </c>
      <c r="E156" s="802">
        <v>0</v>
      </c>
      <c r="F156" s="803"/>
      <c r="G156" s="803"/>
      <c r="H156" s="803"/>
      <c r="I156" s="804" t="s">
        <v>1838</v>
      </c>
      <c r="J156" s="805">
        <v>151</v>
      </c>
    </row>
    <row r="157" spans="1:11" ht="21">
      <c r="A157" s="801">
        <v>152</v>
      </c>
      <c r="B157" s="626" t="s">
        <v>1839</v>
      </c>
      <c r="C157" s="802">
        <v>4</v>
      </c>
      <c r="D157" s="802" t="s">
        <v>1580</v>
      </c>
      <c r="E157" s="802">
        <v>0</v>
      </c>
      <c r="F157" s="803"/>
      <c r="G157" s="803"/>
      <c r="H157" s="803"/>
      <c r="I157" s="804" t="s">
        <v>1840</v>
      </c>
      <c r="J157" s="805">
        <v>152</v>
      </c>
    </row>
    <row r="158" spans="1:11" ht="21">
      <c r="A158" s="801">
        <v>153</v>
      </c>
      <c r="B158" s="626" t="s">
        <v>7</v>
      </c>
      <c r="C158" s="802">
        <v>6</v>
      </c>
      <c r="D158" s="802">
        <v>6</v>
      </c>
      <c r="E158" s="802">
        <v>11</v>
      </c>
      <c r="F158" s="803"/>
      <c r="G158" s="803"/>
      <c r="H158" s="803"/>
      <c r="I158" s="804" t="s">
        <v>10</v>
      </c>
      <c r="J158" s="805">
        <v>153</v>
      </c>
    </row>
    <row r="159" spans="1:11" ht="24.75" customHeight="1">
      <c r="A159" s="801">
        <v>154</v>
      </c>
      <c r="B159" s="626" t="s">
        <v>1841</v>
      </c>
      <c r="C159" s="801" t="s">
        <v>1580</v>
      </c>
      <c r="D159" s="802">
        <v>4</v>
      </c>
      <c r="E159" s="802">
        <v>1</v>
      </c>
      <c r="F159" s="803"/>
      <c r="G159" s="803"/>
      <c r="H159" s="803"/>
      <c r="I159" s="804" t="s">
        <v>1842</v>
      </c>
      <c r="J159" s="805">
        <v>154</v>
      </c>
    </row>
    <row r="160" spans="1:11" ht="24.75" customHeight="1">
      <c r="A160" s="801">
        <v>155</v>
      </c>
      <c r="B160" s="626" t="s">
        <v>1843</v>
      </c>
      <c r="C160" s="801" t="s">
        <v>1580</v>
      </c>
      <c r="D160" s="802">
        <v>1</v>
      </c>
      <c r="E160" s="802">
        <v>1</v>
      </c>
      <c r="F160" s="803"/>
      <c r="G160" s="803"/>
      <c r="H160" s="803"/>
      <c r="I160" s="804" t="s">
        <v>1844</v>
      </c>
      <c r="J160" s="805">
        <v>155</v>
      </c>
    </row>
    <row r="161" spans="1:10" ht="24.75" customHeight="1">
      <c r="A161" s="801">
        <v>156</v>
      </c>
      <c r="B161" s="626" t="s">
        <v>1845</v>
      </c>
      <c r="C161" s="801" t="s">
        <v>1580</v>
      </c>
      <c r="D161" s="802">
        <v>1</v>
      </c>
      <c r="E161" s="802">
        <v>0</v>
      </c>
      <c r="F161" s="803"/>
      <c r="G161" s="803"/>
      <c r="H161" s="803"/>
      <c r="I161" s="804" t="s">
        <v>1846</v>
      </c>
      <c r="J161" s="805">
        <v>156</v>
      </c>
    </row>
    <row r="162" spans="1:10" ht="21">
      <c r="A162" s="801">
        <v>157</v>
      </c>
      <c r="B162" s="626" t="s">
        <v>1847</v>
      </c>
      <c r="C162" s="802">
        <v>2</v>
      </c>
      <c r="D162" s="802" t="s">
        <v>1580</v>
      </c>
      <c r="E162" s="802">
        <v>0</v>
      </c>
      <c r="F162" s="803"/>
      <c r="G162" s="803"/>
      <c r="H162" s="803"/>
      <c r="I162" s="804" t="s">
        <v>1848</v>
      </c>
      <c r="J162" s="805">
        <v>157</v>
      </c>
    </row>
    <row r="163" spans="1:10" ht="21">
      <c r="A163" s="801">
        <v>158</v>
      </c>
      <c r="B163" s="626" t="s">
        <v>1849</v>
      </c>
      <c r="C163" s="802">
        <v>1</v>
      </c>
      <c r="D163" s="802">
        <v>1</v>
      </c>
      <c r="E163" s="802">
        <v>0</v>
      </c>
      <c r="F163" s="803"/>
      <c r="G163" s="803"/>
      <c r="H163" s="803"/>
      <c r="I163" s="804" t="s">
        <v>1850</v>
      </c>
      <c r="J163" s="805">
        <v>158</v>
      </c>
    </row>
    <row r="164" spans="1:10" ht="21">
      <c r="A164" s="801">
        <v>159</v>
      </c>
      <c r="B164" s="626" t="s">
        <v>1851</v>
      </c>
      <c r="C164" s="802">
        <v>7</v>
      </c>
      <c r="D164" s="802">
        <v>5</v>
      </c>
      <c r="E164" s="802">
        <v>2</v>
      </c>
      <c r="F164" s="803"/>
      <c r="G164" s="803"/>
      <c r="H164" s="803"/>
      <c r="I164" s="804" t="s">
        <v>1852</v>
      </c>
      <c r="J164" s="805">
        <v>159</v>
      </c>
    </row>
    <row r="165" spans="1:10" ht="24.75" customHeight="1">
      <c r="A165" s="801">
        <v>160</v>
      </c>
      <c r="B165" s="626" t="s">
        <v>1853</v>
      </c>
      <c r="C165" s="801" t="s">
        <v>1580</v>
      </c>
      <c r="D165" s="802">
        <v>1</v>
      </c>
      <c r="E165" s="802">
        <v>0</v>
      </c>
      <c r="F165" s="803"/>
      <c r="G165" s="803"/>
      <c r="H165" s="803"/>
      <c r="I165" s="804" t="s">
        <v>1854</v>
      </c>
      <c r="J165" s="805">
        <v>160</v>
      </c>
    </row>
    <row r="166" spans="1:10" ht="24.75" customHeight="1">
      <c r="A166" s="801">
        <v>161</v>
      </c>
      <c r="B166" s="626" t="s">
        <v>1855</v>
      </c>
      <c r="C166" s="801" t="s">
        <v>1580</v>
      </c>
      <c r="D166" s="802">
        <v>1</v>
      </c>
      <c r="E166" s="802">
        <v>1</v>
      </c>
      <c r="F166" s="803"/>
      <c r="G166" s="803"/>
      <c r="H166" s="803"/>
      <c r="I166" s="804" t="s">
        <v>1856</v>
      </c>
      <c r="J166" s="805">
        <v>161</v>
      </c>
    </row>
    <row r="167" spans="1:10" ht="42">
      <c r="A167" s="801">
        <v>162</v>
      </c>
      <c r="B167" s="626" t="s">
        <v>1857</v>
      </c>
      <c r="C167" s="801" t="s">
        <v>1580</v>
      </c>
      <c r="D167" s="802">
        <v>1</v>
      </c>
      <c r="E167" s="802">
        <v>0</v>
      </c>
      <c r="F167" s="803"/>
      <c r="G167" s="803"/>
      <c r="H167" s="803"/>
      <c r="I167" s="804" t="s">
        <v>1858</v>
      </c>
      <c r="J167" s="805">
        <v>162</v>
      </c>
    </row>
    <row r="168" spans="1:10" ht="21">
      <c r="A168" s="801">
        <v>163</v>
      </c>
      <c r="B168" s="626" t="s">
        <v>1859</v>
      </c>
      <c r="C168" s="801" t="s">
        <v>1580</v>
      </c>
      <c r="D168" s="802">
        <v>2</v>
      </c>
      <c r="E168" s="802">
        <v>1</v>
      </c>
      <c r="F168" s="803"/>
      <c r="G168" s="803"/>
      <c r="H168" s="803"/>
      <c r="I168" s="804" t="s">
        <v>1860</v>
      </c>
      <c r="J168" s="805">
        <v>163</v>
      </c>
    </row>
    <row r="169" spans="1:10" ht="21">
      <c r="A169" s="801">
        <v>164</v>
      </c>
      <c r="B169" s="626" t="s">
        <v>1861</v>
      </c>
      <c r="C169" s="802">
        <v>12</v>
      </c>
      <c r="D169" s="802" t="s">
        <v>1580</v>
      </c>
      <c r="E169" s="802">
        <v>1</v>
      </c>
      <c r="F169" s="803"/>
      <c r="G169" s="803"/>
      <c r="H169" s="803"/>
      <c r="I169" s="804" t="s">
        <v>1325</v>
      </c>
      <c r="J169" s="805">
        <v>164</v>
      </c>
    </row>
    <row r="170" spans="1:10" ht="21">
      <c r="A170" s="801">
        <v>165</v>
      </c>
      <c r="B170" s="626" t="s">
        <v>1862</v>
      </c>
      <c r="C170" s="801" t="s">
        <v>1580</v>
      </c>
      <c r="D170" s="802">
        <v>1</v>
      </c>
      <c r="E170" s="802">
        <v>0</v>
      </c>
      <c r="F170" s="803"/>
      <c r="G170" s="803"/>
      <c r="H170" s="803"/>
      <c r="I170" s="804" t="s">
        <v>1863</v>
      </c>
      <c r="J170" s="805">
        <v>165</v>
      </c>
    </row>
    <row r="171" spans="1:10" ht="30">
      <c r="A171" s="801">
        <v>166</v>
      </c>
      <c r="B171" s="626" t="s">
        <v>1864</v>
      </c>
      <c r="C171" s="801" t="s">
        <v>1580</v>
      </c>
      <c r="D171" s="802">
        <v>6</v>
      </c>
      <c r="E171" s="802">
        <v>1</v>
      </c>
      <c r="F171" s="803"/>
      <c r="G171" s="803"/>
      <c r="H171" s="803"/>
      <c r="I171" s="804" t="s">
        <v>1865</v>
      </c>
      <c r="J171" s="805">
        <v>166</v>
      </c>
    </row>
    <row r="172" spans="1:10" ht="21">
      <c r="A172" s="801">
        <v>167</v>
      </c>
      <c r="B172" s="626" t="s">
        <v>1866</v>
      </c>
      <c r="C172" s="802">
        <v>1</v>
      </c>
      <c r="D172" s="802" t="s">
        <v>1580</v>
      </c>
      <c r="E172" s="802">
        <v>5</v>
      </c>
      <c r="F172" s="803"/>
      <c r="G172" s="803"/>
      <c r="H172" s="803"/>
      <c r="I172" s="804" t="s">
        <v>1867</v>
      </c>
      <c r="J172" s="805">
        <v>167</v>
      </c>
    </row>
    <row r="173" spans="1:10" ht="24.75" customHeight="1">
      <c r="A173" s="801">
        <v>168</v>
      </c>
      <c r="B173" s="626" t="s">
        <v>1868</v>
      </c>
      <c r="C173" s="801" t="s">
        <v>1580</v>
      </c>
      <c r="D173" s="802">
        <v>6</v>
      </c>
      <c r="E173" s="802">
        <v>0</v>
      </c>
      <c r="F173" s="803"/>
      <c r="G173" s="803"/>
      <c r="H173" s="803"/>
      <c r="I173" s="804" t="s">
        <v>1869</v>
      </c>
      <c r="J173" s="805">
        <v>168</v>
      </c>
    </row>
    <row r="174" spans="1:10" ht="24.75" customHeight="1">
      <c r="A174" s="801">
        <v>169</v>
      </c>
      <c r="B174" s="626" t="s">
        <v>1870</v>
      </c>
      <c r="C174" s="801" t="s">
        <v>1580</v>
      </c>
      <c r="D174" s="802">
        <v>1</v>
      </c>
      <c r="E174" s="802">
        <v>1</v>
      </c>
      <c r="F174" s="803"/>
      <c r="G174" s="803"/>
      <c r="H174" s="803"/>
      <c r="I174" s="804" t="s">
        <v>1871</v>
      </c>
      <c r="J174" s="805">
        <v>169</v>
      </c>
    </row>
    <row r="175" spans="1:10" ht="24.75" customHeight="1">
      <c r="A175" s="801">
        <v>170</v>
      </c>
      <c r="B175" s="626" t="s">
        <v>1872</v>
      </c>
      <c r="C175" s="801" t="s">
        <v>1580</v>
      </c>
      <c r="D175" s="802">
        <v>4</v>
      </c>
      <c r="E175" s="802">
        <v>0</v>
      </c>
      <c r="F175" s="803"/>
      <c r="G175" s="803"/>
      <c r="H175" s="803"/>
      <c r="I175" s="804" t="s">
        <v>1873</v>
      </c>
      <c r="J175" s="805">
        <v>170</v>
      </c>
    </row>
    <row r="176" spans="1:10" ht="42">
      <c r="A176" s="801">
        <v>171</v>
      </c>
      <c r="B176" s="626" t="s">
        <v>1874</v>
      </c>
      <c r="C176" s="801" t="s">
        <v>1580</v>
      </c>
      <c r="D176" s="802">
        <v>1</v>
      </c>
      <c r="E176" s="802">
        <v>0</v>
      </c>
      <c r="F176" s="803"/>
      <c r="G176" s="803"/>
      <c r="H176" s="803"/>
      <c r="I176" s="804" t="s">
        <v>1875</v>
      </c>
      <c r="J176" s="805">
        <v>171</v>
      </c>
    </row>
    <row r="177" spans="1:10" ht="21">
      <c r="A177" s="801">
        <v>172</v>
      </c>
      <c r="B177" s="626" t="s">
        <v>1876</v>
      </c>
      <c r="C177" s="802">
        <v>11</v>
      </c>
      <c r="D177" s="802">
        <v>2</v>
      </c>
      <c r="E177" s="802">
        <v>0</v>
      </c>
      <c r="F177" s="803"/>
      <c r="G177" s="803"/>
      <c r="H177" s="803"/>
      <c r="I177" s="804" t="s">
        <v>1877</v>
      </c>
      <c r="J177" s="805">
        <v>172</v>
      </c>
    </row>
    <row r="178" spans="1:10" ht="21">
      <c r="A178" s="801">
        <v>173</v>
      </c>
      <c r="B178" s="626" t="s">
        <v>1878</v>
      </c>
      <c r="C178" s="802">
        <v>5</v>
      </c>
      <c r="D178" s="802">
        <v>3</v>
      </c>
      <c r="E178" s="802">
        <v>1</v>
      </c>
      <c r="F178" s="803"/>
      <c r="G178" s="803"/>
      <c r="H178" s="803"/>
      <c r="I178" s="804" t="s">
        <v>1879</v>
      </c>
      <c r="J178" s="805">
        <v>173</v>
      </c>
    </row>
    <row r="179" spans="1:10" ht="21">
      <c r="A179" s="801">
        <v>174</v>
      </c>
      <c r="B179" s="626" t="s">
        <v>1880</v>
      </c>
      <c r="C179" s="802">
        <v>10</v>
      </c>
      <c r="D179" s="802">
        <v>51</v>
      </c>
      <c r="E179" s="802">
        <v>24</v>
      </c>
      <c r="F179" s="803"/>
      <c r="G179" s="803"/>
      <c r="H179" s="803"/>
      <c r="I179" s="804" t="s">
        <v>1881</v>
      </c>
      <c r="J179" s="805">
        <v>174</v>
      </c>
    </row>
    <row r="180" spans="1:10" ht="21">
      <c r="A180" s="801">
        <v>175</v>
      </c>
      <c r="B180" s="626" t="s">
        <v>1882</v>
      </c>
      <c r="C180" s="802">
        <v>15</v>
      </c>
      <c r="D180" s="802" t="s">
        <v>1580</v>
      </c>
      <c r="E180" s="802">
        <v>0</v>
      </c>
      <c r="F180" s="803"/>
      <c r="G180" s="803"/>
      <c r="H180" s="803"/>
      <c r="I180" s="804" t="s">
        <v>1883</v>
      </c>
      <c r="J180" s="805">
        <v>175</v>
      </c>
    </row>
    <row r="181" spans="1:10" ht="21">
      <c r="A181" s="801">
        <v>176</v>
      </c>
      <c r="B181" s="626" t="s">
        <v>23</v>
      </c>
      <c r="C181" s="802">
        <v>2</v>
      </c>
      <c r="D181" s="802">
        <v>10</v>
      </c>
      <c r="E181" s="802">
        <v>3</v>
      </c>
      <c r="F181" s="803"/>
      <c r="G181" s="803"/>
      <c r="H181" s="803"/>
      <c r="I181" s="804" t="s">
        <v>1884</v>
      </c>
      <c r="J181" s="805">
        <v>176</v>
      </c>
    </row>
    <row r="182" spans="1:10" ht="21">
      <c r="A182" s="801">
        <v>177</v>
      </c>
      <c r="B182" s="626" t="s">
        <v>1885</v>
      </c>
      <c r="C182" s="802">
        <v>2</v>
      </c>
      <c r="D182" s="802" t="s">
        <v>1580</v>
      </c>
      <c r="E182" s="802">
        <v>0</v>
      </c>
      <c r="F182" s="803"/>
      <c r="G182" s="803"/>
      <c r="H182" s="803"/>
      <c r="I182" s="804" t="s">
        <v>1886</v>
      </c>
      <c r="J182" s="805">
        <v>177</v>
      </c>
    </row>
    <row r="183" spans="1:10" ht="21">
      <c r="A183" s="801">
        <v>178</v>
      </c>
      <c r="B183" s="626" t="s">
        <v>1887</v>
      </c>
      <c r="C183" s="802">
        <v>2</v>
      </c>
      <c r="D183" s="802">
        <v>62</v>
      </c>
      <c r="E183" s="802">
        <v>30</v>
      </c>
      <c r="F183" s="803"/>
      <c r="G183" s="803"/>
      <c r="H183" s="803"/>
      <c r="I183" s="804" t="s">
        <v>1888</v>
      </c>
      <c r="J183" s="805">
        <v>178</v>
      </c>
    </row>
    <row r="184" spans="1:10" ht="21">
      <c r="A184" s="801">
        <v>179</v>
      </c>
      <c r="B184" s="626" t="s">
        <v>1889</v>
      </c>
      <c r="C184" s="802">
        <v>14</v>
      </c>
      <c r="D184" s="802" t="s">
        <v>1580</v>
      </c>
      <c r="E184" s="802">
        <v>0</v>
      </c>
      <c r="F184" s="803"/>
      <c r="G184" s="803"/>
      <c r="H184" s="803"/>
      <c r="I184" s="804" t="s">
        <v>1890</v>
      </c>
      <c r="J184" s="805">
        <v>179</v>
      </c>
    </row>
    <row r="185" spans="1:10" ht="21">
      <c r="A185" s="801">
        <v>180</v>
      </c>
      <c r="B185" s="626" t="s">
        <v>1891</v>
      </c>
      <c r="C185" s="802">
        <v>2</v>
      </c>
      <c r="D185" s="802" t="s">
        <v>1580</v>
      </c>
      <c r="E185" s="802">
        <v>0</v>
      </c>
      <c r="F185" s="803"/>
      <c r="G185" s="803"/>
      <c r="H185" s="803"/>
      <c r="I185" s="804" t="s">
        <v>1892</v>
      </c>
      <c r="J185" s="805">
        <v>180</v>
      </c>
    </row>
    <row r="186" spans="1:10" ht="21">
      <c r="A186" s="801">
        <v>181</v>
      </c>
      <c r="B186" s="626" t="s">
        <v>1893</v>
      </c>
      <c r="C186" s="801" t="s">
        <v>1580</v>
      </c>
      <c r="D186" s="802">
        <v>1</v>
      </c>
      <c r="E186" s="802">
        <v>0</v>
      </c>
      <c r="F186" s="803"/>
      <c r="G186" s="803"/>
      <c r="H186" s="803"/>
      <c r="I186" s="804" t="s">
        <v>1894</v>
      </c>
      <c r="J186" s="805">
        <v>181</v>
      </c>
    </row>
    <row r="187" spans="1:10" ht="21">
      <c r="A187" s="801">
        <v>182</v>
      </c>
      <c r="B187" s="626" t="s">
        <v>1895</v>
      </c>
      <c r="C187" s="802">
        <v>4</v>
      </c>
      <c r="D187" s="802">
        <v>59</v>
      </c>
      <c r="E187" s="802">
        <v>128</v>
      </c>
      <c r="F187" s="803"/>
      <c r="G187" s="803"/>
      <c r="H187" s="803"/>
      <c r="I187" s="804" t="s">
        <v>1896</v>
      </c>
      <c r="J187" s="805">
        <v>182</v>
      </c>
    </row>
    <row r="188" spans="1:10" ht="21">
      <c r="A188" s="801">
        <v>183</v>
      </c>
      <c r="B188" s="626" t="s">
        <v>1897</v>
      </c>
      <c r="C188" s="802">
        <v>2</v>
      </c>
      <c r="D188" s="802">
        <v>430</v>
      </c>
      <c r="E188" s="802">
        <v>433</v>
      </c>
      <c r="F188" s="803"/>
      <c r="G188" s="803"/>
      <c r="H188" s="803"/>
      <c r="I188" s="804" t="s">
        <v>1202</v>
      </c>
      <c r="J188" s="805">
        <v>183</v>
      </c>
    </row>
    <row r="189" spans="1:10" ht="21">
      <c r="A189" s="801">
        <v>184</v>
      </c>
      <c r="B189" s="626" t="s">
        <v>1898</v>
      </c>
      <c r="C189" s="802">
        <v>2</v>
      </c>
      <c r="D189" s="802">
        <v>1</v>
      </c>
      <c r="E189" s="802">
        <v>0</v>
      </c>
      <c r="F189" s="803"/>
      <c r="G189" s="803"/>
      <c r="H189" s="803"/>
      <c r="I189" s="804" t="s">
        <v>1899</v>
      </c>
      <c r="J189" s="805">
        <v>184</v>
      </c>
    </row>
    <row r="190" spans="1:10" ht="21">
      <c r="A190" s="801">
        <v>185</v>
      </c>
      <c r="B190" s="626" t="s">
        <v>1900</v>
      </c>
      <c r="C190" s="802">
        <v>1</v>
      </c>
      <c r="D190" s="802">
        <v>101</v>
      </c>
      <c r="E190" s="802">
        <v>163</v>
      </c>
      <c r="F190" s="803"/>
      <c r="G190" s="803"/>
      <c r="H190" s="803"/>
      <c r="I190" s="804" t="s">
        <v>1901</v>
      </c>
      <c r="J190" s="805">
        <v>185</v>
      </c>
    </row>
    <row r="191" spans="1:10" ht="21">
      <c r="A191" s="801">
        <v>186</v>
      </c>
      <c r="B191" s="626" t="s">
        <v>1902</v>
      </c>
      <c r="C191" s="802">
        <v>1</v>
      </c>
      <c r="D191" s="802" t="s">
        <v>1580</v>
      </c>
      <c r="E191" s="802">
        <v>2</v>
      </c>
      <c r="F191" s="803"/>
      <c r="G191" s="803"/>
      <c r="H191" s="803"/>
      <c r="I191" s="804" t="s">
        <v>1903</v>
      </c>
      <c r="J191" s="805">
        <v>186</v>
      </c>
    </row>
    <row r="192" spans="1:10" ht="21">
      <c r="A192" s="801">
        <v>187</v>
      </c>
      <c r="B192" s="626" t="s">
        <v>1904</v>
      </c>
      <c r="C192" s="802">
        <v>4</v>
      </c>
      <c r="D192" s="802">
        <v>5</v>
      </c>
      <c r="E192" s="802">
        <v>17</v>
      </c>
      <c r="F192" s="803"/>
      <c r="G192" s="803"/>
      <c r="H192" s="803"/>
      <c r="I192" s="804" t="s">
        <v>1905</v>
      </c>
      <c r="J192" s="805">
        <v>187</v>
      </c>
    </row>
    <row r="193" spans="1:12" ht="21">
      <c r="A193" s="801">
        <v>188</v>
      </c>
      <c r="B193" s="626" t="s">
        <v>1906</v>
      </c>
      <c r="C193" s="802">
        <v>6</v>
      </c>
      <c r="D193" s="802">
        <v>26</v>
      </c>
      <c r="E193" s="802">
        <v>25</v>
      </c>
      <c r="F193" s="803"/>
      <c r="G193" s="803"/>
      <c r="H193" s="803"/>
      <c r="I193" s="804" t="s">
        <v>1907</v>
      </c>
      <c r="J193" s="805">
        <v>188</v>
      </c>
    </row>
    <row r="194" spans="1:12" ht="21">
      <c r="A194" s="801">
        <v>189</v>
      </c>
      <c r="B194" s="626" t="s">
        <v>1908</v>
      </c>
      <c r="C194" s="802">
        <v>1</v>
      </c>
      <c r="D194" s="802">
        <v>1</v>
      </c>
      <c r="E194" s="802">
        <v>3</v>
      </c>
      <c r="F194" s="803"/>
      <c r="G194" s="803"/>
      <c r="H194" s="803"/>
      <c r="I194" s="804" t="s">
        <v>1244</v>
      </c>
      <c r="J194" s="805">
        <v>189</v>
      </c>
    </row>
    <row r="195" spans="1:12" ht="24.75" customHeight="1">
      <c r="A195" s="801">
        <v>190</v>
      </c>
      <c r="B195" s="626" t="s">
        <v>1909</v>
      </c>
      <c r="C195" s="801" t="s">
        <v>1580</v>
      </c>
      <c r="D195" s="802">
        <v>1</v>
      </c>
      <c r="E195" s="802">
        <v>0</v>
      </c>
      <c r="F195" s="803"/>
      <c r="G195" s="803"/>
      <c r="H195" s="803"/>
      <c r="I195" s="804" t="s">
        <v>1910</v>
      </c>
      <c r="J195" s="805">
        <v>190</v>
      </c>
    </row>
    <row r="196" spans="1:12" ht="21">
      <c r="A196" s="801">
        <v>191</v>
      </c>
      <c r="B196" s="626" t="s">
        <v>1911</v>
      </c>
      <c r="C196" s="802">
        <v>2</v>
      </c>
      <c r="D196" s="802">
        <v>13</v>
      </c>
      <c r="E196" s="802">
        <v>0</v>
      </c>
      <c r="F196" s="803"/>
      <c r="G196" s="803"/>
      <c r="H196" s="803"/>
      <c r="I196" s="804" t="s">
        <v>1912</v>
      </c>
      <c r="J196" s="805">
        <v>191</v>
      </c>
    </row>
    <row r="197" spans="1:12" ht="21">
      <c r="A197" s="801">
        <v>192</v>
      </c>
      <c r="B197" s="626" t="s">
        <v>1913</v>
      </c>
      <c r="C197" s="802">
        <v>5</v>
      </c>
      <c r="D197" s="802" t="s">
        <v>1580</v>
      </c>
      <c r="E197" s="802">
        <v>0</v>
      </c>
      <c r="F197" s="803"/>
      <c r="G197" s="803"/>
      <c r="H197" s="803"/>
      <c r="I197" s="804" t="s">
        <v>1914</v>
      </c>
      <c r="J197" s="805">
        <v>192</v>
      </c>
    </row>
    <row r="198" spans="1:12" ht="29.25" customHeight="1">
      <c r="A198" s="801">
        <v>193</v>
      </c>
      <c r="B198" s="626" t="s">
        <v>1915</v>
      </c>
      <c r="C198" s="802">
        <v>3</v>
      </c>
      <c r="D198" s="802" t="s">
        <v>1580</v>
      </c>
      <c r="E198" s="802">
        <v>1</v>
      </c>
      <c r="F198" s="803"/>
      <c r="G198" s="803"/>
      <c r="H198" s="803"/>
      <c r="I198" s="804" t="s">
        <v>1916</v>
      </c>
      <c r="J198" s="805">
        <v>193</v>
      </c>
    </row>
    <row r="199" spans="1:12" ht="24.75" customHeight="1">
      <c r="A199" s="801">
        <v>194</v>
      </c>
      <c r="B199" s="626" t="s">
        <v>1917</v>
      </c>
      <c r="C199" s="801" t="s">
        <v>1580</v>
      </c>
      <c r="D199" s="802">
        <v>2</v>
      </c>
      <c r="E199" s="802">
        <v>1</v>
      </c>
      <c r="F199" s="803"/>
      <c r="G199" s="803"/>
      <c r="H199" s="803"/>
      <c r="I199" s="804" t="s">
        <v>1918</v>
      </c>
      <c r="J199" s="805">
        <v>194</v>
      </c>
      <c r="L199" s="626"/>
    </row>
    <row r="200" spans="1:12" ht="21">
      <c r="A200" s="801">
        <v>195</v>
      </c>
      <c r="B200" s="626" t="s">
        <v>15</v>
      </c>
      <c r="C200" s="802">
        <v>7</v>
      </c>
      <c r="D200" s="802">
        <v>4</v>
      </c>
      <c r="E200" s="802">
        <v>5</v>
      </c>
      <c r="F200" s="803"/>
      <c r="G200" s="803"/>
      <c r="H200" s="803"/>
      <c r="I200" s="804" t="s">
        <v>1206</v>
      </c>
      <c r="J200" s="805">
        <v>195</v>
      </c>
      <c r="L200" s="807"/>
    </row>
    <row r="201" spans="1:12" ht="21">
      <c r="A201" s="801">
        <v>196</v>
      </c>
      <c r="B201" s="626" t="s">
        <v>1919</v>
      </c>
      <c r="C201" s="802">
        <v>1</v>
      </c>
      <c r="D201" s="802">
        <v>3</v>
      </c>
      <c r="E201" s="802">
        <v>17</v>
      </c>
      <c r="F201" s="803"/>
      <c r="G201" s="803"/>
      <c r="H201" s="803"/>
      <c r="I201" s="804" t="s">
        <v>1920</v>
      </c>
      <c r="J201" s="805">
        <v>196</v>
      </c>
      <c r="L201" s="807"/>
    </row>
    <row r="202" spans="1:12" ht="21">
      <c r="A202" s="801">
        <v>197</v>
      </c>
      <c r="B202" s="626" t="s">
        <v>1921</v>
      </c>
      <c r="C202" s="802">
        <v>1</v>
      </c>
      <c r="D202" s="802" t="s">
        <v>1580</v>
      </c>
      <c r="E202" s="802">
        <v>0</v>
      </c>
      <c r="F202" s="803"/>
      <c r="G202" s="803"/>
      <c r="H202" s="803"/>
      <c r="I202" s="804" t="s">
        <v>1922</v>
      </c>
      <c r="J202" s="805">
        <v>197</v>
      </c>
      <c r="L202" s="809"/>
    </row>
    <row r="203" spans="1:12" ht="21">
      <c r="A203" s="801">
        <v>198</v>
      </c>
      <c r="B203" s="626" t="s">
        <v>1923</v>
      </c>
      <c r="C203" s="802">
        <v>1</v>
      </c>
      <c r="D203" s="802">
        <v>5</v>
      </c>
      <c r="E203" s="802">
        <v>19</v>
      </c>
      <c r="F203" s="803"/>
      <c r="G203" s="803"/>
      <c r="H203" s="803"/>
      <c r="I203" s="804" t="s">
        <v>1924</v>
      </c>
      <c r="J203" s="805">
        <v>198</v>
      </c>
    </row>
    <row r="204" spans="1:12" ht="21">
      <c r="A204" s="801">
        <v>199</v>
      </c>
      <c r="B204" s="626" t="s">
        <v>1925</v>
      </c>
      <c r="C204" s="802">
        <v>1</v>
      </c>
      <c r="D204" s="802" t="s">
        <v>1580</v>
      </c>
      <c r="E204" s="802">
        <v>1</v>
      </c>
      <c r="F204" s="803"/>
      <c r="G204" s="803"/>
      <c r="H204" s="803"/>
      <c r="I204" s="804" t="s">
        <v>1926</v>
      </c>
      <c r="J204" s="805">
        <v>199</v>
      </c>
    </row>
    <row r="205" spans="1:12" ht="21">
      <c r="A205" s="801">
        <v>200</v>
      </c>
      <c r="B205" s="626" t="s">
        <v>1927</v>
      </c>
      <c r="C205" s="802">
        <v>1</v>
      </c>
      <c r="D205" s="802" t="s">
        <v>1580</v>
      </c>
      <c r="E205" s="802">
        <v>8</v>
      </c>
      <c r="F205" s="803"/>
      <c r="G205" s="803"/>
      <c r="H205" s="803"/>
      <c r="I205" s="804" t="s">
        <v>1210</v>
      </c>
      <c r="J205" s="805">
        <v>200</v>
      </c>
    </row>
    <row r="206" spans="1:12" ht="21">
      <c r="A206" s="801">
        <v>201</v>
      </c>
      <c r="B206" s="626" t="s">
        <v>1928</v>
      </c>
      <c r="C206" s="802">
        <v>1</v>
      </c>
      <c r="D206" s="802">
        <v>8</v>
      </c>
      <c r="E206" s="802">
        <v>3</v>
      </c>
      <c r="F206" s="803"/>
      <c r="G206" s="803"/>
      <c r="H206" s="803"/>
      <c r="I206" s="804" t="s">
        <v>1211</v>
      </c>
      <c r="J206" s="805">
        <v>201</v>
      </c>
    </row>
    <row r="207" spans="1:12" ht="21">
      <c r="A207" s="801">
        <v>202</v>
      </c>
      <c r="B207" s="626" t="s">
        <v>1827</v>
      </c>
      <c r="C207" s="802">
        <v>2</v>
      </c>
      <c r="D207" s="802">
        <v>17</v>
      </c>
      <c r="E207" s="802">
        <v>8</v>
      </c>
      <c r="F207" s="803"/>
      <c r="G207" s="803"/>
      <c r="H207" s="803"/>
      <c r="I207" s="804" t="s">
        <v>1212</v>
      </c>
      <c r="J207" s="805">
        <v>202</v>
      </c>
    </row>
    <row r="208" spans="1:12" ht="18" customHeight="1">
      <c r="A208" s="801">
        <v>203</v>
      </c>
      <c r="B208" s="626" t="s">
        <v>1929</v>
      </c>
      <c r="C208" s="801" t="s">
        <v>1580</v>
      </c>
      <c r="D208" s="802">
        <v>1</v>
      </c>
      <c r="E208" s="802">
        <v>0</v>
      </c>
      <c r="F208" s="803"/>
      <c r="G208" s="803"/>
      <c r="H208" s="803"/>
      <c r="I208" s="810" t="s">
        <v>1930</v>
      </c>
      <c r="J208" s="805">
        <v>203</v>
      </c>
    </row>
    <row r="209" spans="1:10" ht="18" customHeight="1">
      <c r="A209" s="801">
        <v>204</v>
      </c>
      <c r="B209" s="626" t="s">
        <v>1931</v>
      </c>
      <c r="C209" s="801" t="s">
        <v>1580</v>
      </c>
      <c r="D209" s="802">
        <v>1</v>
      </c>
      <c r="E209" s="802">
        <v>1</v>
      </c>
      <c r="F209" s="803"/>
      <c r="G209" s="803"/>
      <c r="H209" s="803"/>
      <c r="I209" s="804" t="s">
        <v>1932</v>
      </c>
      <c r="J209" s="805">
        <v>204</v>
      </c>
    </row>
    <row r="210" spans="1:10" ht="21">
      <c r="A210" s="801">
        <v>205</v>
      </c>
      <c r="B210" s="626" t="s">
        <v>1933</v>
      </c>
      <c r="C210" s="801" t="s">
        <v>1580</v>
      </c>
      <c r="D210" s="802">
        <v>1</v>
      </c>
      <c r="E210" s="802">
        <v>0</v>
      </c>
      <c r="F210" s="803"/>
      <c r="G210" s="803"/>
      <c r="H210" s="803"/>
      <c r="I210" s="804" t="s">
        <v>1934</v>
      </c>
      <c r="J210" s="805">
        <v>205</v>
      </c>
    </row>
    <row r="211" spans="1:10" ht="21">
      <c r="A211" s="801">
        <v>206</v>
      </c>
      <c r="B211" s="626" t="s">
        <v>1935</v>
      </c>
      <c r="C211" s="802">
        <v>3</v>
      </c>
      <c r="D211" s="802">
        <v>6</v>
      </c>
      <c r="E211" s="802">
        <v>5</v>
      </c>
      <c r="F211" s="803"/>
      <c r="G211" s="803"/>
      <c r="H211" s="803"/>
      <c r="I211" s="804" t="s">
        <v>1213</v>
      </c>
      <c r="J211" s="805">
        <v>206</v>
      </c>
    </row>
    <row r="212" spans="1:10" ht="21">
      <c r="A212" s="801">
        <v>207</v>
      </c>
      <c r="B212" s="626" t="s">
        <v>1936</v>
      </c>
      <c r="C212" s="802">
        <v>3</v>
      </c>
      <c r="D212" s="802">
        <v>1</v>
      </c>
      <c r="E212" s="802">
        <v>0</v>
      </c>
      <c r="F212" s="803"/>
      <c r="G212" s="803"/>
      <c r="H212" s="803"/>
      <c r="I212" s="804" t="s">
        <v>1937</v>
      </c>
      <c r="J212" s="805">
        <v>207</v>
      </c>
    </row>
    <row r="213" spans="1:10" ht="21">
      <c r="A213" s="801">
        <v>208</v>
      </c>
      <c r="B213" s="626" t="s">
        <v>1938</v>
      </c>
      <c r="C213" s="802">
        <v>1</v>
      </c>
      <c r="D213" s="802">
        <v>1</v>
      </c>
      <c r="E213" s="802">
        <v>0</v>
      </c>
      <c r="F213" s="803"/>
      <c r="G213" s="803"/>
      <c r="H213" s="803"/>
      <c r="I213" s="804" t="s">
        <v>1939</v>
      </c>
      <c r="J213" s="805">
        <v>208</v>
      </c>
    </row>
    <row r="214" spans="1:10" ht="21">
      <c r="A214" s="801">
        <v>209</v>
      </c>
      <c r="B214" s="626" t="s">
        <v>1940</v>
      </c>
      <c r="C214" s="802">
        <v>1</v>
      </c>
      <c r="D214" s="802">
        <v>3</v>
      </c>
      <c r="E214" s="802">
        <v>1</v>
      </c>
      <c r="F214" s="803"/>
      <c r="G214" s="803"/>
      <c r="H214" s="803"/>
      <c r="I214" s="804" t="s">
        <v>1941</v>
      </c>
      <c r="J214" s="805">
        <v>209</v>
      </c>
    </row>
    <row r="215" spans="1:10" ht="21">
      <c r="A215" s="801">
        <v>210</v>
      </c>
      <c r="B215" s="626" t="s">
        <v>1942</v>
      </c>
      <c r="C215" s="802">
        <v>9</v>
      </c>
      <c r="D215" s="802" t="s">
        <v>1580</v>
      </c>
      <c r="E215" s="802">
        <v>0</v>
      </c>
      <c r="F215" s="803"/>
      <c r="G215" s="803"/>
      <c r="H215" s="803"/>
      <c r="I215" s="804" t="s">
        <v>1943</v>
      </c>
      <c r="J215" s="805">
        <v>210</v>
      </c>
    </row>
    <row r="216" spans="1:10" ht="21">
      <c r="A216" s="801">
        <v>211</v>
      </c>
      <c r="B216" s="626" t="s">
        <v>1944</v>
      </c>
      <c r="C216" s="802">
        <v>4</v>
      </c>
      <c r="D216" s="802" t="s">
        <v>1580</v>
      </c>
      <c r="E216" s="802">
        <v>0</v>
      </c>
      <c r="F216" s="803"/>
      <c r="G216" s="803"/>
      <c r="H216" s="803"/>
      <c r="I216" s="804" t="s">
        <v>1945</v>
      </c>
      <c r="J216" s="805">
        <v>211</v>
      </c>
    </row>
    <row r="217" spans="1:10" ht="24.75" customHeight="1">
      <c r="A217" s="801">
        <v>212</v>
      </c>
      <c r="B217" s="626" t="s">
        <v>1946</v>
      </c>
      <c r="C217" s="801" t="s">
        <v>1580</v>
      </c>
      <c r="D217" s="802">
        <v>1</v>
      </c>
      <c r="E217" s="802">
        <v>0</v>
      </c>
      <c r="F217" s="803"/>
      <c r="G217" s="803"/>
      <c r="H217" s="803"/>
      <c r="I217" s="804" t="s">
        <v>1947</v>
      </c>
      <c r="J217" s="805">
        <v>212</v>
      </c>
    </row>
    <row r="218" spans="1:10" ht="21">
      <c r="A218" s="801">
        <v>213</v>
      </c>
      <c r="B218" s="626" t="s">
        <v>1948</v>
      </c>
      <c r="C218" s="801" t="s">
        <v>1580</v>
      </c>
      <c r="D218" s="802">
        <v>1</v>
      </c>
      <c r="E218" s="802">
        <v>3</v>
      </c>
      <c r="F218" s="803"/>
      <c r="G218" s="803"/>
      <c r="H218" s="803"/>
      <c r="I218" s="804" t="s">
        <v>1216</v>
      </c>
      <c r="J218" s="805">
        <v>213</v>
      </c>
    </row>
    <row r="219" spans="1:10" ht="21">
      <c r="A219" s="801">
        <v>214</v>
      </c>
      <c r="B219" s="626" t="s">
        <v>1949</v>
      </c>
      <c r="C219" s="802">
        <v>1</v>
      </c>
      <c r="D219" s="802">
        <v>1</v>
      </c>
      <c r="E219" s="802">
        <v>0</v>
      </c>
      <c r="F219" s="803"/>
      <c r="G219" s="803"/>
      <c r="H219" s="803"/>
      <c r="I219" s="804" t="s">
        <v>1215</v>
      </c>
      <c r="J219" s="805">
        <v>214</v>
      </c>
    </row>
    <row r="220" spans="1:10" ht="24.75" customHeight="1">
      <c r="A220" s="801">
        <v>215</v>
      </c>
      <c r="B220" s="626" t="s">
        <v>1950</v>
      </c>
      <c r="C220" s="801" t="s">
        <v>1580</v>
      </c>
      <c r="D220" s="802">
        <v>1</v>
      </c>
      <c r="E220" s="802">
        <v>6</v>
      </c>
      <c r="F220" s="803"/>
      <c r="G220" s="803"/>
      <c r="H220" s="803"/>
      <c r="I220" s="804" t="s">
        <v>1951</v>
      </c>
      <c r="J220" s="805">
        <v>215</v>
      </c>
    </row>
    <row r="221" spans="1:10" ht="21">
      <c r="A221" s="801">
        <v>216</v>
      </c>
      <c r="B221" s="626" t="s">
        <v>1952</v>
      </c>
      <c r="C221" s="802">
        <v>1</v>
      </c>
      <c r="D221" s="802" t="s">
        <v>1580</v>
      </c>
      <c r="E221" s="802">
        <v>0</v>
      </c>
      <c r="F221" s="803"/>
      <c r="G221" s="803"/>
      <c r="H221" s="803"/>
      <c r="I221" s="804" t="s">
        <v>1953</v>
      </c>
      <c r="J221" s="805">
        <v>216</v>
      </c>
    </row>
    <row r="222" spans="1:10" ht="21">
      <c r="A222" s="801">
        <v>217</v>
      </c>
      <c r="B222" s="626" t="s">
        <v>1830</v>
      </c>
      <c r="C222" s="802">
        <v>1</v>
      </c>
      <c r="D222" s="802" t="s">
        <v>1580</v>
      </c>
      <c r="E222" s="802">
        <v>0</v>
      </c>
      <c r="F222" s="803"/>
      <c r="G222" s="803"/>
      <c r="H222" s="803"/>
      <c r="I222" s="804" t="s">
        <v>1954</v>
      </c>
      <c r="J222" s="805">
        <v>217</v>
      </c>
    </row>
    <row r="223" spans="1:10" ht="21">
      <c r="A223" s="801">
        <v>218</v>
      </c>
      <c r="B223" s="626" t="s">
        <v>1955</v>
      </c>
      <c r="C223" s="802">
        <v>0</v>
      </c>
      <c r="D223" s="802" t="s">
        <v>1580</v>
      </c>
      <c r="E223" s="802">
        <v>0</v>
      </c>
      <c r="F223" s="803"/>
      <c r="G223" s="803"/>
      <c r="H223" s="803"/>
      <c r="I223" s="804" t="s">
        <v>1956</v>
      </c>
      <c r="J223" s="805">
        <v>218</v>
      </c>
    </row>
    <row r="224" spans="1:10" ht="21">
      <c r="A224" s="801">
        <v>219</v>
      </c>
      <c r="B224" s="811" t="s">
        <v>1957</v>
      </c>
      <c r="C224" s="802" t="s">
        <v>1580</v>
      </c>
      <c r="D224" s="802" t="s">
        <v>1580</v>
      </c>
      <c r="E224" s="802">
        <v>3</v>
      </c>
      <c r="F224" s="803"/>
      <c r="G224" s="803"/>
      <c r="H224" s="803"/>
      <c r="I224" s="804" t="s">
        <v>1958</v>
      </c>
      <c r="J224" s="805">
        <v>219</v>
      </c>
    </row>
    <row r="225" spans="1:10" ht="42">
      <c r="A225" s="801">
        <v>220</v>
      </c>
      <c r="B225" s="811" t="s">
        <v>1959</v>
      </c>
      <c r="C225" s="802" t="s">
        <v>1580</v>
      </c>
      <c r="D225" s="802" t="s">
        <v>1580</v>
      </c>
      <c r="E225" s="802">
        <v>1</v>
      </c>
      <c r="F225" s="803"/>
      <c r="G225" s="803"/>
      <c r="H225" s="803"/>
      <c r="I225" s="804" t="s">
        <v>1960</v>
      </c>
      <c r="J225" s="805">
        <v>220</v>
      </c>
    </row>
    <row r="226" spans="1:10" ht="21">
      <c r="A226" s="801">
        <v>221</v>
      </c>
      <c r="B226" s="811" t="s">
        <v>1961</v>
      </c>
      <c r="C226" s="802" t="s">
        <v>1580</v>
      </c>
      <c r="D226" s="802" t="s">
        <v>1580</v>
      </c>
      <c r="E226" s="802">
        <v>67</v>
      </c>
      <c r="F226" s="803"/>
      <c r="G226" s="803"/>
      <c r="H226" s="803"/>
      <c r="I226" s="804" t="s">
        <v>1962</v>
      </c>
      <c r="J226" s="805">
        <v>221</v>
      </c>
    </row>
    <row r="227" spans="1:10" ht="21">
      <c r="A227" s="801">
        <v>222</v>
      </c>
      <c r="B227" s="811" t="s">
        <v>1963</v>
      </c>
      <c r="C227" s="802" t="s">
        <v>1580</v>
      </c>
      <c r="D227" s="802" t="s">
        <v>1580</v>
      </c>
      <c r="E227" s="802">
        <v>1</v>
      </c>
      <c r="F227" s="803"/>
      <c r="G227" s="803"/>
      <c r="H227" s="803"/>
      <c r="I227" s="804" t="s">
        <v>1964</v>
      </c>
      <c r="J227" s="805">
        <v>222</v>
      </c>
    </row>
    <row r="228" spans="1:10" ht="21">
      <c r="A228" s="801">
        <v>223</v>
      </c>
      <c r="B228" s="811" t="s">
        <v>1965</v>
      </c>
      <c r="C228" s="802" t="s">
        <v>1580</v>
      </c>
      <c r="D228" s="802" t="s">
        <v>1580</v>
      </c>
      <c r="E228" s="802">
        <v>1</v>
      </c>
      <c r="F228" s="803"/>
      <c r="G228" s="803"/>
      <c r="H228" s="803"/>
      <c r="I228" s="804" t="s">
        <v>14</v>
      </c>
      <c r="J228" s="805">
        <v>223</v>
      </c>
    </row>
    <row r="229" spans="1:10" ht="21">
      <c r="A229" s="801">
        <v>224</v>
      </c>
      <c r="B229" s="811" t="s">
        <v>1966</v>
      </c>
      <c r="C229" s="802" t="s">
        <v>1580</v>
      </c>
      <c r="D229" s="802" t="s">
        <v>1580</v>
      </c>
      <c r="E229" s="802">
        <v>5</v>
      </c>
      <c r="F229" s="803"/>
      <c r="G229" s="803"/>
      <c r="H229" s="803"/>
      <c r="I229" s="804" t="s">
        <v>1967</v>
      </c>
      <c r="J229" s="805">
        <v>224</v>
      </c>
    </row>
    <row r="230" spans="1:10" ht="63">
      <c r="A230" s="801">
        <v>225</v>
      </c>
      <c r="B230" s="811" t="s">
        <v>1968</v>
      </c>
      <c r="C230" s="802" t="s">
        <v>1580</v>
      </c>
      <c r="D230" s="802" t="s">
        <v>1580</v>
      </c>
      <c r="E230" s="802">
        <v>1</v>
      </c>
      <c r="F230" s="803"/>
      <c r="G230" s="803"/>
      <c r="H230" s="803"/>
      <c r="I230" s="804" t="s">
        <v>1969</v>
      </c>
      <c r="J230" s="805">
        <v>225</v>
      </c>
    </row>
    <row r="231" spans="1:10" ht="21">
      <c r="A231" s="801">
        <v>226</v>
      </c>
      <c r="B231" s="811" t="s">
        <v>1642</v>
      </c>
      <c r="C231" s="802" t="s">
        <v>1580</v>
      </c>
      <c r="D231" s="802" t="s">
        <v>1580</v>
      </c>
      <c r="E231" s="802">
        <v>2</v>
      </c>
      <c r="F231" s="803"/>
      <c r="G231" s="803"/>
      <c r="H231" s="803"/>
      <c r="I231" s="804" t="s">
        <v>1970</v>
      </c>
      <c r="J231" s="805">
        <v>226</v>
      </c>
    </row>
    <row r="232" spans="1:10" ht="84">
      <c r="A232" s="801">
        <v>227</v>
      </c>
      <c r="B232" s="811" t="s">
        <v>1971</v>
      </c>
      <c r="C232" s="802" t="s">
        <v>1580</v>
      </c>
      <c r="D232" s="802" t="s">
        <v>1580</v>
      </c>
      <c r="E232" s="802">
        <v>1</v>
      </c>
      <c r="F232" s="803"/>
      <c r="G232" s="803"/>
      <c r="H232" s="803"/>
      <c r="I232" s="804" t="s">
        <v>1972</v>
      </c>
      <c r="J232" s="805">
        <v>227</v>
      </c>
    </row>
    <row r="233" spans="1:10" ht="21">
      <c r="A233" s="801">
        <v>228</v>
      </c>
      <c r="B233" s="811" t="s">
        <v>1973</v>
      </c>
      <c r="C233" s="802" t="s">
        <v>1580</v>
      </c>
      <c r="D233" s="802" t="s">
        <v>1580</v>
      </c>
      <c r="E233" s="802">
        <v>1</v>
      </c>
      <c r="F233" s="803"/>
      <c r="G233" s="803"/>
      <c r="H233" s="803"/>
      <c r="I233" s="804" t="s">
        <v>1165</v>
      </c>
      <c r="J233" s="805">
        <v>228</v>
      </c>
    </row>
    <row r="234" spans="1:10" ht="21">
      <c r="A234" s="801">
        <v>229</v>
      </c>
      <c r="B234" s="811" t="s">
        <v>1974</v>
      </c>
      <c r="C234" s="802" t="s">
        <v>1580</v>
      </c>
      <c r="D234" s="802" t="s">
        <v>1580</v>
      </c>
      <c r="E234" s="802">
        <v>1</v>
      </c>
      <c r="F234" s="803"/>
      <c r="G234" s="803"/>
      <c r="H234" s="803"/>
      <c r="I234" s="804" t="s">
        <v>1975</v>
      </c>
      <c r="J234" s="805">
        <v>229</v>
      </c>
    </row>
    <row r="235" spans="1:10" ht="21">
      <c r="A235" s="801">
        <v>230</v>
      </c>
      <c r="B235" s="811" t="s">
        <v>1976</v>
      </c>
      <c r="C235" s="802" t="s">
        <v>1580</v>
      </c>
      <c r="D235" s="802" t="s">
        <v>1580</v>
      </c>
      <c r="E235" s="802">
        <v>1</v>
      </c>
      <c r="F235" s="803"/>
      <c r="G235" s="803"/>
      <c r="H235" s="803"/>
      <c r="I235" s="804" t="s">
        <v>1977</v>
      </c>
      <c r="J235" s="805">
        <v>230</v>
      </c>
    </row>
    <row r="236" spans="1:10" ht="42">
      <c r="A236" s="801">
        <v>231</v>
      </c>
      <c r="B236" s="811" t="s">
        <v>1978</v>
      </c>
      <c r="C236" s="802" t="s">
        <v>1580</v>
      </c>
      <c r="D236" s="802" t="s">
        <v>1580</v>
      </c>
      <c r="E236" s="802">
        <v>2</v>
      </c>
      <c r="F236" s="803"/>
      <c r="G236" s="803"/>
      <c r="H236" s="803"/>
      <c r="I236" s="804" t="s">
        <v>1979</v>
      </c>
      <c r="J236" s="805">
        <v>231</v>
      </c>
    </row>
    <row r="237" spans="1:10" ht="21">
      <c r="A237" s="801">
        <v>232</v>
      </c>
      <c r="B237" s="811" t="s">
        <v>1980</v>
      </c>
      <c r="C237" s="802" t="s">
        <v>1580</v>
      </c>
      <c r="D237" s="802" t="s">
        <v>1580</v>
      </c>
      <c r="E237" s="802">
        <v>2</v>
      </c>
      <c r="F237" s="803"/>
      <c r="G237" s="803"/>
      <c r="H237" s="803"/>
      <c r="I237" s="804" t="s">
        <v>1981</v>
      </c>
      <c r="J237" s="805">
        <v>232</v>
      </c>
    </row>
    <row r="238" spans="1:10" ht="21">
      <c r="A238" s="801">
        <v>233</v>
      </c>
      <c r="B238" s="811" t="s">
        <v>1982</v>
      </c>
      <c r="C238" s="802" t="s">
        <v>1580</v>
      </c>
      <c r="D238" s="802" t="s">
        <v>1580</v>
      </c>
      <c r="E238" s="802">
        <v>1</v>
      </c>
      <c r="F238" s="803"/>
      <c r="G238" s="803"/>
      <c r="H238" s="803"/>
      <c r="I238" s="804" t="s">
        <v>1983</v>
      </c>
      <c r="J238" s="805">
        <v>233</v>
      </c>
    </row>
    <row r="239" spans="1:10" ht="63">
      <c r="A239" s="801">
        <v>234</v>
      </c>
      <c r="B239" s="811" t="s">
        <v>1984</v>
      </c>
      <c r="C239" s="802" t="s">
        <v>1580</v>
      </c>
      <c r="D239" s="802" t="s">
        <v>1580</v>
      </c>
      <c r="E239" s="802">
        <v>1</v>
      </c>
      <c r="F239" s="803"/>
      <c r="G239" s="803"/>
      <c r="H239" s="803"/>
      <c r="I239" s="804" t="s">
        <v>1985</v>
      </c>
      <c r="J239" s="805">
        <v>234</v>
      </c>
    </row>
    <row r="240" spans="1:10" ht="21">
      <c r="A240" s="801">
        <v>235</v>
      </c>
      <c r="B240" s="811" t="s">
        <v>1986</v>
      </c>
      <c r="C240" s="802" t="s">
        <v>1580</v>
      </c>
      <c r="D240" s="802" t="s">
        <v>1580</v>
      </c>
      <c r="E240" s="802">
        <v>1</v>
      </c>
      <c r="F240" s="803"/>
      <c r="G240" s="803"/>
      <c r="H240" s="803"/>
      <c r="I240" s="804" t="s">
        <v>1987</v>
      </c>
      <c r="J240" s="805">
        <v>235</v>
      </c>
    </row>
    <row r="241" spans="1:10" ht="21">
      <c r="A241" s="801">
        <v>236</v>
      </c>
      <c r="B241" s="811" t="s">
        <v>1988</v>
      </c>
      <c r="C241" s="802" t="s">
        <v>1580</v>
      </c>
      <c r="D241" s="802" t="s">
        <v>1580</v>
      </c>
      <c r="E241" s="802">
        <v>5</v>
      </c>
      <c r="F241" s="803"/>
      <c r="G241" s="803"/>
      <c r="H241" s="803"/>
      <c r="I241" s="804" t="s">
        <v>1989</v>
      </c>
      <c r="J241" s="805">
        <v>236</v>
      </c>
    </row>
    <row r="242" spans="1:10" ht="21">
      <c r="A242" s="801">
        <v>237</v>
      </c>
      <c r="B242" s="811" t="s">
        <v>1990</v>
      </c>
      <c r="C242" s="802" t="s">
        <v>1580</v>
      </c>
      <c r="D242" s="802" t="s">
        <v>1580</v>
      </c>
      <c r="E242" s="802">
        <v>1</v>
      </c>
      <c r="F242" s="803"/>
      <c r="G242" s="803"/>
      <c r="H242" s="803"/>
      <c r="I242" s="804" t="s">
        <v>1991</v>
      </c>
      <c r="J242" s="805">
        <v>237</v>
      </c>
    </row>
    <row r="243" spans="1:10" ht="30">
      <c r="A243" s="801">
        <v>238</v>
      </c>
      <c r="B243" s="811" t="s">
        <v>1992</v>
      </c>
      <c r="C243" s="802" t="s">
        <v>1580</v>
      </c>
      <c r="D243" s="802" t="s">
        <v>1580</v>
      </c>
      <c r="E243" s="802">
        <v>2</v>
      </c>
      <c r="F243" s="803"/>
      <c r="G243" s="803"/>
      <c r="H243" s="803"/>
      <c r="I243" s="804" t="s">
        <v>1993</v>
      </c>
      <c r="J243" s="805">
        <v>238</v>
      </c>
    </row>
    <row r="244" spans="1:10" ht="21">
      <c r="A244" s="801">
        <v>239</v>
      </c>
      <c r="B244" s="811" t="s">
        <v>1994</v>
      </c>
      <c r="C244" s="802" t="s">
        <v>1580</v>
      </c>
      <c r="D244" s="802" t="s">
        <v>1580</v>
      </c>
      <c r="E244" s="802">
        <v>1</v>
      </c>
      <c r="F244" s="803"/>
      <c r="G244" s="803"/>
      <c r="H244" s="803"/>
      <c r="I244" s="804" t="s">
        <v>1995</v>
      </c>
      <c r="J244" s="805">
        <v>239</v>
      </c>
    </row>
    <row r="245" spans="1:10" ht="21">
      <c r="A245" s="801">
        <v>240</v>
      </c>
      <c r="B245" s="811" t="s">
        <v>1996</v>
      </c>
      <c r="C245" s="802" t="s">
        <v>1580</v>
      </c>
      <c r="D245" s="802" t="s">
        <v>1580</v>
      </c>
      <c r="E245" s="802">
        <v>1</v>
      </c>
      <c r="F245" s="803"/>
      <c r="G245" s="803"/>
      <c r="H245" s="803"/>
      <c r="I245" s="804" t="s">
        <v>1997</v>
      </c>
      <c r="J245" s="805">
        <v>240</v>
      </c>
    </row>
    <row r="246" spans="1:10" ht="21">
      <c r="A246" s="801">
        <v>241</v>
      </c>
      <c r="B246" s="811" t="s">
        <v>1998</v>
      </c>
      <c r="C246" s="802" t="s">
        <v>1580</v>
      </c>
      <c r="D246" s="802" t="s">
        <v>1580</v>
      </c>
      <c r="E246" s="802">
        <v>1</v>
      </c>
      <c r="F246" s="803"/>
      <c r="G246" s="803"/>
      <c r="H246" s="803"/>
      <c r="I246" s="804" t="s">
        <v>1999</v>
      </c>
      <c r="J246" s="805">
        <v>241</v>
      </c>
    </row>
    <row r="247" spans="1:10" ht="21">
      <c r="A247" s="801">
        <v>242</v>
      </c>
      <c r="B247" s="811" t="s">
        <v>2000</v>
      </c>
      <c r="C247" s="802" t="s">
        <v>1580</v>
      </c>
      <c r="D247" s="802" t="s">
        <v>1580</v>
      </c>
      <c r="E247" s="802">
        <v>2</v>
      </c>
      <c r="F247" s="803"/>
      <c r="G247" s="803"/>
      <c r="H247" s="803"/>
      <c r="I247" s="804" t="s">
        <v>2001</v>
      </c>
      <c r="J247" s="805">
        <v>242</v>
      </c>
    </row>
    <row r="248" spans="1:10" ht="21">
      <c r="A248" s="801">
        <v>243</v>
      </c>
      <c r="B248" s="811" t="s">
        <v>2002</v>
      </c>
      <c r="C248" s="802" t="s">
        <v>1580</v>
      </c>
      <c r="D248" s="802" t="s">
        <v>1580</v>
      </c>
      <c r="E248" s="802">
        <v>1</v>
      </c>
      <c r="F248" s="803"/>
      <c r="G248" s="803"/>
      <c r="H248" s="803"/>
      <c r="I248" s="804" t="s">
        <v>2003</v>
      </c>
      <c r="J248" s="805">
        <v>243</v>
      </c>
    </row>
    <row r="249" spans="1:10" ht="42">
      <c r="A249" s="801">
        <v>244</v>
      </c>
      <c r="B249" s="811" t="s">
        <v>2004</v>
      </c>
      <c r="C249" s="802" t="s">
        <v>1580</v>
      </c>
      <c r="D249" s="802" t="s">
        <v>1580</v>
      </c>
      <c r="E249" s="802">
        <v>2</v>
      </c>
      <c r="F249" s="803"/>
      <c r="G249" s="803"/>
      <c r="H249" s="803"/>
      <c r="I249" s="804" t="s">
        <v>2005</v>
      </c>
      <c r="J249" s="805">
        <v>244</v>
      </c>
    </row>
    <row r="250" spans="1:10" ht="42">
      <c r="A250" s="801">
        <v>245</v>
      </c>
      <c r="B250" s="626" t="s">
        <v>2006</v>
      </c>
      <c r="C250" s="802" t="s">
        <v>1580</v>
      </c>
      <c r="D250" s="802" t="s">
        <v>1580</v>
      </c>
      <c r="E250" s="802">
        <v>1</v>
      </c>
      <c r="F250" s="803"/>
      <c r="G250" s="803"/>
      <c r="H250" s="803"/>
      <c r="I250" s="804" t="s">
        <v>2007</v>
      </c>
      <c r="J250" s="805">
        <v>245</v>
      </c>
    </row>
    <row r="251" spans="1:10" ht="42">
      <c r="A251" s="801">
        <v>246</v>
      </c>
      <c r="B251" s="626" t="s">
        <v>2008</v>
      </c>
      <c r="C251" s="802" t="s">
        <v>1580</v>
      </c>
      <c r="D251" s="802" t="s">
        <v>1580</v>
      </c>
      <c r="E251" s="802">
        <v>3</v>
      </c>
      <c r="F251" s="803"/>
      <c r="G251" s="803"/>
      <c r="H251" s="803"/>
      <c r="I251" s="804" t="s">
        <v>2009</v>
      </c>
      <c r="J251" s="805">
        <v>246</v>
      </c>
    </row>
    <row r="252" spans="1:10" ht="21">
      <c r="A252" s="801">
        <v>247</v>
      </c>
      <c r="B252" s="626" t="s">
        <v>2010</v>
      </c>
      <c r="C252" s="802" t="s">
        <v>1580</v>
      </c>
      <c r="D252" s="802" t="s">
        <v>1580</v>
      </c>
      <c r="E252" s="802">
        <v>1</v>
      </c>
      <c r="F252" s="803"/>
      <c r="G252" s="803"/>
      <c r="H252" s="803"/>
      <c r="I252" s="804" t="s">
        <v>2011</v>
      </c>
      <c r="J252" s="805">
        <v>247</v>
      </c>
    </row>
    <row r="253" spans="1:10" ht="21">
      <c r="A253" s="801">
        <v>248</v>
      </c>
      <c r="B253" s="626" t="s">
        <v>2012</v>
      </c>
      <c r="C253" s="802" t="s">
        <v>1580</v>
      </c>
      <c r="D253" s="802" t="s">
        <v>1580</v>
      </c>
      <c r="E253" s="802">
        <v>1</v>
      </c>
      <c r="F253" s="803"/>
      <c r="G253" s="803"/>
      <c r="H253" s="803"/>
      <c r="I253" s="804" t="s">
        <v>2013</v>
      </c>
      <c r="J253" s="805">
        <v>248</v>
      </c>
    </row>
    <row r="254" spans="1:10" ht="21">
      <c r="A254" s="801">
        <v>249</v>
      </c>
      <c r="B254" s="626" t="s">
        <v>2014</v>
      </c>
      <c r="C254" s="802" t="s">
        <v>1580</v>
      </c>
      <c r="D254" s="802" t="s">
        <v>1580</v>
      </c>
      <c r="E254" s="802">
        <v>6</v>
      </c>
      <c r="F254" s="803"/>
      <c r="G254" s="803"/>
      <c r="H254" s="803"/>
      <c r="I254" s="804" t="s">
        <v>2015</v>
      </c>
      <c r="J254" s="805">
        <v>249</v>
      </c>
    </row>
    <row r="255" spans="1:10" ht="63">
      <c r="A255" s="801">
        <v>250</v>
      </c>
      <c r="B255" s="626" t="s">
        <v>2016</v>
      </c>
      <c r="C255" s="802" t="s">
        <v>1580</v>
      </c>
      <c r="D255" s="802" t="s">
        <v>1580</v>
      </c>
      <c r="E255" s="802">
        <v>1</v>
      </c>
      <c r="F255" s="803"/>
      <c r="G255" s="803"/>
      <c r="H255" s="803"/>
      <c r="I255" s="804" t="s">
        <v>2017</v>
      </c>
      <c r="J255" s="805">
        <v>250</v>
      </c>
    </row>
    <row r="256" spans="1:10" ht="63">
      <c r="A256" s="801">
        <v>251</v>
      </c>
      <c r="B256" s="626" t="s">
        <v>2018</v>
      </c>
      <c r="C256" s="802" t="s">
        <v>1580</v>
      </c>
      <c r="D256" s="802" t="s">
        <v>1580</v>
      </c>
      <c r="E256" s="802">
        <v>1</v>
      </c>
      <c r="F256" s="803"/>
      <c r="G256" s="803"/>
      <c r="H256" s="803"/>
      <c r="I256" s="804" t="s">
        <v>2019</v>
      </c>
      <c r="J256" s="805">
        <v>251</v>
      </c>
    </row>
    <row r="257" spans="1:10" ht="63">
      <c r="A257" s="801">
        <v>252</v>
      </c>
      <c r="B257" s="626" t="s">
        <v>2020</v>
      </c>
      <c r="C257" s="802" t="s">
        <v>1580</v>
      </c>
      <c r="D257" s="802" t="s">
        <v>1580</v>
      </c>
      <c r="E257" s="802">
        <v>1</v>
      </c>
      <c r="F257" s="803"/>
      <c r="G257" s="803"/>
      <c r="H257" s="803"/>
      <c r="I257" s="804" t="s">
        <v>2021</v>
      </c>
      <c r="J257" s="805">
        <v>252</v>
      </c>
    </row>
    <row r="258" spans="1:10" ht="84">
      <c r="A258" s="801">
        <v>253</v>
      </c>
      <c r="B258" s="626" t="s">
        <v>2022</v>
      </c>
      <c r="C258" s="802" t="s">
        <v>1580</v>
      </c>
      <c r="D258" s="802" t="s">
        <v>1580</v>
      </c>
      <c r="E258" s="802">
        <v>1</v>
      </c>
      <c r="F258" s="803"/>
      <c r="G258" s="803"/>
      <c r="H258" s="803"/>
      <c r="I258" s="804" t="s">
        <v>2023</v>
      </c>
      <c r="J258" s="805">
        <v>253</v>
      </c>
    </row>
    <row r="259" spans="1:10" ht="21">
      <c r="A259" s="801">
        <v>254</v>
      </c>
      <c r="B259" s="812" t="s">
        <v>2024</v>
      </c>
      <c r="C259" s="802" t="s">
        <v>1580</v>
      </c>
      <c r="D259" s="802" t="s">
        <v>1580</v>
      </c>
      <c r="E259" s="802">
        <v>8</v>
      </c>
      <c r="F259" s="803"/>
      <c r="G259" s="803"/>
      <c r="H259" s="803"/>
      <c r="I259" s="804" t="s">
        <v>2025</v>
      </c>
      <c r="J259" s="805">
        <v>254</v>
      </c>
    </row>
    <row r="260" spans="1:10" ht="21">
      <c r="A260" s="801">
        <v>255</v>
      </c>
      <c r="B260" s="626" t="s">
        <v>2026</v>
      </c>
      <c r="C260" s="802" t="s">
        <v>1580</v>
      </c>
      <c r="D260" s="802" t="s">
        <v>1580</v>
      </c>
      <c r="E260" s="802">
        <v>1</v>
      </c>
      <c r="F260" s="803"/>
      <c r="G260" s="803"/>
      <c r="H260" s="803"/>
      <c r="I260" s="804" t="s">
        <v>2027</v>
      </c>
      <c r="J260" s="805">
        <v>255</v>
      </c>
    </row>
    <row r="261" spans="1:10" ht="21">
      <c r="A261" s="801">
        <v>256</v>
      </c>
      <c r="B261" s="626" t="s">
        <v>2028</v>
      </c>
      <c r="C261" s="802" t="s">
        <v>1580</v>
      </c>
      <c r="D261" s="802" t="s">
        <v>1580</v>
      </c>
      <c r="E261" s="802">
        <v>1</v>
      </c>
      <c r="F261" s="803"/>
      <c r="G261" s="803"/>
      <c r="H261" s="803"/>
      <c r="I261" s="804" t="s">
        <v>2029</v>
      </c>
      <c r="J261" s="805">
        <v>256</v>
      </c>
    </row>
    <row r="262" spans="1:10" ht="42">
      <c r="A262" s="801">
        <v>257</v>
      </c>
      <c r="B262" s="626" t="s">
        <v>2030</v>
      </c>
      <c r="C262" s="802" t="s">
        <v>1580</v>
      </c>
      <c r="D262" s="802" t="s">
        <v>1580</v>
      </c>
      <c r="E262" s="802">
        <v>2</v>
      </c>
      <c r="F262" s="803"/>
      <c r="G262" s="803"/>
      <c r="H262" s="803"/>
      <c r="I262" s="804" t="s">
        <v>2031</v>
      </c>
      <c r="J262" s="805">
        <v>257</v>
      </c>
    </row>
    <row r="263" spans="1:10" ht="42">
      <c r="A263" s="801">
        <v>258</v>
      </c>
      <c r="B263" s="626" t="s">
        <v>2032</v>
      </c>
      <c r="C263" s="802" t="s">
        <v>1580</v>
      </c>
      <c r="D263" s="802" t="s">
        <v>1580</v>
      </c>
      <c r="E263" s="802">
        <v>1</v>
      </c>
      <c r="F263" s="803"/>
      <c r="G263" s="803"/>
      <c r="H263" s="803"/>
      <c r="I263" s="804" t="s">
        <v>2033</v>
      </c>
      <c r="J263" s="805">
        <v>258</v>
      </c>
    </row>
    <row r="264" spans="1:10" ht="30">
      <c r="A264" s="801">
        <v>259</v>
      </c>
      <c r="B264" s="626" t="s">
        <v>2034</v>
      </c>
      <c r="C264" s="802" t="s">
        <v>1580</v>
      </c>
      <c r="D264" s="802" t="s">
        <v>1580</v>
      </c>
      <c r="E264" s="802">
        <v>1</v>
      </c>
      <c r="F264" s="803"/>
      <c r="G264" s="803"/>
      <c r="H264" s="803"/>
      <c r="I264" s="804" t="s">
        <v>2035</v>
      </c>
      <c r="J264" s="805">
        <v>259</v>
      </c>
    </row>
    <row r="265" spans="1:10" ht="21">
      <c r="A265" s="801">
        <v>260</v>
      </c>
      <c r="B265" s="626" t="s">
        <v>2036</v>
      </c>
      <c r="C265" s="802" t="s">
        <v>1580</v>
      </c>
      <c r="D265" s="802" t="s">
        <v>1580</v>
      </c>
      <c r="E265" s="802">
        <v>2</v>
      </c>
      <c r="F265" s="803"/>
      <c r="G265" s="803"/>
      <c r="H265" s="803"/>
      <c r="I265" s="804" t="s">
        <v>2037</v>
      </c>
      <c r="J265" s="805">
        <v>260</v>
      </c>
    </row>
    <row r="266" spans="1:10" ht="30">
      <c r="A266" s="801">
        <v>261</v>
      </c>
      <c r="B266" s="626" t="s">
        <v>2038</v>
      </c>
      <c r="C266" s="802" t="s">
        <v>1580</v>
      </c>
      <c r="D266" s="802" t="s">
        <v>1580</v>
      </c>
      <c r="E266" s="802">
        <v>1</v>
      </c>
      <c r="F266" s="803"/>
      <c r="G266" s="803"/>
      <c r="H266" s="803"/>
      <c r="I266" s="804" t="s">
        <v>2039</v>
      </c>
      <c r="J266" s="805">
        <v>261</v>
      </c>
    </row>
    <row r="267" spans="1:10" ht="21">
      <c r="A267" s="801">
        <v>262</v>
      </c>
      <c r="B267" s="626" t="s">
        <v>2040</v>
      </c>
      <c r="C267" s="802" t="s">
        <v>1580</v>
      </c>
      <c r="D267" s="802" t="s">
        <v>1580</v>
      </c>
      <c r="E267" s="802">
        <v>1</v>
      </c>
      <c r="F267" s="803"/>
      <c r="G267" s="803"/>
      <c r="H267" s="803"/>
      <c r="I267" s="804" t="s">
        <v>2041</v>
      </c>
      <c r="J267" s="805">
        <v>262</v>
      </c>
    </row>
    <row r="268" spans="1:10" ht="21">
      <c r="A268" s="801">
        <v>263</v>
      </c>
      <c r="B268" s="626" t="s">
        <v>2042</v>
      </c>
      <c r="C268" s="802" t="s">
        <v>1580</v>
      </c>
      <c r="D268" s="802" t="s">
        <v>1580</v>
      </c>
      <c r="E268" s="802">
        <v>1</v>
      </c>
      <c r="F268" s="803"/>
      <c r="G268" s="803"/>
      <c r="H268" s="803"/>
      <c r="I268" s="804" t="s">
        <v>2043</v>
      </c>
      <c r="J268" s="805">
        <v>263</v>
      </c>
    </row>
    <row r="269" spans="1:10" ht="21">
      <c r="A269" s="801">
        <v>264</v>
      </c>
      <c r="B269" s="626" t="s">
        <v>1107</v>
      </c>
      <c r="C269" s="802" t="s">
        <v>1580</v>
      </c>
      <c r="D269" s="802" t="s">
        <v>1580</v>
      </c>
      <c r="E269" s="802">
        <v>1</v>
      </c>
      <c r="F269" s="803"/>
      <c r="G269" s="803"/>
      <c r="H269" s="803"/>
      <c r="I269" s="804" t="s">
        <v>2044</v>
      </c>
      <c r="J269" s="805">
        <v>264</v>
      </c>
    </row>
    <row r="270" spans="1:10" ht="21">
      <c r="A270" s="801">
        <v>265</v>
      </c>
      <c r="B270" s="626" t="s">
        <v>2045</v>
      </c>
      <c r="C270" s="802" t="s">
        <v>1580</v>
      </c>
      <c r="D270" s="802" t="s">
        <v>1580</v>
      </c>
      <c r="E270" s="802">
        <v>5</v>
      </c>
      <c r="F270" s="803"/>
      <c r="G270" s="803"/>
      <c r="H270" s="803"/>
      <c r="I270" s="804" t="s">
        <v>2046</v>
      </c>
      <c r="J270" s="805">
        <v>265</v>
      </c>
    </row>
    <row r="271" spans="1:10" ht="21">
      <c r="A271" s="801">
        <v>266</v>
      </c>
      <c r="B271" s="626" t="s">
        <v>2047</v>
      </c>
      <c r="C271" s="802" t="s">
        <v>1580</v>
      </c>
      <c r="D271" s="802" t="s">
        <v>1580</v>
      </c>
      <c r="E271" s="802">
        <v>1</v>
      </c>
      <c r="F271" s="803"/>
      <c r="G271" s="803"/>
      <c r="H271" s="803"/>
      <c r="I271" s="804" t="s">
        <v>2048</v>
      </c>
      <c r="J271" s="805">
        <v>266</v>
      </c>
    </row>
    <row r="272" spans="1:10" ht="21">
      <c r="A272" s="801">
        <v>267</v>
      </c>
      <c r="B272" s="626" t="s">
        <v>2049</v>
      </c>
      <c r="C272" s="802" t="s">
        <v>1580</v>
      </c>
      <c r="D272" s="802" t="s">
        <v>1580</v>
      </c>
      <c r="E272" s="802">
        <v>1</v>
      </c>
      <c r="F272" s="803"/>
      <c r="G272" s="803"/>
      <c r="H272" s="803"/>
      <c r="I272" s="804" t="s">
        <v>2050</v>
      </c>
      <c r="J272" s="805">
        <v>267</v>
      </c>
    </row>
    <row r="273" spans="1:11" ht="21">
      <c r="A273" s="801">
        <v>268</v>
      </c>
      <c r="B273" s="626" t="s">
        <v>2051</v>
      </c>
      <c r="C273" s="802" t="s">
        <v>1580</v>
      </c>
      <c r="D273" s="802" t="s">
        <v>1580</v>
      </c>
      <c r="E273" s="802">
        <v>2</v>
      </c>
      <c r="F273" s="803"/>
      <c r="G273" s="803"/>
      <c r="H273" s="803"/>
      <c r="I273" s="804" t="s">
        <v>2052</v>
      </c>
      <c r="J273" s="805">
        <v>268</v>
      </c>
    </row>
    <row r="274" spans="1:11" ht="21">
      <c r="A274" s="801">
        <v>269</v>
      </c>
      <c r="B274" s="626" t="s">
        <v>2053</v>
      </c>
      <c r="C274" s="802" t="s">
        <v>1580</v>
      </c>
      <c r="D274" s="802" t="s">
        <v>1580</v>
      </c>
      <c r="E274" s="802">
        <v>1</v>
      </c>
      <c r="F274" s="803"/>
      <c r="G274" s="803"/>
      <c r="H274" s="803"/>
      <c r="I274" s="804" t="s">
        <v>2054</v>
      </c>
      <c r="J274" s="805">
        <v>269</v>
      </c>
    </row>
    <row r="275" spans="1:11" ht="21">
      <c r="A275" s="813">
        <v>270</v>
      </c>
      <c r="B275" s="814" t="s">
        <v>2055</v>
      </c>
      <c r="C275" s="815" t="s">
        <v>1580</v>
      </c>
      <c r="D275" s="815" t="s">
        <v>1580</v>
      </c>
      <c r="E275" s="815">
        <v>1</v>
      </c>
      <c r="F275" s="816"/>
      <c r="G275" s="816"/>
      <c r="H275" s="816"/>
      <c r="I275" s="817" t="s">
        <v>2056</v>
      </c>
      <c r="J275" s="818">
        <v>270</v>
      </c>
    </row>
    <row r="276" spans="1:11" ht="21" customHeight="1">
      <c r="A276" s="1218" t="s">
        <v>2057</v>
      </c>
      <c r="B276" s="1218"/>
      <c r="C276" s="1218"/>
      <c r="D276" s="1218"/>
      <c r="E276" s="1218"/>
      <c r="F276" s="1218"/>
      <c r="G276" s="1218"/>
      <c r="H276" s="1218"/>
      <c r="I276" s="1218"/>
      <c r="J276" s="819"/>
      <c r="K276" s="820"/>
    </row>
    <row r="277" spans="1:11" ht="18.75" customHeight="1">
      <c r="A277" s="821" t="s">
        <v>2058</v>
      </c>
      <c r="B277" s="822"/>
      <c r="C277" s="823"/>
      <c r="D277" s="823"/>
      <c r="E277" s="823"/>
      <c r="F277" s="823"/>
      <c r="G277" s="823"/>
      <c r="H277" s="823"/>
      <c r="I277" s="824" t="s">
        <v>2059</v>
      </c>
      <c r="J277" s="825" t="s">
        <v>2060</v>
      </c>
      <c r="K277" s="820"/>
    </row>
    <row r="278" spans="1:11" ht="24.75" customHeight="1">
      <c r="A278" s="39"/>
      <c r="C278" s="826"/>
      <c r="D278" s="826"/>
      <c r="E278" s="826"/>
      <c r="F278" s="826"/>
      <c r="G278" s="826"/>
      <c r="H278" s="826"/>
      <c r="I278" s="827" t="s">
        <v>2061</v>
      </c>
    </row>
  </sheetData>
  <mergeCells count="3">
    <mergeCell ref="A2:J2"/>
    <mergeCell ref="A3:J3"/>
    <mergeCell ref="A276:I276"/>
  </mergeCells>
  <pageMargins left="0.7" right="0.7" top="0.75" bottom="0.75" header="0.3" footer="0.3"/>
  <pageSetup paperSize="9" scale="42" orientation="portrait" r:id="rId1"/>
  <rowBreaks count="1" manualBreakCount="1">
    <brk id="219" max="1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sheetPr>
  <dimension ref="A1:BJ42"/>
  <sheetViews>
    <sheetView topLeftCell="E13" zoomScaleNormal="100" workbookViewId="0">
      <selection activeCell="T13" sqref="T1:X1048576"/>
    </sheetView>
  </sheetViews>
  <sheetFormatPr defaultRowHeight="15"/>
  <cols>
    <col min="1" max="1" width="45.140625" style="16" customWidth="1"/>
    <col min="2" max="4" width="0" style="16" hidden="1" customWidth="1"/>
    <col min="5" max="6" width="7.5703125" style="16" customWidth="1"/>
    <col min="7" max="10" width="7.5703125" style="75" customWidth="1"/>
    <col min="11" max="13" width="7.5703125" style="75" hidden="1" customWidth="1"/>
    <col min="14" max="14" width="11.7109375" style="75" customWidth="1"/>
    <col min="15" max="15" width="49.28515625" style="16" customWidth="1"/>
    <col min="16" max="16" width="2.85546875" style="16" customWidth="1"/>
    <col min="17" max="52" width="9.140625" style="16"/>
    <col min="53" max="53" width="32" style="16" bestFit="1" customWidth="1"/>
    <col min="54" max="16384" width="9.140625" style="16"/>
  </cols>
  <sheetData>
    <row r="1" spans="1:16" ht="21">
      <c r="A1" s="1225" t="s">
        <v>2153</v>
      </c>
      <c r="B1" s="1225"/>
      <c r="C1" s="1225"/>
      <c r="D1" s="1225"/>
      <c r="E1" s="1225"/>
      <c r="F1" s="1225"/>
      <c r="G1" s="1225"/>
      <c r="H1" s="1225"/>
      <c r="I1" s="1225"/>
      <c r="J1" s="1225"/>
      <c r="K1" s="1225"/>
      <c r="L1" s="1225"/>
      <c r="M1" s="1225"/>
      <c r="N1" s="1225"/>
      <c r="O1" s="1225"/>
      <c r="P1" s="1225"/>
    </row>
    <row r="2" spans="1:16">
      <c r="A2" s="1226" t="s">
        <v>2152</v>
      </c>
      <c r="B2" s="1226"/>
      <c r="C2" s="1226"/>
      <c r="D2" s="1226"/>
      <c r="E2" s="1226"/>
      <c r="F2" s="1226"/>
      <c r="G2" s="1226"/>
      <c r="H2" s="1226"/>
      <c r="I2" s="1226"/>
      <c r="J2" s="1226"/>
      <c r="K2" s="1226"/>
      <c r="L2" s="1226"/>
      <c r="M2" s="1226"/>
      <c r="N2" s="1226"/>
      <c r="O2" s="1226"/>
      <c r="P2" s="1226"/>
    </row>
    <row r="3" spans="1:16">
      <c r="A3" s="1227"/>
      <c r="B3" s="1227"/>
      <c r="C3" s="1227"/>
      <c r="D3" s="1227"/>
      <c r="E3" s="1227"/>
      <c r="F3" s="1227"/>
      <c r="G3" s="1227"/>
      <c r="H3" s="1227"/>
      <c r="I3" s="1227"/>
      <c r="J3" s="1227"/>
      <c r="K3" s="1227"/>
      <c r="L3" s="1227"/>
      <c r="M3" s="1227"/>
      <c r="N3" s="1227"/>
      <c r="O3" s="1227"/>
    </row>
    <row r="4" spans="1:16" ht="50.25">
      <c r="A4" s="1182" t="s">
        <v>74</v>
      </c>
      <c r="B4" s="1228">
        <v>2011</v>
      </c>
      <c r="C4" s="1228">
        <v>2012</v>
      </c>
      <c r="D4" s="1228">
        <v>2013</v>
      </c>
      <c r="E4" s="1228">
        <v>2014</v>
      </c>
      <c r="F4" s="1228">
        <v>2015</v>
      </c>
      <c r="G4" s="1220">
        <v>2016</v>
      </c>
      <c r="H4" s="1220">
        <v>2017</v>
      </c>
      <c r="I4" s="1220">
        <v>2018</v>
      </c>
      <c r="J4" s="1220">
        <v>2019</v>
      </c>
      <c r="K4" s="1220">
        <v>2020</v>
      </c>
      <c r="L4" s="1220">
        <v>2021</v>
      </c>
      <c r="M4" s="1222">
        <v>2022</v>
      </c>
      <c r="N4" s="997" t="s">
        <v>2062</v>
      </c>
      <c r="O4" s="1223" t="s">
        <v>75</v>
      </c>
    </row>
    <row r="5" spans="1:16" ht="18.75" customHeight="1">
      <c r="A5" s="1073"/>
      <c r="B5" s="1229"/>
      <c r="C5" s="1229"/>
      <c r="D5" s="1229"/>
      <c r="E5" s="1229"/>
      <c r="F5" s="1229"/>
      <c r="G5" s="1221"/>
      <c r="H5" s="1221"/>
      <c r="I5" s="1221"/>
      <c r="J5" s="1221"/>
      <c r="K5" s="1221"/>
      <c r="L5" s="1221"/>
      <c r="M5" s="1221"/>
      <c r="N5" s="524">
        <v>2019</v>
      </c>
      <c r="O5" s="1224"/>
    </row>
    <row r="6" spans="1:16" ht="21">
      <c r="A6" s="24" t="s">
        <v>2063</v>
      </c>
      <c r="B6" s="829">
        <v>2874</v>
      </c>
      <c r="C6" s="829">
        <v>3362</v>
      </c>
      <c r="D6" s="829">
        <v>3551</v>
      </c>
      <c r="E6" s="829">
        <v>3396</v>
      </c>
      <c r="F6" s="829">
        <v>4509</v>
      </c>
      <c r="G6" s="830">
        <v>3463</v>
      </c>
      <c r="H6" s="830">
        <v>2730</v>
      </c>
      <c r="I6" s="830">
        <v>2008</v>
      </c>
      <c r="J6" s="830">
        <v>2010</v>
      </c>
      <c r="K6" s="993"/>
      <c r="L6" s="993"/>
      <c r="M6" s="993"/>
      <c r="N6" s="1068">
        <f>J6/$J$6*100</f>
        <v>100</v>
      </c>
      <c r="O6" s="831" t="s">
        <v>2064</v>
      </c>
      <c r="P6" s="24" t="s">
        <v>2060</v>
      </c>
    </row>
    <row r="7" spans="1:16" ht="21">
      <c r="A7" s="24" t="s">
        <v>2065</v>
      </c>
      <c r="B7" s="829">
        <v>2495</v>
      </c>
      <c r="C7" s="829">
        <v>2069</v>
      </c>
      <c r="D7" s="829">
        <v>2521</v>
      </c>
      <c r="E7" s="829">
        <v>2401</v>
      </c>
      <c r="F7" s="829">
        <v>3191</v>
      </c>
      <c r="G7" s="832">
        <v>3328</v>
      </c>
      <c r="H7" s="832">
        <v>2679</v>
      </c>
      <c r="I7" s="832">
        <v>2002</v>
      </c>
      <c r="J7" s="832">
        <v>1985</v>
      </c>
      <c r="K7" s="994"/>
      <c r="L7" s="994"/>
      <c r="M7" s="994"/>
      <c r="N7" s="1068">
        <f t="shared" ref="N7:N16" si="0">J7/$J$6*100</f>
        <v>98.756218905472636</v>
      </c>
      <c r="O7" s="831" t="s">
        <v>2066</v>
      </c>
      <c r="P7" s="24" t="s">
        <v>2060</v>
      </c>
    </row>
    <row r="8" spans="1:16" ht="21">
      <c r="A8" s="25" t="s">
        <v>2067</v>
      </c>
      <c r="B8" s="829">
        <v>1850</v>
      </c>
      <c r="C8" s="829">
        <v>1429</v>
      </c>
      <c r="D8" s="829">
        <v>1821</v>
      </c>
      <c r="E8" s="829">
        <v>1497</v>
      </c>
      <c r="F8" s="829">
        <v>1831</v>
      </c>
      <c r="G8" s="832">
        <v>3375</v>
      </c>
      <c r="H8" s="832">
        <v>3223</v>
      </c>
      <c r="I8" s="832">
        <v>2650</v>
      </c>
      <c r="J8" s="832">
        <v>3032</v>
      </c>
      <c r="K8" s="994"/>
      <c r="L8" s="994"/>
      <c r="M8" s="994"/>
      <c r="N8" s="1068">
        <f>J8/$J$6*100</f>
        <v>150.84577114427861</v>
      </c>
      <c r="O8" s="833" t="s">
        <v>2068</v>
      </c>
      <c r="P8" s="16" t="s">
        <v>2069</v>
      </c>
    </row>
    <row r="9" spans="1:16" ht="21">
      <c r="A9" s="834" t="s">
        <v>2070</v>
      </c>
      <c r="B9" s="835">
        <v>354</v>
      </c>
      <c r="C9" s="835">
        <v>334</v>
      </c>
      <c r="D9" s="835">
        <v>322</v>
      </c>
      <c r="E9" s="835">
        <v>283</v>
      </c>
      <c r="F9" s="835">
        <v>241</v>
      </c>
      <c r="G9" s="836">
        <v>418</v>
      </c>
      <c r="H9" s="836">
        <v>260</v>
      </c>
      <c r="I9" s="836">
        <v>206</v>
      </c>
      <c r="J9" s="836">
        <v>169</v>
      </c>
      <c r="K9" s="995"/>
      <c r="L9" s="995"/>
      <c r="M9" s="995"/>
      <c r="N9" s="998">
        <f>J9/$J$6*100</f>
        <v>8.4079601990049753</v>
      </c>
      <c r="O9" s="837" t="s">
        <v>2071</v>
      </c>
      <c r="P9" s="16" t="s">
        <v>2069</v>
      </c>
    </row>
    <row r="10" spans="1:16" ht="21">
      <c r="A10" s="834" t="s">
        <v>2072</v>
      </c>
      <c r="B10" s="835">
        <v>291</v>
      </c>
      <c r="C10" s="835">
        <v>284</v>
      </c>
      <c r="D10" s="835">
        <v>327</v>
      </c>
      <c r="E10" s="835">
        <v>227</v>
      </c>
      <c r="F10" s="835">
        <v>128</v>
      </c>
      <c r="G10" s="836">
        <v>265</v>
      </c>
      <c r="H10" s="836">
        <v>276</v>
      </c>
      <c r="I10" s="836">
        <v>210</v>
      </c>
      <c r="J10" s="836">
        <v>179</v>
      </c>
      <c r="K10" s="995"/>
      <c r="L10" s="995"/>
      <c r="M10" s="995"/>
      <c r="N10" s="998">
        <f t="shared" si="0"/>
        <v>8.9054726368159205</v>
      </c>
      <c r="O10" s="837" t="s">
        <v>2073</v>
      </c>
      <c r="P10" s="16" t="s">
        <v>2069</v>
      </c>
    </row>
    <row r="11" spans="1:16" ht="21">
      <c r="A11" s="834" t="s">
        <v>2074</v>
      </c>
      <c r="B11" s="504">
        <v>0</v>
      </c>
      <c r="C11" s="835">
        <v>22</v>
      </c>
      <c r="D11" s="835">
        <v>51</v>
      </c>
      <c r="E11" s="835">
        <v>102</v>
      </c>
      <c r="F11" s="835">
        <v>482</v>
      </c>
      <c r="G11" s="836">
        <v>185</v>
      </c>
      <c r="H11" s="836">
        <v>279</v>
      </c>
      <c r="I11" s="836">
        <v>224</v>
      </c>
      <c r="J11" s="836">
        <v>168</v>
      </c>
      <c r="K11" s="995"/>
      <c r="L11" s="995"/>
      <c r="M11" s="995"/>
      <c r="N11" s="998">
        <f t="shared" si="0"/>
        <v>8.3582089552238816</v>
      </c>
      <c r="O11" s="837" t="s">
        <v>2075</v>
      </c>
      <c r="P11" s="16" t="s">
        <v>2069</v>
      </c>
    </row>
    <row r="12" spans="1:16" ht="21">
      <c r="A12" s="834" t="s">
        <v>2076</v>
      </c>
      <c r="B12" s="73" t="s">
        <v>48</v>
      </c>
      <c r="C12" s="73" t="s">
        <v>48</v>
      </c>
      <c r="D12" s="73" t="s">
        <v>48</v>
      </c>
      <c r="E12" s="835">
        <v>175</v>
      </c>
      <c r="F12" s="835">
        <v>406</v>
      </c>
      <c r="G12" s="836">
        <v>78</v>
      </c>
      <c r="H12" s="836">
        <v>27</v>
      </c>
      <c r="I12" s="836">
        <v>30</v>
      </c>
      <c r="J12" s="836">
        <v>35</v>
      </c>
      <c r="K12" s="995"/>
      <c r="L12" s="995"/>
      <c r="M12" s="995"/>
      <c r="N12" s="998">
        <f t="shared" si="0"/>
        <v>1.7412935323383085</v>
      </c>
      <c r="O12" s="837" t="s">
        <v>2077</v>
      </c>
      <c r="P12" s="16" t="s">
        <v>2069</v>
      </c>
    </row>
    <row r="13" spans="1:16" ht="22.5" customHeight="1">
      <c r="A13" s="834" t="s">
        <v>2078</v>
      </c>
      <c r="B13" s="73" t="s">
        <v>48</v>
      </c>
      <c r="C13" s="73" t="s">
        <v>48</v>
      </c>
      <c r="D13" s="73" t="s">
        <v>48</v>
      </c>
      <c r="E13" s="835">
        <v>52</v>
      </c>
      <c r="F13" s="835">
        <v>101</v>
      </c>
      <c r="G13" s="836">
        <v>12</v>
      </c>
      <c r="H13" s="836">
        <v>8</v>
      </c>
      <c r="I13" s="836">
        <v>8</v>
      </c>
      <c r="J13" s="836">
        <v>7</v>
      </c>
      <c r="K13" s="995"/>
      <c r="L13" s="995"/>
      <c r="M13" s="995"/>
      <c r="N13" s="998">
        <f t="shared" si="0"/>
        <v>0.34825870646766172</v>
      </c>
      <c r="O13" s="837" t="s">
        <v>2079</v>
      </c>
      <c r="P13" s="16" t="s">
        <v>2069</v>
      </c>
    </row>
    <row r="14" spans="1:16" ht="21">
      <c r="A14" s="834" t="s">
        <v>2080</v>
      </c>
      <c r="B14" s="73" t="s">
        <v>48</v>
      </c>
      <c r="C14" s="73" t="s">
        <v>48</v>
      </c>
      <c r="D14" s="73" t="s">
        <v>48</v>
      </c>
      <c r="E14" s="835">
        <v>65</v>
      </c>
      <c r="F14" s="835">
        <v>2</v>
      </c>
      <c r="G14" s="836">
        <v>0</v>
      </c>
      <c r="H14" s="836">
        <v>0</v>
      </c>
      <c r="I14" s="836">
        <v>0</v>
      </c>
      <c r="J14" s="836">
        <v>0</v>
      </c>
      <c r="K14" s="995"/>
      <c r="L14" s="995"/>
      <c r="M14" s="995"/>
      <c r="N14" s="998">
        <f t="shared" si="0"/>
        <v>0</v>
      </c>
      <c r="O14" s="837" t="s">
        <v>2081</v>
      </c>
      <c r="P14" s="16" t="s">
        <v>2069</v>
      </c>
    </row>
    <row r="15" spans="1:16" ht="45">
      <c r="A15" s="838" t="s">
        <v>2082</v>
      </c>
      <c r="B15" s="73"/>
      <c r="C15" s="73"/>
      <c r="D15" s="73"/>
      <c r="E15" s="832">
        <v>0</v>
      </c>
      <c r="F15" s="832">
        <v>0</v>
      </c>
      <c r="G15" s="836">
        <v>1</v>
      </c>
      <c r="H15" s="836">
        <v>7</v>
      </c>
      <c r="I15" s="836">
        <v>0</v>
      </c>
      <c r="J15" s="836">
        <v>0</v>
      </c>
      <c r="K15" s="995"/>
      <c r="L15" s="995"/>
      <c r="M15" s="995"/>
      <c r="N15" s="998">
        <f t="shared" si="0"/>
        <v>0</v>
      </c>
      <c r="O15" s="837" t="s">
        <v>2083</v>
      </c>
      <c r="P15" s="47" t="s">
        <v>2069</v>
      </c>
    </row>
    <row r="16" spans="1:16" ht="30">
      <c r="A16" s="838" t="s">
        <v>2084</v>
      </c>
      <c r="B16" s="73"/>
      <c r="C16" s="73"/>
      <c r="D16" s="73"/>
      <c r="E16" s="832">
        <v>0</v>
      </c>
      <c r="F16" s="832">
        <v>0</v>
      </c>
      <c r="G16" s="836">
        <v>423</v>
      </c>
      <c r="H16" s="836">
        <v>272</v>
      </c>
      <c r="I16" s="836">
        <v>152</v>
      </c>
      <c r="J16" s="836">
        <v>93</v>
      </c>
      <c r="K16" s="995"/>
      <c r="L16" s="995"/>
      <c r="M16" s="995"/>
      <c r="N16" s="998">
        <f t="shared" si="0"/>
        <v>4.6268656716417906</v>
      </c>
      <c r="O16" s="837" t="s">
        <v>2085</v>
      </c>
      <c r="P16" s="16" t="s">
        <v>2069</v>
      </c>
    </row>
    <row r="17" spans="1:62" ht="21">
      <c r="A17" s="74" t="s">
        <v>2086</v>
      </c>
      <c r="B17" s="839">
        <v>379</v>
      </c>
      <c r="C17" s="839">
        <v>1293</v>
      </c>
      <c r="D17" s="839">
        <v>1030</v>
      </c>
      <c r="E17" s="839">
        <v>995</v>
      </c>
      <c r="F17" s="839">
        <v>1318</v>
      </c>
      <c r="G17" s="840">
        <v>135</v>
      </c>
      <c r="H17" s="840">
        <v>51</v>
      </c>
      <c r="I17" s="840">
        <v>6</v>
      </c>
      <c r="J17" s="840">
        <v>25</v>
      </c>
      <c r="K17" s="996"/>
      <c r="L17" s="996"/>
      <c r="M17" s="996"/>
      <c r="N17" s="1069">
        <f>J17/$J$6*100</f>
        <v>1.2437810945273633</v>
      </c>
      <c r="O17" s="841" t="s">
        <v>2087</v>
      </c>
      <c r="P17" s="24" t="s">
        <v>2060</v>
      </c>
    </row>
    <row r="18" spans="1:62" ht="17.25">
      <c r="A18" s="1219" t="s">
        <v>2088</v>
      </c>
      <c r="B18" s="1219"/>
      <c r="C18" s="1219"/>
      <c r="D18" s="1219"/>
      <c r="E18" s="1219"/>
      <c r="F18" s="1219"/>
      <c r="G18" s="1219"/>
      <c r="H18" s="1219"/>
      <c r="I18" s="1219"/>
      <c r="J18" s="1219"/>
      <c r="K18" s="1219"/>
      <c r="L18" s="1219"/>
      <c r="M18" s="1219"/>
      <c r="N18" s="1219"/>
      <c r="O18" s="1219"/>
      <c r="P18" s="16" t="s">
        <v>2060</v>
      </c>
    </row>
    <row r="19" spans="1:62" ht="17.25">
      <c r="A19" s="1219" t="s">
        <v>2089</v>
      </c>
      <c r="B19" s="1219"/>
      <c r="C19" s="1219"/>
      <c r="D19" s="1219"/>
      <c r="E19" s="1219"/>
      <c r="F19" s="1219"/>
      <c r="G19" s="1219"/>
      <c r="H19" s="1219"/>
      <c r="I19" s="1219"/>
      <c r="J19" s="1219"/>
      <c r="K19" s="1219"/>
      <c r="L19" s="1219"/>
      <c r="M19" s="1219"/>
      <c r="N19" s="1219"/>
      <c r="O19" s="1219"/>
      <c r="P19" s="47" t="s">
        <v>2069</v>
      </c>
    </row>
    <row r="20" spans="1:62" ht="17.25">
      <c r="A20" s="842" t="s">
        <v>2058</v>
      </c>
      <c r="B20" s="726"/>
      <c r="D20" s="726"/>
      <c r="E20" s="726"/>
      <c r="F20" s="726"/>
      <c r="G20" s="843"/>
      <c r="H20" s="843"/>
      <c r="I20" s="843"/>
      <c r="J20" s="843"/>
      <c r="K20" s="843"/>
      <c r="L20" s="843"/>
      <c r="M20" s="843"/>
      <c r="N20" s="843"/>
      <c r="O20" s="844" t="s">
        <v>2061</v>
      </c>
    </row>
    <row r="21" spans="1:62" ht="17.25">
      <c r="A21" s="842"/>
      <c r="B21" s="726"/>
      <c r="D21" s="726"/>
      <c r="E21" s="726"/>
      <c r="F21" s="726"/>
      <c r="G21" s="843"/>
      <c r="H21" s="843"/>
      <c r="I21" s="843"/>
      <c r="J21" s="843"/>
      <c r="K21" s="843"/>
      <c r="L21" s="843"/>
      <c r="M21" s="843"/>
      <c r="N21" s="843"/>
      <c r="O21" s="844"/>
    </row>
    <row r="22" spans="1:62" ht="17.25">
      <c r="A22" s="842"/>
      <c r="B22" s="726"/>
      <c r="D22" s="726"/>
      <c r="E22" s="726"/>
      <c r="F22" s="726"/>
      <c r="G22" s="843"/>
      <c r="H22" s="843"/>
      <c r="I22" s="843"/>
      <c r="J22" s="843"/>
      <c r="K22" s="843"/>
      <c r="L22" s="843"/>
      <c r="M22" s="843"/>
      <c r="N22" s="843"/>
      <c r="O22" s="844"/>
    </row>
    <row r="23" spans="1:62" ht="17.25">
      <c r="A23" s="842"/>
      <c r="B23" s="726"/>
      <c r="D23" s="726"/>
      <c r="E23" s="726"/>
      <c r="F23" s="726"/>
      <c r="G23" s="843"/>
      <c r="H23" s="843"/>
      <c r="I23" s="843"/>
      <c r="J23" s="843"/>
      <c r="K23" s="843"/>
      <c r="L23" s="843"/>
      <c r="M23" s="843"/>
      <c r="N23" s="843"/>
      <c r="O23" s="844"/>
    </row>
    <row r="24" spans="1:62" ht="17.25">
      <c r="A24" s="842"/>
      <c r="B24" s="726"/>
      <c r="D24" s="726"/>
      <c r="E24" s="726"/>
      <c r="F24" s="726"/>
      <c r="G24" s="843"/>
      <c r="H24" s="843"/>
      <c r="I24" s="843"/>
      <c r="J24" s="843"/>
      <c r="K24" s="843"/>
      <c r="L24" s="843"/>
      <c r="M24" s="843"/>
      <c r="N24" s="843"/>
      <c r="O24" s="844"/>
    </row>
    <row r="25" spans="1:62" ht="17.25">
      <c r="A25" s="842"/>
      <c r="B25" s="726"/>
      <c r="D25" s="726"/>
      <c r="E25" s="726"/>
      <c r="F25" s="726"/>
      <c r="G25" s="843"/>
      <c r="H25" s="843"/>
      <c r="I25" s="843"/>
      <c r="J25" s="843"/>
      <c r="K25" s="843"/>
      <c r="L25" s="843"/>
      <c r="M25" s="843"/>
      <c r="N25" s="843"/>
      <c r="O25" s="844"/>
    </row>
    <row r="26" spans="1:62" ht="17.25">
      <c r="A26" s="842"/>
      <c r="B26" s="726"/>
      <c r="D26" s="726"/>
      <c r="E26" s="726"/>
      <c r="F26" s="726"/>
      <c r="G26" s="843"/>
      <c r="H26" s="843"/>
      <c r="I26" s="843"/>
      <c r="J26" s="843"/>
      <c r="K26" s="843"/>
      <c r="L26" s="843"/>
      <c r="M26" s="843"/>
      <c r="N26" s="843"/>
      <c r="O26" s="844"/>
    </row>
    <row r="27" spans="1:62" ht="17.25">
      <c r="A27" s="842"/>
      <c r="B27" s="726"/>
      <c r="D27" s="726"/>
      <c r="E27" s="726"/>
      <c r="F27" s="726"/>
      <c r="G27" s="843"/>
      <c r="H27" s="843"/>
      <c r="I27" s="843"/>
      <c r="J27" s="843"/>
      <c r="K27" s="843"/>
      <c r="L27" s="843"/>
      <c r="M27" s="843"/>
      <c r="N27" s="843"/>
      <c r="O27" s="844"/>
    </row>
    <row r="28" spans="1:62" ht="17.25">
      <c r="A28" s="842"/>
      <c r="B28" s="726"/>
      <c r="D28" s="726"/>
      <c r="E28" s="726"/>
      <c r="F28" s="726"/>
      <c r="G28" s="843"/>
      <c r="H28" s="843"/>
      <c r="I28" s="843"/>
      <c r="J28" s="843"/>
      <c r="K28" s="843"/>
      <c r="L28" s="843"/>
      <c r="M28" s="843"/>
      <c r="N28" s="843"/>
      <c r="O28" s="844"/>
    </row>
    <row r="29" spans="1:62" ht="18.75">
      <c r="A29" s="845"/>
      <c r="O29" s="846"/>
    </row>
    <row r="30" spans="1:62" ht="18.75">
      <c r="O30" s="846"/>
      <c r="BA30" s="845"/>
      <c r="BB30" s="89">
        <v>2011</v>
      </c>
      <c r="BC30" s="89">
        <v>2012</v>
      </c>
      <c r="BD30" s="89">
        <v>2013</v>
      </c>
      <c r="BE30" s="89">
        <v>2014</v>
      </c>
      <c r="BF30" s="89">
        <v>2015</v>
      </c>
      <c r="BG30" s="89">
        <v>2016</v>
      </c>
      <c r="BH30" s="89">
        <v>2017</v>
      </c>
      <c r="BI30" s="89">
        <v>2018</v>
      </c>
      <c r="BJ30" s="89">
        <v>2019</v>
      </c>
    </row>
    <row r="31" spans="1:62" ht="18.75">
      <c r="A31" s="847"/>
      <c r="B31" s="848"/>
      <c r="O31" s="846"/>
      <c r="BA31" s="845" t="s">
        <v>2090</v>
      </c>
      <c r="BB31" s="4">
        <v>86.812804453723032</v>
      </c>
      <c r="BC31" s="4">
        <v>61.540749553837003</v>
      </c>
      <c r="BD31" s="4">
        <v>70.99408617290905</v>
      </c>
      <c r="BE31" s="4">
        <v>70.70082449941107</v>
      </c>
      <c r="BF31" s="4">
        <v>70.769571967176759</v>
      </c>
      <c r="BG31" s="4">
        <f>G7/G6*100</f>
        <v>96.101645971700833</v>
      </c>
      <c r="BH31" s="4">
        <f>H7/H6*100</f>
        <v>98.131868131868131</v>
      </c>
      <c r="BI31" s="4">
        <f>I7/I6*100</f>
        <v>99.701195219123505</v>
      </c>
      <c r="BJ31" s="4">
        <f>J7/J6*100</f>
        <v>98.756218905472636</v>
      </c>
    </row>
    <row r="32" spans="1:62" ht="18.75">
      <c r="A32" s="847"/>
      <c r="B32" s="848"/>
      <c r="O32" s="846"/>
      <c r="BA32" s="845" t="s">
        <v>2091</v>
      </c>
      <c r="BB32" s="4">
        <v>64.370215727209469</v>
      </c>
      <c r="BC32" s="4">
        <v>42.504461629982153</v>
      </c>
      <c r="BD32" s="4">
        <v>51.281329203041395</v>
      </c>
      <c r="BE32" s="4">
        <v>44.081272084805654</v>
      </c>
      <c r="BF32" s="4">
        <v>40.607673541805276</v>
      </c>
      <c r="BG32" s="4">
        <f>G8/G6*100</f>
        <v>97.458850707479058</v>
      </c>
      <c r="BH32" s="4">
        <f>H8/H6*100</f>
        <v>118.05860805860806</v>
      </c>
      <c r="BI32" s="4">
        <f>I8/I7*100</f>
        <v>132.36763236763235</v>
      </c>
      <c r="BJ32" s="4">
        <f>J8/J7*100</f>
        <v>152.74559193954659</v>
      </c>
    </row>
    <row r="33" spans="1:62">
      <c r="A33" s="847"/>
      <c r="B33" s="848"/>
      <c r="BA33" s="845"/>
    </row>
    <row r="34" spans="1:62">
      <c r="BA34" s="845"/>
      <c r="BB34" s="89">
        <v>2011</v>
      </c>
      <c r="BC34" s="89">
        <v>2012</v>
      </c>
      <c r="BD34" s="89">
        <v>2013</v>
      </c>
      <c r="BE34" s="89">
        <v>2014</v>
      </c>
      <c r="BF34" s="89">
        <v>2015</v>
      </c>
      <c r="BG34" s="89">
        <v>2016</v>
      </c>
      <c r="BH34" s="89">
        <v>2017</v>
      </c>
      <c r="BI34" s="89">
        <v>2018</v>
      </c>
      <c r="BJ34" s="89">
        <v>2019</v>
      </c>
    </row>
    <row r="35" spans="1:62">
      <c r="BA35" s="25" t="s">
        <v>2092</v>
      </c>
      <c r="BB35" s="829">
        <v>2495</v>
      </c>
      <c r="BC35" s="829">
        <v>2069</v>
      </c>
      <c r="BD35" s="829">
        <v>2521</v>
      </c>
      <c r="BE35" s="829">
        <v>2401</v>
      </c>
      <c r="BF35" s="829">
        <v>3191</v>
      </c>
      <c r="BG35" s="829">
        <f t="shared" ref="BG35:BJ36" si="1">G7</f>
        <v>3328</v>
      </c>
      <c r="BH35" s="829">
        <f t="shared" si="1"/>
        <v>2679</v>
      </c>
      <c r="BI35" s="829">
        <f t="shared" si="1"/>
        <v>2002</v>
      </c>
      <c r="BJ35" s="829">
        <f t="shared" si="1"/>
        <v>1985</v>
      </c>
    </row>
    <row r="36" spans="1:62">
      <c r="BA36" s="74" t="s">
        <v>2093</v>
      </c>
      <c r="BB36" s="726">
        <v>1850</v>
      </c>
      <c r="BC36" s="726">
        <v>1429</v>
      </c>
      <c r="BD36" s="726">
        <v>1821</v>
      </c>
      <c r="BE36" s="726">
        <v>1497</v>
      </c>
      <c r="BF36" s="726">
        <v>1831</v>
      </c>
      <c r="BG36" s="726">
        <f t="shared" si="1"/>
        <v>3375</v>
      </c>
      <c r="BH36" s="726">
        <f t="shared" si="1"/>
        <v>3223</v>
      </c>
      <c r="BI36" s="726">
        <f t="shared" si="1"/>
        <v>2650</v>
      </c>
      <c r="BJ36" s="726">
        <f t="shared" si="1"/>
        <v>3032</v>
      </c>
    </row>
    <row r="37" spans="1:62">
      <c r="BA37" s="74" t="s">
        <v>2094</v>
      </c>
      <c r="BB37" s="839">
        <v>379</v>
      </c>
      <c r="BC37" s="839">
        <v>1293</v>
      </c>
      <c r="BD37" s="839">
        <v>1030</v>
      </c>
      <c r="BE37" s="839">
        <v>995</v>
      </c>
      <c r="BF37" s="839">
        <v>1318</v>
      </c>
      <c r="BG37" s="839">
        <f>G17</f>
        <v>135</v>
      </c>
      <c r="BH37" s="839">
        <f>H17</f>
        <v>51</v>
      </c>
      <c r="BI37" s="839">
        <f>I17</f>
        <v>6</v>
      </c>
      <c r="BJ37" s="839">
        <f>J17</f>
        <v>25</v>
      </c>
    </row>
    <row r="38" spans="1:62">
      <c r="BB38" s="89">
        <v>2011</v>
      </c>
      <c r="BC38" s="89">
        <v>2012</v>
      </c>
      <c r="BD38" s="89">
        <v>2013</v>
      </c>
      <c r="BE38" s="89">
        <v>2014</v>
      </c>
      <c r="BF38" s="89">
        <v>2015</v>
      </c>
      <c r="BG38" s="89">
        <v>2016</v>
      </c>
      <c r="BH38" s="89">
        <v>2017</v>
      </c>
      <c r="BI38" s="89">
        <v>2018</v>
      </c>
      <c r="BJ38" s="89">
        <v>2019</v>
      </c>
    </row>
    <row r="39" spans="1:62">
      <c r="BA39" s="16" t="s">
        <v>2067</v>
      </c>
      <c r="BB39" s="835">
        <v>1850</v>
      </c>
      <c r="BC39" s="835">
        <v>1429</v>
      </c>
      <c r="BD39" s="829">
        <v>1821</v>
      </c>
      <c r="BE39" s="829">
        <v>1821</v>
      </c>
      <c r="BF39" s="829"/>
      <c r="BG39" s="829"/>
      <c r="BH39" s="829"/>
      <c r="BI39" s="829"/>
    </row>
    <row r="40" spans="1:62">
      <c r="BA40" s="834" t="s">
        <v>2070</v>
      </c>
      <c r="BB40" s="835">
        <v>354</v>
      </c>
      <c r="BC40" s="835">
        <v>334</v>
      </c>
      <c r="BD40" s="835">
        <v>322</v>
      </c>
      <c r="BE40" s="835">
        <v>322</v>
      </c>
      <c r="BF40" s="835"/>
      <c r="BG40" s="835"/>
      <c r="BH40" s="835"/>
      <c r="BI40" s="835"/>
    </row>
    <row r="41" spans="1:62">
      <c r="BA41" s="834" t="s">
        <v>2072</v>
      </c>
      <c r="BB41" s="835">
        <v>291</v>
      </c>
      <c r="BC41" s="835">
        <v>284</v>
      </c>
      <c r="BD41" s="835">
        <v>327</v>
      </c>
      <c r="BE41" s="835">
        <v>327</v>
      </c>
      <c r="BF41" s="835"/>
      <c r="BG41" s="835"/>
      <c r="BH41" s="835"/>
      <c r="BI41" s="835"/>
    </row>
    <row r="42" spans="1:62">
      <c r="BA42" s="834" t="s">
        <v>2074</v>
      </c>
      <c r="BB42" s="504">
        <v>0</v>
      </c>
      <c r="BC42" s="835">
        <v>22</v>
      </c>
      <c r="BD42" s="835">
        <v>51</v>
      </c>
      <c r="BE42" s="835">
        <v>51</v>
      </c>
      <c r="BF42" s="835"/>
      <c r="BG42" s="835"/>
      <c r="BH42" s="835"/>
      <c r="BI42" s="835"/>
    </row>
  </sheetData>
  <mergeCells count="19">
    <mergeCell ref="A1:P1"/>
    <mergeCell ref="A2:P2"/>
    <mergeCell ref="A3:O3"/>
    <mergeCell ref="A4:A5"/>
    <mergeCell ref="B4:B5"/>
    <mergeCell ref="C4:C5"/>
    <mergeCell ref="D4:D5"/>
    <mergeCell ref="E4:E5"/>
    <mergeCell ref="F4:F5"/>
    <mergeCell ref="G4:G5"/>
    <mergeCell ref="K4:K5"/>
    <mergeCell ref="L4:L5"/>
    <mergeCell ref="A19:O19"/>
    <mergeCell ref="H4:H5"/>
    <mergeCell ref="I4:I5"/>
    <mergeCell ref="J4:J5"/>
    <mergeCell ref="M4:M5"/>
    <mergeCell ref="O4:O5"/>
    <mergeCell ref="A18:O18"/>
  </mergeCells>
  <pageMargins left="0.7" right="0.7" top="0.75" bottom="0.75" header="0.3" footer="0.3"/>
  <pageSetup paperSize="9" scale="53" orientation="portrait" r:id="rId1"/>
  <colBreaks count="1" manualBreakCount="1">
    <brk id="17" max="49"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2:S14"/>
  <sheetViews>
    <sheetView view="pageBreakPreview" zoomScale="60" zoomScaleNormal="100" workbookViewId="0">
      <selection activeCell="Q24" sqref="Q24"/>
    </sheetView>
  </sheetViews>
  <sheetFormatPr defaultRowHeight="12.75"/>
  <cols>
    <col min="1" max="1" width="34.7109375" style="38" customWidth="1"/>
    <col min="2" max="4" width="9.5703125" style="38" hidden="1" customWidth="1"/>
    <col min="5" max="6" width="9.5703125" style="38" customWidth="1"/>
    <col min="7" max="11" width="11.5703125" style="38" bestFit="1" customWidth="1"/>
    <col min="12" max="14" width="11.5703125" style="38" hidden="1" customWidth="1"/>
    <col min="15" max="15" width="31.28515625" style="38" customWidth="1"/>
    <col min="16" max="16" width="4.140625" style="38" customWidth="1"/>
    <col min="17" max="17" width="4.5703125" style="38" customWidth="1"/>
    <col min="18" max="18" width="4.7109375" style="38" customWidth="1"/>
    <col min="19" max="19" width="15.28515625" style="38" bestFit="1" customWidth="1"/>
    <col min="20" max="16384" width="9.140625" style="38"/>
  </cols>
  <sheetData>
    <row r="2" spans="1:19" s="175" customFormat="1" ht="21">
      <c r="A2" s="1181" t="s">
        <v>2155</v>
      </c>
      <c r="B2" s="1181"/>
      <c r="C2" s="1181"/>
      <c r="D2" s="1181"/>
      <c r="E2" s="1181"/>
      <c r="F2" s="1181"/>
      <c r="G2" s="1181"/>
      <c r="H2" s="1181"/>
      <c r="I2" s="1181"/>
      <c r="J2" s="1181"/>
      <c r="K2" s="1181"/>
      <c r="L2" s="1181"/>
      <c r="M2" s="1181"/>
      <c r="N2" s="1181"/>
      <c r="O2" s="1181"/>
    </row>
    <row r="3" spans="1:19" ht="15">
      <c r="A3" s="1230" t="s">
        <v>2154</v>
      </c>
      <c r="B3" s="1230"/>
      <c r="C3" s="1230"/>
      <c r="D3" s="1230"/>
      <c r="E3" s="1230"/>
      <c r="F3" s="1230"/>
      <c r="G3" s="1230"/>
      <c r="H3" s="1230"/>
      <c r="I3" s="1230"/>
      <c r="J3" s="1230"/>
      <c r="K3" s="1230"/>
      <c r="L3" s="1230"/>
      <c r="M3" s="1230"/>
      <c r="N3" s="1230"/>
      <c r="O3" s="1230"/>
    </row>
    <row r="4" spans="1:19" s="849" customFormat="1" ht="21">
      <c r="A4" s="1182" t="s">
        <v>74</v>
      </c>
      <c r="B4" s="1185" t="s">
        <v>2095</v>
      </c>
      <c r="C4" s="1185"/>
      <c r="D4" s="1185"/>
      <c r="E4" s="1185"/>
      <c r="F4" s="1185"/>
      <c r="G4" s="1185"/>
      <c r="H4" s="1185"/>
      <c r="I4" s="1185"/>
      <c r="J4" s="1185"/>
      <c r="K4" s="1185"/>
      <c r="L4" s="1185"/>
      <c r="M4" s="1185"/>
      <c r="N4" s="1185"/>
      <c r="O4" s="1231" t="s">
        <v>75</v>
      </c>
    </row>
    <row r="5" spans="1:19" s="849" customFormat="1" ht="15">
      <c r="A5" s="1073"/>
      <c r="B5" s="26">
        <v>2010</v>
      </c>
      <c r="C5" s="26">
        <v>2011</v>
      </c>
      <c r="D5" s="26">
        <v>2012</v>
      </c>
      <c r="E5" s="26">
        <v>2013</v>
      </c>
      <c r="F5" s="26">
        <v>2014</v>
      </c>
      <c r="G5" s="26">
        <v>2015</v>
      </c>
      <c r="H5" s="26">
        <v>2016</v>
      </c>
      <c r="I5" s="26">
        <v>2017</v>
      </c>
      <c r="J5" s="26">
        <v>2018</v>
      </c>
      <c r="K5" s="26">
        <v>2019</v>
      </c>
      <c r="L5" s="26">
        <v>2020</v>
      </c>
      <c r="M5" s="26">
        <v>2021</v>
      </c>
      <c r="N5" s="26">
        <v>2022</v>
      </c>
      <c r="O5" s="1232"/>
    </row>
    <row r="6" spans="1:19" s="49" customFormat="1" ht="21">
      <c r="A6" s="850" t="s">
        <v>2096</v>
      </c>
      <c r="B6" s="851">
        <f t="shared" ref="B6:L6" si="0">B8+B7</f>
        <v>39</v>
      </c>
      <c r="C6" s="851">
        <f t="shared" si="0"/>
        <v>45</v>
      </c>
      <c r="D6" s="851">
        <f t="shared" si="0"/>
        <v>45</v>
      </c>
      <c r="E6" s="851">
        <f t="shared" si="0"/>
        <v>46</v>
      </c>
      <c r="F6" s="851">
        <f t="shared" si="0"/>
        <v>48</v>
      </c>
      <c r="G6" s="851">
        <f t="shared" si="0"/>
        <v>62</v>
      </c>
      <c r="H6" s="851">
        <f t="shared" si="0"/>
        <v>64</v>
      </c>
      <c r="I6" s="851">
        <f t="shared" si="0"/>
        <v>82</v>
      </c>
      <c r="J6" s="851">
        <f t="shared" si="0"/>
        <v>93</v>
      </c>
      <c r="K6" s="851">
        <f t="shared" si="0"/>
        <v>100</v>
      </c>
      <c r="L6" s="851">
        <f t="shared" si="0"/>
        <v>0</v>
      </c>
      <c r="M6" s="851">
        <f>M8+M7</f>
        <v>0</v>
      </c>
      <c r="N6" s="851">
        <f>N8+N7</f>
        <v>0</v>
      </c>
      <c r="O6" s="852" t="s">
        <v>2097</v>
      </c>
    </row>
    <row r="7" spans="1:19" s="49" customFormat="1" ht="21">
      <c r="A7" s="853" t="s">
        <v>69</v>
      </c>
      <c r="B7" s="854">
        <v>20</v>
      </c>
      <c r="C7" s="854">
        <v>21</v>
      </c>
      <c r="D7" s="854">
        <v>19</v>
      </c>
      <c r="E7" s="854">
        <v>24</v>
      </c>
      <c r="F7" s="854">
        <v>22</v>
      </c>
      <c r="G7" s="854">
        <v>30</v>
      </c>
      <c r="H7" s="854">
        <v>30</v>
      </c>
      <c r="I7" s="854">
        <v>36</v>
      </c>
      <c r="J7" s="854">
        <v>41</v>
      </c>
      <c r="K7" s="854">
        <v>44</v>
      </c>
      <c r="L7" s="855"/>
      <c r="M7" s="855"/>
      <c r="N7" s="855"/>
      <c r="O7" s="856" t="s">
        <v>76</v>
      </c>
    </row>
    <row r="8" spans="1:19" s="49" customFormat="1" ht="21">
      <c r="A8" s="853" t="s">
        <v>70</v>
      </c>
      <c r="B8" s="854">
        <v>19</v>
      </c>
      <c r="C8" s="854">
        <v>24</v>
      </c>
      <c r="D8" s="854">
        <v>26</v>
      </c>
      <c r="E8" s="854">
        <v>22</v>
      </c>
      <c r="F8" s="854">
        <v>26</v>
      </c>
      <c r="G8" s="854">
        <v>32</v>
      </c>
      <c r="H8" s="854">
        <v>34</v>
      </c>
      <c r="I8" s="854">
        <v>46</v>
      </c>
      <c r="J8" s="854">
        <v>52</v>
      </c>
      <c r="K8" s="854">
        <v>56</v>
      </c>
      <c r="L8" s="855"/>
      <c r="M8" s="855"/>
      <c r="N8" s="855"/>
      <c r="O8" s="856" t="s">
        <v>77</v>
      </c>
    </row>
    <row r="9" spans="1:19" s="49" customFormat="1" ht="21">
      <c r="A9" s="857" t="s">
        <v>2098</v>
      </c>
      <c r="B9" s="858">
        <v>21.2</v>
      </c>
      <c r="C9" s="858">
        <v>24</v>
      </c>
      <c r="D9" s="858">
        <v>24.5</v>
      </c>
      <c r="E9" s="858">
        <v>24.4</v>
      </c>
      <c r="F9" s="858">
        <v>25.9</v>
      </c>
      <c r="G9" s="858">
        <v>41.6</v>
      </c>
      <c r="H9" s="858">
        <v>48.549911700000003</v>
      </c>
      <c r="I9" s="858">
        <v>52.7</v>
      </c>
      <c r="J9" s="858">
        <v>60.49</v>
      </c>
      <c r="K9" s="859">
        <v>62.71</v>
      </c>
      <c r="L9" s="860"/>
      <c r="M9" s="860"/>
      <c r="N9" s="860"/>
      <c r="O9" s="861" t="s">
        <v>2099</v>
      </c>
    </row>
    <row r="10" spans="1:19" s="175" customFormat="1" ht="17.25">
      <c r="A10" s="842" t="s">
        <v>2058</v>
      </c>
      <c r="B10" s="65"/>
      <c r="C10" s="65"/>
      <c r="D10" s="65"/>
      <c r="E10" s="65"/>
      <c r="F10" s="65"/>
      <c r="G10" s="65"/>
      <c r="H10" s="65"/>
      <c r="I10" s="65"/>
      <c r="J10" s="65"/>
      <c r="K10" s="65"/>
      <c r="L10" s="65"/>
      <c r="M10" s="65"/>
      <c r="N10" s="65"/>
      <c r="O10" s="862" t="s">
        <v>2061</v>
      </c>
      <c r="R10" s="49"/>
      <c r="S10" s="49"/>
    </row>
    <row r="11" spans="1:19" ht="15">
      <c r="R11" s="49"/>
      <c r="S11" s="49"/>
    </row>
    <row r="12" spans="1:19" ht="15">
      <c r="A12" s="45"/>
      <c r="R12" s="49"/>
      <c r="S12" s="49"/>
    </row>
    <row r="14" spans="1:19">
      <c r="H14" s="863"/>
      <c r="I14" s="863"/>
      <c r="J14" s="863"/>
      <c r="K14" s="863"/>
      <c r="L14" s="863"/>
      <c r="M14" s="863"/>
      <c r="N14" s="863"/>
    </row>
  </sheetData>
  <mergeCells count="5">
    <mergeCell ref="A2:O2"/>
    <mergeCell ref="A3:O3"/>
    <mergeCell ref="A4:A5"/>
    <mergeCell ref="O4:O5"/>
    <mergeCell ref="B4:N4"/>
  </mergeCells>
  <pageMargins left="0.7" right="0.7" top="0.75" bottom="0.75" header="0.3" footer="0.3"/>
  <pageSetup paperSize="9" scale="5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sheetPr>
  <dimension ref="A1:AD46"/>
  <sheetViews>
    <sheetView zoomScaleNormal="100" workbookViewId="0">
      <selection activeCell="W14" sqref="W14"/>
    </sheetView>
  </sheetViews>
  <sheetFormatPr defaultColWidth="17.28515625" defaultRowHeight="15"/>
  <cols>
    <col min="1" max="1" width="14.42578125" style="542" customWidth="1"/>
    <col min="2" max="4" width="9.85546875" style="541" customWidth="1"/>
    <col min="5" max="7" width="12.140625" style="541" customWidth="1"/>
    <col min="8" max="10" width="9.85546875" style="541" customWidth="1"/>
    <col min="11" max="16" width="9.85546875" style="541" hidden="1" customWidth="1"/>
    <col min="17" max="17" width="9.85546875" style="1006" customWidth="1"/>
    <col min="18" max="18" width="16.140625" style="541" customWidth="1"/>
    <col min="19" max="19" width="1.5703125" style="541" customWidth="1"/>
    <col min="20" max="21" width="17.28515625" style="541"/>
    <col min="22" max="24" width="4.85546875" style="541" customWidth="1"/>
    <col min="25" max="26" width="17.28515625" style="541"/>
    <col min="27" max="30" width="8.28515625" style="541" customWidth="1"/>
    <col min="31" max="16384" width="17.28515625" style="541"/>
  </cols>
  <sheetData>
    <row r="1" spans="1:30" ht="19.5">
      <c r="A1" s="1236" t="s">
        <v>2191</v>
      </c>
      <c r="B1" s="1236"/>
      <c r="C1" s="1236"/>
      <c r="D1" s="1236"/>
      <c r="E1" s="1236"/>
      <c r="F1" s="1236"/>
      <c r="G1" s="1236"/>
      <c r="H1" s="1236"/>
      <c r="I1" s="1236"/>
      <c r="J1" s="1236"/>
      <c r="K1" s="1236"/>
      <c r="L1" s="1236"/>
      <c r="M1" s="1236"/>
      <c r="N1" s="1236"/>
      <c r="O1" s="1236"/>
      <c r="P1" s="1236"/>
      <c r="Q1" s="1236"/>
      <c r="R1" s="1237"/>
    </row>
    <row r="2" spans="1:30" ht="26.25" customHeight="1">
      <c r="A2" s="1238" t="s">
        <v>2190</v>
      </c>
      <c r="B2" s="1238"/>
      <c r="C2" s="1238"/>
      <c r="D2" s="1238"/>
      <c r="E2" s="1238"/>
      <c r="F2" s="1238"/>
      <c r="G2" s="1238"/>
      <c r="H2" s="1238"/>
      <c r="I2" s="1238"/>
      <c r="J2" s="1238"/>
      <c r="K2" s="1239"/>
      <c r="L2" s="1239"/>
      <c r="M2" s="1239"/>
      <c r="N2" s="1239"/>
      <c r="O2" s="1239"/>
      <c r="P2" s="1239"/>
      <c r="Q2" s="1239"/>
      <c r="R2" s="1240"/>
    </row>
    <row r="3" spans="1:30" ht="12.75" customHeight="1">
      <c r="A3" s="1241" t="s">
        <v>1051</v>
      </c>
      <c r="B3" s="1244">
        <v>2018</v>
      </c>
      <c r="C3" s="1245"/>
      <c r="D3" s="1245"/>
      <c r="E3" s="1244">
        <v>2019</v>
      </c>
      <c r="F3" s="1245"/>
      <c r="G3" s="1245"/>
      <c r="H3" s="1244">
        <v>2020</v>
      </c>
      <c r="I3" s="1245"/>
      <c r="J3" s="1245"/>
      <c r="K3" s="1244">
        <v>2021</v>
      </c>
      <c r="L3" s="1245"/>
      <c r="M3" s="1245"/>
      <c r="N3" s="1244">
        <v>2022</v>
      </c>
      <c r="O3" s="1245"/>
      <c r="P3" s="1245"/>
      <c r="Q3" s="999"/>
      <c r="R3" s="1233" t="s">
        <v>1052</v>
      </c>
      <c r="S3" s="542"/>
    </row>
    <row r="4" spans="1:30" ht="6.75" customHeight="1">
      <c r="A4" s="1242"/>
      <c r="B4" s="1246"/>
      <c r="C4" s="1247"/>
      <c r="D4" s="1247"/>
      <c r="E4" s="1246"/>
      <c r="F4" s="1247"/>
      <c r="G4" s="1247"/>
      <c r="H4" s="1246"/>
      <c r="I4" s="1247"/>
      <c r="J4" s="1247"/>
      <c r="K4" s="1246"/>
      <c r="L4" s="1247"/>
      <c r="M4" s="1247"/>
      <c r="N4" s="1246"/>
      <c r="O4" s="1247"/>
      <c r="P4" s="1247"/>
      <c r="Q4" s="1000"/>
      <c r="R4" s="1234"/>
      <c r="S4" s="542"/>
    </row>
    <row r="5" spans="1:30" ht="21" customHeight="1">
      <c r="A5" s="1242"/>
      <c r="B5" s="544" t="s">
        <v>1053</v>
      </c>
      <c r="C5" s="543" t="s">
        <v>1054</v>
      </c>
      <c r="D5" s="545" t="s">
        <v>1055</v>
      </c>
      <c r="E5" s="544" t="s">
        <v>1053</v>
      </c>
      <c r="F5" s="543" t="s">
        <v>1054</v>
      </c>
      <c r="G5" s="545" t="s">
        <v>1055</v>
      </c>
      <c r="H5" s="544" t="s">
        <v>1053</v>
      </c>
      <c r="I5" s="543" t="s">
        <v>1054</v>
      </c>
      <c r="J5" s="545" t="s">
        <v>1055</v>
      </c>
      <c r="K5" s="544" t="s">
        <v>1053</v>
      </c>
      <c r="L5" s="543" t="s">
        <v>1054</v>
      </c>
      <c r="M5" s="545" t="s">
        <v>1055</v>
      </c>
      <c r="N5" s="544" t="s">
        <v>1053</v>
      </c>
      <c r="O5" s="543" t="s">
        <v>1054</v>
      </c>
      <c r="P5" s="545" t="s">
        <v>1055</v>
      </c>
      <c r="Q5" s="545"/>
      <c r="R5" s="1234"/>
      <c r="S5" s="542"/>
    </row>
    <row r="6" spans="1:30" s="550" customFormat="1" ht="12.75">
      <c r="A6" s="1243"/>
      <c r="B6" s="546" t="s">
        <v>72</v>
      </c>
      <c r="C6" s="547" t="s">
        <v>69</v>
      </c>
      <c r="D6" s="548" t="s">
        <v>70</v>
      </c>
      <c r="E6" s="546" t="s">
        <v>72</v>
      </c>
      <c r="F6" s="547" t="s">
        <v>69</v>
      </c>
      <c r="G6" s="548" t="s">
        <v>70</v>
      </c>
      <c r="H6" s="546" t="s">
        <v>72</v>
      </c>
      <c r="I6" s="547" t="s">
        <v>69</v>
      </c>
      <c r="J6" s="548" t="s">
        <v>70</v>
      </c>
      <c r="K6" s="546" t="s">
        <v>72</v>
      </c>
      <c r="L6" s="547" t="s">
        <v>69</v>
      </c>
      <c r="M6" s="548" t="s">
        <v>70</v>
      </c>
      <c r="N6" s="546" t="s">
        <v>72</v>
      </c>
      <c r="O6" s="547" t="s">
        <v>69</v>
      </c>
      <c r="P6" s="548" t="s">
        <v>70</v>
      </c>
      <c r="Q6" s="1001"/>
      <c r="R6" s="1235"/>
      <c r="S6" s="549"/>
    </row>
    <row r="7" spans="1:30" s="550" customFormat="1" ht="14.25" customHeight="1">
      <c r="A7" s="260" t="s">
        <v>1056</v>
      </c>
      <c r="B7" s="551">
        <f>C7+D7</f>
        <v>1262</v>
      </c>
      <c r="C7" s="552">
        <f>SUM(C8:C15)</f>
        <v>1189</v>
      </c>
      <c r="D7" s="553">
        <f>SUM(D8:D15)</f>
        <v>73</v>
      </c>
      <c r="E7" s="551">
        <f>F7+G7</f>
        <v>1241</v>
      </c>
      <c r="F7" s="552">
        <f>SUM(F8:F15)</f>
        <v>1182</v>
      </c>
      <c r="G7" s="553">
        <f>SUM(G8:G15)</f>
        <v>59</v>
      </c>
      <c r="H7" s="551">
        <f>I7+J7</f>
        <v>611</v>
      </c>
      <c r="I7" s="552">
        <f>SUM(I8:I15)</f>
        <v>599</v>
      </c>
      <c r="J7" s="553">
        <f>SUM(J8:J15)</f>
        <v>12</v>
      </c>
      <c r="K7" s="551">
        <f>L7+M7</f>
        <v>0</v>
      </c>
      <c r="L7" s="552">
        <f>SUM(L8:L15)</f>
        <v>0</v>
      </c>
      <c r="M7" s="553">
        <f>SUM(M8:M15)</f>
        <v>0</v>
      </c>
      <c r="N7" s="551">
        <f>O7+P7</f>
        <v>0</v>
      </c>
      <c r="O7" s="552">
        <f>SUM(O8:O15)</f>
        <v>0</v>
      </c>
      <c r="P7" s="553">
        <f>SUM(P8:P15)</f>
        <v>0</v>
      </c>
      <c r="Q7" s="1002"/>
      <c r="R7" s="545" t="s">
        <v>1057</v>
      </c>
      <c r="S7" s="549"/>
    </row>
    <row r="8" spans="1:30" s="550" customFormat="1" ht="21" hidden="1" customHeight="1">
      <c r="A8" s="152" t="s">
        <v>1058</v>
      </c>
      <c r="B8" s="551">
        <f>C8+D8</f>
        <v>0</v>
      </c>
      <c r="C8" s="554">
        <v>0</v>
      </c>
      <c r="D8" s="555">
        <v>0</v>
      </c>
      <c r="E8" s="551">
        <f>F8+G8</f>
        <v>0</v>
      </c>
      <c r="F8" s="554">
        <v>0</v>
      </c>
      <c r="G8" s="555">
        <v>0</v>
      </c>
      <c r="H8" s="551">
        <f>I8+J8</f>
        <v>0</v>
      </c>
      <c r="I8" s="554">
        <v>0</v>
      </c>
      <c r="J8" s="555">
        <v>0</v>
      </c>
      <c r="K8" s="551">
        <f>L8+M8</f>
        <v>0</v>
      </c>
      <c r="L8" s="554">
        <v>0</v>
      </c>
      <c r="M8" s="555">
        <v>0</v>
      </c>
      <c r="N8" s="551">
        <f>O8+P8</f>
        <v>0</v>
      </c>
      <c r="O8" s="554">
        <v>0</v>
      </c>
      <c r="P8" s="555">
        <v>0</v>
      </c>
      <c r="Q8" s="1003"/>
      <c r="R8" s="545" t="s">
        <v>1059</v>
      </c>
      <c r="S8" s="549"/>
    </row>
    <row r="9" spans="1:30" s="550" customFormat="1" ht="26.25" customHeight="1">
      <c r="A9" s="582" t="s">
        <v>1060</v>
      </c>
      <c r="B9" s="551">
        <f t="shared" ref="B9:B15" si="0">C9+D9</f>
        <v>3</v>
      </c>
      <c r="C9" s="554">
        <v>3</v>
      </c>
      <c r="D9" s="555">
        <v>0</v>
      </c>
      <c r="E9" s="551">
        <f t="shared" ref="E9:E15" si="1">F9+G9</f>
        <v>7</v>
      </c>
      <c r="F9" s="554">
        <v>7</v>
      </c>
      <c r="G9" s="555">
        <v>0</v>
      </c>
      <c r="H9" s="551">
        <f t="shared" ref="H9:H15" si="2">I9+J9</f>
        <v>24</v>
      </c>
      <c r="I9" s="554">
        <v>24</v>
      </c>
      <c r="J9" s="555">
        <v>0</v>
      </c>
      <c r="K9" s="551">
        <f t="shared" ref="K9:K15" si="3">L9+M9</f>
        <v>0</v>
      </c>
      <c r="L9" s="1007"/>
      <c r="M9" s="1008"/>
      <c r="N9" s="551">
        <f t="shared" ref="N9:N15" si="4">O9+P9</f>
        <v>0</v>
      </c>
      <c r="O9" s="1007"/>
      <c r="P9" s="1008"/>
      <c r="Q9" s="1003"/>
      <c r="R9" s="945" t="s">
        <v>1061</v>
      </c>
      <c r="S9" s="549"/>
    </row>
    <row r="10" spans="1:30" s="550" customFormat="1" ht="26.25" customHeight="1">
      <c r="A10" s="582" t="s">
        <v>1062</v>
      </c>
      <c r="B10" s="551">
        <f t="shared" si="0"/>
        <v>101</v>
      </c>
      <c r="C10" s="554">
        <v>93</v>
      </c>
      <c r="D10" s="555">
        <v>8</v>
      </c>
      <c r="E10" s="551">
        <f t="shared" si="1"/>
        <v>149</v>
      </c>
      <c r="F10" s="554">
        <v>135</v>
      </c>
      <c r="G10" s="555">
        <v>14</v>
      </c>
      <c r="H10" s="551">
        <f t="shared" si="2"/>
        <v>84</v>
      </c>
      <c r="I10" s="554">
        <v>82</v>
      </c>
      <c r="J10" s="555">
        <v>2</v>
      </c>
      <c r="K10" s="551">
        <f t="shared" si="3"/>
        <v>0</v>
      </c>
      <c r="L10" s="1007"/>
      <c r="M10" s="1008"/>
      <c r="N10" s="551">
        <f t="shared" si="4"/>
        <v>0</v>
      </c>
      <c r="O10" s="1007"/>
      <c r="P10" s="1008"/>
      <c r="Q10" s="1003"/>
      <c r="R10" s="945" t="s">
        <v>1063</v>
      </c>
      <c r="S10" s="549"/>
    </row>
    <row r="11" spans="1:30" s="550" customFormat="1" ht="26.25" customHeight="1">
      <c r="A11" s="582" t="s">
        <v>1064</v>
      </c>
      <c r="B11" s="551">
        <f t="shared" si="0"/>
        <v>254</v>
      </c>
      <c r="C11" s="554">
        <v>240</v>
      </c>
      <c r="D11" s="555">
        <v>14</v>
      </c>
      <c r="E11" s="551">
        <f t="shared" si="1"/>
        <v>265</v>
      </c>
      <c r="F11" s="554">
        <v>256</v>
      </c>
      <c r="G11" s="555">
        <v>9</v>
      </c>
      <c r="H11" s="551">
        <f t="shared" si="2"/>
        <v>164</v>
      </c>
      <c r="I11" s="554">
        <v>163</v>
      </c>
      <c r="J11" s="555">
        <v>1</v>
      </c>
      <c r="K11" s="551">
        <f t="shared" si="3"/>
        <v>0</v>
      </c>
      <c r="L11" s="1007"/>
      <c r="M11" s="1008"/>
      <c r="N11" s="551">
        <f t="shared" si="4"/>
        <v>0</v>
      </c>
      <c r="O11" s="1007"/>
      <c r="P11" s="1008"/>
      <c r="Q11" s="1003"/>
      <c r="R11" s="945" t="s">
        <v>1065</v>
      </c>
      <c r="S11" s="549"/>
    </row>
    <row r="12" spans="1:30" s="550" customFormat="1" ht="26.25" customHeight="1">
      <c r="A12" s="582" t="s">
        <v>1066</v>
      </c>
      <c r="B12" s="551">
        <f t="shared" si="0"/>
        <v>282</v>
      </c>
      <c r="C12" s="554">
        <v>273</v>
      </c>
      <c r="D12" s="555">
        <v>9</v>
      </c>
      <c r="E12" s="551">
        <f t="shared" si="1"/>
        <v>293</v>
      </c>
      <c r="F12" s="554">
        <v>282</v>
      </c>
      <c r="G12" s="555">
        <v>11</v>
      </c>
      <c r="H12" s="551">
        <f t="shared" si="2"/>
        <v>129</v>
      </c>
      <c r="I12" s="554">
        <v>120</v>
      </c>
      <c r="J12" s="555">
        <v>9</v>
      </c>
      <c r="K12" s="551">
        <f t="shared" si="3"/>
        <v>0</v>
      </c>
      <c r="L12" s="1007"/>
      <c r="M12" s="1008"/>
      <c r="N12" s="551">
        <f t="shared" si="4"/>
        <v>0</v>
      </c>
      <c r="O12" s="1007"/>
      <c r="P12" s="1008"/>
      <c r="Q12" s="1003"/>
      <c r="R12" s="945" t="s">
        <v>1067</v>
      </c>
      <c r="S12" s="549"/>
    </row>
    <row r="13" spans="1:30" s="550" customFormat="1" ht="26.25" customHeight="1">
      <c r="A13" s="582" t="s">
        <v>1068</v>
      </c>
      <c r="B13" s="551">
        <f t="shared" si="0"/>
        <v>264</v>
      </c>
      <c r="C13" s="554">
        <v>254</v>
      </c>
      <c r="D13" s="555">
        <v>10</v>
      </c>
      <c r="E13" s="551">
        <f t="shared" si="1"/>
        <v>228</v>
      </c>
      <c r="F13" s="554">
        <v>222</v>
      </c>
      <c r="G13" s="555">
        <v>6</v>
      </c>
      <c r="H13" s="551">
        <f t="shared" si="2"/>
        <v>89</v>
      </c>
      <c r="I13" s="554">
        <v>89</v>
      </c>
      <c r="J13" s="555">
        <v>0</v>
      </c>
      <c r="K13" s="551">
        <f t="shared" si="3"/>
        <v>0</v>
      </c>
      <c r="L13" s="1007"/>
      <c r="M13" s="1008"/>
      <c r="N13" s="551">
        <f t="shared" si="4"/>
        <v>0</v>
      </c>
      <c r="O13" s="1007"/>
      <c r="P13" s="1008"/>
      <c r="Q13" s="1003"/>
      <c r="R13" s="945" t="s">
        <v>1069</v>
      </c>
      <c r="S13" s="549"/>
    </row>
    <row r="14" spans="1:30" s="550" customFormat="1" ht="26.25" customHeight="1">
      <c r="A14" s="582" t="s">
        <v>1070</v>
      </c>
      <c r="B14" s="551">
        <f t="shared" si="0"/>
        <v>237</v>
      </c>
      <c r="C14" s="554">
        <v>212</v>
      </c>
      <c r="D14" s="555">
        <v>25</v>
      </c>
      <c r="E14" s="551">
        <f t="shared" si="1"/>
        <v>190</v>
      </c>
      <c r="F14" s="554">
        <v>174</v>
      </c>
      <c r="G14" s="555">
        <v>16</v>
      </c>
      <c r="H14" s="551">
        <f t="shared" si="2"/>
        <v>81</v>
      </c>
      <c r="I14" s="554">
        <v>81</v>
      </c>
      <c r="J14" s="555">
        <v>0</v>
      </c>
      <c r="K14" s="551">
        <f t="shared" si="3"/>
        <v>0</v>
      </c>
      <c r="L14" s="1007"/>
      <c r="M14" s="1008"/>
      <c r="N14" s="551">
        <f t="shared" si="4"/>
        <v>0</v>
      </c>
      <c r="O14" s="1007"/>
      <c r="P14" s="1008"/>
      <c r="Q14" s="1003"/>
      <c r="R14" s="945" t="s">
        <v>1071</v>
      </c>
      <c r="S14" s="549"/>
      <c r="AB14" s="550" t="s">
        <v>72</v>
      </c>
      <c r="AC14" s="550" t="s">
        <v>69</v>
      </c>
      <c r="AD14" s="550" t="s">
        <v>70</v>
      </c>
    </row>
    <row r="15" spans="1:30" s="550" customFormat="1">
      <c r="A15" s="947" t="s">
        <v>1072</v>
      </c>
      <c r="B15" s="556">
        <f t="shared" si="0"/>
        <v>121</v>
      </c>
      <c r="C15" s="557">
        <v>114</v>
      </c>
      <c r="D15" s="558">
        <v>7</v>
      </c>
      <c r="E15" s="556">
        <f t="shared" si="1"/>
        <v>109</v>
      </c>
      <c r="F15" s="557">
        <v>106</v>
      </c>
      <c r="G15" s="558">
        <v>3</v>
      </c>
      <c r="H15" s="556">
        <f t="shared" si="2"/>
        <v>40</v>
      </c>
      <c r="I15" s="557">
        <v>40</v>
      </c>
      <c r="J15" s="558">
        <v>0</v>
      </c>
      <c r="K15" s="556">
        <f t="shared" si="3"/>
        <v>0</v>
      </c>
      <c r="L15" s="1009"/>
      <c r="M15" s="1010"/>
      <c r="N15" s="556">
        <f t="shared" si="4"/>
        <v>0</v>
      </c>
      <c r="O15" s="1009"/>
      <c r="P15" s="1010"/>
      <c r="Q15" s="1004"/>
      <c r="R15" s="946" t="s">
        <v>1073</v>
      </c>
      <c r="S15" s="549"/>
      <c r="AA15" s="550">
        <v>2014</v>
      </c>
      <c r="AB15" s="550">
        <v>401</v>
      </c>
      <c r="AC15" s="550">
        <v>342</v>
      </c>
      <c r="AD15" s="550">
        <v>59</v>
      </c>
    </row>
    <row r="16" spans="1:30" ht="17.25">
      <c r="A16" s="559" t="s">
        <v>1074</v>
      </c>
      <c r="B16" s="560"/>
      <c r="C16" s="561"/>
      <c r="D16" s="560"/>
      <c r="E16" s="560"/>
      <c r="F16" s="561"/>
      <c r="G16" s="560"/>
      <c r="H16" s="560"/>
      <c r="I16" s="561"/>
      <c r="J16" s="560"/>
      <c r="K16" s="560"/>
      <c r="L16" s="561"/>
      <c r="M16" s="560"/>
      <c r="N16" s="560"/>
      <c r="O16" s="561"/>
      <c r="P16" s="560"/>
      <c r="Q16" s="1005"/>
      <c r="R16" s="562" t="s">
        <v>1075</v>
      </c>
      <c r="AA16" s="550">
        <v>2015</v>
      </c>
      <c r="AB16" s="550">
        <v>358</v>
      </c>
      <c r="AC16" s="550">
        <v>302</v>
      </c>
      <c r="AD16" s="550">
        <v>56</v>
      </c>
    </row>
    <row r="17" spans="1:30" ht="17.25">
      <c r="A17" s="559"/>
      <c r="B17" s="560"/>
      <c r="C17" s="561"/>
      <c r="D17" s="560"/>
      <c r="E17" s="560"/>
      <c r="F17" s="561"/>
      <c r="G17" s="560"/>
      <c r="H17" s="560"/>
      <c r="I17" s="561"/>
      <c r="J17" s="560"/>
      <c r="K17" s="560"/>
      <c r="L17" s="561"/>
      <c r="M17" s="560"/>
      <c r="N17" s="560"/>
      <c r="O17" s="561"/>
      <c r="P17" s="560"/>
      <c r="Q17" s="1005"/>
      <c r="R17" s="562"/>
      <c r="AA17" s="550">
        <v>2016</v>
      </c>
      <c r="AB17" s="550">
        <v>828</v>
      </c>
      <c r="AC17" s="550">
        <v>752</v>
      </c>
      <c r="AD17" s="550">
        <v>76</v>
      </c>
    </row>
    <row r="18" spans="1:30" ht="17.25">
      <c r="A18" s="559"/>
      <c r="B18" s="560"/>
      <c r="C18" s="561"/>
      <c r="D18" s="560"/>
      <c r="E18" s="560"/>
      <c r="F18" s="561"/>
      <c r="G18" s="560"/>
      <c r="H18" s="560"/>
      <c r="I18" s="561"/>
      <c r="J18" s="560"/>
      <c r="K18" s="560"/>
      <c r="L18" s="561"/>
      <c r="M18" s="560"/>
      <c r="N18" s="560"/>
      <c r="O18" s="561"/>
      <c r="P18" s="560"/>
      <c r="Q18" s="1005"/>
      <c r="R18" s="562"/>
      <c r="AA18" s="541">
        <v>2017</v>
      </c>
      <c r="AB18" s="541">
        <v>1124</v>
      </c>
      <c r="AC18" s="541">
        <v>1058</v>
      </c>
      <c r="AD18" s="541">
        <v>66</v>
      </c>
    </row>
    <row r="19" spans="1:30" ht="29.25" customHeight="1">
      <c r="A19" s="563"/>
      <c r="AA19" s="550">
        <v>2018</v>
      </c>
      <c r="AB19" s="541">
        <v>1262</v>
      </c>
      <c r="AC19" s="541">
        <v>1189</v>
      </c>
      <c r="AD19" s="541">
        <v>73</v>
      </c>
    </row>
    <row r="20" spans="1:30">
      <c r="A20" s="563"/>
      <c r="AA20" s="541">
        <v>2019</v>
      </c>
      <c r="AB20" s="541">
        <f>E7</f>
        <v>1241</v>
      </c>
      <c r="AC20" s="541">
        <f>F7</f>
        <v>1182</v>
      </c>
      <c r="AD20" s="541">
        <f>G7</f>
        <v>59</v>
      </c>
    </row>
    <row r="21" spans="1:30">
      <c r="A21" s="563"/>
      <c r="AA21" s="541">
        <v>2020</v>
      </c>
      <c r="AB21" s="541">
        <f>H7</f>
        <v>611</v>
      </c>
      <c r="AC21" s="541">
        <f>I7</f>
        <v>599</v>
      </c>
      <c r="AD21" s="541">
        <f>J7</f>
        <v>12</v>
      </c>
    </row>
    <row r="22" spans="1:30">
      <c r="A22" s="563"/>
    </row>
    <row r="23" spans="1:30">
      <c r="A23" s="563"/>
    </row>
    <row r="24" spans="1:30">
      <c r="A24" s="563"/>
    </row>
    <row r="25" spans="1:30">
      <c r="A25" s="564"/>
    </row>
    <row r="38" spans="17:17" s="541" customFormat="1">
      <c r="Q38" s="1006"/>
    </row>
    <row r="39" spans="17:17" s="541" customFormat="1">
      <c r="Q39" s="1006"/>
    </row>
    <row r="40" spans="17:17" s="541" customFormat="1">
      <c r="Q40" s="1006"/>
    </row>
    <row r="41" spans="17:17" s="541" customFormat="1">
      <c r="Q41" s="1006"/>
    </row>
    <row r="42" spans="17:17" s="541" customFormat="1">
      <c r="Q42" s="1006"/>
    </row>
    <row r="43" spans="17:17" s="541" customFormat="1">
      <c r="Q43" s="1006"/>
    </row>
    <row r="44" spans="17:17" s="541" customFormat="1">
      <c r="Q44" s="1006"/>
    </row>
    <row r="45" spans="17:17" s="541" customFormat="1">
      <c r="Q45" s="1006"/>
    </row>
    <row r="46" spans="17:17" s="541" customFormat="1">
      <c r="Q46" s="1006"/>
    </row>
  </sheetData>
  <mergeCells count="9">
    <mergeCell ref="R3:R6"/>
    <mergeCell ref="A1:R1"/>
    <mergeCell ref="A2:R2"/>
    <mergeCell ref="A3:A6"/>
    <mergeCell ref="B3:D4"/>
    <mergeCell ref="E3:G4"/>
    <mergeCell ref="H3:J4"/>
    <mergeCell ref="K3:M4"/>
    <mergeCell ref="N3:P4"/>
  </mergeCells>
  <pageMargins left="0.7" right="0.7" top="0.75" bottom="0.75" header="0.3" footer="0.3"/>
  <pageSetup paperSize="9" scale="63" orientation="portrait" r:id="rId1"/>
  <colBreaks count="1" manualBreakCount="1">
    <brk id="19"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BP96"/>
  <sheetViews>
    <sheetView topLeftCell="A13" zoomScale="59" zoomScaleNormal="59" workbookViewId="0">
      <selection activeCell="X13" sqref="X1:X1048576"/>
    </sheetView>
  </sheetViews>
  <sheetFormatPr defaultColWidth="11.140625" defaultRowHeight="12.75"/>
  <cols>
    <col min="1" max="1" width="16.42578125" style="196" customWidth="1"/>
    <col min="2" max="3" width="10.28515625" style="196" customWidth="1"/>
    <col min="4" max="4" width="11.42578125" style="196" customWidth="1"/>
    <col min="5" max="7" width="10.28515625" style="9" customWidth="1"/>
    <col min="8" max="8" width="1.85546875" style="9" customWidth="1"/>
    <col min="9" max="10" width="10.28515625" style="196" customWidth="1"/>
    <col min="11" max="11" width="11.42578125" style="196" customWidth="1"/>
    <col min="12" max="14" width="10.28515625" style="9" customWidth="1"/>
    <col min="15" max="15" width="1.85546875" style="9" customWidth="1"/>
    <col min="16" max="17" width="10.28515625" style="196" customWidth="1"/>
    <col min="18" max="18" width="11.42578125" style="196" customWidth="1"/>
    <col min="19" max="21" width="10.28515625" style="9" customWidth="1"/>
    <col min="22" max="22" width="18.7109375" style="196" customWidth="1"/>
    <col min="23" max="59" width="14" style="196" customWidth="1"/>
    <col min="60" max="16384" width="11.140625" style="196"/>
  </cols>
  <sheetData>
    <row r="1" spans="1:65" ht="22.5" customHeight="1">
      <c r="A1" s="1252" t="s">
        <v>1076</v>
      </c>
      <c r="B1" s="1252"/>
      <c r="C1" s="1252"/>
      <c r="D1" s="1252"/>
      <c r="E1" s="1252"/>
      <c r="F1" s="1252"/>
      <c r="G1" s="1252"/>
      <c r="H1" s="1252"/>
      <c r="I1" s="1252"/>
      <c r="J1" s="1252"/>
      <c r="K1" s="1252"/>
      <c r="L1" s="1252"/>
      <c r="M1" s="1252"/>
      <c r="N1" s="1252"/>
      <c r="O1" s="1252"/>
      <c r="P1" s="1252"/>
      <c r="Q1" s="1252"/>
      <c r="R1" s="1252"/>
      <c r="S1" s="1252"/>
      <c r="T1" s="1252"/>
      <c r="U1" s="1252"/>
      <c r="V1" s="1252"/>
    </row>
    <row r="2" spans="1:65" s="104" customFormat="1" ht="15">
      <c r="A2" s="1098" t="s">
        <v>1077</v>
      </c>
      <c r="B2" s="1098"/>
      <c r="C2" s="1098"/>
      <c r="D2" s="1098"/>
      <c r="E2" s="1098"/>
      <c r="F2" s="1098"/>
      <c r="G2" s="1098"/>
      <c r="H2" s="1098"/>
      <c r="I2" s="1098"/>
      <c r="J2" s="1098"/>
      <c r="K2" s="1098"/>
      <c r="L2" s="1098"/>
      <c r="M2" s="1098"/>
      <c r="N2" s="1098"/>
      <c r="O2" s="1098"/>
      <c r="P2" s="1098"/>
      <c r="Q2" s="1098"/>
      <c r="R2" s="1098"/>
      <c r="S2" s="1098"/>
      <c r="T2" s="1098"/>
      <c r="U2" s="1098"/>
      <c r="V2" s="1098"/>
      <c r="W2" s="565"/>
      <c r="X2" s="565"/>
      <c r="Y2" s="565"/>
      <c r="Z2" s="565"/>
      <c r="AA2" s="565"/>
      <c r="AB2" s="565"/>
      <c r="AC2" s="565"/>
      <c r="AD2" s="565"/>
      <c r="AE2" s="565"/>
      <c r="AF2" s="565"/>
      <c r="AG2" s="565"/>
      <c r="AH2" s="565"/>
      <c r="AI2" s="565"/>
      <c r="AJ2" s="565"/>
      <c r="AK2" s="565"/>
      <c r="AL2" s="565"/>
      <c r="AM2" s="565"/>
      <c r="AN2" s="565"/>
      <c r="AO2" s="565"/>
      <c r="AP2" s="565"/>
      <c r="AQ2" s="565"/>
      <c r="AR2" s="565"/>
      <c r="AS2" s="565"/>
      <c r="AT2" s="565"/>
      <c r="AU2" s="565"/>
      <c r="AV2" s="565"/>
      <c r="AW2" s="565"/>
      <c r="AX2" s="565"/>
      <c r="AY2" s="565"/>
      <c r="AZ2" s="565"/>
      <c r="BA2" s="565"/>
      <c r="BB2" s="565"/>
      <c r="BC2" s="565"/>
      <c r="BD2" s="565"/>
      <c r="BE2" s="565"/>
      <c r="BF2" s="565"/>
      <c r="BG2" s="565"/>
      <c r="BH2" s="565"/>
      <c r="BI2" s="565"/>
      <c r="BJ2" s="565"/>
      <c r="BK2" s="565"/>
    </row>
    <row r="3" spans="1:65">
      <c r="A3" s="1253" t="s">
        <v>1078</v>
      </c>
      <c r="B3" s="1256">
        <v>2018</v>
      </c>
      <c r="C3" s="1255"/>
      <c r="D3" s="1255"/>
      <c r="E3" s="1255"/>
      <c r="F3" s="1255"/>
      <c r="G3" s="1255"/>
      <c r="H3" s="566"/>
      <c r="I3" s="1256">
        <v>2019</v>
      </c>
      <c r="J3" s="1255"/>
      <c r="K3" s="1255"/>
      <c r="L3" s="1255"/>
      <c r="M3" s="1255"/>
      <c r="N3" s="1255"/>
      <c r="O3" s="566"/>
      <c r="P3" s="1256">
        <v>2020</v>
      </c>
      <c r="Q3" s="1255"/>
      <c r="R3" s="1255"/>
      <c r="S3" s="1255"/>
      <c r="T3" s="1255"/>
      <c r="U3" s="1255"/>
      <c r="V3" s="1257" t="s">
        <v>1079</v>
      </c>
      <c r="W3" s="567"/>
      <c r="X3" s="567"/>
      <c r="Y3" s="567"/>
      <c r="Z3" s="567"/>
      <c r="AA3" s="567"/>
      <c r="AB3" s="567"/>
      <c r="AC3" s="567"/>
      <c r="AD3" s="567"/>
      <c r="AE3" s="567"/>
      <c r="AF3" s="567"/>
      <c r="AG3" s="567"/>
      <c r="AH3" s="567"/>
      <c r="AI3" s="567"/>
      <c r="AJ3" s="567"/>
      <c r="AK3" s="567"/>
      <c r="AL3" s="567"/>
      <c r="AM3" s="567"/>
      <c r="AN3" s="567"/>
      <c r="AO3" s="567"/>
      <c r="AP3" s="567"/>
      <c r="AQ3" s="567"/>
      <c r="AR3" s="567"/>
      <c r="AS3" s="567"/>
      <c r="AT3" s="567"/>
      <c r="AU3" s="567"/>
      <c r="AV3" s="567"/>
      <c r="AW3" s="567"/>
      <c r="AX3" s="567"/>
      <c r="AY3" s="567"/>
      <c r="AZ3" s="567"/>
      <c r="BA3" s="567"/>
      <c r="BB3" s="567"/>
      <c r="BC3" s="567"/>
      <c r="BD3" s="567"/>
      <c r="BE3" s="567"/>
      <c r="BF3" s="567"/>
      <c r="BG3" s="567"/>
      <c r="BH3" s="567"/>
      <c r="BI3" s="567"/>
      <c r="BJ3" s="567"/>
      <c r="BK3" s="567"/>
    </row>
    <row r="4" spans="1:65" ht="15">
      <c r="A4" s="1254"/>
      <c r="B4" s="568"/>
      <c r="C4" s="567"/>
      <c r="D4" s="567"/>
      <c r="E4" s="1251" t="s">
        <v>1080</v>
      </c>
      <c r="F4" s="1251"/>
      <c r="G4" s="1251"/>
      <c r="H4" s="567"/>
      <c r="I4" s="568"/>
      <c r="J4" s="567"/>
      <c r="K4" s="567"/>
      <c r="L4" s="1251" t="s">
        <v>1080</v>
      </c>
      <c r="M4" s="1251"/>
      <c r="N4" s="1251"/>
      <c r="O4" s="567"/>
      <c r="P4" s="568"/>
      <c r="Q4" s="567"/>
      <c r="R4" s="567"/>
      <c r="S4" s="1251" t="s">
        <v>1080</v>
      </c>
      <c r="T4" s="1251"/>
      <c r="U4" s="1251"/>
      <c r="V4" s="1258"/>
      <c r="W4" s="567"/>
      <c r="X4" s="567"/>
      <c r="Y4" s="567"/>
      <c r="Z4" s="567"/>
      <c r="AA4" s="567"/>
      <c r="AB4" s="567"/>
      <c r="AC4" s="567"/>
      <c r="AD4" s="567"/>
      <c r="AE4" s="567"/>
      <c r="AF4" s="567"/>
      <c r="AG4" s="567"/>
      <c r="AH4" s="567"/>
      <c r="AI4" s="567"/>
      <c r="AJ4" s="567"/>
      <c r="AK4" s="567"/>
      <c r="AL4" s="567"/>
      <c r="AM4" s="567"/>
      <c r="AN4" s="567"/>
      <c r="AO4" s="567"/>
      <c r="AP4" s="567"/>
      <c r="AQ4" s="567"/>
      <c r="AR4" s="567"/>
      <c r="AS4" s="567"/>
      <c r="AT4" s="567"/>
      <c r="AU4" s="567"/>
      <c r="AV4" s="567"/>
      <c r="AW4" s="567"/>
      <c r="AX4" s="567"/>
      <c r="AY4" s="567"/>
      <c r="AZ4" s="567"/>
      <c r="BA4" s="567"/>
      <c r="BB4" s="567"/>
      <c r="BC4" s="567"/>
      <c r="BD4" s="567"/>
      <c r="BE4" s="567"/>
      <c r="BF4" s="567"/>
      <c r="BG4" s="567"/>
      <c r="BH4" s="567"/>
      <c r="BI4" s="567"/>
      <c r="BJ4" s="567"/>
      <c r="BK4" s="567"/>
    </row>
    <row r="5" spans="1:65" ht="12.75" customHeight="1">
      <c r="A5" s="1254"/>
      <c r="B5" s="1250" t="s">
        <v>73</v>
      </c>
      <c r="C5" s="1248" t="s">
        <v>1081</v>
      </c>
      <c r="D5" s="1248" t="s">
        <v>1082</v>
      </c>
      <c r="E5" s="1249" t="s">
        <v>1083</v>
      </c>
      <c r="F5" s="1249"/>
      <c r="G5" s="1249"/>
      <c r="H5" s="567"/>
      <c r="I5" s="1250" t="s">
        <v>73</v>
      </c>
      <c r="J5" s="1248" t="s">
        <v>1081</v>
      </c>
      <c r="K5" s="1248" t="s">
        <v>1082</v>
      </c>
      <c r="L5" s="1249" t="s">
        <v>1083</v>
      </c>
      <c r="M5" s="1249"/>
      <c r="N5" s="1249"/>
      <c r="O5" s="567"/>
      <c r="P5" s="1250" t="s">
        <v>73</v>
      </c>
      <c r="Q5" s="1248" t="s">
        <v>1081</v>
      </c>
      <c r="R5" s="1248" t="s">
        <v>1082</v>
      </c>
      <c r="S5" s="1249" t="s">
        <v>1083</v>
      </c>
      <c r="T5" s="1249"/>
      <c r="U5" s="1249"/>
      <c r="V5" s="1258"/>
      <c r="W5" s="569"/>
      <c r="X5" s="569"/>
      <c r="Y5" s="569"/>
      <c r="Z5" s="569"/>
      <c r="AA5" s="569"/>
      <c r="AB5" s="569"/>
      <c r="AC5" s="569"/>
      <c r="AD5" s="569"/>
      <c r="AE5" s="569"/>
      <c r="AF5" s="569"/>
      <c r="AG5" s="569"/>
      <c r="AH5" s="569"/>
      <c r="AI5" s="569"/>
      <c r="AJ5" s="569"/>
      <c r="AK5" s="569"/>
      <c r="AL5" s="569"/>
      <c r="AM5" s="569"/>
      <c r="AN5" s="569"/>
      <c r="AO5" s="569"/>
      <c r="AP5" s="569"/>
      <c r="AQ5" s="569"/>
      <c r="AR5" s="569"/>
      <c r="AS5" s="569"/>
      <c r="AT5" s="569"/>
      <c r="AU5" s="569"/>
      <c r="AV5" s="569"/>
      <c r="AW5" s="569"/>
      <c r="AX5" s="569"/>
      <c r="AY5" s="569"/>
      <c r="AZ5" s="569"/>
      <c r="BA5" s="569"/>
      <c r="BB5" s="569"/>
      <c r="BC5" s="569"/>
      <c r="BD5" s="569"/>
      <c r="BE5" s="569"/>
      <c r="BF5" s="569"/>
      <c r="BG5" s="569"/>
      <c r="BH5" s="569"/>
      <c r="BI5" s="567"/>
      <c r="BJ5" s="567"/>
      <c r="BK5" s="567"/>
    </row>
    <row r="6" spans="1:65" ht="15.75">
      <c r="A6" s="1254"/>
      <c r="B6" s="1250"/>
      <c r="C6" s="1248"/>
      <c r="D6" s="1248"/>
      <c r="E6" s="571" t="s">
        <v>1084</v>
      </c>
      <c r="F6" s="571" t="s">
        <v>1085</v>
      </c>
      <c r="G6" s="571" t="s">
        <v>1086</v>
      </c>
      <c r="H6" s="570"/>
      <c r="I6" s="1250"/>
      <c r="J6" s="1248"/>
      <c r="K6" s="1248"/>
      <c r="L6" s="571" t="s">
        <v>1084</v>
      </c>
      <c r="M6" s="571" t="s">
        <v>1085</v>
      </c>
      <c r="N6" s="571" t="s">
        <v>1086</v>
      </c>
      <c r="O6" s="570"/>
      <c r="P6" s="1250"/>
      <c r="Q6" s="1248"/>
      <c r="R6" s="1248"/>
      <c r="S6" s="571" t="s">
        <v>1084</v>
      </c>
      <c r="T6" s="571" t="s">
        <v>1085</v>
      </c>
      <c r="U6" s="571" t="s">
        <v>1086</v>
      </c>
      <c r="V6" s="1258"/>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69"/>
      <c r="AU6" s="569"/>
      <c r="AV6" s="569"/>
      <c r="AW6" s="569"/>
      <c r="AX6" s="569"/>
      <c r="AY6" s="569"/>
      <c r="AZ6" s="569"/>
      <c r="BA6" s="569"/>
      <c r="BB6" s="569"/>
      <c r="BC6" s="569"/>
      <c r="BD6" s="569"/>
      <c r="BE6" s="569"/>
      <c r="BF6" s="569"/>
      <c r="BG6" s="569"/>
      <c r="BH6" s="569"/>
      <c r="BI6" s="567"/>
      <c r="BJ6" s="567"/>
      <c r="BK6" s="567"/>
    </row>
    <row r="7" spans="1:65" s="66" customFormat="1" ht="15">
      <c r="A7" s="1088"/>
      <c r="B7" s="574" t="s">
        <v>1086</v>
      </c>
      <c r="C7" s="571" t="s">
        <v>1087</v>
      </c>
      <c r="D7" s="571" t="s">
        <v>1088</v>
      </c>
      <c r="E7" s="573" t="s">
        <v>21</v>
      </c>
      <c r="F7" s="573" t="s">
        <v>22</v>
      </c>
      <c r="G7" s="573" t="s">
        <v>1</v>
      </c>
      <c r="H7" s="572"/>
      <c r="I7" s="574" t="s">
        <v>1086</v>
      </c>
      <c r="J7" s="571" t="s">
        <v>1087</v>
      </c>
      <c r="K7" s="571" t="s">
        <v>1088</v>
      </c>
      <c r="L7" s="573" t="s">
        <v>21</v>
      </c>
      <c r="M7" s="573" t="s">
        <v>22</v>
      </c>
      <c r="N7" s="573" t="s">
        <v>1</v>
      </c>
      <c r="O7" s="572"/>
      <c r="P7" s="574" t="s">
        <v>1086</v>
      </c>
      <c r="Q7" s="571" t="s">
        <v>1087</v>
      </c>
      <c r="R7" s="571" t="s">
        <v>1088</v>
      </c>
      <c r="S7" s="573" t="s">
        <v>21</v>
      </c>
      <c r="T7" s="573" t="s">
        <v>22</v>
      </c>
      <c r="U7" s="573" t="s">
        <v>1</v>
      </c>
      <c r="V7" s="1259"/>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575"/>
      <c r="AU7" s="575"/>
      <c r="AV7" s="575"/>
      <c r="AW7" s="575"/>
      <c r="AX7" s="575"/>
      <c r="AY7" s="575"/>
      <c r="AZ7" s="575"/>
      <c r="BA7" s="575"/>
      <c r="BB7" s="575"/>
      <c r="BC7" s="575"/>
      <c r="BD7" s="575"/>
      <c r="BE7" s="575"/>
      <c r="BF7" s="575"/>
      <c r="BG7" s="151"/>
      <c r="BH7" s="151"/>
      <c r="BI7" s="151"/>
      <c r="BJ7" s="151"/>
      <c r="BK7" s="151"/>
    </row>
    <row r="8" spans="1:65" ht="15.75">
      <c r="A8" s="576" t="s">
        <v>68</v>
      </c>
      <c r="B8" s="579">
        <f t="shared" ref="B8:G8" si="0">B15+B22</f>
        <v>1262</v>
      </c>
      <c r="C8" s="577">
        <f t="shared" si="0"/>
        <v>988</v>
      </c>
      <c r="D8" s="577">
        <f t="shared" si="0"/>
        <v>1</v>
      </c>
      <c r="E8" s="578">
        <f t="shared" si="0"/>
        <v>157</v>
      </c>
      <c r="F8" s="578">
        <f t="shared" si="0"/>
        <v>116</v>
      </c>
      <c r="G8" s="578">
        <f t="shared" si="0"/>
        <v>273</v>
      </c>
      <c r="H8" s="578"/>
      <c r="I8" s="579">
        <f t="shared" ref="I8:N8" si="1">I15+I22</f>
        <v>1241</v>
      </c>
      <c r="J8" s="577">
        <f t="shared" si="1"/>
        <v>991</v>
      </c>
      <c r="K8" s="577">
        <f t="shared" si="1"/>
        <v>1</v>
      </c>
      <c r="L8" s="578">
        <f t="shared" si="1"/>
        <v>117</v>
      </c>
      <c r="M8" s="578">
        <f t="shared" si="1"/>
        <v>132</v>
      </c>
      <c r="N8" s="578">
        <f t="shared" si="1"/>
        <v>249</v>
      </c>
      <c r="O8" s="578"/>
      <c r="P8" s="579">
        <f t="shared" ref="P8:U8" si="2">P15+P22</f>
        <v>611</v>
      </c>
      <c r="Q8" s="577">
        <f t="shared" si="2"/>
        <v>503</v>
      </c>
      <c r="R8" s="577">
        <f t="shared" si="2"/>
        <v>0</v>
      </c>
      <c r="S8" s="578">
        <f t="shared" si="2"/>
        <v>65</v>
      </c>
      <c r="T8" s="578">
        <f t="shared" si="2"/>
        <v>43</v>
      </c>
      <c r="U8" s="578">
        <f t="shared" si="2"/>
        <v>108</v>
      </c>
      <c r="V8" s="580" t="s">
        <v>1053</v>
      </c>
      <c r="W8" s="581"/>
      <c r="X8" s="581"/>
      <c r="Y8" s="581"/>
      <c r="Z8" s="581"/>
      <c r="AA8" s="581"/>
      <c r="AB8" s="581"/>
      <c r="AC8" s="581"/>
      <c r="AD8" s="581"/>
      <c r="AE8" s="581"/>
      <c r="AF8" s="581"/>
      <c r="AG8" s="581"/>
      <c r="AH8" s="581"/>
      <c r="AI8" s="581"/>
      <c r="AJ8" s="581"/>
      <c r="AK8" s="581"/>
      <c r="AL8" s="581"/>
      <c r="AM8" s="581"/>
      <c r="AN8" s="581"/>
      <c r="AO8" s="581"/>
      <c r="AP8" s="581"/>
      <c r="AQ8" s="581"/>
      <c r="AR8" s="581"/>
      <c r="AS8" s="581"/>
      <c r="AT8" s="581"/>
      <c r="AU8" s="581"/>
      <c r="AV8" s="581"/>
      <c r="AW8" s="581"/>
      <c r="AX8" s="581"/>
      <c r="AY8" s="581"/>
      <c r="AZ8" s="581"/>
      <c r="BA8" s="581"/>
      <c r="BB8" s="581"/>
      <c r="BC8" s="581"/>
      <c r="BD8" s="581"/>
      <c r="BE8" s="581"/>
      <c r="BF8" s="581"/>
      <c r="BG8" s="581"/>
      <c r="BH8" s="581"/>
      <c r="BI8" s="581"/>
      <c r="BJ8" s="581"/>
      <c r="BK8" s="581"/>
      <c r="BL8" s="581"/>
      <c r="BM8" s="581"/>
    </row>
    <row r="9" spans="1:65" ht="15.75">
      <c r="A9" s="582" t="s">
        <v>1089</v>
      </c>
      <c r="B9" s="583">
        <f>B16+B23</f>
        <v>821</v>
      </c>
      <c r="C9" s="19">
        <f t="shared" ref="C9:G10" si="3">C16+C23</f>
        <v>575</v>
      </c>
      <c r="D9" s="19">
        <f t="shared" si="3"/>
        <v>1</v>
      </c>
      <c r="E9" s="27">
        <f t="shared" si="3"/>
        <v>140</v>
      </c>
      <c r="F9" s="27">
        <f t="shared" si="3"/>
        <v>105</v>
      </c>
      <c r="G9" s="27">
        <f t="shared" si="3"/>
        <v>245</v>
      </c>
      <c r="H9" s="27"/>
      <c r="I9" s="583">
        <f>I16+I23</f>
        <v>896</v>
      </c>
      <c r="J9" s="19">
        <f t="shared" ref="J9:N10" si="4">J16+J23</f>
        <v>670</v>
      </c>
      <c r="K9" s="19">
        <f t="shared" si="4"/>
        <v>1</v>
      </c>
      <c r="L9" s="27">
        <f t="shared" si="4"/>
        <v>105</v>
      </c>
      <c r="M9" s="27">
        <f t="shared" si="4"/>
        <v>120</v>
      </c>
      <c r="N9" s="27">
        <f t="shared" si="4"/>
        <v>225</v>
      </c>
      <c r="O9" s="27"/>
      <c r="P9" s="583">
        <f>P16+P23</f>
        <v>465</v>
      </c>
      <c r="Q9" s="19">
        <f t="shared" ref="Q9:U10" si="5">Q16+Q23</f>
        <v>363</v>
      </c>
      <c r="R9" s="19">
        <f t="shared" si="5"/>
        <v>0</v>
      </c>
      <c r="S9" s="27">
        <f t="shared" si="5"/>
        <v>61</v>
      </c>
      <c r="T9" s="27">
        <f t="shared" si="5"/>
        <v>41</v>
      </c>
      <c r="U9" s="27">
        <f t="shared" si="5"/>
        <v>102</v>
      </c>
      <c r="V9" s="584" t="s">
        <v>1090</v>
      </c>
      <c r="W9" s="581"/>
      <c r="X9" s="581"/>
      <c r="Y9" s="581"/>
      <c r="Z9" s="581"/>
      <c r="AA9" s="581"/>
      <c r="AB9" s="581"/>
      <c r="AC9" s="581"/>
      <c r="AD9" s="581"/>
      <c r="AE9" s="581"/>
      <c r="AF9" s="581"/>
      <c r="AG9" s="581"/>
      <c r="AH9" s="581"/>
      <c r="AI9" s="581"/>
      <c r="AJ9" s="581"/>
      <c r="AK9" s="581"/>
      <c r="AL9" s="581"/>
      <c r="AM9" s="581"/>
      <c r="AN9" s="581"/>
      <c r="AO9" s="581"/>
      <c r="AP9" s="581"/>
      <c r="AQ9" s="581"/>
      <c r="AR9" s="581"/>
      <c r="AS9" s="581"/>
      <c r="AT9" s="581"/>
      <c r="AU9" s="581"/>
      <c r="AV9" s="581"/>
      <c r="AW9" s="581"/>
      <c r="AX9" s="581"/>
      <c r="AY9" s="581"/>
      <c r="AZ9" s="581"/>
      <c r="BA9" s="581"/>
      <c r="BB9" s="581"/>
      <c r="BC9" s="581"/>
      <c r="BD9" s="581"/>
      <c r="BE9" s="581"/>
      <c r="BF9" s="581"/>
      <c r="BG9" s="581"/>
      <c r="BH9" s="581"/>
      <c r="BI9" s="581"/>
      <c r="BJ9" s="581"/>
      <c r="BK9" s="581"/>
      <c r="BL9" s="581"/>
      <c r="BM9" s="581"/>
    </row>
    <row r="10" spans="1:65" ht="15.75">
      <c r="A10" s="582" t="s">
        <v>1091</v>
      </c>
      <c r="B10" s="583">
        <f>B17+B24</f>
        <v>93</v>
      </c>
      <c r="C10" s="20">
        <f t="shared" si="3"/>
        <v>68</v>
      </c>
      <c r="D10" s="20">
        <f t="shared" si="3"/>
        <v>0</v>
      </c>
      <c r="E10" s="28">
        <f t="shared" si="3"/>
        <v>15</v>
      </c>
      <c r="F10" s="28">
        <f t="shared" si="3"/>
        <v>10</v>
      </c>
      <c r="G10" s="28">
        <f t="shared" si="3"/>
        <v>25</v>
      </c>
      <c r="H10" s="27"/>
      <c r="I10" s="583">
        <f>I17+I24</f>
        <v>65</v>
      </c>
      <c r="J10" s="20">
        <f t="shared" si="4"/>
        <v>47</v>
      </c>
      <c r="K10" s="20">
        <f t="shared" si="4"/>
        <v>0</v>
      </c>
      <c r="L10" s="28">
        <f t="shared" si="4"/>
        <v>9</v>
      </c>
      <c r="M10" s="28">
        <f t="shared" si="4"/>
        <v>9</v>
      </c>
      <c r="N10" s="28">
        <f t="shared" si="4"/>
        <v>18</v>
      </c>
      <c r="O10" s="27"/>
      <c r="P10" s="583">
        <f>P17+P24</f>
        <v>34</v>
      </c>
      <c r="Q10" s="20">
        <f t="shared" si="5"/>
        <v>28</v>
      </c>
      <c r="R10" s="20">
        <f t="shared" si="5"/>
        <v>0</v>
      </c>
      <c r="S10" s="28">
        <f t="shared" si="5"/>
        <v>4</v>
      </c>
      <c r="T10" s="28">
        <f t="shared" si="5"/>
        <v>2</v>
      </c>
      <c r="U10" s="28">
        <f t="shared" si="5"/>
        <v>6</v>
      </c>
      <c r="V10" s="584" t="s">
        <v>1092</v>
      </c>
      <c r="W10" s="581"/>
      <c r="X10" s="581"/>
      <c r="Y10" s="581"/>
      <c r="Z10" s="581"/>
      <c r="AA10" s="581"/>
      <c r="AB10" s="581"/>
      <c r="AC10" s="581"/>
      <c r="AD10" s="581"/>
      <c r="AE10" s="581"/>
      <c r="AF10" s="581"/>
      <c r="AG10" s="581"/>
      <c r="AH10" s="581"/>
      <c r="AI10" s="581"/>
      <c r="AJ10" s="581"/>
      <c r="AK10" s="581"/>
      <c r="AL10" s="581"/>
      <c r="AM10" s="581"/>
      <c r="AN10" s="581"/>
      <c r="AO10" s="581"/>
      <c r="AP10" s="581"/>
      <c r="AQ10" s="581"/>
      <c r="AR10" s="581"/>
      <c r="AS10" s="581"/>
      <c r="AT10" s="581"/>
      <c r="AU10" s="581"/>
      <c r="AV10" s="581"/>
      <c r="AW10" s="581"/>
      <c r="AX10" s="581"/>
      <c r="AY10" s="581"/>
      <c r="AZ10" s="581"/>
      <c r="BA10" s="581"/>
      <c r="BB10" s="581"/>
      <c r="BC10" s="581"/>
      <c r="BD10" s="581"/>
      <c r="BE10" s="581"/>
      <c r="BF10" s="581"/>
      <c r="BG10" s="581"/>
      <c r="BH10" s="581"/>
      <c r="BI10" s="581"/>
      <c r="BJ10" s="581"/>
      <c r="BK10" s="581"/>
      <c r="BL10" s="581"/>
      <c r="BM10" s="581"/>
    </row>
    <row r="11" spans="1:65" ht="15.75">
      <c r="A11" s="582" t="s">
        <v>1093</v>
      </c>
      <c r="B11" s="583">
        <f t="shared" ref="B11:G14" si="6">B18+B25</f>
        <v>12</v>
      </c>
      <c r="C11" s="20">
        <f t="shared" si="6"/>
        <v>9</v>
      </c>
      <c r="D11" s="20">
        <f t="shared" si="6"/>
        <v>0</v>
      </c>
      <c r="E11" s="28">
        <f t="shared" si="6"/>
        <v>2</v>
      </c>
      <c r="F11" s="28">
        <f t="shared" si="6"/>
        <v>1</v>
      </c>
      <c r="G11" s="28">
        <f t="shared" si="6"/>
        <v>3</v>
      </c>
      <c r="H11" s="27"/>
      <c r="I11" s="583">
        <f t="shared" ref="I11:N14" si="7">I18+I25</f>
        <v>25</v>
      </c>
      <c r="J11" s="20">
        <f t="shared" si="7"/>
        <v>23</v>
      </c>
      <c r="K11" s="20">
        <f t="shared" si="7"/>
        <v>0</v>
      </c>
      <c r="L11" s="28">
        <f t="shared" si="7"/>
        <v>0</v>
      </c>
      <c r="M11" s="28">
        <f t="shared" si="7"/>
        <v>2</v>
      </c>
      <c r="N11" s="28">
        <f t="shared" si="7"/>
        <v>2</v>
      </c>
      <c r="O11" s="27"/>
      <c r="P11" s="583">
        <f t="shared" ref="P11:U14" si="8">P18+P25</f>
        <v>9</v>
      </c>
      <c r="Q11" s="20">
        <f t="shared" si="8"/>
        <v>9</v>
      </c>
      <c r="R11" s="20">
        <f t="shared" si="8"/>
        <v>0</v>
      </c>
      <c r="S11" s="28">
        <f t="shared" si="8"/>
        <v>0</v>
      </c>
      <c r="T11" s="28">
        <f t="shared" si="8"/>
        <v>0</v>
      </c>
      <c r="U11" s="28">
        <f t="shared" si="8"/>
        <v>0</v>
      </c>
      <c r="V11" s="584" t="s">
        <v>1094</v>
      </c>
      <c r="W11" s="581"/>
      <c r="X11" s="581"/>
      <c r="Y11" s="581"/>
      <c r="Z11" s="581"/>
      <c r="AA11" s="581"/>
      <c r="AB11" s="581"/>
      <c r="AC11" s="581"/>
      <c r="AD11" s="581"/>
      <c r="AE11" s="581"/>
      <c r="AF11" s="581"/>
      <c r="AG11" s="581"/>
      <c r="AH11" s="581"/>
      <c r="AI11" s="581"/>
      <c r="AJ11" s="581"/>
      <c r="AK11" s="581"/>
      <c r="AL11" s="581"/>
      <c r="AM11" s="581"/>
      <c r="AN11" s="581"/>
      <c r="AO11" s="581"/>
      <c r="AP11" s="581"/>
      <c r="AQ11" s="581"/>
      <c r="AR11" s="581"/>
      <c r="AS11" s="581"/>
      <c r="AT11" s="581"/>
      <c r="AU11" s="581"/>
      <c r="AV11" s="581"/>
      <c r="AW11" s="581"/>
      <c r="AX11" s="581"/>
      <c r="AY11" s="581"/>
      <c r="AZ11" s="581"/>
      <c r="BA11" s="581"/>
      <c r="BB11" s="581"/>
      <c r="BC11" s="581"/>
      <c r="BD11" s="581"/>
      <c r="BE11" s="581"/>
      <c r="BF11" s="581"/>
      <c r="BG11" s="581"/>
      <c r="BH11" s="581"/>
      <c r="BI11" s="581"/>
      <c r="BJ11" s="581"/>
      <c r="BK11" s="581"/>
      <c r="BL11" s="581"/>
      <c r="BM11" s="581"/>
    </row>
    <row r="12" spans="1:65" ht="15.75">
      <c r="A12" s="582" t="s">
        <v>1095</v>
      </c>
      <c r="B12" s="583">
        <f t="shared" si="6"/>
        <v>287</v>
      </c>
      <c r="C12" s="20">
        <f t="shared" si="6"/>
        <v>287</v>
      </c>
      <c r="D12" s="20">
        <f t="shared" si="6"/>
        <v>0</v>
      </c>
      <c r="E12" s="28">
        <f t="shared" si="6"/>
        <v>0</v>
      </c>
      <c r="F12" s="28">
        <f t="shared" si="6"/>
        <v>0</v>
      </c>
      <c r="G12" s="28">
        <f t="shared" si="6"/>
        <v>0</v>
      </c>
      <c r="H12" s="27"/>
      <c r="I12" s="583">
        <f t="shared" si="7"/>
        <v>155</v>
      </c>
      <c r="J12" s="20">
        <f t="shared" si="7"/>
        <v>153</v>
      </c>
      <c r="K12" s="20">
        <f t="shared" si="7"/>
        <v>0</v>
      </c>
      <c r="L12" s="28">
        <f t="shared" si="7"/>
        <v>1</v>
      </c>
      <c r="M12" s="28">
        <f t="shared" si="7"/>
        <v>1</v>
      </c>
      <c r="N12" s="28">
        <f t="shared" si="7"/>
        <v>2</v>
      </c>
      <c r="O12" s="27"/>
      <c r="P12" s="583">
        <f t="shared" si="8"/>
        <v>41</v>
      </c>
      <c r="Q12" s="20">
        <f t="shared" si="8"/>
        <v>41</v>
      </c>
      <c r="R12" s="20">
        <f t="shared" si="8"/>
        <v>0</v>
      </c>
      <c r="S12" s="28">
        <f t="shared" si="8"/>
        <v>0</v>
      </c>
      <c r="T12" s="28">
        <f t="shared" si="8"/>
        <v>0</v>
      </c>
      <c r="U12" s="28">
        <f t="shared" si="8"/>
        <v>0</v>
      </c>
      <c r="V12" s="584" t="s">
        <v>1096</v>
      </c>
      <c r="W12" s="581"/>
      <c r="X12" s="581"/>
      <c r="Y12" s="581"/>
      <c r="Z12" s="581"/>
      <c r="AA12" s="581"/>
      <c r="AB12" s="581"/>
      <c r="AC12" s="581"/>
      <c r="AD12" s="581"/>
      <c r="AE12" s="581"/>
      <c r="AF12" s="581"/>
      <c r="AG12" s="581"/>
      <c r="AH12" s="581"/>
      <c r="AI12" s="581"/>
      <c r="AJ12" s="581"/>
      <c r="AK12" s="581"/>
      <c r="AL12" s="581"/>
      <c r="AM12" s="581"/>
      <c r="AN12" s="581"/>
      <c r="AO12" s="581"/>
      <c r="AP12" s="581"/>
      <c r="AQ12" s="581"/>
      <c r="AR12" s="581"/>
      <c r="AS12" s="581"/>
      <c r="AT12" s="581"/>
      <c r="AU12" s="581"/>
      <c r="AV12" s="581"/>
      <c r="AW12" s="581"/>
      <c r="AX12" s="581"/>
      <c r="AY12" s="581"/>
      <c r="AZ12" s="581"/>
      <c r="BA12" s="581"/>
      <c r="BB12" s="581"/>
      <c r="BC12" s="581"/>
      <c r="BD12" s="581"/>
      <c r="BE12" s="581"/>
      <c r="BF12" s="581"/>
      <c r="BG12" s="581"/>
      <c r="BH12" s="581"/>
      <c r="BI12" s="581"/>
      <c r="BJ12" s="581"/>
      <c r="BK12" s="581"/>
      <c r="BL12" s="581"/>
      <c r="BM12" s="581"/>
    </row>
    <row r="13" spans="1:65" ht="15.75">
      <c r="A13" s="582" t="s">
        <v>1097</v>
      </c>
      <c r="B13" s="583">
        <f t="shared" si="6"/>
        <v>2</v>
      </c>
      <c r="C13" s="20">
        <f t="shared" si="6"/>
        <v>2</v>
      </c>
      <c r="D13" s="20">
        <f t="shared" si="6"/>
        <v>0</v>
      </c>
      <c r="E13" s="28">
        <f t="shared" si="6"/>
        <v>0</v>
      </c>
      <c r="F13" s="28">
        <f t="shared" si="6"/>
        <v>0</v>
      </c>
      <c r="G13" s="28">
        <f t="shared" si="6"/>
        <v>0</v>
      </c>
      <c r="H13" s="27"/>
      <c r="I13" s="583">
        <f t="shared" si="7"/>
        <v>10</v>
      </c>
      <c r="J13" s="20">
        <f t="shared" si="7"/>
        <v>9</v>
      </c>
      <c r="K13" s="20">
        <f t="shared" si="7"/>
        <v>0</v>
      </c>
      <c r="L13" s="28">
        <f t="shared" si="7"/>
        <v>1</v>
      </c>
      <c r="M13" s="28">
        <f t="shared" si="7"/>
        <v>0</v>
      </c>
      <c r="N13" s="28">
        <f t="shared" si="7"/>
        <v>1</v>
      </c>
      <c r="O13" s="27"/>
      <c r="P13" s="583">
        <f t="shared" si="8"/>
        <v>3</v>
      </c>
      <c r="Q13" s="20">
        <f t="shared" si="8"/>
        <v>3</v>
      </c>
      <c r="R13" s="20">
        <f t="shared" si="8"/>
        <v>0</v>
      </c>
      <c r="S13" s="28">
        <f t="shared" si="8"/>
        <v>0</v>
      </c>
      <c r="T13" s="28">
        <f t="shared" si="8"/>
        <v>0</v>
      </c>
      <c r="U13" s="28">
        <f t="shared" si="8"/>
        <v>0</v>
      </c>
      <c r="V13" s="584" t="s">
        <v>1098</v>
      </c>
      <c r="W13" s="581"/>
      <c r="X13" s="581"/>
      <c r="Y13" s="581"/>
      <c r="Z13" s="581"/>
      <c r="AA13" s="581"/>
      <c r="AB13" s="581"/>
      <c r="AC13" s="581"/>
      <c r="AD13" s="581"/>
      <c r="AE13" s="581"/>
      <c r="AF13" s="581"/>
      <c r="AG13" s="581"/>
      <c r="AH13" s="581"/>
      <c r="AI13" s="581"/>
      <c r="AJ13" s="581"/>
      <c r="AK13" s="581"/>
      <c r="AL13" s="581"/>
      <c r="AM13" s="581"/>
      <c r="AN13" s="581"/>
      <c r="AO13" s="581"/>
      <c r="AP13" s="581"/>
      <c r="AQ13" s="581"/>
      <c r="AR13" s="581"/>
      <c r="AS13" s="581"/>
      <c r="AT13" s="581"/>
      <c r="AU13" s="581"/>
      <c r="AV13" s="581"/>
      <c r="AW13" s="581"/>
      <c r="AX13" s="581"/>
      <c r="AY13" s="581"/>
      <c r="AZ13" s="581"/>
      <c r="BA13" s="581"/>
      <c r="BB13" s="581"/>
      <c r="BC13" s="581"/>
      <c r="BD13" s="581"/>
      <c r="BE13" s="581"/>
      <c r="BF13" s="581"/>
      <c r="BG13" s="581"/>
      <c r="BH13" s="581"/>
      <c r="BI13" s="581"/>
      <c r="BJ13" s="581"/>
      <c r="BK13" s="581"/>
      <c r="BL13" s="581"/>
      <c r="BM13" s="581"/>
    </row>
    <row r="14" spans="1:65" ht="15.75">
      <c r="A14" s="585" t="s">
        <v>1099</v>
      </c>
      <c r="B14" s="589">
        <f t="shared" si="6"/>
        <v>47</v>
      </c>
      <c r="C14" s="587">
        <f t="shared" si="6"/>
        <v>47</v>
      </c>
      <c r="D14" s="587">
        <f t="shared" si="6"/>
        <v>0</v>
      </c>
      <c r="E14" s="588">
        <f t="shared" si="6"/>
        <v>0</v>
      </c>
      <c r="F14" s="588">
        <f t="shared" si="6"/>
        <v>0</v>
      </c>
      <c r="G14" s="588">
        <f t="shared" si="6"/>
        <v>0</v>
      </c>
      <c r="H14" s="586"/>
      <c r="I14" s="589">
        <f t="shared" si="7"/>
        <v>90</v>
      </c>
      <c r="J14" s="587">
        <f t="shared" si="7"/>
        <v>89</v>
      </c>
      <c r="K14" s="587">
        <f t="shared" si="7"/>
        <v>0</v>
      </c>
      <c r="L14" s="588">
        <f t="shared" si="7"/>
        <v>1</v>
      </c>
      <c r="M14" s="588">
        <f t="shared" si="7"/>
        <v>0</v>
      </c>
      <c r="N14" s="588">
        <f t="shared" si="7"/>
        <v>1</v>
      </c>
      <c r="O14" s="586"/>
      <c r="P14" s="589">
        <f t="shared" si="8"/>
        <v>59</v>
      </c>
      <c r="Q14" s="587">
        <f t="shared" si="8"/>
        <v>59</v>
      </c>
      <c r="R14" s="587">
        <f t="shared" si="8"/>
        <v>0</v>
      </c>
      <c r="S14" s="588">
        <f t="shared" si="8"/>
        <v>0</v>
      </c>
      <c r="T14" s="588">
        <f t="shared" si="8"/>
        <v>0</v>
      </c>
      <c r="U14" s="588">
        <f t="shared" si="8"/>
        <v>0</v>
      </c>
      <c r="V14" s="590" t="s">
        <v>1100</v>
      </c>
      <c r="W14" s="581"/>
      <c r="X14" s="581"/>
      <c r="Y14" s="581"/>
      <c r="Z14" s="581"/>
      <c r="AA14" s="581"/>
      <c r="AB14" s="581"/>
      <c r="AC14" s="581"/>
      <c r="AD14" s="581"/>
      <c r="AE14" s="581"/>
      <c r="AF14" s="581"/>
      <c r="AG14" s="581"/>
      <c r="AH14" s="581"/>
      <c r="AI14" s="581"/>
      <c r="AJ14" s="581"/>
      <c r="AK14" s="581"/>
      <c r="AL14" s="581"/>
      <c r="AM14" s="581"/>
      <c r="AN14" s="581"/>
      <c r="AO14" s="581"/>
      <c r="AP14" s="581"/>
      <c r="AQ14" s="581"/>
      <c r="AR14" s="581"/>
      <c r="AS14" s="581"/>
      <c r="AT14" s="581"/>
      <c r="AU14" s="581"/>
      <c r="AV14" s="581"/>
      <c r="AW14" s="581"/>
      <c r="AX14" s="581"/>
      <c r="AY14" s="581"/>
      <c r="AZ14" s="581"/>
      <c r="BA14" s="581"/>
      <c r="BB14" s="581"/>
      <c r="BC14" s="581"/>
      <c r="BD14" s="581"/>
      <c r="BE14" s="581"/>
      <c r="BF14" s="581"/>
      <c r="BG14" s="581"/>
      <c r="BH14" s="581"/>
      <c r="BI14" s="581"/>
      <c r="BJ14" s="581"/>
      <c r="BK14" s="581"/>
      <c r="BL14" s="581"/>
      <c r="BM14" s="581"/>
    </row>
    <row r="15" spans="1:65" s="9" customFormat="1" ht="15.75">
      <c r="A15" s="591" t="s">
        <v>69</v>
      </c>
      <c r="B15" s="592">
        <f t="shared" ref="B15:B28" si="9">C15+D15+G15</f>
        <v>1189</v>
      </c>
      <c r="C15" s="27">
        <f>SUM(C16:C21)</f>
        <v>944</v>
      </c>
      <c r="D15" s="27">
        <f>SUM(D16:D21)</f>
        <v>1</v>
      </c>
      <c r="E15" s="27">
        <f>SUM(E16:E21)</f>
        <v>146</v>
      </c>
      <c r="F15" s="27">
        <f>SUM(F16:F21)</f>
        <v>98</v>
      </c>
      <c r="G15" s="27">
        <f>SUM(G16:G21)</f>
        <v>244</v>
      </c>
      <c r="H15" s="27"/>
      <c r="I15" s="592">
        <f t="shared" ref="I15:I28" si="10">J15+K15+N15</f>
        <v>1181</v>
      </c>
      <c r="J15" s="27">
        <f>SUM(J16:J21)</f>
        <v>956</v>
      </c>
      <c r="K15" s="27">
        <f>SUM(K16:K21)</f>
        <v>0</v>
      </c>
      <c r="L15" s="27">
        <f>SUM(L16:L21)</f>
        <v>105</v>
      </c>
      <c r="M15" s="27">
        <f>SUM(M16:M21)</f>
        <v>120</v>
      </c>
      <c r="N15" s="27">
        <f>SUM(N16:N21)</f>
        <v>225</v>
      </c>
      <c r="O15" s="27"/>
      <c r="P15" s="592">
        <f t="shared" ref="P15:P28" si="11">Q15+R15+U15</f>
        <v>599</v>
      </c>
      <c r="Q15" s="27">
        <f>SUM(Q16:Q21)</f>
        <v>493</v>
      </c>
      <c r="R15" s="27">
        <f>SUM(R16:R21)</f>
        <v>0</v>
      </c>
      <c r="S15" s="27">
        <f>SUM(S16:S21)</f>
        <v>63</v>
      </c>
      <c r="T15" s="27">
        <f>SUM(T16:T21)</f>
        <v>43</v>
      </c>
      <c r="U15" s="27">
        <f>SUM(U16:U21)</f>
        <v>106</v>
      </c>
      <c r="V15" s="593" t="s">
        <v>1101</v>
      </c>
      <c r="W15" s="594"/>
      <c r="X15" s="594"/>
      <c r="Y15" s="594"/>
      <c r="Z15" s="594"/>
      <c r="AA15" s="594"/>
      <c r="AB15" s="594"/>
      <c r="AC15" s="594"/>
      <c r="AD15" s="594"/>
      <c r="AE15" s="594"/>
      <c r="AF15" s="594"/>
      <c r="AG15" s="594"/>
      <c r="AH15" s="594"/>
      <c r="AI15" s="594"/>
      <c r="AJ15" s="594"/>
      <c r="AK15" s="594"/>
      <c r="AL15" s="594"/>
      <c r="AM15" s="594"/>
      <c r="AN15" s="594"/>
      <c r="AO15" s="594"/>
      <c r="AP15" s="594"/>
      <c r="AQ15" s="594"/>
      <c r="AR15" s="594"/>
      <c r="AS15" s="594"/>
      <c r="AT15" s="594"/>
      <c r="AU15" s="594"/>
      <c r="AV15" s="594"/>
      <c r="AW15" s="594"/>
      <c r="AX15" s="594"/>
      <c r="AY15" s="594"/>
      <c r="AZ15" s="594"/>
      <c r="BA15" s="594"/>
      <c r="BB15" s="594"/>
      <c r="BC15" s="594"/>
      <c r="BD15" s="594"/>
      <c r="BE15" s="594"/>
      <c r="BF15" s="594"/>
      <c r="BG15" s="594"/>
      <c r="BH15" s="594"/>
      <c r="BI15" s="595"/>
      <c r="BJ15" s="595"/>
      <c r="BK15" s="595"/>
    </row>
    <row r="16" spans="1:65" s="9" customFormat="1" ht="15.75">
      <c r="A16" s="36" t="s">
        <v>1089</v>
      </c>
      <c r="B16" s="592">
        <f t="shared" si="9"/>
        <v>790</v>
      </c>
      <c r="C16" s="596">
        <v>559</v>
      </c>
      <c r="D16" s="596">
        <v>1</v>
      </c>
      <c r="E16" s="596">
        <v>135</v>
      </c>
      <c r="F16" s="596">
        <v>95</v>
      </c>
      <c r="G16" s="28">
        <f t="shared" ref="G16:G21" si="12">F16+E16</f>
        <v>230</v>
      </c>
      <c r="H16" s="28"/>
      <c r="I16" s="592">
        <f t="shared" si="10"/>
        <v>861</v>
      </c>
      <c r="J16" s="596">
        <v>649</v>
      </c>
      <c r="K16" s="596">
        <v>0</v>
      </c>
      <c r="L16" s="596">
        <v>100</v>
      </c>
      <c r="M16" s="596">
        <v>112</v>
      </c>
      <c r="N16" s="28">
        <f t="shared" ref="N16:N21" si="13">M16+L16</f>
        <v>212</v>
      </c>
      <c r="O16" s="28"/>
      <c r="P16" s="592">
        <f t="shared" si="11"/>
        <v>456</v>
      </c>
      <c r="Q16" s="596">
        <v>355</v>
      </c>
      <c r="R16" s="596">
        <v>0</v>
      </c>
      <c r="S16" s="596">
        <v>60</v>
      </c>
      <c r="T16" s="596">
        <v>41</v>
      </c>
      <c r="U16" s="28">
        <f t="shared" ref="U16:U21" si="14">T16+S16</f>
        <v>101</v>
      </c>
      <c r="V16" s="584" t="s">
        <v>1090</v>
      </c>
      <c r="W16" s="597"/>
      <c r="X16" s="597"/>
      <c r="Y16" s="597"/>
      <c r="Z16" s="597"/>
      <c r="AA16" s="597"/>
      <c r="AB16" s="597"/>
      <c r="AC16" s="597"/>
      <c r="AD16" s="597"/>
      <c r="AE16" s="597"/>
      <c r="AF16" s="597"/>
      <c r="AG16" s="597"/>
      <c r="AH16" s="597"/>
      <c r="AI16" s="597"/>
      <c r="AJ16" s="597"/>
      <c r="AK16" s="597"/>
      <c r="AL16" s="597"/>
      <c r="AM16" s="597"/>
      <c r="AN16" s="597"/>
      <c r="AO16" s="597"/>
      <c r="AP16" s="597"/>
      <c r="AQ16" s="597"/>
      <c r="AR16" s="597"/>
      <c r="AS16" s="597"/>
      <c r="AT16" s="597"/>
      <c r="AU16" s="597"/>
      <c r="AV16" s="597"/>
      <c r="AW16" s="597"/>
      <c r="AX16" s="597"/>
      <c r="AY16" s="597"/>
      <c r="AZ16" s="597"/>
      <c r="BA16" s="597"/>
      <c r="BB16" s="597"/>
      <c r="BC16" s="597"/>
      <c r="BD16" s="597"/>
      <c r="BE16" s="597"/>
      <c r="BF16" s="597"/>
      <c r="BG16" s="596"/>
      <c r="BH16" s="596"/>
      <c r="BI16" s="598"/>
      <c r="BJ16" s="599"/>
      <c r="BK16" s="599"/>
    </row>
    <row r="17" spans="1:63" s="9" customFormat="1" ht="18.75" customHeight="1">
      <c r="A17" s="36" t="s">
        <v>1091</v>
      </c>
      <c r="B17" s="592">
        <f t="shared" si="9"/>
        <v>78</v>
      </c>
      <c r="C17" s="596">
        <v>67</v>
      </c>
      <c r="D17" s="596">
        <v>0</v>
      </c>
      <c r="E17" s="596">
        <v>9</v>
      </c>
      <c r="F17" s="596">
        <v>2</v>
      </c>
      <c r="G17" s="28">
        <f t="shared" si="12"/>
        <v>11</v>
      </c>
      <c r="H17" s="28"/>
      <c r="I17" s="592">
        <f t="shared" si="10"/>
        <v>54</v>
      </c>
      <c r="J17" s="596">
        <v>47</v>
      </c>
      <c r="K17" s="596">
        <v>0</v>
      </c>
      <c r="L17" s="596">
        <v>2</v>
      </c>
      <c r="M17" s="596">
        <v>5</v>
      </c>
      <c r="N17" s="28">
        <f t="shared" si="13"/>
        <v>7</v>
      </c>
      <c r="O17" s="28"/>
      <c r="P17" s="592">
        <f t="shared" si="11"/>
        <v>32</v>
      </c>
      <c r="Q17" s="596">
        <v>27</v>
      </c>
      <c r="R17" s="596">
        <v>0</v>
      </c>
      <c r="S17" s="596">
        <v>3</v>
      </c>
      <c r="T17" s="596">
        <v>2</v>
      </c>
      <c r="U17" s="28">
        <f t="shared" si="14"/>
        <v>5</v>
      </c>
      <c r="V17" s="584" t="s">
        <v>1092</v>
      </c>
      <c r="W17" s="597"/>
      <c r="X17" s="597"/>
      <c r="Y17" s="597"/>
      <c r="Z17" s="597"/>
      <c r="AA17" s="597"/>
      <c r="AB17" s="597"/>
      <c r="AC17" s="597"/>
      <c r="AD17" s="597"/>
      <c r="AE17" s="597"/>
      <c r="AF17" s="597"/>
      <c r="AG17" s="597"/>
      <c r="AH17" s="597"/>
      <c r="AI17" s="597"/>
      <c r="AJ17" s="597"/>
      <c r="AK17" s="597"/>
      <c r="AL17" s="597"/>
      <c r="AM17" s="597"/>
      <c r="AN17" s="597"/>
      <c r="AO17" s="597"/>
      <c r="AP17" s="597"/>
      <c r="AQ17" s="597"/>
      <c r="AR17" s="597"/>
      <c r="AS17" s="597"/>
      <c r="AT17" s="597"/>
      <c r="AU17" s="597"/>
      <c r="AV17" s="597"/>
      <c r="AW17" s="597"/>
      <c r="AX17" s="597"/>
      <c r="AY17" s="597"/>
      <c r="AZ17" s="597"/>
      <c r="BA17" s="597"/>
      <c r="BB17" s="597"/>
      <c r="BC17" s="597"/>
      <c r="BD17" s="597"/>
      <c r="BE17" s="597"/>
      <c r="BF17" s="597"/>
      <c r="BG17" s="596"/>
      <c r="BH17" s="596"/>
      <c r="BI17" s="598"/>
      <c r="BJ17" s="599"/>
      <c r="BK17" s="599"/>
    </row>
    <row r="18" spans="1:63" s="9" customFormat="1" ht="18.75" customHeight="1">
      <c r="A18" s="36" t="s">
        <v>1093</v>
      </c>
      <c r="B18" s="592">
        <f t="shared" si="9"/>
        <v>11</v>
      </c>
      <c r="C18" s="596">
        <v>8</v>
      </c>
      <c r="D18" s="596">
        <v>0</v>
      </c>
      <c r="E18" s="596">
        <v>2</v>
      </c>
      <c r="F18" s="596">
        <v>1</v>
      </c>
      <c r="G18" s="28">
        <f t="shared" si="12"/>
        <v>3</v>
      </c>
      <c r="H18" s="28"/>
      <c r="I18" s="592">
        <f t="shared" si="10"/>
        <v>25</v>
      </c>
      <c r="J18" s="596">
        <v>23</v>
      </c>
      <c r="K18" s="596">
        <v>0</v>
      </c>
      <c r="L18" s="596">
        <v>0</v>
      </c>
      <c r="M18" s="596">
        <v>2</v>
      </c>
      <c r="N18" s="28">
        <f t="shared" si="13"/>
        <v>2</v>
      </c>
      <c r="O18" s="28"/>
      <c r="P18" s="592">
        <f t="shared" si="11"/>
        <v>9</v>
      </c>
      <c r="Q18" s="596">
        <v>9</v>
      </c>
      <c r="R18" s="596">
        <v>0</v>
      </c>
      <c r="S18" s="596">
        <v>0</v>
      </c>
      <c r="T18" s="596">
        <v>0</v>
      </c>
      <c r="U18" s="28">
        <f t="shared" si="14"/>
        <v>0</v>
      </c>
      <c r="V18" s="584" t="s">
        <v>1094</v>
      </c>
      <c r="W18" s="597"/>
      <c r="X18" s="597"/>
      <c r="Y18" s="597"/>
      <c r="Z18" s="597"/>
      <c r="AA18" s="597"/>
      <c r="AB18" s="597"/>
      <c r="AC18" s="597"/>
      <c r="AD18" s="597"/>
      <c r="AE18" s="597"/>
      <c r="AF18" s="597"/>
      <c r="AG18" s="597"/>
      <c r="AH18" s="597"/>
      <c r="AI18" s="597"/>
      <c r="AJ18" s="597"/>
      <c r="AK18" s="597"/>
      <c r="AL18" s="597"/>
      <c r="AM18" s="597"/>
      <c r="AN18" s="597"/>
      <c r="AO18" s="597"/>
      <c r="AP18" s="597"/>
      <c r="AQ18" s="597"/>
      <c r="AR18" s="597"/>
      <c r="AS18" s="597"/>
      <c r="AT18" s="597"/>
      <c r="AU18" s="597"/>
      <c r="AV18" s="597"/>
      <c r="AW18" s="597"/>
      <c r="AX18" s="597"/>
      <c r="AY18" s="597"/>
      <c r="AZ18" s="597"/>
      <c r="BA18" s="597"/>
      <c r="BB18" s="597"/>
      <c r="BC18" s="597"/>
      <c r="BD18" s="597"/>
      <c r="BE18" s="597"/>
      <c r="BF18" s="597"/>
      <c r="BG18" s="596"/>
      <c r="BH18" s="596"/>
      <c r="BI18" s="598"/>
      <c r="BJ18" s="599"/>
      <c r="BK18" s="599"/>
    </row>
    <row r="19" spans="1:63" s="9" customFormat="1" ht="18.75" customHeight="1">
      <c r="A19" s="36" t="s">
        <v>1095</v>
      </c>
      <c r="B19" s="592">
        <f t="shared" si="9"/>
        <v>264</v>
      </c>
      <c r="C19" s="28">
        <v>264</v>
      </c>
      <c r="D19" s="28">
        <v>0</v>
      </c>
      <c r="E19" s="596">
        <v>0</v>
      </c>
      <c r="F19" s="596">
        <v>0</v>
      </c>
      <c r="G19" s="28">
        <f t="shared" si="12"/>
        <v>0</v>
      </c>
      <c r="H19" s="28"/>
      <c r="I19" s="592">
        <f t="shared" si="10"/>
        <v>143</v>
      </c>
      <c r="J19" s="28">
        <v>141</v>
      </c>
      <c r="K19" s="28">
        <v>0</v>
      </c>
      <c r="L19" s="596">
        <v>1</v>
      </c>
      <c r="M19" s="596">
        <v>1</v>
      </c>
      <c r="N19" s="28">
        <f t="shared" si="13"/>
        <v>2</v>
      </c>
      <c r="O19" s="28"/>
      <c r="P19" s="592">
        <f t="shared" si="11"/>
        <v>41</v>
      </c>
      <c r="Q19" s="28">
        <v>41</v>
      </c>
      <c r="R19" s="28">
        <v>0</v>
      </c>
      <c r="S19" s="596">
        <v>0</v>
      </c>
      <c r="T19" s="596">
        <v>0</v>
      </c>
      <c r="U19" s="28">
        <f t="shared" si="14"/>
        <v>0</v>
      </c>
      <c r="V19" s="584" t="s">
        <v>1096</v>
      </c>
      <c r="W19" s="597"/>
      <c r="X19" s="597"/>
      <c r="Y19" s="597"/>
      <c r="Z19" s="597"/>
      <c r="AA19" s="597"/>
      <c r="AB19" s="597"/>
      <c r="AC19" s="597"/>
      <c r="AD19" s="597"/>
      <c r="AE19" s="597"/>
      <c r="AF19" s="597"/>
      <c r="AG19" s="597"/>
      <c r="AH19" s="597"/>
      <c r="AI19" s="597"/>
      <c r="AJ19" s="597"/>
      <c r="AK19" s="597"/>
      <c r="AL19" s="597"/>
      <c r="AM19" s="597"/>
      <c r="AN19" s="597"/>
      <c r="AO19" s="597"/>
      <c r="AP19" s="597"/>
      <c r="AQ19" s="597"/>
      <c r="AR19" s="597"/>
      <c r="AS19" s="597"/>
      <c r="AT19" s="597"/>
      <c r="AU19" s="597"/>
      <c r="AV19" s="597"/>
      <c r="AW19" s="597"/>
      <c r="AX19" s="597"/>
      <c r="AY19" s="597"/>
      <c r="AZ19" s="597"/>
      <c r="BA19" s="597"/>
      <c r="BB19" s="597"/>
      <c r="BC19" s="597"/>
      <c r="BD19" s="597"/>
      <c r="BE19" s="597"/>
      <c r="BF19" s="597"/>
      <c r="BG19" s="28"/>
      <c r="BH19" s="28"/>
      <c r="BI19" s="598"/>
      <c r="BJ19" s="599"/>
      <c r="BK19" s="599"/>
    </row>
    <row r="20" spans="1:63" s="9" customFormat="1" ht="18.75" customHeight="1">
      <c r="A20" s="36" t="s">
        <v>1097</v>
      </c>
      <c r="B20" s="592">
        <f t="shared" si="9"/>
        <v>2</v>
      </c>
      <c r="C20" s="28">
        <v>2</v>
      </c>
      <c r="D20" s="28">
        <v>0</v>
      </c>
      <c r="E20" s="596">
        <v>0</v>
      </c>
      <c r="F20" s="596">
        <v>0</v>
      </c>
      <c r="G20" s="28">
        <f t="shared" si="12"/>
        <v>0</v>
      </c>
      <c r="H20" s="28"/>
      <c r="I20" s="592">
        <f t="shared" si="10"/>
        <v>10</v>
      </c>
      <c r="J20" s="28">
        <v>9</v>
      </c>
      <c r="K20" s="28">
        <v>0</v>
      </c>
      <c r="L20" s="596">
        <v>1</v>
      </c>
      <c r="M20" s="596">
        <v>0</v>
      </c>
      <c r="N20" s="28">
        <f t="shared" si="13"/>
        <v>1</v>
      </c>
      <c r="O20" s="28"/>
      <c r="P20" s="592">
        <f t="shared" si="11"/>
        <v>3</v>
      </c>
      <c r="Q20" s="28">
        <v>3</v>
      </c>
      <c r="R20" s="28">
        <v>0</v>
      </c>
      <c r="S20" s="596">
        <v>0</v>
      </c>
      <c r="T20" s="596">
        <v>0</v>
      </c>
      <c r="U20" s="28">
        <f t="shared" si="14"/>
        <v>0</v>
      </c>
      <c r="V20" s="584" t="s">
        <v>1098</v>
      </c>
      <c r="W20" s="597"/>
      <c r="X20" s="597"/>
      <c r="Y20" s="597"/>
      <c r="Z20" s="597"/>
      <c r="AA20" s="597"/>
      <c r="AB20" s="597"/>
      <c r="AC20" s="597"/>
      <c r="AD20" s="597"/>
      <c r="AE20" s="597"/>
      <c r="AF20" s="597"/>
      <c r="AG20" s="597"/>
      <c r="AH20" s="597"/>
      <c r="AI20" s="597"/>
      <c r="AJ20" s="597"/>
      <c r="AK20" s="597"/>
      <c r="AL20" s="597"/>
      <c r="AM20" s="597"/>
      <c r="AN20" s="597"/>
      <c r="AO20" s="597"/>
      <c r="AP20" s="597"/>
      <c r="AQ20" s="597"/>
      <c r="AR20" s="597"/>
      <c r="AS20" s="597"/>
      <c r="AT20" s="597"/>
      <c r="AU20" s="597"/>
      <c r="AV20" s="597"/>
      <c r="AW20" s="597"/>
      <c r="AX20" s="597"/>
      <c r="AY20" s="597"/>
      <c r="AZ20" s="597"/>
      <c r="BA20" s="597"/>
      <c r="BB20" s="597"/>
      <c r="BC20" s="597"/>
      <c r="BD20" s="597"/>
      <c r="BE20" s="597"/>
      <c r="BF20" s="597"/>
      <c r="BG20" s="28"/>
      <c r="BH20" s="28"/>
      <c r="BI20" s="598"/>
      <c r="BJ20" s="599"/>
      <c r="BK20" s="599"/>
    </row>
    <row r="21" spans="1:63" s="9" customFormat="1" ht="18.75" customHeight="1">
      <c r="A21" s="600" t="s">
        <v>1099</v>
      </c>
      <c r="B21" s="602">
        <f t="shared" si="9"/>
        <v>44</v>
      </c>
      <c r="C21" s="588">
        <v>44</v>
      </c>
      <c r="D21" s="588">
        <v>0</v>
      </c>
      <c r="E21" s="601">
        <v>0</v>
      </c>
      <c r="F21" s="601">
        <v>0</v>
      </c>
      <c r="G21" s="588">
        <f t="shared" si="12"/>
        <v>0</v>
      </c>
      <c r="H21" s="588"/>
      <c r="I21" s="602">
        <f t="shared" si="10"/>
        <v>88</v>
      </c>
      <c r="J21" s="588">
        <v>87</v>
      </c>
      <c r="K21" s="588">
        <v>0</v>
      </c>
      <c r="L21" s="601">
        <v>1</v>
      </c>
      <c r="M21" s="601">
        <v>0</v>
      </c>
      <c r="N21" s="588">
        <f t="shared" si="13"/>
        <v>1</v>
      </c>
      <c r="O21" s="588"/>
      <c r="P21" s="602">
        <f t="shared" si="11"/>
        <v>58</v>
      </c>
      <c r="Q21" s="588">
        <v>58</v>
      </c>
      <c r="R21" s="588">
        <v>0</v>
      </c>
      <c r="S21" s="601">
        <v>0</v>
      </c>
      <c r="T21" s="601">
        <v>0</v>
      </c>
      <c r="U21" s="588">
        <f t="shared" si="14"/>
        <v>0</v>
      </c>
      <c r="V21" s="590" t="s">
        <v>1100</v>
      </c>
      <c r="W21" s="597"/>
      <c r="X21" s="597"/>
      <c r="Y21" s="597"/>
      <c r="Z21" s="597"/>
      <c r="AA21" s="597"/>
      <c r="AB21" s="597"/>
      <c r="AC21" s="597"/>
      <c r="AD21" s="597"/>
      <c r="AE21" s="597"/>
      <c r="AF21" s="597"/>
      <c r="AG21" s="597"/>
      <c r="AH21" s="597"/>
      <c r="AI21" s="597"/>
      <c r="AJ21" s="597"/>
      <c r="AK21" s="597"/>
      <c r="AL21" s="597"/>
      <c r="AM21" s="597"/>
      <c r="AN21" s="597"/>
      <c r="AO21" s="597"/>
      <c r="AP21" s="597"/>
      <c r="AQ21" s="597"/>
      <c r="AR21" s="597"/>
      <c r="AS21" s="597"/>
      <c r="AT21" s="597"/>
      <c r="AU21" s="597"/>
      <c r="AV21" s="597"/>
      <c r="AW21" s="597"/>
      <c r="AX21" s="597"/>
      <c r="AY21" s="597"/>
      <c r="AZ21" s="597"/>
      <c r="BA21" s="597"/>
      <c r="BB21" s="597"/>
      <c r="BC21" s="597"/>
      <c r="BD21" s="597"/>
      <c r="BE21" s="597"/>
      <c r="BF21" s="597"/>
      <c r="BG21" s="28"/>
      <c r="BH21" s="28"/>
      <c r="BI21" s="598"/>
      <c r="BJ21" s="599"/>
      <c r="BK21" s="599"/>
    </row>
    <row r="22" spans="1:63" s="9" customFormat="1" ht="18.75" customHeight="1">
      <c r="A22" s="591" t="s">
        <v>70</v>
      </c>
      <c r="B22" s="592">
        <f t="shared" si="9"/>
        <v>73</v>
      </c>
      <c r="C22" s="27">
        <f>SUM(C23:C28)</f>
        <v>44</v>
      </c>
      <c r="D22" s="27">
        <f>SUM(D23:D28)</f>
        <v>0</v>
      </c>
      <c r="E22" s="27">
        <f>SUM(E23:E28)</f>
        <v>11</v>
      </c>
      <c r="F22" s="27">
        <f>SUM(F23:F28)</f>
        <v>18</v>
      </c>
      <c r="G22" s="28">
        <f>SUM(G23:G28)</f>
        <v>29</v>
      </c>
      <c r="H22" s="28"/>
      <c r="I22" s="592">
        <f t="shared" si="10"/>
        <v>60</v>
      </c>
      <c r="J22" s="27">
        <f>SUM(J23:J28)</f>
        <v>35</v>
      </c>
      <c r="K22" s="27">
        <f>SUM(K23:K28)</f>
        <v>1</v>
      </c>
      <c r="L22" s="27">
        <f>SUM(L23:L28)</f>
        <v>12</v>
      </c>
      <c r="M22" s="27">
        <f>SUM(M23:M28)</f>
        <v>12</v>
      </c>
      <c r="N22" s="28">
        <f>SUM(N23:N28)</f>
        <v>24</v>
      </c>
      <c r="O22" s="28"/>
      <c r="P22" s="592">
        <f t="shared" si="11"/>
        <v>12</v>
      </c>
      <c r="Q22" s="27">
        <f>SUM(Q23:Q28)</f>
        <v>10</v>
      </c>
      <c r="R22" s="27">
        <f>SUM(R23:R28)</f>
        <v>0</v>
      </c>
      <c r="S22" s="27">
        <f>SUM(S23:S28)</f>
        <v>2</v>
      </c>
      <c r="T22" s="27">
        <f>SUM(T23:T28)</f>
        <v>0</v>
      </c>
      <c r="U22" s="28">
        <f>SUM(U23:U28)</f>
        <v>2</v>
      </c>
      <c r="V22" s="593" t="s">
        <v>1102</v>
      </c>
      <c r="W22" s="594"/>
      <c r="X22" s="594"/>
      <c r="Y22" s="594"/>
      <c r="Z22" s="594"/>
      <c r="AA22" s="594"/>
      <c r="AB22" s="594"/>
      <c r="AC22" s="594"/>
      <c r="AD22" s="594"/>
      <c r="AE22" s="594"/>
      <c r="AF22" s="594"/>
      <c r="AG22" s="594"/>
      <c r="AH22" s="594"/>
      <c r="AI22" s="594"/>
      <c r="AJ22" s="594"/>
      <c r="AK22" s="594"/>
      <c r="AL22" s="594"/>
      <c r="AM22" s="594"/>
      <c r="AN22" s="594"/>
      <c r="AO22" s="594"/>
      <c r="AP22" s="594"/>
      <c r="AQ22" s="594"/>
      <c r="AR22" s="594"/>
      <c r="AS22" s="594"/>
      <c r="AT22" s="594"/>
      <c r="AU22" s="594"/>
      <c r="AV22" s="594"/>
      <c r="AW22" s="594"/>
      <c r="AX22" s="594"/>
      <c r="AY22" s="594"/>
      <c r="AZ22" s="594"/>
      <c r="BA22" s="594"/>
      <c r="BB22" s="594"/>
      <c r="BC22" s="594"/>
      <c r="BD22" s="594"/>
      <c r="BE22" s="594"/>
      <c r="BF22" s="594"/>
      <c r="BG22" s="594"/>
      <c r="BH22" s="594"/>
      <c r="BI22" s="595"/>
      <c r="BJ22" s="595"/>
      <c r="BK22" s="595"/>
    </row>
    <row r="23" spans="1:63" ht="18.75" customHeight="1">
      <c r="A23" s="582" t="s">
        <v>1089</v>
      </c>
      <c r="B23" s="583">
        <f t="shared" si="9"/>
        <v>31</v>
      </c>
      <c r="C23" s="603">
        <v>16</v>
      </c>
      <c r="D23" s="604">
        <v>0</v>
      </c>
      <c r="E23" s="596">
        <v>5</v>
      </c>
      <c r="F23" s="596">
        <v>10</v>
      </c>
      <c r="G23" s="28">
        <f t="shared" ref="G23:G28" si="15">E23+F23</f>
        <v>15</v>
      </c>
      <c r="H23" s="28"/>
      <c r="I23" s="583">
        <f t="shared" si="10"/>
        <v>35</v>
      </c>
      <c r="J23" s="603">
        <v>21</v>
      </c>
      <c r="K23" s="604">
        <v>1</v>
      </c>
      <c r="L23" s="596">
        <v>5</v>
      </c>
      <c r="M23" s="596">
        <v>8</v>
      </c>
      <c r="N23" s="28">
        <f t="shared" ref="N23:N28" si="16">L23+M23</f>
        <v>13</v>
      </c>
      <c r="O23" s="28"/>
      <c r="P23" s="583">
        <f t="shared" si="11"/>
        <v>9</v>
      </c>
      <c r="Q23" s="603">
        <v>8</v>
      </c>
      <c r="R23" s="604">
        <v>0</v>
      </c>
      <c r="S23" s="596">
        <v>1</v>
      </c>
      <c r="T23" s="596">
        <v>0</v>
      </c>
      <c r="U23" s="28">
        <f t="shared" ref="U23:U28" si="17">S23+T23</f>
        <v>1</v>
      </c>
      <c r="V23" s="584" t="s">
        <v>1090</v>
      </c>
      <c r="W23" s="605"/>
      <c r="X23" s="605"/>
      <c r="Y23" s="605"/>
      <c r="Z23" s="605"/>
      <c r="AA23" s="605"/>
      <c r="AB23" s="605"/>
      <c r="AC23" s="605"/>
      <c r="AD23" s="605"/>
      <c r="AE23" s="605"/>
      <c r="AF23" s="605"/>
      <c r="AG23" s="605"/>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5"/>
      <c r="BD23" s="605"/>
      <c r="BE23" s="605"/>
      <c r="BF23" s="605"/>
      <c r="BG23" s="603"/>
      <c r="BH23" s="603"/>
      <c r="BI23" s="606"/>
      <c r="BJ23" s="607"/>
      <c r="BK23" s="607"/>
    </row>
    <row r="24" spans="1:63" ht="18.75" customHeight="1">
      <c r="A24" s="582" t="s">
        <v>1091</v>
      </c>
      <c r="B24" s="583">
        <f t="shared" si="9"/>
        <v>15</v>
      </c>
      <c r="C24" s="603">
        <v>1</v>
      </c>
      <c r="D24" s="604">
        <v>0</v>
      </c>
      <c r="E24" s="596">
        <v>6</v>
      </c>
      <c r="F24" s="596">
        <v>8</v>
      </c>
      <c r="G24" s="28">
        <f t="shared" si="15"/>
        <v>14</v>
      </c>
      <c r="H24" s="28"/>
      <c r="I24" s="583">
        <f t="shared" si="10"/>
        <v>11</v>
      </c>
      <c r="J24" s="603">
        <v>0</v>
      </c>
      <c r="K24" s="604">
        <v>0</v>
      </c>
      <c r="L24" s="596">
        <v>7</v>
      </c>
      <c r="M24" s="596">
        <v>4</v>
      </c>
      <c r="N24" s="28">
        <f t="shared" si="16"/>
        <v>11</v>
      </c>
      <c r="O24" s="28"/>
      <c r="P24" s="583">
        <f t="shared" si="11"/>
        <v>2</v>
      </c>
      <c r="Q24" s="603">
        <v>1</v>
      </c>
      <c r="R24" s="604">
        <v>0</v>
      </c>
      <c r="S24" s="596">
        <v>1</v>
      </c>
      <c r="T24" s="596">
        <v>0</v>
      </c>
      <c r="U24" s="28">
        <f t="shared" si="17"/>
        <v>1</v>
      </c>
      <c r="V24" s="584" t="s">
        <v>1092</v>
      </c>
      <c r="W24" s="605"/>
      <c r="X24" s="605"/>
      <c r="Y24" s="605"/>
      <c r="Z24" s="605"/>
      <c r="AA24" s="605"/>
      <c r="AB24" s="605"/>
      <c r="AC24" s="605"/>
      <c r="AD24" s="605"/>
      <c r="AE24" s="605"/>
      <c r="AF24" s="605"/>
      <c r="AG24" s="605"/>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5"/>
      <c r="BD24" s="605"/>
      <c r="BE24" s="605"/>
      <c r="BF24" s="605"/>
      <c r="BG24" s="603"/>
      <c r="BH24" s="603"/>
      <c r="BI24" s="606"/>
      <c r="BJ24" s="607"/>
      <c r="BK24" s="607"/>
    </row>
    <row r="25" spans="1:63" ht="18.75" customHeight="1">
      <c r="A25" s="582" t="s">
        <v>1093</v>
      </c>
      <c r="B25" s="583">
        <f t="shared" si="9"/>
        <v>1</v>
      </c>
      <c r="C25" s="603">
        <v>1</v>
      </c>
      <c r="D25" s="604">
        <v>0</v>
      </c>
      <c r="E25" s="596">
        <v>0</v>
      </c>
      <c r="F25" s="608">
        <v>0</v>
      </c>
      <c r="G25" s="28">
        <f t="shared" si="15"/>
        <v>0</v>
      </c>
      <c r="H25" s="28"/>
      <c r="I25" s="583">
        <f t="shared" si="10"/>
        <v>0</v>
      </c>
      <c r="J25" s="603">
        <v>0</v>
      </c>
      <c r="K25" s="604">
        <v>0</v>
      </c>
      <c r="L25" s="596">
        <v>0</v>
      </c>
      <c r="M25" s="608">
        <v>0</v>
      </c>
      <c r="N25" s="28">
        <f t="shared" si="16"/>
        <v>0</v>
      </c>
      <c r="O25" s="28"/>
      <c r="P25" s="583">
        <f t="shared" si="11"/>
        <v>0</v>
      </c>
      <c r="Q25" s="603">
        <v>0</v>
      </c>
      <c r="R25" s="604">
        <v>0</v>
      </c>
      <c r="S25" s="596">
        <v>0</v>
      </c>
      <c r="T25" s="608">
        <v>0</v>
      </c>
      <c r="U25" s="28">
        <f t="shared" si="17"/>
        <v>0</v>
      </c>
      <c r="V25" s="584" t="s">
        <v>1094</v>
      </c>
      <c r="W25" s="605"/>
      <c r="X25" s="605"/>
      <c r="Y25" s="605"/>
      <c r="Z25" s="605"/>
      <c r="AA25" s="605"/>
      <c r="AB25" s="605"/>
      <c r="AC25" s="605"/>
      <c r="AD25" s="605"/>
      <c r="AE25" s="605"/>
      <c r="AF25" s="605"/>
      <c r="AG25" s="605"/>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5"/>
      <c r="BD25" s="605"/>
      <c r="BE25" s="605"/>
      <c r="BF25" s="605"/>
      <c r="BG25" s="603"/>
      <c r="BH25" s="603"/>
      <c r="BI25" s="606"/>
      <c r="BJ25" s="607"/>
      <c r="BK25" s="609"/>
    </row>
    <row r="26" spans="1:63" ht="18.75" customHeight="1">
      <c r="A26" s="582" t="s">
        <v>1095</v>
      </c>
      <c r="B26" s="583">
        <f t="shared" si="9"/>
        <v>23</v>
      </c>
      <c r="C26" s="603">
        <v>23</v>
      </c>
      <c r="D26" s="603">
        <v>0</v>
      </c>
      <c r="E26" s="596">
        <v>0</v>
      </c>
      <c r="F26" s="596">
        <v>0</v>
      </c>
      <c r="G26" s="28">
        <f t="shared" si="15"/>
        <v>0</v>
      </c>
      <c r="H26" s="28"/>
      <c r="I26" s="583">
        <f t="shared" si="10"/>
        <v>12</v>
      </c>
      <c r="J26" s="603">
        <v>12</v>
      </c>
      <c r="K26" s="603">
        <v>0</v>
      </c>
      <c r="L26" s="596">
        <v>0</v>
      </c>
      <c r="M26" s="596">
        <v>0</v>
      </c>
      <c r="N26" s="28">
        <f t="shared" si="16"/>
        <v>0</v>
      </c>
      <c r="O26" s="28"/>
      <c r="P26" s="583">
        <f t="shared" si="11"/>
        <v>0</v>
      </c>
      <c r="Q26" s="603">
        <v>0</v>
      </c>
      <c r="R26" s="603">
        <v>0</v>
      </c>
      <c r="S26" s="596">
        <v>0</v>
      </c>
      <c r="T26" s="596">
        <v>0</v>
      </c>
      <c r="U26" s="28">
        <f t="shared" si="17"/>
        <v>0</v>
      </c>
      <c r="V26" s="584" t="s">
        <v>1096</v>
      </c>
      <c r="W26" s="605"/>
      <c r="X26" s="605"/>
      <c r="Y26" s="605"/>
      <c r="Z26" s="605"/>
      <c r="AA26" s="605"/>
      <c r="AB26" s="605"/>
      <c r="AC26" s="605"/>
      <c r="AD26" s="605"/>
      <c r="AE26" s="605"/>
      <c r="AF26" s="605"/>
      <c r="AG26" s="605"/>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5"/>
      <c r="BD26" s="605"/>
      <c r="BE26" s="605"/>
      <c r="BF26" s="605"/>
      <c r="BG26" s="603"/>
      <c r="BH26" s="603"/>
      <c r="BI26" s="606"/>
      <c r="BJ26" s="607"/>
      <c r="BK26" s="607"/>
    </row>
    <row r="27" spans="1:63" ht="18.75" customHeight="1">
      <c r="A27" s="582" t="s">
        <v>1097</v>
      </c>
      <c r="B27" s="583">
        <f t="shared" si="9"/>
        <v>0</v>
      </c>
      <c r="C27" s="603">
        <v>0</v>
      </c>
      <c r="D27" s="603">
        <v>0</v>
      </c>
      <c r="E27" s="596">
        <v>0</v>
      </c>
      <c r="F27" s="596">
        <v>0</v>
      </c>
      <c r="G27" s="28">
        <f t="shared" si="15"/>
        <v>0</v>
      </c>
      <c r="H27" s="28"/>
      <c r="I27" s="583">
        <f t="shared" si="10"/>
        <v>0</v>
      </c>
      <c r="J27" s="603">
        <v>0</v>
      </c>
      <c r="K27" s="603">
        <v>0</v>
      </c>
      <c r="L27" s="596">
        <v>0</v>
      </c>
      <c r="M27" s="596">
        <v>0</v>
      </c>
      <c r="N27" s="28">
        <f t="shared" si="16"/>
        <v>0</v>
      </c>
      <c r="O27" s="28"/>
      <c r="P27" s="583">
        <f t="shared" si="11"/>
        <v>0</v>
      </c>
      <c r="Q27" s="603">
        <v>0</v>
      </c>
      <c r="R27" s="603">
        <v>0</v>
      </c>
      <c r="S27" s="596">
        <v>0</v>
      </c>
      <c r="T27" s="596">
        <v>0</v>
      </c>
      <c r="U27" s="28">
        <f t="shared" si="17"/>
        <v>0</v>
      </c>
      <c r="V27" s="584" t="s">
        <v>1098</v>
      </c>
      <c r="W27" s="605"/>
      <c r="X27" s="605"/>
      <c r="Y27" s="605"/>
      <c r="Z27" s="605"/>
      <c r="AA27" s="605"/>
      <c r="AB27" s="605"/>
      <c r="AC27" s="605"/>
      <c r="AD27" s="605"/>
      <c r="AE27" s="605"/>
      <c r="AF27" s="605"/>
      <c r="AG27" s="605"/>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5"/>
      <c r="BD27" s="605"/>
      <c r="BE27" s="605"/>
      <c r="BF27" s="605"/>
      <c r="BG27" s="603"/>
      <c r="BH27" s="603"/>
      <c r="BI27" s="606"/>
      <c r="BJ27" s="607"/>
      <c r="BK27" s="607"/>
    </row>
    <row r="28" spans="1:63" ht="18.75" customHeight="1">
      <c r="A28" s="610" t="s">
        <v>1099</v>
      </c>
      <c r="B28" s="613">
        <f t="shared" si="9"/>
        <v>3</v>
      </c>
      <c r="C28" s="611">
        <v>3</v>
      </c>
      <c r="D28" s="611">
        <v>0</v>
      </c>
      <c r="E28" s="612">
        <v>0</v>
      </c>
      <c r="F28" s="612">
        <v>0</v>
      </c>
      <c r="G28" s="612">
        <f t="shared" si="15"/>
        <v>0</v>
      </c>
      <c r="H28" s="612"/>
      <c r="I28" s="613">
        <f t="shared" si="10"/>
        <v>2</v>
      </c>
      <c r="J28" s="611">
        <v>2</v>
      </c>
      <c r="K28" s="611">
        <v>0</v>
      </c>
      <c r="L28" s="612">
        <v>0</v>
      </c>
      <c r="M28" s="612">
        <v>0</v>
      </c>
      <c r="N28" s="612">
        <f t="shared" si="16"/>
        <v>0</v>
      </c>
      <c r="O28" s="612"/>
      <c r="P28" s="613">
        <f t="shared" si="11"/>
        <v>1</v>
      </c>
      <c r="Q28" s="611">
        <v>1</v>
      </c>
      <c r="R28" s="611">
        <v>0</v>
      </c>
      <c r="S28" s="612">
        <v>0</v>
      </c>
      <c r="T28" s="612">
        <v>0</v>
      </c>
      <c r="U28" s="612">
        <f t="shared" si="17"/>
        <v>0</v>
      </c>
      <c r="V28" s="614" t="s">
        <v>1100</v>
      </c>
      <c r="W28" s="605"/>
      <c r="X28" s="605"/>
      <c r="Y28" s="605"/>
      <c r="Z28" s="605"/>
      <c r="AA28" s="605"/>
      <c r="AB28" s="605"/>
      <c r="AC28" s="605"/>
      <c r="AD28" s="605"/>
      <c r="AE28" s="605"/>
      <c r="AF28" s="605"/>
      <c r="AG28" s="605"/>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5"/>
      <c r="BD28" s="605"/>
      <c r="BE28" s="605"/>
      <c r="BF28" s="605"/>
      <c r="BG28" s="603"/>
      <c r="BH28" s="603"/>
      <c r="BI28" s="606"/>
      <c r="BJ28" s="607"/>
      <c r="BK28" s="607"/>
    </row>
    <row r="29" spans="1:63" ht="18.75" customHeight="1">
      <c r="A29" s="615" t="s">
        <v>1074</v>
      </c>
      <c r="B29" s="268"/>
      <c r="C29" s="268"/>
      <c r="D29" s="268"/>
      <c r="E29" s="72"/>
      <c r="F29" s="616"/>
      <c r="G29" s="72"/>
      <c r="H29" s="72"/>
      <c r="I29" s="268"/>
      <c r="J29" s="268"/>
      <c r="K29" s="268"/>
      <c r="L29" s="72"/>
      <c r="M29" s="616"/>
      <c r="N29" s="72"/>
      <c r="O29" s="72"/>
      <c r="P29" s="268"/>
      <c r="Q29" s="268"/>
      <c r="R29" s="268"/>
      <c r="S29" s="72"/>
      <c r="T29" s="616"/>
      <c r="U29" s="72"/>
      <c r="V29" s="617" t="s">
        <v>1075</v>
      </c>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row>
    <row r="30" spans="1:63">
      <c r="B30" s="268"/>
      <c r="C30" s="268"/>
      <c r="D30" s="268"/>
      <c r="E30" s="72"/>
      <c r="G30" s="72"/>
      <c r="H30" s="72"/>
      <c r="I30" s="268"/>
      <c r="J30" s="268"/>
      <c r="K30" s="268"/>
      <c r="L30" s="72"/>
      <c r="N30" s="72"/>
      <c r="O30" s="72"/>
      <c r="P30" s="268"/>
      <c r="Q30" s="268"/>
      <c r="R30" s="268"/>
      <c r="S30" s="72"/>
      <c r="U30" s="72"/>
    </row>
    <row r="31" spans="1:63">
      <c r="A31" s="258"/>
      <c r="E31" s="196"/>
      <c r="F31" s="196"/>
      <c r="G31" s="196"/>
      <c r="H31" s="196"/>
      <c r="L31" s="196"/>
      <c r="M31" s="196"/>
      <c r="N31" s="196"/>
      <c r="O31" s="196"/>
      <c r="S31" s="196"/>
      <c r="T31" s="196"/>
      <c r="U31" s="196"/>
    </row>
    <row r="32" spans="1:63">
      <c r="A32" s="258"/>
      <c r="E32" s="196"/>
      <c r="F32" s="196"/>
      <c r="G32" s="196"/>
      <c r="H32" s="196"/>
      <c r="L32" s="196"/>
      <c r="M32" s="196"/>
      <c r="N32" s="196"/>
      <c r="O32" s="196"/>
      <c r="S32" s="196"/>
      <c r="T32" s="196"/>
      <c r="U32" s="196"/>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row>
    <row r="33" spans="1:66">
      <c r="A33" s="258"/>
      <c r="E33" s="196"/>
      <c r="F33" s="196"/>
      <c r="G33" s="196"/>
      <c r="H33" s="196"/>
      <c r="L33" s="196"/>
      <c r="M33" s="196"/>
      <c r="N33" s="196"/>
      <c r="O33" s="196"/>
      <c r="S33" s="196"/>
      <c r="T33" s="196"/>
      <c r="U33" s="196"/>
    </row>
    <row r="34" spans="1:66">
      <c r="A34" s="258"/>
      <c r="E34" s="196"/>
      <c r="F34" s="196"/>
      <c r="G34" s="196"/>
      <c r="H34" s="196"/>
      <c r="L34" s="196"/>
      <c r="M34" s="196"/>
      <c r="N34" s="196"/>
      <c r="O34" s="196"/>
      <c r="S34" s="196"/>
      <c r="T34" s="196"/>
      <c r="U34" s="196"/>
      <c r="BJ34" s="196" t="s">
        <v>1081</v>
      </c>
      <c r="BK34" s="196" t="s">
        <v>1082</v>
      </c>
      <c r="BL34" s="196" t="s">
        <v>1083</v>
      </c>
    </row>
    <row r="35" spans="1:66">
      <c r="A35" s="258"/>
      <c r="E35" s="196"/>
      <c r="F35" s="196"/>
      <c r="G35" s="196"/>
      <c r="H35" s="196"/>
      <c r="L35" s="196"/>
      <c r="M35" s="196"/>
      <c r="N35" s="196"/>
      <c r="O35" s="196"/>
      <c r="S35" s="196"/>
      <c r="T35" s="196"/>
      <c r="U35" s="196"/>
      <c r="BI35" s="196">
        <v>2014</v>
      </c>
      <c r="BJ35" s="196">
        <v>278</v>
      </c>
      <c r="BK35" s="196">
        <v>24</v>
      </c>
      <c r="BL35" s="196">
        <v>99</v>
      </c>
    </row>
    <row r="36" spans="1:66">
      <c r="E36" s="196"/>
      <c r="F36" s="196"/>
      <c r="G36" s="196"/>
      <c r="H36" s="196"/>
      <c r="L36" s="196"/>
      <c r="M36" s="196"/>
      <c r="N36" s="196"/>
      <c r="O36" s="196"/>
      <c r="S36" s="196"/>
      <c r="T36" s="196"/>
      <c r="U36" s="196"/>
      <c r="BI36" s="196">
        <v>2015</v>
      </c>
      <c r="BJ36" s="196">
        <v>257</v>
      </c>
      <c r="BK36" s="196">
        <v>8</v>
      </c>
      <c r="BL36" s="196">
        <v>93</v>
      </c>
    </row>
    <row r="37" spans="1:66">
      <c r="E37" s="196"/>
      <c r="F37" s="196"/>
      <c r="G37" s="196"/>
      <c r="H37" s="196"/>
      <c r="L37" s="196"/>
      <c r="M37" s="196"/>
      <c r="N37" s="196"/>
      <c r="O37" s="196"/>
      <c r="S37" s="196"/>
      <c r="T37" s="196"/>
      <c r="U37" s="196"/>
      <c r="BI37" s="196">
        <v>2016</v>
      </c>
      <c r="BJ37" s="196">
        <v>742</v>
      </c>
      <c r="BK37" s="196">
        <v>5</v>
      </c>
      <c r="BL37" s="196">
        <v>81</v>
      </c>
    </row>
    <row r="38" spans="1:66">
      <c r="E38" s="196"/>
      <c r="F38" s="196"/>
      <c r="L38" s="196"/>
      <c r="M38" s="196"/>
      <c r="S38" s="196"/>
      <c r="T38" s="196"/>
      <c r="BI38" s="196">
        <v>2017</v>
      </c>
      <c r="BJ38" s="196">
        <v>893</v>
      </c>
      <c r="BK38" s="196">
        <v>2</v>
      </c>
      <c r="BL38" s="196">
        <v>229</v>
      </c>
    </row>
    <row r="39" spans="1:66">
      <c r="BI39" s="196">
        <v>2018</v>
      </c>
      <c r="BJ39" s="196">
        <f>C8</f>
        <v>988</v>
      </c>
      <c r="BK39" s="196">
        <f>D8</f>
        <v>1</v>
      </c>
      <c r="BL39" s="196">
        <f>G8</f>
        <v>273</v>
      </c>
    </row>
    <row r="40" spans="1:66">
      <c r="BI40" s="196">
        <v>2019</v>
      </c>
      <c r="BJ40" s="196">
        <f>J8</f>
        <v>991</v>
      </c>
      <c r="BK40" s="196">
        <f>K8</f>
        <v>1</v>
      </c>
      <c r="BL40" s="196">
        <f>N8</f>
        <v>249</v>
      </c>
    </row>
    <row r="41" spans="1:66">
      <c r="BI41" s="196">
        <v>2020</v>
      </c>
      <c r="BJ41" s="196">
        <f>Q8</f>
        <v>503</v>
      </c>
      <c r="BK41" s="196">
        <f>R8</f>
        <v>0</v>
      </c>
      <c r="BL41" s="196">
        <f>U8</f>
        <v>108</v>
      </c>
    </row>
    <row r="45" spans="1:66">
      <c r="BI45" s="550"/>
      <c r="BJ45" s="550" t="s">
        <v>69</v>
      </c>
      <c r="BK45" s="550" t="s">
        <v>70</v>
      </c>
      <c r="BM45" s="550" t="s">
        <v>69</v>
      </c>
      <c r="BN45" s="550" t="s">
        <v>70</v>
      </c>
    </row>
    <row r="46" spans="1:66">
      <c r="BI46" s="196" t="s">
        <v>1089</v>
      </c>
      <c r="BJ46" s="196">
        <f>P16</f>
        <v>456</v>
      </c>
      <c r="BK46" s="196">
        <f>P23</f>
        <v>9</v>
      </c>
      <c r="BL46" s="196">
        <f t="shared" ref="BL46:BL51" si="18">SUM(BJ46:BK46)</f>
        <v>465</v>
      </c>
      <c r="BM46" s="618">
        <f t="shared" ref="BM46:BM51" si="19">BJ46/BL46*100</f>
        <v>98.064516129032256</v>
      </c>
      <c r="BN46" s="618">
        <f t="shared" ref="BN46:BN51" si="20">BK46/BL46*100</f>
        <v>1.935483870967742</v>
      </c>
    </row>
    <row r="47" spans="1:66">
      <c r="BI47" s="196" t="s">
        <v>1091</v>
      </c>
      <c r="BJ47" s="196">
        <f t="shared" ref="BJ47:BJ51" si="21">P17</f>
        <v>32</v>
      </c>
      <c r="BK47" s="196">
        <f t="shared" ref="BK47:BK51" si="22">P24</f>
        <v>2</v>
      </c>
      <c r="BL47" s="196">
        <f t="shared" si="18"/>
        <v>34</v>
      </c>
      <c r="BM47" s="618">
        <f t="shared" si="19"/>
        <v>94.117647058823522</v>
      </c>
      <c r="BN47" s="618">
        <f t="shared" si="20"/>
        <v>5.8823529411764701</v>
      </c>
    </row>
    <row r="48" spans="1:66">
      <c r="BI48" s="196" t="s">
        <v>1093</v>
      </c>
      <c r="BJ48" s="196">
        <f t="shared" si="21"/>
        <v>9</v>
      </c>
      <c r="BK48" s="196">
        <f t="shared" si="22"/>
        <v>0</v>
      </c>
      <c r="BL48" s="196">
        <f t="shared" si="18"/>
        <v>9</v>
      </c>
      <c r="BM48" s="618">
        <f t="shared" si="19"/>
        <v>100</v>
      </c>
      <c r="BN48" s="618">
        <f t="shared" si="20"/>
        <v>0</v>
      </c>
    </row>
    <row r="49" spans="5:68">
      <c r="E49" s="196"/>
      <c r="F49" s="196"/>
      <c r="G49" s="196"/>
      <c r="H49" s="196"/>
      <c r="L49" s="196"/>
      <c r="M49" s="196"/>
      <c r="N49" s="196"/>
      <c r="O49" s="196"/>
      <c r="S49" s="196"/>
      <c r="T49" s="196"/>
      <c r="U49" s="196"/>
      <c r="BI49" s="196" t="s">
        <v>1095</v>
      </c>
      <c r="BJ49" s="196">
        <f t="shared" si="21"/>
        <v>41</v>
      </c>
      <c r="BK49" s="196">
        <f t="shared" si="22"/>
        <v>0</v>
      </c>
      <c r="BL49" s="196">
        <f t="shared" si="18"/>
        <v>41</v>
      </c>
      <c r="BM49" s="618">
        <f t="shared" si="19"/>
        <v>100</v>
      </c>
      <c r="BN49" s="618">
        <f t="shared" si="20"/>
        <v>0</v>
      </c>
    </row>
    <row r="50" spans="5:68">
      <c r="E50" s="196"/>
      <c r="F50" s="196"/>
      <c r="G50" s="196"/>
      <c r="H50" s="196"/>
      <c r="L50" s="196"/>
      <c r="M50" s="196"/>
      <c r="N50" s="196"/>
      <c r="O50" s="196"/>
      <c r="S50" s="196"/>
      <c r="T50" s="196"/>
      <c r="U50" s="196"/>
      <c r="BI50" s="196" t="s">
        <v>1097</v>
      </c>
      <c r="BJ50" s="196">
        <f t="shared" si="21"/>
        <v>3</v>
      </c>
      <c r="BK50" s="196">
        <f t="shared" si="22"/>
        <v>0</v>
      </c>
      <c r="BL50" s="196">
        <f t="shared" si="18"/>
        <v>3</v>
      </c>
      <c r="BM50" s="618">
        <f t="shared" si="19"/>
        <v>100</v>
      </c>
      <c r="BN50" s="618">
        <f t="shared" si="20"/>
        <v>0</v>
      </c>
    </row>
    <row r="51" spans="5:68">
      <c r="E51" s="196"/>
      <c r="F51" s="196"/>
      <c r="G51" s="196"/>
      <c r="H51" s="196"/>
      <c r="L51" s="196"/>
      <c r="M51" s="196"/>
      <c r="N51" s="196"/>
      <c r="O51" s="196"/>
      <c r="S51" s="196"/>
      <c r="T51" s="196"/>
      <c r="U51" s="196"/>
      <c r="BI51" s="196" t="s">
        <v>1099</v>
      </c>
      <c r="BJ51" s="196">
        <f t="shared" si="21"/>
        <v>58</v>
      </c>
      <c r="BK51" s="196">
        <f t="shared" si="22"/>
        <v>1</v>
      </c>
      <c r="BL51" s="196">
        <f t="shared" si="18"/>
        <v>59</v>
      </c>
      <c r="BM51" s="618">
        <f t="shared" si="19"/>
        <v>98.305084745762713</v>
      </c>
      <c r="BN51" s="618">
        <f t="shared" si="20"/>
        <v>1.6949152542372881</v>
      </c>
    </row>
    <row r="52" spans="5:68">
      <c r="E52" s="196"/>
      <c r="F52" s="196"/>
      <c r="G52" s="196"/>
      <c r="H52" s="196"/>
      <c r="L52" s="196"/>
      <c r="M52" s="196"/>
      <c r="N52" s="196"/>
      <c r="O52" s="196"/>
      <c r="S52" s="196"/>
      <c r="T52" s="196"/>
      <c r="U52" s="196"/>
    </row>
    <row r="53" spans="5:68">
      <c r="E53" s="196"/>
      <c r="F53" s="196"/>
      <c r="G53" s="196"/>
      <c r="H53" s="196"/>
      <c r="L53" s="196"/>
      <c r="M53" s="196"/>
      <c r="N53" s="196"/>
      <c r="O53" s="196"/>
      <c r="S53" s="196"/>
      <c r="T53" s="196"/>
      <c r="U53" s="196"/>
    </row>
    <row r="54" spans="5:68">
      <c r="E54" s="196"/>
      <c r="F54" s="196"/>
      <c r="G54" s="196"/>
      <c r="H54" s="196"/>
      <c r="L54" s="196"/>
      <c r="M54" s="196"/>
      <c r="N54" s="196"/>
      <c r="O54" s="196"/>
      <c r="S54" s="196"/>
      <c r="T54" s="196"/>
      <c r="U54" s="196"/>
    </row>
    <row r="55" spans="5:68">
      <c r="E55" s="196"/>
      <c r="F55" s="196"/>
      <c r="G55" s="196"/>
      <c r="H55" s="196"/>
      <c r="L55" s="196"/>
      <c r="M55" s="196"/>
      <c r="N55" s="196"/>
      <c r="O55" s="196"/>
      <c r="S55" s="196"/>
      <c r="T55" s="196"/>
      <c r="U55" s="196"/>
    </row>
    <row r="56" spans="5:68">
      <c r="E56" s="196"/>
      <c r="F56" s="196"/>
      <c r="G56" s="196"/>
      <c r="H56" s="196"/>
      <c r="L56" s="196"/>
      <c r="M56" s="196"/>
      <c r="N56" s="196"/>
      <c r="O56" s="196"/>
      <c r="S56" s="196"/>
      <c r="T56" s="196"/>
      <c r="U56" s="196"/>
    </row>
    <row r="57" spans="5:68">
      <c r="E57" s="196"/>
      <c r="F57" s="196"/>
      <c r="G57" s="196"/>
      <c r="H57" s="196"/>
      <c r="L57" s="196"/>
      <c r="M57" s="196"/>
      <c r="N57" s="196"/>
      <c r="O57" s="196"/>
      <c r="S57" s="196"/>
      <c r="T57" s="196"/>
      <c r="U57" s="196"/>
    </row>
    <row r="58" spans="5:68">
      <c r="E58" s="196"/>
      <c r="F58" s="196"/>
      <c r="G58" s="196"/>
      <c r="H58" s="196"/>
      <c r="L58" s="196"/>
      <c r="M58" s="196"/>
      <c r="N58" s="196"/>
      <c r="O58" s="196"/>
      <c r="S58" s="196"/>
      <c r="T58" s="196"/>
      <c r="U58" s="196"/>
    </row>
    <row r="59" spans="5:68">
      <c r="E59" s="196"/>
      <c r="F59" s="196"/>
      <c r="G59" s="196"/>
      <c r="H59" s="196"/>
      <c r="L59" s="196"/>
      <c r="M59" s="196"/>
      <c r="N59" s="196"/>
      <c r="O59" s="196"/>
      <c r="S59" s="196"/>
      <c r="T59" s="196"/>
      <c r="U59" s="196"/>
      <c r="BJ59" s="196">
        <v>2014</v>
      </c>
      <c r="BK59" s="196">
        <v>2015</v>
      </c>
      <c r="BL59" s="196">
        <v>2016</v>
      </c>
      <c r="BM59" s="196">
        <v>2017</v>
      </c>
      <c r="BN59" s="196">
        <v>2018</v>
      </c>
      <c r="BO59" s="196">
        <v>2019</v>
      </c>
      <c r="BP59" s="196">
        <v>2020</v>
      </c>
    </row>
    <row r="60" spans="5:68">
      <c r="E60" s="196"/>
      <c r="F60" s="196"/>
      <c r="G60" s="196"/>
      <c r="H60" s="196"/>
      <c r="L60" s="196"/>
      <c r="M60" s="196"/>
      <c r="N60" s="196"/>
      <c r="O60" s="196"/>
      <c r="S60" s="196"/>
      <c r="T60" s="196"/>
      <c r="U60" s="196"/>
      <c r="BI60" s="196" t="s">
        <v>1089</v>
      </c>
      <c r="BJ60" s="196">
        <v>93</v>
      </c>
      <c r="BK60" s="196">
        <v>92</v>
      </c>
      <c r="BL60" s="196">
        <v>79</v>
      </c>
      <c r="BM60" s="196" t="e">
        <f>#REF!</f>
        <v>#REF!</v>
      </c>
      <c r="BN60" s="196">
        <f t="shared" ref="BN60:BN65" si="23">B9</f>
        <v>821</v>
      </c>
      <c r="BO60" s="196">
        <f t="shared" ref="BO60:BO65" si="24">I9</f>
        <v>896</v>
      </c>
      <c r="BP60" s="196">
        <f t="shared" ref="BP60:BP65" si="25">P9</f>
        <v>465</v>
      </c>
    </row>
    <row r="61" spans="5:68">
      <c r="E61" s="196"/>
      <c r="F61" s="196"/>
      <c r="G61" s="196"/>
      <c r="H61" s="196"/>
      <c r="L61" s="196"/>
      <c r="M61" s="196"/>
      <c r="N61" s="196"/>
      <c r="O61" s="196"/>
      <c r="S61" s="196"/>
      <c r="T61" s="196"/>
      <c r="U61" s="196"/>
      <c r="BI61" s="196" t="s">
        <v>1091</v>
      </c>
      <c r="BJ61" s="196">
        <v>98</v>
      </c>
      <c r="BK61" s="196">
        <v>51</v>
      </c>
      <c r="BL61" s="196">
        <v>60</v>
      </c>
      <c r="BM61" s="196" t="e">
        <f>#REF!</f>
        <v>#REF!</v>
      </c>
      <c r="BN61" s="196">
        <f t="shared" si="23"/>
        <v>93</v>
      </c>
      <c r="BO61" s="196">
        <f t="shared" si="24"/>
        <v>65</v>
      </c>
      <c r="BP61" s="196">
        <f t="shared" si="25"/>
        <v>34</v>
      </c>
    </row>
    <row r="62" spans="5:68">
      <c r="E62" s="196"/>
      <c r="F62" s="196"/>
      <c r="G62" s="196"/>
      <c r="H62" s="196"/>
      <c r="L62" s="196"/>
      <c r="M62" s="196"/>
      <c r="N62" s="196"/>
      <c r="O62" s="196"/>
      <c r="S62" s="196"/>
      <c r="T62" s="196"/>
      <c r="U62" s="196"/>
      <c r="BI62" s="196" t="s">
        <v>1093</v>
      </c>
      <c r="BJ62" s="196">
        <v>94</v>
      </c>
      <c r="BK62" s="196">
        <v>66</v>
      </c>
      <c r="BL62" s="196">
        <v>162</v>
      </c>
      <c r="BM62" s="196" t="e">
        <f>#REF!</f>
        <v>#REF!</v>
      </c>
      <c r="BN62" s="196">
        <f t="shared" si="23"/>
        <v>12</v>
      </c>
      <c r="BO62" s="196">
        <f t="shared" si="24"/>
        <v>25</v>
      </c>
      <c r="BP62" s="196">
        <f t="shared" si="25"/>
        <v>9</v>
      </c>
    </row>
    <row r="63" spans="5:68">
      <c r="E63" s="196"/>
      <c r="F63" s="196"/>
      <c r="G63" s="196"/>
      <c r="H63" s="196"/>
      <c r="L63" s="196"/>
      <c r="M63" s="196"/>
      <c r="N63" s="196"/>
      <c r="O63" s="196"/>
      <c r="S63" s="196"/>
      <c r="T63" s="196"/>
      <c r="U63" s="196"/>
      <c r="BI63" s="196" t="s">
        <v>1095</v>
      </c>
      <c r="BJ63" s="196">
        <v>25</v>
      </c>
      <c r="BK63" s="196">
        <v>87</v>
      </c>
      <c r="BL63" s="196">
        <v>188</v>
      </c>
      <c r="BM63" s="196" t="e">
        <f>#REF!</f>
        <v>#REF!</v>
      </c>
      <c r="BN63" s="196">
        <f t="shared" si="23"/>
        <v>287</v>
      </c>
      <c r="BO63" s="196">
        <f t="shared" si="24"/>
        <v>155</v>
      </c>
      <c r="BP63" s="196">
        <f t="shared" si="25"/>
        <v>41</v>
      </c>
    </row>
    <row r="64" spans="5:68">
      <c r="E64" s="196"/>
      <c r="F64" s="196"/>
      <c r="G64" s="196"/>
      <c r="H64" s="196"/>
      <c r="L64" s="196"/>
      <c r="M64" s="196"/>
      <c r="N64" s="196"/>
      <c r="O64" s="196"/>
      <c r="S64" s="196"/>
      <c r="T64" s="196"/>
      <c r="U64" s="196"/>
      <c r="BI64" s="196" t="s">
        <v>1097</v>
      </c>
      <c r="BJ64" s="196">
        <v>56</v>
      </c>
      <c r="BK64" s="196">
        <v>47</v>
      </c>
      <c r="BL64" s="196">
        <v>100</v>
      </c>
      <c r="BM64" s="196" t="e">
        <f>#REF!</f>
        <v>#REF!</v>
      </c>
      <c r="BN64" s="196">
        <f t="shared" si="23"/>
        <v>2</v>
      </c>
      <c r="BO64" s="196">
        <f t="shared" si="24"/>
        <v>10</v>
      </c>
      <c r="BP64" s="196">
        <f t="shared" si="25"/>
        <v>3</v>
      </c>
    </row>
    <row r="65" spans="1:68">
      <c r="E65" s="196"/>
      <c r="F65" s="196"/>
      <c r="G65" s="196"/>
      <c r="H65" s="196"/>
      <c r="L65" s="196"/>
      <c r="M65" s="196"/>
      <c r="N65" s="196"/>
      <c r="O65" s="196"/>
      <c r="S65" s="196"/>
      <c r="T65" s="196"/>
      <c r="U65" s="196"/>
      <c r="BI65" s="196" t="s">
        <v>1099</v>
      </c>
      <c r="BJ65" s="196">
        <v>34</v>
      </c>
      <c r="BK65" s="196">
        <v>15</v>
      </c>
      <c r="BL65" s="196">
        <v>239</v>
      </c>
      <c r="BM65" s="196" t="e">
        <f>#REF!</f>
        <v>#REF!</v>
      </c>
      <c r="BN65" s="196">
        <f t="shared" si="23"/>
        <v>47</v>
      </c>
      <c r="BO65" s="196">
        <f t="shared" si="24"/>
        <v>90</v>
      </c>
      <c r="BP65" s="196">
        <f t="shared" si="25"/>
        <v>59</v>
      </c>
    </row>
    <row r="66" spans="1:68">
      <c r="E66" s="196"/>
      <c r="F66" s="196"/>
      <c r="G66" s="196"/>
      <c r="H66" s="196"/>
      <c r="L66" s="196"/>
      <c r="M66" s="196"/>
      <c r="N66" s="196"/>
      <c r="O66" s="196"/>
      <c r="S66" s="196"/>
      <c r="T66" s="196"/>
      <c r="U66" s="196"/>
    </row>
    <row r="67" spans="1:68">
      <c r="E67" s="196"/>
      <c r="F67" s="196"/>
      <c r="G67" s="196"/>
      <c r="H67" s="196"/>
      <c r="L67" s="196"/>
      <c r="M67" s="196"/>
      <c r="N67" s="196"/>
      <c r="O67" s="196"/>
      <c r="S67" s="196"/>
      <c r="T67" s="196"/>
      <c r="U67" s="196"/>
    </row>
    <row r="68" spans="1:68">
      <c r="E68" s="196"/>
      <c r="L68" s="196"/>
      <c r="S68" s="196"/>
    </row>
    <row r="69" spans="1:68">
      <c r="E69" s="196"/>
      <c r="L69" s="196"/>
      <c r="S69" s="196"/>
      <c r="BI69" s="196" t="s">
        <v>1089</v>
      </c>
      <c r="BJ69" s="196">
        <v>79</v>
      </c>
    </row>
    <row r="70" spans="1:68">
      <c r="E70" s="196"/>
      <c r="L70" s="196"/>
      <c r="S70" s="196"/>
      <c r="BI70" s="196" t="s">
        <v>1091</v>
      </c>
      <c r="BJ70" s="196">
        <v>60</v>
      </c>
    </row>
    <row r="71" spans="1:68">
      <c r="E71" s="196"/>
      <c r="L71" s="196"/>
      <c r="S71" s="196"/>
      <c r="BI71" s="196" t="s">
        <v>1093</v>
      </c>
      <c r="BJ71" s="196">
        <v>162</v>
      </c>
    </row>
    <row r="72" spans="1:68">
      <c r="A72" s="619"/>
      <c r="E72" s="196"/>
      <c r="F72" s="196"/>
      <c r="G72" s="196"/>
      <c r="H72" s="196"/>
      <c r="L72" s="196"/>
      <c r="M72" s="196"/>
      <c r="N72" s="196"/>
      <c r="O72" s="196"/>
      <c r="S72" s="196"/>
      <c r="T72" s="196"/>
      <c r="U72" s="196"/>
      <c r="BI72" s="196" t="s">
        <v>1095</v>
      </c>
      <c r="BJ72" s="196">
        <v>188</v>
      </c>
    </row>
    <row r="73" spans="1:68">
      <c r="A73" s="620"/>
      <c r="E73" s="196"/>
      <c r="F73" s="196"/>
      <c r="G73" s="196"/>
      <c r="H73" s="196"/>
      <c r="L73" s="196"/>
      <c r="M73" s="196"/>
      <c r="N73" s="196"/>
      <c r="O73" s="196"/>
      <c r="S73" s="196"/>
      <c r="T73" s="196"/>
      <c r="U73" s="196"/>
      <c r="BI73" s="196" t="s">
        <v>1097</v>
      </c>
      <c r="BJ73" s="196">
        <v>100</v>
      </c>
    </row>
    <row r="74" spans="1:68">
      <c r="A74" s="620"/>
      <c r="E74" s="196"/>
      <c r="F74" s="196"/>
      <c r="G74" s="196"/>
      <c r="H74" s="196"/>
      <c r="L74" s="196"/>
      <c r="M74" s="196"/>
      <c r="N74" s="196"/>
      <c r="O74" s="196"/>
      <c r="S74" s="196"/>
      <c r="T74" s="196"/>
      <c r="U74" s="196"/>
      <c r="BI74" s="196" t="s">
        <v>1099</v>
      </c>
      <c r="BJ74" s="196">
        <v>239</v>
      </c>
    </row>
    <row r="75" spans="1:68">
      <c r="A75" s="621"/>
      <c r="E75" s="196"/>
      <c r="F75" s="196"/>
      <c r="G75" s="196"/>
      <c r="H75" s="196"/>
      <c r="L75" s="196"/>
      <c r="M75" s="196"/>
      <c r="N75" s="196"/>
      <c r="O75" s="196"/>
      <c r="S75" s="196"/>
      <c r="T75" s="196"/>
      <c r="U75" s="196"/>
    </row>
    <row r="76" spans="1:68">
      <c r="A76" s="622"/>
      <c r="E76" s="196"/>
      <c r="F76" s="196"/>
      <c r="G76" s="196"/>
      <c r="H76" s="196"/>
      <c r="L76" s="196"/>
      <c r="M76" s="196"/>
      <c r="N76" s="196"/>
      <c r="O76" s="196"/>
      <c r="S76" s="196"/>
      <c r="T76" s="196"/>
      <c r="U76" s="196"/>
    </row>
    <row r="77" spans="1:68">
      <c r="A77" s="622"/>
      <c r="E77" s="196"/>
      <c r="F77" s="196"/>
      <c r="G77" s="196"/>
      <c r="H77" s="196"/>
      <c r="L77" s="196"/>
      <c r="M77" s="196"/>
      <c r="N77" s="196"/>
      <c r="O77" s="196"/>
      <c r="S77" s="196"/>
      <c r="T77" s="196"/>
      <c r="U77" s="196"/>
    </row>
    <row r="78" spans="1:68">
      <c r="A78" s="622"/>
      <c r="E78" s="196"/>
      <c r="F78" s="196"/>
      <c r="G78" s="196"/>
      <c r="H78" s="196"/>
      <c r="L78" s="196"/>
      <c r="M78" s="196"/>
      <c r="N78" s="196"/>
      <c r="O78" s="196"/>
      <c r="S78" s="196"/>
      <c r="T78" s="196"/>
      <c r="U78" s="196"/>
    </row>
    <row r="79" spans="1:68">
      <c r="A79" s="622"/>
      <c r="E79" s="196"/>
      <c r="F79" s="196"/>
      <c r="G79" s="196"/>
      <c r="H79" s="196"/>
      <c r="L79" s="196"/>
      <c r="M79" s="196"/>
      <c r="N79" s="196"/>
      <c r="O79" s="196"/>
      <c r="S79" s="196"/>
      <c r="T79" s="196"/>
      <c r="U79" s="196"/>
      <c r="BJ79" s="34" t="s">
        <v>1081</v>
      </c>
      <c r="BK79" s="34" t="s">
        <v>1082</v>
      </c>
      <c r="BL79" s="196" t="s">
        <v>1083</v>
      </c>
    </row>
    <row r="80" spans="1:68">
      <c r="A80" s="622"/>
      <c r="E80" s="196"/>
      <c r="F80" s="196"/>
      <c r="G80" s="196"/>
      <c r="H80" s="196"/>
      <c r="L80" s="196"/>
      <c r="M80" s="196"/>
      <c r="N80" s="196"/>
      <c r="O80" s="196"/>
      <c r="S80" s="196"/>
      <c r="T80" s="196"/>
      <c r="U80" s="196"/>
      <c r="BI80" s="196">
        <f>SUM(BJ80:BL80)</f>
        <v>1241</v>
      </c>
      <c r="BJ80" s="34">
        <f>J8</f>
        <v>991</v>
      </c>
      <c r="BK80" s="34">
        <f>K8</f>
        <v>1</v>
      </c>
      <c r="BL80" s="34">
        <f>N8</f>
        <v>249</v>
      </c>
    </row>
    <row r="81" spans="1:64">
      <c r="A81" s="622"/>
      <c r="E81" s="196"/>
      <c r="F81" s="196"/>
      <c r="G81" s="196"/>
      <c r="H81" s="196"/>
      <c r="L81" s="196"/>
      <c r="M81" s="196"/>
      <c r="N81" s="196"/>
      <c r="O81" s="196"/>
      <c r="S81" s="196"/>
      <c r="T81" s="196"/>
      <c r="U81" s="196"/>
    </row>
    <row r="82" spans="1:64">
      <c r="A82" s="621"/>
      <c r="E82" s="196"/>
      <c r="F82" s="196"/>
      <c r="G82" s="196"/>
      <c r="H82" s="196"/>
      <c r="L82" s="196"/>
      <c r="M82" s="196"/>
      <c r="N82" s="196"/>
      <c r="O82" s="196"/>
      <c r="S82" s="196"/>
      <c r="T82" s="196"/>
      <c r="U82" s="196"/>
      <c r="BJ82" s="196">
        <f>BJ80/BI80*100</f>
        <v>79.854955680902492</v>
      </c>
      <c r="BK82" s="196">
        <f>BK80/BJ80*100</f>
        <v>0.10090817356205853</v>
      </c>
      <c r="BL82" s="196">
        <f>BL80/BJ80*100</f>
        <v>25.126135216952573</v>
      </c>
    </row>
    <row r="83" spans="1:64">
      <c r="A83" s="622"/>
      <c r="E83" s="196"/>
      <c r="F83" s="196"/>
      <c r="G83" s="196"/>
      <c r="H83" s="196"/>
      <c r="L83" s="196"/>
      <c r="M83" s="196"/>
      <c r="N83" s="196"/>
      <c r="O83" s="196"/>
      <c r="S83" s="196"/>
      <c r="T83" s="196"/>
      <c r="U83" s="196"/>
    </row>
    <row r="84" spans="1:64">
      <c r="A84" s="622"/>
      <c r="E84" s="196"/>
      <c r="F84" s="196"/>
      <c r="G84" s="196"/>
      <c r="H84" s="196"/>
      <c r="L84" s="196"/>
      <c r="M84" s="196"/>
      <c r="N84" s="196"/>
      <c r="O84" s="196"/>
      <c r="S84" s="196"/>
      <c r="T84" s="196"/>
      <c r="U84" s="196"/>
    </row>
    <row r="85" spans="1:64">
      <c r="A85" s="622"/>
      <c r="E85" s="196"/>
      <c r="F85" s="196"/>
      <c r="G85" s="196"/>
      <c r="H85" s="196"/>
      <c r="L85" s="196"/>
      <c r="M85" s="196"/>
      <c r="N85" s="196"/>
      <c r="O85" s="196"/>
      <c r="S85" s="196"/>
      <c r="T85" s="196"/>
      <c r="U85" s="196"/>
    </row>
    <row r="86" spans="1:64">
      <c r="A86" s="622"/>
      <c r="E86" s="196"/>
      <c r="F86" s="196"/>
      <c r="G86" s="196"/>
      <c r="H86" s="196"/>
      <c r="L86" s="196"/>
      <c r="M86" s="196"/>
      <c r="N86" s="196"/>
      <c r="O86" s="196"/>
      <c r="S86" s="196"/>
      <c r="T86" s="196"/>
      <c r="U86" s="196"/>
    </row>
    <row r="87" spans="1:64">
      <c r="A87" s="622"/>
      <c r="E87" s="196"/>
      <c r="F87" s="196"/>
      <c r="G87" s="196"/>
      <c r="H87" s="196"/>
      <c r="L87" s="196"/>
      <c r="M87" s="196"/>
      <c r="N87" s="196"/>
      <c r="O87" s="196"/>
      <c r="S87" s="196"/>
      <c r="T87" s="196"/>
      <c r="U87" s="196"/>
    </row>
    <row r="88" spans="1:64">
      <c r="A88" s="622"/>
      <c r="E88" s="196"/>
      <c r="F88" s="196"/>
      <c r="G88" s="196"/>
      <c r="H88" s="196"/>
      <c r="L88" s="196"/>
      <c r="M88" s="196"/>
      <c r="N88" s="196"/>
      <c r="O88" s="196"/>
      <c r="S88" s="196"/>
      <c r="T88" s="196"/>
      <c r="U88" s="196"/>
    </row>
    <row r="89" spans="1:64">
      <c r="A89" s="621"/>
      <c r="E89" s="196"/>
      <c r="F89" s="196"/>
      <c r="G89" s="196"/>
      <c r="H89" s="196"/>
      <c r="L89" s="196"/>
      <c r="M89" s="196"/>
      <c r="N89" s="196"/>
      <c r="O89" s="196"/>
      <c r="S89" s="196"/>
      <c r="T89" s="196"/>
      <c r="U89" s="196"/>
    </row>
    <row r="90" spans="1:64">
      <c r="A90" s="622"/>
      <c r="E90" s="196"/>
      <c r="F90" s="196"/>
      <c r="G90" s="196"/>
      <c r="H90" s="196"/>
      <c r="L90" s="196"/>
      <c r="M90" s="196"/>
      <c r="N90" s="196"/>
      <c r="O90" s="196"/>
      <c r="S90" s="196"/>
      <c r="T90" s="196"/>
      <c r="U90" s="196"/>
    </row>
    <row r="91" spans="1:64">
      <c r="A91" s="622"/>
      <c r="E91" s="196"/>
      <c r="F91" s="196"/>
      <c r="G91" s="196"/>
      <c r="H91" s="196"/>
      <c r="L91" s="196"/>
      <c r="M91" s="196"/>
      <c r="N91" s="196"/>
      <c r="O91" s="196"/>
      <c r="S91" s="196"/>
      <c r="T91" s="196"/>
      <c r="U91" s="196"/>
    </row>
    <row r="92" spans="1:64">
      <c r="A92" s="622"/>
      <c r="E92" s="196"/>
      <c r="F92" s="196"/>
      <c r="G92" s="196"/>
      <c r="H92" s="196"/>
      <c r="L92" s="196"/>
      <c r="M92" s="196"/>
      <c r="N92" s="196"/>
      <c r="O92" s="196"/>
      <c r="S92" s="196"/>
      <c r="T92" s="196"/>
      <c r="U92" s="196"/>
    </row>
    <row r="93" spans="1:64">
      <c r="A93" s="622"/>
      <c r="E93" s="196"/>
      <c r="F93" s="196"/>
      <c r="G93" s="196"/>
      <c r="H93" s="196"/>
      <c r="L93" s="196"/>
      <c r="M93" s="196"/>
      <c r="N93" s="196"/>
      <c r="O93" s="196"/>
      <c r="S93" s="196"/>
      <c r="T93" s="196"/>
      <c r="U93" s="196"/>
    </row>
    <row r="94" spans="1:64">
      <c r="A94" s="622"/>
      <c r="E94" s="196"/>
      <c r="F94" s="196"/>
      <c r="G94" s="196"/>
      <c r="H94" s="196"/>
      <c r="L94" s="196"/>
      <c r="M94" s="196"/>
      <c r="N94" s="196"/>
      <c r="O94" s="196"/>
      <c r="S94" s="196"/>
      <c r="T94" s="196"/>
      <c r="U94" s="196"/>
    </row>
    <row r="95" spans="1:64">
      <c r="A95" s="622"/>
      <c r="E95" s="196"/>
      <c r="F95" s="196"/>
      <c r="G95" s="196"/>
      <c r="H95" s="196"/>
      <c r="L95" s="196"/>
      <c r="M95" s="196"/>
      <c r="N95" s="196"/>
      <c r="O95" s="196"/>
      <c r="S95" s="196"/>
      <c r="T95" s="196"/>
      <c r="U95" s="196"/>
    </row>
    <row r="96" spans="1:64">
      <c r="A96" s="623"/>
      <c r="E96" s="196"/>
      <c r="F96" s="196"/>
      <c r="G96" s="196"/>
      <c r="H96" s="196"/>
      <c r="L96" s="196"/>
      <c r="M96" s="196"/>
      <c r="N96" s="196"/>
      <c r="O96" s="196"/>
      <c r="S96" s="196"/>
      <c r="T96" s="196"/>
      <c r="U96" s="196"/>
    </row>
  </sheetData>
  <mergeCells count="22">
    <mergeCell ref="A1:V1"/>
    <mergeCell ref="A2:V2"/>
    <mergeCell ref="A3:A7"/>
    <mergeCell ref="B3:G3"/>
    <mergeCell ref="I3:N3"/>
    <mergeCell ref="P3:U3"/>
    <mergeCell ref="V3:V7"/>
    <mergeCell ref="E4:G4"/>
    <mergeCell ref="L4:N4"/>
    <mergeCell ref="S4:U4"/>
    <mergeCell ref="E5:G5"/>
    <mergeCell ref="B5:B6"/>
    <mergeCell ref="C5:C6"/>
    <mergeCell ref="D5:D6"/>
    <mergeCell ref="R5:R6"/>
    <mergeCell ref="S5:U5"/>
    <mergeCell ref="I5:I6"/>
    <mergeCell ref="J5:J6"/>
    <mergeCell ref="K5:K6"/>
    <mergeCell ref="L5:N5"/>
    <mergeCell ref="P5:P6"/>
    <mergeCell ref="Q5:Q6"/>
  </mergeCells>
  <pageMargins left="0.7" right="0.7" top="0.75" bottom="0.75" header="0.3" footer="0.3"/>
  <pageSetup paperSize="9" scale="36" orientation="portrait" r:id="rId1"/>
  <colBreaks count="1" manualBreakCount="1">
    <brk id="58" max="68" man="1"/>
  </colBreaks>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5" tint="0.59999389629810485"/>
  </sheetPr>
  <dimension ref="A1:E231"/>
  <sheetViews>
    <sheetView topLeftCell="A115" zoomScale="84" zoomScaleNormal="84" workbookViewId="0">
      <selection activeCell="A8" sqref="A8"/>
    </sheetView>
  </sheetViews>
  <sheetFormatPr defaultColWidth="14.5703125" defaultRowHeight="15"/>
  <cols>
    <col min="1" max="1" width="32.42578125" style="16" customWidth="1"/>
    <col min="2" max="4" width="14.5703125" style="16" customWidth="1"/>
    <col min="5" max="5" width="44.42578125" style="16" customWidth="1"/>
    <col min="6" max="16384" width="14.5703125" style="16"/>
  </cols>
  <sheetData>
    <row r="1" spans="1:5">
      <c r="A1" s="1076" t="s">
        <v>1103</v>
      </c>
      <c r="B1" s="1076"/>
      <c r="C1" s="1076"/>
      <c r="D1" s="1076"/>
      <c r="E1" s="1076"/>
    </row>
    <row r="3" spans="1:5" ht="18.75">
      <c r="A3" s="87" t="s">
        <v>117</v>
      </c>
      <c r="B3" s="89" t="s">
        <v>129</v>
      </c>
      <c r="C3" s="89" t="s">
        <v>69</v>
      </c>
      <c r="D3" s="89" t="s">
        <v>70</v>
      </c>
      <c r="E3" s="624" t="s">
        <v>65</v>
      </c>
    </row>
    <row r="4" spans="1:5" ht="21">
      <c r="A4" s="52" t="s">
        <v>1</v>
      </c>
      <c r="B4" s="18">
        <f t="shared" ref="B4:B67" si="0">SUM(C4:D4)</f>
        <v>611</v>
      </c>
      <c r="C4" s="18">
        <f>SUM(C5:C116)</f>
        <v>599</v>
      </c>
      <c r="D4" s="18">
        <f>SUM(D5:D116)</f>
        <v>12</v>
      </c>
      <c r="E4" s="502" t="s">
        <v>49</v>
      </c>
    </row>
    <row r="5" spans="1:5" ht="21">
      <c r="A5" s="52"/>
      <c r="B5" s="18">
        <f t="shared" si="0"/>
        <v>2</v>
      </c>
      <c r="C5" s="18">
        <v>2</v>
      </c>
      <c r="D5" s="18">
        <v>0</v>
      </c>
      <c r="E5" s="625" t="s">
        <v>1104</v>
      </c>
    </row>
    <row r="6" spans="1:5" ht="60">
      <c r="A6" s="626" t="s">
        <v>1105</v>
      </c>
      <c r="B6" s="18">
        <f t="shared" si="0"/>
        <v>2</v>
      </c>
      <c r="C6" s="18">
        <v>2</v>
      </c>
      <c r="D6" s="18">
        <v>0</v>
      </c>
      <c r="E6" s="625" t="s">
        <v>1106</v>
      </c>
    </row>
    <row r="7" spans="1:5" ht="21">
      <c r="A7" s="626" t="s">
        <v>1107</v>
      </c>
      <c r="B7" s="47">
        <f t="shared" si="0"/>
        <v>0</v>
      </c>
      <c r="C7" s="47">
        <v>0</v>
      </c>
      <c r="D7" s="47">
        <v>0</v>
      </c>
      <c r="E7" s="519" t="s">
        <v>1108</v>
      </c>
    </row>
    <row r="8" spans="1:5" ht="21">
      <c r="A8" s="519"/>
      <c r="B8" s="47">
        <f t="shared" si="0"/>
        <v>36</v>
      </c>
      <c r="C8" s="47">
        <v>36</v>
      </c>
      <c r="D8" s="47">
        <v>0</v>
      </c>
      <c r="E8" s="519" t="s">
        <v>1109</v>
      </c>
    </row>
    <row r="9" spans="1:5" ht="21">
      <c r="A9" s="519"/>
      <c r="B9" s="47">
        <f t="shared" si="0"/>
        <v>0</v>
      </c>
      <c r="C9" s="47">
        <v>0</v>
      </c>
      <c r="D9" s="47">
        <v>0</v>
      </c>
      <c r="E9" s="519" t="s">
        <v>1110</v>
      </c>
    </row>
    <row r="10" spans="1:5" ht="42">
      <c r="A10" s="628"/>
      <c r="B10" s="47">
        <f t="shared" si="0"/>
        <v>0</v>
      </c>
      <c r="C10" s="47">
        <v>0</v>
      </c>
      <c r="D10" s="47">
        <v>0</v>
      </c>
      <c r="E10" s="628" t="s">
        <v>1111</v>
      </c>
    </row>
    <row r="11" spans="1:5" ht="21">
      <c r="A11" s="519"/>
      <c r="B11" s="47">
        <f t="shared" si="0"/>
        <v>14</v>
      </c>
      <c r="C11" s="47">
        <v>14</v>
      </c>
      <c r="D11" s="47">
        <v>0</v>
      </c>
      <c r="E11" s="519" t="s">
        <v>1112</v>
      </c>
    </row>
    <row r="12" spans="1:5" ht="21">
      <c r="A12" s="519"/>
      <c r="B12" s="47">
        <f t="shared" si="0"/>
        <v>61</v>
      </c>
      <c r="C12" s="47">
        <v>61</v>
      </c>
      <c r="D12" s="47">
        <v>0</v>
      </c>
      <c r="E12" s="519" t="s">
        <v>1113</v>
      </c>
    </row>
    <row r="13" spans="1:5" ht="21">
      <c r="A13" s="519"/>
      <c r="B13" s="47">
        <f t="shared" si="0"/>
        <v>1</v>
      </c>
      <c r="C13" s="47">
        <v>1</v>
      </c>
      <c r="D13" s="47">
        <v>0</v>
      </c>
      <c r="E13" s="519" t="s">
        <v>1114</v>
      </c>
    </row>
    <row r="14" spans="1:5" ht="21">
      <c r="A14" s="519"/>
      <c r="B14" s="47">
        <f t="shared" si="0"/>
        <v>1</v>
      </c>
      <c r="C14" s="47">
        <v>1</v>
      </c>
      <c r="D14" s="47">
        <v>0</v>
      </c>
      <c r="E14" s="519" t="s">
        <v>1115</v>
      </c>
    </row>
    <row r="15" spans="1:5" ht="21">
      <c r="A15" s="519"/>
      <c r="B15" s="47">
        <f t="shared" si="0"/>
        <v>1</v>
      </c>
      <c r="C15" s="47">
        <v>1</v>
      </c>
      <c r="D15" s="47">
        <v>0</v>
      </c>
      <c r="E15" s="519" t="s">
        <v>1116</v>
      </c>
    </row>
    <row r="16" spans="1:5" ht="21">
      <c r="A16" s="626" t="s">
        <v>1117</v>
      </c>
      <c r="B16" s="47">
        <f t="shared" si="0"/>
        <v>1</v>
      </c>
      <c r="C16" s="47">
        <v>1</v>
      </c>
      <c r="D16" s="47">
        <v>0</v>
      </c>
      <c r="E16" s="519" t="s">
        <v>1118</v>
      </c>
    </row>
    <row r="17" spans="1:5" ht="21">
      <c r="A17" s="626" t="s">
        <v>1119</v>
      </c>
      <c r="B17" s="47">
        <f t="shared" si="0"/>
        <v>3</v>
      </c>
      <c r="C17" s="47">
        <v>3</v>
      </c>
      <c r="D17" s="47">
        <v>0</v>
      </c>
      <c r="E17" s="519" t="s">
        <v>1120</v>
      </c>
    </row>
    <row r="18" spans="1:5" ht="21">
      <c r="A18" s="519"/>
      <c r="B18" s="47">
        <f t="shared" si="0"/>
        <v>0</v>
      </c>
      <c r="C18" s="47">
        <v>0</v>
      </c>
      <c r="D18" s="47">
        <v>0</v>
      </c>
      <c r="E18" s="519" t="s">
        <v>1121</v>
      </c>
    </row>
    <row r="19" spans="1:5" ht="21">
      <c r="A19" s="626" t="s">
        <v>1122</v>
      </c>
      <c r="B19" s="47">
        <f t="shared" si="0"/>
        <v>0</v>
      </c>
      <c r="C19" s="47">
        <v>0</v>
      </c>
      <c r="D19" s="47">
        <v>0</v>
      </c>
      <c r="E19" s="519" t="s">
        <v>1123</v>
      </c>
    </row>
    <row r="20" spans="1:5" ht="21">
      <c r="A20" s="626" t="s">
        <v>1124</v>
      </c>
      <c r="B20" s="47">
        <f t="shared" si="0"/>
        <v>6</v>
      </c>
      <c r="C20" s="47">
        <v>6</v>
      </c>
      <c r="D20" s="47">
        <v>0</v>
      </c>
      <c r="E20" s="519" t="s">
        <v>421</v>
      </c>
    </row>
    <row r="21" spans="1:5" ht="21">
      <c r="A21" s="626" t="s">
        <v>1125</v>
      </c>
      <c r="B21" s="47">
        <f t="shared" si="0"/>
        <v>0</v>
      </c>
      <c r="C21" s="47">
        <v>0</v>
      </c>
      <c r="D21" s="47">
        <v>0</v>
      </c>
      <c r="E21" s="519" t="s">
        <v>1126</v>
      </c>
    </row>
    <row r="22" spans="1:5" ht="42">
      <c r="A22" s="628"/>
      <c r="B22" s="47">
        <f t="shared" si="0"/>
        <v>0</v>
      </c>
      <c r="C22" s="47">
        <v>0</v>
      </c>
      <c r="D22" s="47">
        <v>0</v>
      </c>
      <c r="E22" s="628" t="s">
        <v>1127</v>
      </c>
    </row>
    <row r="23" spans="1:5" ht="21">
      <c r="A23" s="628"/>
      <c r="B23" s="47">
        <f t="shared" si="0"/>
        <v>0</v>
      </c>
      <c r="C23" s="47">
        <v>0</v>
      </c>
      <c r="D23" s="47">
        <v>0</v>
      </c>
      <c r="E23" s="628" t="s">
        <v>1128</v>
      </c>
    </row>
    <row r="24" spans="1:5" ht="21">
      <c r="A24" s="628"/>
      <c r="B24" s="47">
        <f t="shared" si="0"/>
        <v>4</v>
      </c>
      <c r="C24" s="47">
        <v>4</v>
      </c>
      <c r="D24" s="47">
        <v>0</v>
      </c>
      <c r="E24" s="628" t="s">
        <v>1129</v>
      </c>
    </row>
    <row r="25" spans="1:5" ht="21">
      <c r="A25" s="628"/>
      <c r="B25" s="47">
        <f t="shared" si="0"/>
        <v>7</v>
      </c>
      <c r="C25" s="47">
        <v>7</v>
      </c>
      <c r="D25" s="47">
        <v>0</v>
      </c>
      <c r="E25" s="628" t="s">
        <v>1130</v>
      </c>
    </row>
    <row r="26" spans="1:5" ht="21">
      <c r="A26" s="628"/>
      <c r="B26" s="47">
        <f t="shared" si="0"/>
        <v>1</v>
      </c>
      <c r="C26" s="47">
        <v>1</v>
      </c>
      <c r="D26" s="47">
        <v>0</v>
      </c>
      <c r="E26" s="628" t="s">
        <v>1131</v>
      </c>
    </row>
    <row r="27" spans="1:5" ht="21">
      <c r="A27" s="628"/>
      <c r="B27" s="47">
        <f t="shared" si="0"/>
        <v>1</v>
      </c>
      <c r="C27" s="47">
        <v>1</v>
      </c>
      <c r="D27" s="47">
        <v>0</v>
      </c>
      <c r="E27" s="628" t="s">
        <v>1132</v>
      </c>
    </row>
    <row r="28" spans="1:5" ht="42">
      <c r="A28" s="628"/>
      <c r="B28" s="47">
        <f t="shared" si="0"/>
        <v>4</v>
      </c>
      <c r="C28" s="47">
        <v>4</v>
      </c>
      <c r="D28" s="47">
        <v>0</v>
      </c>
      <c r="E28" s="628" t="s">
        <v>1133</v>
      </c>
    </row>
    <row r="29" spans="1:5" ht="21">
      <c r="A29" s="628"/>
      <c r="B29" s="47">
        <f t="shared" si="0"/>
        <v>1</v>
      </c>
      <c r="C29" s="47">
        <v>1</v>
      </c>
      <c r="D29" s="47">
        <v>0</v>
      </c>
      <c r="E29" s="628" t="s">
        <v>1134</v>
      </c>
    </row>
    <row r="30" spans="1:5" ht="21">
      <c r="A30" s="628"/>
      <c r="B30" s="47">
        <f t="shared" si="0"/>
        <v>17</v>
      </c>
      <c r="C30" s="47">
        <v>17</v>
      </c>
      <c r="D30" s="47">
        <v>0</v>
      </c>
      <c r="E30" s="628" t="s">
        <v>1135</v>
      </c>
    </row>
    <row r="31" spans="1:5" ht="21">
      <c r="A31" s="628"/>
      <c r="B31" s="47">
        <f t="shared" si="0"/>
        <v>9</v>
      </c>
      <c r="C31" s="47">
        <v>9</v>
      </c>
      <c r="D31" s="47">
        <v>0</v>
      </c>
      <c r="E31" s="628" t="s">
        <v>1136</v>
      </c>
    </row>
    <row r="32" spans="1:5" ht="21">
      <c r="A32" s="628"/>
      <c r="B32" s="47">
        <f t="shared" si="0"/>
        <v>0</v>
      </c>
      <c r="C32" s="47">
        <v>0</v>
      </c>
      <c r="D32" s="47">
        <v>0</v>
      </c>
      <c r="E32" s="628" t="s">
        <v>1137</v>
      </c>
    </row>
    <row r="33" spans="1:5" ht="21">
      <c r="A33" s="628"/>
      <c r="B33" s="47">
        <f t="shared" si="0"/>
        <v>5</v>
      </c>
      <c r="C33" s="47">
        <v>5</v>
      </c>
      <c r="D33" s="47">
        <v>0</v>
      </c>
      <c r="E33" s="628" t="s">
        <v>1138</v>
      </c>
    </row>
    <row r="34" spans="1:5" ht="21">
      <c r="A34" s="628"/>
      <c r="B34" s="47">
        <f t="shared" si="0"/>
        <v>9</v>
      </c>
      <c r="C34" s="47">
        <v>9</v>
      </c>
      <c r="D34" s="47">
        <v>0</v>
      </c>
      <c r="E34" s="628" t="s">
        <v>1139</v>
      </c>
    </row>
    <row r="35" spans="1:5" ht="21">
      <c r="A35" s="628"/>
      <c r="B35" s="47">
        <f t="shared" si="0"/>
        <v>0</v>
      </c>
      <c r="C35" s="47">
        <v>0</v>
      </c>
      <c r="D35" s="47">
        <v>0</v>
      </c>
      <c r="E35" s="628" t="s">
        <v>1140</v>
      </c>
    </row>
    <row r="36" spans="1:5" ht="21">
      <c r="A36" s="628"/>
      <c r="B36" s="47">
        <f t="shared" si="0"/>
        <v>1</v>
      </c>
      <c r="C36" s="47">
        <v>0</v>
      </c>
      <c r="D36" s="47">
        <v>1</v>
      </c>
      <c r="E36" s="628" t="s">
        <v>1141</v>
      </c>
    </row>
    <row r="37" spans="1:5" ht="21">
      <c r="A37" s="628"/>
      <c r="B37" s="47">
        <f t="shared" si="0"/>
        <v>1</v>
      </c>
      <c r="C37" s="47">
        <v>1</v>
      </c>
      <c r="D37" s="47">
        <v>0</v>
      </c>
      <c r="E37" s="628" t="s">
        <v>1142</v>
      </c>
    </row>
    <row r="38" spans="1:5" ht="21">
      <c r="A38" s="628"/>
      <c r="B38" s="47">
        <f t="shared" si="0"/>
        <v>3</v>
      </c>
      <c r="C38" s="47">
        <v>3</v>
      </c>
      <c r="D38" s="47">
        <v>0</v>
      </c>
      <c r="E38" s="628" t="s">
        <v>1143</v>
      </c>
    </row>
    <row r="39" spans="1:5" ht="21">
      <c r="A39" s="628"/>
      <c r="B39" s="47">
        <f t="shared" si="0"/>
        <v>2</v>
      </c>
      <c r="C39" s="47">
        <v>2</v>
      </c>
      <c r="D39" s="47">
        <v>0</v>
      </c>
      <c r="E39" s="628" t="s">
        <v>1144</v>
      </c>
    </row>
    <row r="40" spans="1:5" ht="42">
      <c r="A40" s="628"/>
      <c r="B40" s="47">
        <f t="shared" si="0"/>
        <v>5</v>
      </c>
      <c r="C40" s="47">
        <v>5</v>
      </c>
      <c r="D40" s="47">
        <v>0</v>
      </c>
      <c r="E40" s="628" t="s">
        <v>1145</v>
      </c>
    </row>
    <row r="41" spans="1:5" ht="21">
      <c r="A41" s="628"/>
      <c r="B41" s="47">
        <f t="shared" si="0"/>
        <v>2</v>
      </c>
      <c r="C41" s="47">
        <v>2</v>
      </c>
      <c r="D41" s="47">
        <v>0</v>
      </c>
      <c r="E41" s="628" t="s">
        <v>1146</v>
      </c>
    </row>
    <row r="42" spans="1:5" ht="42">
      <c r="A42" s="628"/>
      <c r="B42" s="47">
        <f t="shared" si="0"/>
        <v>0</v>
      </c>
      <c r="C42" s="47">
        <v>0</v>
      </c>
      <c r="D42" s="47">
        <v>0</v>
      </c>
      <c r="E42" s="628" t="s">
        <v>1147</v>
      </c>
    </row>
    <row r="43" spans="1:5" ht="21">
      <c r="A43" s="628"/>
      <c r="B43" s="47">
        <f t="shared" si="0"/>
        <v>2</v>
      </c>
      <c r="C43" s="47">
        <v>2</v>
      </c>
      <c r="D43" s="47">
        <v>0</v>
      </c>
      <c r="E43" s="628" t="s">
        <v>1148</v>
      </c>
    </row>
    <row r="44" spans="1:5" ht="21">
      <c r="A44" s="628"/>
      <c r="B44" s="47">
        <f t="shared" si="0"/>
        <v>31</v>
      </c>
      <c r="C44" s="47">
        <v>30</v>
      </c>
      <c r="D44" s="47">
        <v>1</v>
      </c>
      <c r="E44" s="628" t="s">
        <v>1149</v>
      </c>
    </row>
    <row r="45" spans="1:5" ht="21">
      <c r="A45" s="628"/>
      <c r="B45" s="47">
        <f t="shared" si="0"/>
        <v>0</v>
      </c>
      <c r="C45" s="47">
        <v>0</v>
      </c>
      <c r="D45" s="47">
        <v>0</v>
      </c>
      <c r="E45" s="628" t="s">
        <v>1150</v>
      </c>
    </row>
    <row r="46" spans="1:5" ht="21">
      <c r="A46" s="628"/>
      <c r="B46" s="47">
        <f t="shared" si="0"/>
        <v>1</v>
      </c>
      <c r="C46" s="47">
        <v>1</v>
      </c>
      <c r="D46" s="47">
        <v>0</v>
      </c>
      <c r="E46" s="628" t="s">
        <v>1151</v>
      </c>
    </row>
    <row r="47" spans="1:5" ht="42">
      <c r="A47" s="628"/>
      <c r="B47" s="47">
        <f t="shared" si="0"/>
        <v>0</v>
      </c>
      <c r="C47" s="47">
        <v>0</v>
      </c>
      <c r="D47" s="47">
        <v>0</v>
      </c>
      <c r="E47" s="628" t="s">
        <v>1152</v>
      </c>
    </row>
    <row r="48" spans="1:5" ht="21">
      <c r="A48" s="628"/>
      <c r="B48" s="47">
        <f t="shared" si="0"/>
        <v>0</v>
      </c>
      <c r="C48" s="47">
        <v>0</v>
      </c>
      <c r="D48" s="47">
        <v>0</v>
      </c>
      <c r="E48" s="628" t="s">
        <v>1153</v>
      </c>
    </row>
    <row r="49" spans="1:5" ht="42">
      <c r="A49" s="628"/>
      <c r="B49" s="47">
        <f t="shared" si="0"/>
        <v>0</v>
      </c>
      <c r="C49" s="47">
        <v>0</v>
      </c>
      <c r="D49" s="47">
        <v>0</v>
      </c>
      <c r="E49" s="628" t="s">
        <v>1154</v>
      </c>
    </row>
    <row r="50" spans="1:5" ht="21">
      <c r="A50" s="628"/>
      <c r="B50" s="47">
        <f t="shared" si="0"/>
        <v>0</v>
      </c>
      <c r="C50" s="47">
        <v>0</v>
      </c>
      <c r="D50" s="47">
        <v>0</v>
      </c>
      <c r="E50" s="628" t="s">
        <v>1155</v>
      </c>
    </row>
    <row r="51" spans="1:5" ht="21">
      <c r="A51" s="628"/>
      <c r="B51" s="47">
        <f t="shared" si="0"/>
        <v>2</v>
      </c>
      <c r="C51" s="47">
        <v>2</v>
      </c>
      <c r="D51" s="47">
        <v>0</v>
      </c>
      <c r="E51" s="628" t="s">
        <v>1156</v>
      </c>
    </row>
    <row r="52" spans="1:5" ht="21">
      <c r="A52" s="628"/>
      <c r="B52" s="47">
        <f t="shared" si="0"/>
        <v>0</v>
      </c>
      <c r="C52" s="47">
        <v>0</v>
      </c>
      <c r="D52" s="47">
        <v>0</v>
      </c>
      <c r="E52" s="628" t="s">
        <v>1157</v>
      </c>
    </row>
    <row r="53" spans="1:5" ht="21">
      <c r="A53" s="628"/>
      <c r="B53" s="47">
        <f t="shared" si="0"/>
        <v>109</v>
      </c>
      <c r="C53" s="47">
        <v>105</v>
      </c>
      <c r="D53" s="47">
        <v>4</v>
      </c>
      <c r="E53" s="628" t="s">
        <v>1158</v>
      </c>
    </row>
    <row r="54" spans="1:5" ht="21">
      <c r="A54" s="628"/>
      <c r="B54" s="47">
        <f t="shared" si="0"/>
        <v>0</v>
      </c>
      <c r="C54" s="47">
        <v>0</v>
      </c>
      <c r="D54" s="47">
        <v>0</v>
      </c>
      <c r="E54" s="628" t="s">
        <v>1159</v>
      </c>
    </row>
    <row r="55" spans="1:5" ht="42">
      <c r="A55" s="628"/>
      <c r="B55" s="47">
        <f t="shared" si="0"/>
        <v>4</v>
      </c>
      <c r="C55" s="47">
        <v>4</v>
      </c>
      <c r="D55" s="47">
        <v>0</v>
      </c>
      <c r="E55" s="628" t="s">
        <v>1160</v>
      </c>
    </row>
    <row r="56" spans="1:5" ht="21">
      <c r="A56" s="628"/>
      <c r="B56" s="47">
        <f t="shared" si="0"/>
        <v>10</v>
      </c>
      <c r="C56" s="47">
        <v>10</v>
      </c>
      <c r="D56" s="47">
        <v>0</v>
      </c>
      <c r="E56" s="628" t="s">
        <v>1161</v>
      </c>
    </row>
    <row r="57" spans="1:5" ht="21">
      <c r="A57" s="628"/>
      <c r="B57" s="47">
        <f t="shared" si="0"/>
        <v>1</v>
      </c>
      <c r="C57" s="47">
        <v>1</v>
      </c>
      <c r="D57" s="47">
        <v>0</v>
      </c>
      <c r="E57" s="628" t="s">
        <v>1162</v>
      </c>
    </row>
    <row r="58" spans="1:5" ht="21">
      <c r="A58" s="628"/>
      <c r="B58" s="47">
        <f t="shared" si="0"/>
        <v>1</v>
      </c>
      <c r="C58" s="47">
        <v>1</v>
      </c>
      <c r="D58" s="47">
        <v>0</v>
      </c>
      <c r="E58" s="628" t="s">
        <v>1163</v>
      </c>
    </row>
    <row r="59" spans="1:5" ht="21">
      <c r="A59" s="628"/>
      <c r="B59" s="47">
        <f t="shared" si="0"/>
        <v>0</v>
      </c>
      <c r="C59" s="47">
        <v>0</v>
      </c>
      <c r="D59" s="47">
        <v>0</v>
      </c>
      <c r="E59" s="628" t="s">
        <v>1164</v>
      </c>
    </row>
    <row r="60" spans="1:5" ht="21">
      <c r="A60" s="628"/>
      <c r="B60" s="47">
        <f t="shared" si="0"/>
        <v>1</v>
      </c>
      <c r="C60" s="47">
        <v>1</v>
      </c>
      <c r="D60" s="47">
        <v>0</v>
      </c>
      <c r="E60" s="628" t="s">
        <v>1165</v>
      </c>
    </row>
    <row r="61" spans="1:5" ht="21">
      <c r="A61" s="628"/>
      <c r="B61" s="47">
        <f t="shared" si="0"/>
        <v>2</v>
      </c>
      <c r="C61" s="47">
        <v>2</v>
      </c>
      <c r="D61" s="47">
        <v>0</v>
      </c>
      <c r="E61" s="628" t="s">
        <v>1166</v>
      </c>
    </row>
    <row r="62" spans="1:5" ht="21">
      <c r="A62" s="628"/>
      <c r="B62" s="47">
        <f t="shared" si="0"/>
        <v>3</v>
      </c>
      <c r="C62" s="47">
        <v>3</v>
      </c>
      <c r="D62" s="47">
        <v>0</v>
      </c>
      <c r="E62" s="628" t="s">
        <v>1167</v>
      </c>
    </row>
    <row r="63" spans="1:5" ht="21">
      <c r="A63" s="628"/>
      <c r="B63" s="47">
        <f t="shared" si="0"/>
        <v>2</v>
      </c>
      <c r="C63" s="47">
        <v>2</v>
      </c>
      <c r="D63" s="47">
        <v>0</v>
      </c>
      <c r="E63" s="628" t="s">
        <v>1168</v>
      </c>
    </row>
    <row r="64" spans="1:5" ht="42">
      <c r="A64" s="628"/>
      <c r="B64" s="47">
        <f t="shared" si="0"/>
        <v>1</v>
      </c>
      <c r="C64" s="47">
        <v>1</v>
      </c>
      <c r="D64" s="47">
        <v>0</v>
      </c>
      <c r="E64" s="628" t="s">
        <v>1169</v>
      </c>
    </row>
    <row r="65" spans="1:5" ht="21">
      <c r="A65" s="628"/>
      <c r="B65" s="47">
        <f t="shared" si="0"/>
        <v>8</v>
      </c>
      <c r="C65" s="47">
        <v>8</v>
      </c>
      <c r="D65" s="47">
        <v>0</v>
      </c>
      <c r="E65" s="628" t="s">
        <v>1170</v>
      </c>
    </row>
    <row r="66" spans="1:5" ht="21">
      <c r="A66" s="628"/>
      <c r="B66" s="47">
        <f t="shared" si="0"/>
        <v>2</v>
      </c>
      <c r="C66" s="47">
        <v>2</v>
      </c>
      <c r="D66" s="47">
        <v>0</v>
      </c>
      <c r="E66" s="628" t="s">
        <v>6</v>
      </c>
    </row>
    <row r="67" spans="1:5" ht="21">
      <c r="A67" s="628"/>
      <c r="B67" s="47">
        <f t="shared" si="0"/>
        <v>0</v>
      </c>
      <c r="C67" s="47">
        <v>0</v>
      </c>
      <c r="D67" s="47">
        <v>0</v>
      </c>
      <c r="E67" s="628" t="s">
        <v>8</v>
      </c>
    </row>
    <row r="68" spans="1:5" ht="42">
      <c r="A68" s="628"/>
      <c r="B68" s="47">
        <f t="shared" ref="B68:B116" si="1">SUM(C68:D68)</f>
        <v>5</v>
      </c>
      <c r="C68" s="47">
        <v>5</v>
      </c>
      <c r="D68" s="47">
        <v>0</v>
      </c>
      <c r="E68" s="628" t="s">
        <v>1171</v>
      </c>
    </row>
    <row r="69" spans="1:5" ht="42">
      <c r="A69" s="628"/>
      <c r="B69" s="47">
        <f t="shared" si="1"/>
        <v>2</v>
      </c>
      <c r="C69" s="47">
        <v>2</v>
      </c>
      <c r="D69" s="47">
        <v>0</v>
      </c>
      <c r="E69" s="628" t="s">
        <v>1172</v>
      </c>
    </row>
    <row r="70" spans="1:5" ht="42">
      <c r="A70" s="628"/>
      <c r="B70" s="47">
        <f t="shared" si="1"/>
        <v>0</v>
      </c>
      <c r="C70" s="47">
        <v>0</v>
      </c>
      <c r="D70" s="47">
        <v>0</v>
      </c>
      <c r="E70" s="628" t="s">
        <v>1173</v>
      </c>
    </row>
    <row r="71" spans="1:5" ht="21">
      <c r="A71" s="628"/>
      <c r="B71" s="47">
        <f t="shared" si="1"/>
        <v>1</v>
      </c>
      <c r="C71" s="47">
        <v>1</v>
      </c>
      <c r="D71" s="47">
        <v>0</v>
      </c>
      <c r="E71" s="628" t="s">
        <v>1174</v>
      </c>
    </row>
    <row r="72" spans="1:5" ht="21">
      <c r="A72" s="628"/>
      <c r="B72" s="47">
        <f t="shared" si="1"/>
        <v>1</v>
      </c>
      <c r="C72" s="47">
        <v>1</v>
      </c>
      <c r="D72" s="47">
        <v>0</v>
      </c>
      <c r="E72" s="628" t="s">
        <v>1175</v>
      </c>
    </row>
    <row r="73" spans="1:5" ht="42">
      <c r="A73" s="628"/>
      <c r="B73" s="47">
        <f t="shared" si="1"/>
        <v>1</v>
      </c>
      <c r="C73" s="47">
        <v>1</v>
      </c>
      <c r="D73" s="47">
        <v>0</v>
      </c>
      <c r="E73" s="628" t="s">
        <v>1176</v>
      </c>
    </row>
    <row r="74" spans="1:5" ht="21">
      <c r="A74" s="628"/>
      <c r="B74" s="47">
        <f t="shared" si="1"/>
        <v>1</v>
      </c>
      <c r="C74" s="47">
        <v>1</v>
      </c>
      <c r="D74" s="47">
        <v>0</v>
      </c>
      <c r="E74" s="628" t="s">
        <v>1177</v>
      </c>
    </row>
    <row r="75" spans="1:5" ht="21">
      <c r="A75" s="628"/>
      <c r="B75" s="47">
        <f t="shared" si="1"/>
        <v>0</v>
      </c>
      <c r="C75" s="47">
        <v>0</v>
      </c>
      <c r="D75" s="47">
        <v>0</v>
      </c>
      <c r="E75" s="628" t="s">
        <v>1178</v>
      </c>
    </row>
    <row r="76" spans="1:5" ht="21">
      <c r="A76" s="628"/>
      <c r="B76" s="47">
        <f t="shared" si="1"/>
        <v>0</v>
      </c>
      <c r="C76" s="47">
        <v>0</v>
      </c>
      <c r="D76" s="47">
        <v>0</v>
      </c>
      <c r="E76" s="628" t="s">
        <v>1179</v>
      </c>
    </row>
    <row r="77" spans="1:5" ht="21">
      <c r="A77" s="628"/>
      <c r="B77" s="47">
        <f t="shared" si="1"/>
        <v>64</v>
      </c>
      <c r="C77" s="47">
        <v>63</v>
      </c>
      <c r="D77" s="47">
        <v>1</v>
      </c>
      <c r="E77" s="628" t="s">
        <v>1180</v>
      </c>
    </row>
    <row r="78" spans="1:5" ht="21">
      <c r="A78" s="628"/>
      <c r="B78" s="47">
        <f t="shared" si="1"/>
        <v>24</v>
      </c>
      <c r="C78" s="47">
        <v>23</v>
      </c>
      <c r="D78" s="47">
        <v>1</v>
      </c>
      <c r="E78" s="628" t="s">
        <v>9</v>
      </c>
    </row>
    <row r="79" spans="1:5" ht="21">
      <c r="A79" s="628"/>
      <c r="B79" s="47">
        <f t="shared" si="1"/>
        <v>1</v>
      </c>
      <c r="C79" s="47">
        <v>1</v>
      </c>
      <c r="D79" s="47">
        <v>0</v>
      </c>
      <c r="E79" s="628" t="s">
        <v>1181</v>
      </c>
    </row>
    <row r="80" spans="1:5" ht="21">
      <c r="A80" s="628"/>
      <c r="B80" s="47">
        <f t="shared" si="1"/>
        <v>4</v>
      </c>
      <c r="C80" s="47">
        <v>3</v>
      </c>
      <c r="D80" s="47">
        <v>1</v>
      </c>
      <c r="E80" s="628" t="s">
        <v>10</v>
      </c>
    </row>
    <row r="81" spans="1:5" ht="21">
      <c r="A81" s="628"/>
      <c r="B81" s="47">
        <f t="shared" si="1"/>
        <v>30</v>
      </c>
      <c r="C81" s="47">
        <v>30</v>
      </c>
      <c r="D81" s="47">
        <v>0</v>
      </c>
      <c r="E81" s="628" t="s">
        <v>1182</v>
      </c>
    </row>
    <row r="82" spans="1:5" ht="21">
      <c r="A82" s="628"/>
      <c r="B82" s="47">
        <f t="shared" si="1"/>
        <v>1</v>
      </c>
      <c r="C82" s="47">
        <v>1</v>
      </c>
      <c r="D82" s="47">
        <v>0</v>
      </c>
      <c r="E82" s="628" t="s">
        <v>1183</v>
      </c>
    </row>
    <row r="83" spans="1:5" ht="21">
      <c r="A83" s="628"/>
      <c r="B83" s="47">
        <f t="shared" si="1"/>
        <v>3</v>
      </c>
      <c r="C83" s="47">
        <v>3</v>
      </c>
      <c r="D83" s="47">
        <v>0</v>
      </c>
      <c r="E83" s="628" t="s">
        <v>1184</v>
      </c>
    </row>
    <row r="84" spans="1:5" ht="42">
      <c r="A84" s="628"/>
      <c r="B84" s="47">
        <f t="shared" si="1"/>
        <v>0</v>
      </c>
      <c r="C84" s="47">
        <v>0</v>
      </c>
      <c r="D84" s="47">
        <v>0</v>
      </c>
      <c r="E84" s="628" t="s">
        <v>1185</v>
      </c>
    </row>
    <row r="85" spans="1:5" ht="42">
      <c r="A85" s="628"/>
      <c r="B85" s="47">
        <f t="shared" si="1"/>
        <v>0</v>
      </c>
      <c r="C85" s="47">
        <v>0</v>
      </c>
      <c r="D85" s="47">
        <v>0</v>
      </c>
      <c r="E85" s="628" t="s">
        <v>1186</v>
      </c>
    </row>
    <row r="86" spans="1:5" ht="42">
      <c r="A86" s="628"/>
      <c r="B86" s="47">
        <f t="shared" si="1"/>
        <v>0</v>
      </c>
      <c r="C86" s="47">
        <v>0</v>
      </c>
      <c r="D86" s="47">
        <v>0</v>
      </c>
      <c r="E86" s="628" t="s">
        <v>1187</v>
      </c>
    </row>
    <row r="87" spans="1:5" ht="21">
      <c r="A87" s="628"/>
      <c r="B87" s="47">
        <f t="shared" si="1"/>
        <v>0</v>
      </c>
      <c r="C87" s="47">
        <v>0</v>
      </c>
      <c r="D87" s="47">
        <v>0</v>
      </c>
      <c r="E87" s="628" t="s">
        <v>1188</v>
      </c>
    </row>
    <row r="88" spans="1:5" ht="21">
      <c r="A88" s="628"/>
      <c r="B88" s="47">
        <f t="shared" si="1"/>
        <v>0</v>
      </c>
      <c r="C88" s="47">
        <v>0</v>
      </c>
      <c r="D88" s="47">
        <v>0</v>
      </c>
      <c r="E88" s="628" t="s">
        <v>1189</v>
      </c>
    </row>
    <row r="89" spans="1:5" ht="21">
      <c r="A89" s="628"/>
      <c r="B89" s="47">
        <f t="shared" si="1"/>
        <v>1</v>
      </c>
      <c r="C89" s="47">
        <v>1</v>
      </c>
      <c r="D89" s="47">
        <v>0</v>
      </c>
      <c r="E89" s="628" t="s">
        <v>1190</v>
      </c>
    </row>
    <row r="90" spans="1:5" ht="21">
      <c r="A90" s="628"/>
      <c r="B90" s="47">
        <f t="shared" si="1"/>
        <v>3</v>
      </c>
      <c r="C90" s="47">
        <v>3</v>
      </c>
      <c r="D90" s="47">
        <v>0</v>
      </c>
      <c r="E90" s="628" t="s">
        <v>1191</v>
      </c>
    </row>
    <row r="91" spans="1:5" ht="21">
      <c r="A91" s="628"/>
      <c r="B91" s="47">
        <f t="shared" si="1"/>
        <v>0</v>
      </c>
      <c r="C91" s="47">
        <v>0</v>
      </c>
      <c r="D91" s="47">
        <v>0</v>
      </c>
      <c r="E91" s="628" t="s">
        <v>1192</v>
      </c>
    </row>
    <row r="92" spans="1:5" ht="42">
      <c r="A92" s="628"/>
      <c r="B92" s="47">
        <f t="shared" si="1"/>
        <v>1</v>
      </c>
      <c r="C92" s="47">
        <v>1</v>
      </c>
      <c r="D92" s="47">
        <v>0</v>
      </c>
      <c r="E92" s="628" t="s">
        <v>1193</v>
      </c>
    </row>
    <row r="93" spans="1:5" ht="21">
      <c r="A93" s="628"/>
      <c r="B93" s="47">
        <f t="shared" si="1"/>
        <v>1</v>
      </c>
      <c r="C93" s="47">
        <v>1</v>
      </c>
      <c r="D93" s="47">
        <v>0</v>
      </c>
      <c r="E93" s="628" t="s">
        <v>1194</v>
      </c>
    </row>
    <row r="94" spans="1:5" ht="21">
      <c r="A94" s="628"/>
      <c r="B94" s="47">
        <f t="shared" si="1"/>
        <v>5</v>
      </c>
      <c r="C94" s="47">
        <v>4</v>
      </c>
      <c r="D94" s="47">
        <v>1</v>
      </c>
      <c r="E94" s="628" t="s">
        <v>1195</v>
      </c>
    </row>
    <row r="95" spans="1:5" ht="21">
      <c r="A95" s="628"/>
      <c r="B95" s="47">
        <f t="shared" si="1"/>
        <v>1</v>
      </c>
      <c r="C95" s="47">
        <v>0</v>
      </c>
      <c r="D95" s="47">
        <v>1</v>
      </c>
      <c r="E95" s="628" t="s">
        <v>1196</v>
      </c>
    </row>
    <row r="96" spans="1:5" ht="21">
      <c r="A96" s="628"/>
      <c r="B96" s="47">
        <f t="shared" si="1"/>
        <v>1</v>
      </c>
      <c r="C96" s="47">
        <v>1</v>
      </c>
      <c r="D96" s="47">
        <v>0</v>
      </c>
      <c r="E96" s="628" t="s">
        <v>1197</v>
      </c>
    </row>
    <row r="97" spans="1:5" ht="21">
      <c r="A97" s="628"/>
      <c r="B97" s="47">
        <f t="shared" si="1"/>
        <v>1</v>
      </c>
      <c r="C97" s="47">
        <v>1</v>
      </c>
      <c r="D97" s="47">
        <v>0</v>
      </c>
      <c r="E97" s="628" t="s">
        <v>1198</v>
      </c>
    </row>
    <row r="98" spans="1:5" ht="42">
      <c r="A98" s="628"/>
      <c r="B98" s="47">
        <f t="shared" si="1"/>
        <v>6</v>
      </c>
      <c r="C98" s="47">
        <v>6</v>
      </c>
      <c r="D98" s="47">
        <v>0</v>
      </c>
      <c r="E98" s="628" t="s">
        <v>1199</v>
      </c>
    </row>
    <row r="99" spans="1:5" ht="21">
      <c r="A99" s="628"/>
      <c r="B99" s="47">
        <f t="shared" si="1"/>
        <v>15</v>
      </c>
      <c r="C99" s="47">
        <v>15</v>
      </c>
      <c r="D99" s="47">
        <v>0</v>
      </c>
      <c r="E99" s="628" t="s">
        <v>1200</v>
      </c>
    </row>
    <row r="100" spans="1:5" ht="21">
      <c r="A100" s="628"/>
      <c r="B100" s="47">
        <f t="shared" si="1"/>
        <v>3</v>
      </c>
      <c r="C100" s="47">
        <v>3</v>
      </c>
      <c r="D100" s="47">
        <v>0</v>
      </c>
      <c r="E100" s="628" t="s">
        <v>1201</v>
      </c>
    </row>
    <row r="101" spans="1:5" ht="21">
      <c r="A101" s="628"/>
      <c r="B101" s="47">
        <f t="shared" si="1"/>
        <v>22</v>
      </c>
      <c r="C101" s="47">
        <v>22</v>
      </c>
      <c r="D101" s="47">
        <v>0</v>
      </c>
      <c r="E101" s="628" t="s">
        <v>1202</v>
      </c>
    </row>
    <row r="102" spans="1:5" ht="21">
      <c r="A102" s="628"/>
      <c r="B102" s="47">
        <f t="shared" si="1"/>
        <v>6</v>
      </c>
      <c r="C102" s="47">
        <v>6</v>
      </c>
      <c r="D102" s="47">
        <v>0</v>
      </c>
      <c r="E102" s="628" t="s">
        <v>1203</v>
      </c>
    </row>
    <row r="103" spans="1:5" ht="21">
      <c r="A103" s="628"/>
      <c r="B103" s="47">
        <f t="shared" si="1"/>
        <v>0</v>
      </c>
      <c r="C103" s="47">
        <v>0</v>
      </c>
      <c r="D103" s="47">
        <v>0</v>
      </c>
      <c r="E103" s="628" t="s">
        <v>1204</v>
      </c>
    </row>
    <row r="104" spans="1:5" ht="21">
      <c r="A104" s="628"/>
      <c r="B104" s="47">
        <f t="shared" si="1"/>
        <v>5</v>
      </c>
      <c r="C104" s="47">
        <v>4</v>
      </c>
      <c r="D104" s="47">
        <v>1</v>
      </c>
      <c r="E104" s="628" t="s">
        <v>1205</v>
      </c>
    </row>
    <row r="105" spans="1:5" ht="21">
      <c r="A105" s="628"/>
      <c r="B105" s="47">
        <f t="shared" si="1"/>
        <v>1</v>
      </c>
      <c r="C105" s="47">
        <v>1</v>
      </c>
      <c r="D105" s="47">
        <v>0</v>
      </c>
      <c r="E105" s="628" t="s">
        <v>1206</v>
      </c>
    </row>
    <row r="106" spans="1:5" ht="21">
      <c r="A106" s="628"/>
      <c r="B106" s="47">
        <f t="shared" si="1"/>
        <v>1</v>
      </c>
      <c r="C106" s="47">
        <v>1</v>
      </c>
      <c r="D106" s="47">
        <v>0</v>
      </c>
      <c r="E106" s="628" t="s">
        <v>1207</v>
      </c>
    </row>
    <row r="107" spans="1:5" ht="21">
      <c r="A107" s="628"/>
      <c r="B107" s="47">
        <f t="shared" si="1"/>
        <v>4</v>
      </c>
      <c r="C107" s="47">
        <v>4</v>
      </c>
      <c r="D107" s="47">
        <v>0</v>
      </c>
      <c r="E107" s="628" t="s">
        <v>1208</v>
      </c>
    </row>
    <row r="108" spans="1:5" ht="21">
      <c r="A108" s="628"/>
      <c r="B108" s="47">
        <f t="shared" si="1"/>
        <v>1</v>
      </c>
      <c r="C108" s="47">
        <v>1</v>
      </c>
      <c r="D108" s="47">
        <v>0</v>
      </c>
      <c r="E108" s="628" t="s">
        <v>1209</v>
      </c>
    </row>
    <row r="109" spans="1:5" ht="21">
      <c r="A109" s="628"/>
      <c r="B109" s="47">
        <f t="shared" si="1"/>
        <v>2</v>
      </c>
      <c r="C109" s="47">
        <v>2</v>
      </c>
      <c r="D109" s="47">
        <v>0</v>
      </c>
      <c r="E109" s="628" t="s">
        <v>1210</v>
      </c>
    </row>
    <row r="110" spans="1:5" ht="21">
      <c r="A110" s="628"/>
      <c r="B110" s="47">
        <f t="shared" si="1"/>
        <v>2</v>
      </c>
      <c r="C110" s="47">
        <v>2</v>
      </c>
      <c r="D110" s="47">
        <v>0</v>
      </c>
      <c r="E110" s="628" t="s">
        <v>1211</v>
      </c>
    </row>
    <row r="111" spans="1:5" ht="21">
      <c r="A111" s="628"/>
      <c r="B111" s="47">
        <f t="shared" si="1"/>
        <v>6</v>
      </c>
      <c r="C111" s="47">
        <v>6</v>
      </c>
      <c r="D111" s="47">
        <v>0</v>
      </c>
      <c r="E111" s="628" t="s">
        <v>1212</v>
      </c>
    </row>
    <row r="112" spans="1:5" ht="21">
      <c r="A112" s="628"/>
      <c r="B112" s="47">
        <f t="shared" si="1"/>
        <v>1</v>
      </c>
      <c r="C112" s="47">
        <v>1</v>
      </c>
      <c r="D112" s="47">
        <v>0</v>
      </c>
      <c r="E112" s="628" t="s">
        <v>1213</v>
      </c>
    </row>
    <row r="113" spans="1:5" ht="42">
      <c r="A113" s="628"/>
      <c r="B113" s="47">
        <f t="shared" si="1"/>
        <v>1</v>
      </c>
      <c r="C113" s="47">
        <v>1</v>
      </c>
      <c r="D113" s="47">
        <v>0</v>
      </c>
      <c r="E113" s="628" t="s">
        <v>1214</v>
      </c>
    </row>
    <row r="114" spans="1:5" ht="21">
      <c r="A114" s="628"/>
      <c r="B114" s="47">
        <f t="shared" si="1"/>
        <v>1</v>
      </c>
      <c r="C114" s="47">
        <v>1</v>
      </c>
      <c r="D114" s="47">
        <v>0</v>
      </c>
      <c r="E114" s="628" t="s">
        <v>1215</v>
      </c>
    </row>
    <row r="115" spans="1:5" ht="21">
      <c r="A115" s="628"/>
      <c r="B115" s="47">
        <f t="shared" si="1"/>
        <v>1</v>
      </c>
      <c r="C115" s="47">
        <v>1</v>
      </c>
      <c r="D115" s="47">
        <v>0</v>
      </c>
      <c r="E115" s="628" t="s">
        <v>1216</v>
      </c>
    </row>
    <row r="116" spans="1:5" ht="21">
      <c r="A116" s="632"/>
      <c r="B116" s="630">
        <f t="shared" si="1"/>
        <v>1</v>
      </c>
      <c r="C116" s="630">
        <v>1</v>
      </c>
      <c r="D116" s="630">
        <v>0</v>
      </c>
      <c r="E116" s="632" t="s">
        <v>1217</v>
      </c>
    </row>
    <row r="117" spans="1:5" ht="18.75">
      <c r="A117" s="615"/>
      <c r="B117" s="631"/>
      <c r="E117" s="617" t="s">
        <v>1075</v>
      </c>
    </row>
    <row r="121" spans="1:5">
      <c r="A121" s="1076" t="s">
        <v>1218</v>
      </c>
      <c r="B121" s="1076"/>
      <c r="C121" s="1076"/>
      <c r="D121" s="1076"/>
      <c r="E121" s="1076"/>
    </row>
    <row r="123" spans="1:5" ht="21">
      <c r="A123" s="87" t="s">
        <v>117</v>
      </c>
      <c r="B123" s="89" t="s">
        <v>129</v>
      </c>
      <c r="C123" s="89" t="s">
        <v>69</v>
      </c>
      <c r="D123" s="89" t="s">
        <v>70</v>
      </c>
      <c r="E123" s="306" t="s">
        <v>67</v>
      </c>
    </row>
    <row r="124" spans="1:5" ht="21">
      <c r="A124" s="52" t="s">
        <v>1</v>
      </c>
      <c r="B124" s="18">
        <f t="shared" ref="B124:B187" si="2">SUM(C124:D124)</f>
        <v>1240</v>
      </c>
      <c r="C124" s="18">
        <f>SUM(C125:C230)</f>
        <v>1181</v>
      </c>
      <c r="D124" s="18">
        <f>SUM(D125:D230)</f>
        <v>59</v>
      </c>
      <c r="E124" s="502" t="s">
        <v>49</v>
      </c>
    </row>
    <row r="125" spans="1:5" ht="21">
      <c r="A125" s="519"/>
      <c r="B125" s="47">
        <f t="shared" si="2"/>
        <v>1</v>
      </c>
      <c r="C125" s="47">
        <v>0</v>
      </c>
      <c r="D125" s="47">
        <v>1</v>
      </c>
      <c r="E125" s="519" t="s">
        <v>1108</v>
      </c>
    </row>
    <row r="126" spans="1:5" ht="21">
      <c r="A126" s="519"/>
      <c r="B126" s="47">
        <f t="shared" si="2"/>
        <v>50</v>
      </c>
      <c r="C126" s="47">
        <v>43</v>
      </c>
      <c r="D126" s="47">
        <v>7</v>
      </c>
      <c r="E126" s="519" t="s">
        <v>1109</v>
      </c>
    </row>
    <row r="127" spans="1:5" ht="21">
      <c r="A127" s="519"/>
      <c r="B127" s="47">
        <f t="shared" si="2"/>
        <v>2</v>
      </c>
      <c r="C127" s="47">
        <v>2</v>
      </c>
      <c r="D127" s="47">
        <v>0</v>
      </c>
      <c r="E127" s="519" t="s">
        <v>1110</v>
      </c>
    </row>
    <row r="128" spans="1:5" ht="42">
      <c r="A128" s="628"/>
      <c r="B128" s="47">
        <f t="shared" si="2"/>
        <v>1</v>
      </c>
      <c r="C128" s="47">
        <v>1</v>
      </c>
      <c r="D128" s="47">
        <v>0</v>
      </c>
      <c r="E128" s="628" t="s">
        <v>1111</v>
      </c>
    </row>
    <row r="129" spans="1:5" ht="21">
      <c r="A129" s="519"/>
      <c r="B129" s="47">
        <f t="shared" si="2"/>
        <v>3</v>
      </c>
      <c r="C129" s="47">
        <v>3</v>
      </c>
      <c r="D129" s="47">
        <v>0</v>
      </c>
      <c r="E129" s="519" t="s">
        <v>1112</v>
      </c>
    </row>
    <row r="130" spans="1:5" ht="21">
      <c r="A130" s="519"/>
      <c r="B130" s="47">
        <f t="shared" si="2"/>
        <v>177</v>
      </c>
      <c r="C130" s="47">
        <v>167</v>
      </c>
      <c r="D130" s="47">
        <v>10</v>
      </c>
      <c r="E130" s="519" t="s">
        <v>1113</v>
      </c>
    </row>
    <row r="131" spans="1:5" ht="21">
      <c r="A131" s="519"/>
      <c r="B131" s="47">
        <f t="shared" si="2"/>
        <v>1</v>
      </c>
      <c r="C131" s="47">
        <v>1</v>
      </c>
      <c r="D131" s="47">
        <v>0</v>
      </c>
      <c r="E131" s="519" t="s">
        <v>1219</v>
      </c>
    </row>
    <row r="132" spans="1:5" ht="21">
      <c r="A132" s="519"/>
      <c r="B132" s="47">
        <f t="shared" si="2"/>
        <v>1</v>
      </c>
      <c r="C132" s="47">
        <v>1</v>
      </c>
      <c r="D132" s="47">
        <v>0</v>
      </c>
      <c r="E132" s="519" t="s">
        <v>1220</v>
      </c>
    </row>
    <row r="133" spans="1:5" ht="21">
      <c r="A133" s="519"/>
      <c r="B133" s="47">
        <f t="shared" si="2"/>
        <v>1</v>
      </c>
      <c r="C133" s="47">
        <v>1</v>
      </c>
      <c r="D133" s="47">
        <v>0</v>
      </c>
      <c r="E133" s="519" t="s">
        <v>1221</v>
      </c>
    </row>
    <row r="134" spans="1:5" ht="21">
      <c r="A134" s="519"/>
      <c r="B134" s="47">
        <f t="shared" si="2"/>
        <v>1</v>
      </c>
      <c r="C134" s="47">
        <v>1</v>
      </c>
      <c r="D134" s="47">
        <v>0</v>
      </c>
      <c r="E134" s="519" t="s">
        <v>1118</v>
      </c>
    </row>
    <row r="135" spans="1:5" ht="21">
      <c r="A135" s="519"/>
      <c r="B135" s="47">
        <f t="shared" si="2"/>
        <v>14</v>
      </c>
      <c r="C135" s="47">
        <v>14</v>
      </c>
      <c r="D135" s="47">
        <v>0</v>
      </c>
      <c r="E135" s="519" t="s">
        <v>1120</v>
      </c>
    </row>
    <row r="136" spans="1:5" ht="21">
      <c r="A136" s="519"/>
      <c r="B136" s="47">
        <f t="shared" si="2"/>
        <v>2</v>
      </c>
      <c r="C136" s="47">
        <v>2</v>
      </c>
      <c r="D136" s="47">
        <v>0</v>
      </c>
      <c r="E136" s="519" t="s">
        <v>1121</v>
      </c>
    </row>
    <row r="137" spans="1:5" ht="21">
      <c r="A137" s="519"/>
      <c r="B137" s="47">
        <f t="shared" si="2"/>
        <v>2</v>
      </c>
      <c r="C137" s="47">
        <v>2</v>
      </c>
      <c r="D137" s="47">
        <v>0</v>
      </c>
      <c r="E137" s="519" t="s">
        <v>1123</v>
      </c>
    </row>
    <row r="138" spans="1:5" ht="21">
      <c r="A138" s="519"/>
      <c r="B138" s="47">
        <f t="shared" si="2"/>
        <v>15</v>
      </c>
      <c r="C138" s="47">
        <v>15</v>
      </c>
      <c r="D138" s="47">
        <v>0</v>
      </c>
      <c r="E138" s="519" t="s">
        <v>421</v>
      </c>
    </row>
    <row r="139" spans="1:5" ht="21">
      <c r="A139" s="519"/>
      <c r="B139" s="47">
        <f t="shared" si="2"/>
        <v>2</v>
      </c>
      <c r="C139" s="47">
        <v>2</v>
      </c>
      <c r="D139" s="47">
        <v>0</v>
      </c>
      <c r="E139" s="519" t="s">
        <v>1126</v>
      </c>
    </row>
    <row r="140" spans="1:5" ht="42">
      <c r="A140" s="628"/>
      <c r="B140" s="47">
        <f t="shared" si="2"/>
        <v>1</v>
      </c>
      <c r="C140" s="47">
        <v>1</v>
      </c>
      <c r="D140" s="47">
        <v>0</v>
      </c>
      <c r="E140" s="628" t="s">
        <v>1127</v>
      </c>
    </row>
    <row r="141" spans="1:5" ht="21">
      <c r="A141" s="628"/>
      <c r="B141" s="47">
        <f t="shared" si="2"/>
        <v>1</v>
      </c>
      <c r="C141" s="47">
        <v>1</v>
      </c>
      <c r="D141" s="47">
        <v>0</v>
      </c>
      <c r="E141" s="628" t="s">
        <v>1128</v>
      </c>
    </row>
    <row r="142" spans="1:5" ht="21">
      <c r="A142" s="628"/>
      <c r="B142" s="47">
        <f t="shared" si="2"/>
        <v>17</v>
      </c>
      <c r="C142" s="47">
        <v>17</v>
      </c>
      <c r="D142" s="47">
        <v>0</v>
      </c>
      <c r="E142" s="628" t="s">
        <v>1129</v>
      </c>
    </row>
    <row r="143" spans="1:5" ht="21">
      <c r="A143" s="628"/>
      <c r="B143" s="47">
        <f t="shared" si="2"/>
        <v>7</v>
      </c>
      <c r="C143" s="47">
        <v>7</v>
      </c>
      <c r="D143" s="47">
        <v>0</v>
      </c>
      <c r="E143" s="628" t="s">
        <v>1130</v>
      </c>
    </row>
    <row r="144" spans="1:5" ht="21">
      <c r="A144" s="628"/>
      <c r="B144" s="47">
        <f t="shared" si="2"/>
        <v>1</v>
      </c>
      <c r="C144" s="47">
        <v>1</v>
      </c>
      <c r="D144" s="47">
        <v>0</v>
      </c>
      <c r="E144" s="628" t="s">
        <v>1131</v>
      </c>
    </row>
    <row r="145" spans="1:5" ht="42">
      <c r="A145" s="628"/>
      <c r="B145" s="47">
        <f t="shared" si="2"/>
        <v>1</v>
      </c>
      <c r="C145" s="47">
        <v>1</v>
      </c>
      <c r="D145" s="47">
        <v>0</v>
      </c>
      <c r="E145" s="628" t="s">
        <v>1222</v>
      </c>
    </row>
    <row r="146" spans="1:5" ht="42">
      <c r="A146" s="628"/>
      <c r="B146" s="47">
        <f t="shared" si="2"/>
        <v>4</v>
      </c>
      <c r="C146" s="47">
        <v>4</v>
      </c>
      <c r="D146" s="47">
        <v>0</v>
      </c>
      <c r="E146" s="628" t="s">
        <v>1133</v>
      </c>
    </row>
    <row r="147" spans="1:5" ht="21">
      <c r="A147" s="628"/>
      <c r="B147" s="47">
        <f t="shared" si="2"/>
        <v>1</v>
      </c>
      <c r="C147" s="47">
        <v>1</v>
      </c>
      <c r="D147" s="47">
        <v>0</v>
      </c>
      <c r="E147" s="628" t="s">
        <v>1223</v>
      </c>
    </row>
    <row r="148" spans="1:5" ht="21">
      <c r="A148" s="628"/>
      <c r="B148" s="47">
        <f t="shared" si="2"/>
        <v>41</v>
      </c>
      <c r="C148" s="47">
        <v>40</v>
      </c>
      <c r="D148" s="47">
        <v>1</v>
      </c>
      <c r="E148" s="628" t="s">
        <v>1135</v>
      </c>
    </row>
    <row r="149" spans="1:5" ht="21">
      <c r="A149" s="628"/>
      <c r="B149" s="47">
        <f t="shared" si="2"/>
        <v>12</v>
      </c>
      <c r="C149" s="47">
        <v>12</v>
      </c>
      <c r="D149" s="47">
        <v>0</v>
      </c>
      <c r="E149" s="628" t="s">
        <v>1136</v>
      </c>
    </row>
    <row r="150" spans="1:5" ht="21">
      <c r="A150" s="628"/>
      <c r="B150" s="47">
        <f t="shared" si="2"/>
        <v>1</v>
      </c>
      <c r="C150" s="47">
        <v>1</v>
      </c>
      <c r="D150" s="47">
        <v>0</v>
      </c>
      <c r="E150" s="628" t="s">
        <v>1137</v>
      </c>
    </row>
    <row r="151" spans="1:5" ht="21">
      <c r="A151" s="628"/>
      <c r="B151" s="47">
        <f t="shared" si="2"/>
        <v>7</v>
      </c>
      <c r="C151" s="47">
        <v>7</v>
      </c>
      <c r="D151" s="47">
        <v>0</v>
      </c>
      <c r="E151" s="628" t="s">
        <v>1138</v>
      </c>
    </row>
    <row r="152" spans="1:5" ht="21">
      <c r="A152" s="628"/>
      <c r="B152" s="47">
        <f t="shared" si="2"/>
        <v>19</v>
      </c>
      <c r="C152" s="47">
        <v>17</v>
      </c>
      <c r="D152" s="47">
        <v>2</v>
      </c>
      <c r="E152" s="628" t="s">
        <v>1139</v>
      </c>
    </row>
    <row r="153" spans="1:5" ht="21">
      <c r="A153" s="628"/>
      <c r="B153" s="47">
        <f t="shared" si="2"/>
        <v>1</v>
      </c>
      <c r="C153" s="47">
        <v>1</v>
      </c>
      <c r="D153" s="47">
        <v>0</v>
      </c>
      <c r="E153" s="628" t="s">
        <v>1140</v>
      </c>
    </row>
    <row r="154" spans="1:5" ht="21">
      <c r="A154" s="628"/>
      <c r="B154" s="47">
        <f t="shared" si="2"/>
        <v>7</v>
      </c>
      <c r="C154" s="47">
        <v>6</v>
      </c>
      <c r="D154" s="47">
        <v>1</v>
      </c>
      <c r="E154" s="628" t="s">
        <v>1141</v>
      </c>
    </row>
    <row r="155" spans="1:5" ht="63">
      <c r="A155" s="628"/>
      <c r="B155" s="47">
        <f t="shared" si="2"/>
        <v>1</v>
      </c>
      <c r="C155" s="47">
        <v>1</v>
      </c>
      <c r="D155" s="47">
        <v>0</v>
      </c>
      <c r="E155" s="628" t="s">
        <v>1224</v>
      </c>
    </row>
    <row r="156" spans="1:5" ht="21">
      <c r="A156" s="628"/>
      <c r="B156" s="47">
        <f t="shared" si="2"/>
        <v>2</v>
      </c>
      <c r="C156" s="47">
        <v>2</v>
      </c>
      <c r="D156" s="47">
        <v>0</v>
      </c>
      <c r="E156" s="628" t="s">
        <v>1143</v>
      </c>
    </row>
    <row r="157" spans="1:5" ht="63">
      <c r="A157" s="628"/>
      <c r="B157" s="47">
        <f t="shared" si="2"/>
        <v>1</v>
      </c>
      <c r="C157" s="47">
        <v>0</v>
      </c>
      <c r="D157" s="47">
        <v>1</v>
      </c>
      <c r="E157" s="628" t="s">
        <v>1225</v>
      </c>
    </row>
    <row r="158" spans="1:5" ht="42">
      <c r="A158" s="628"/>
      <c r="B158" s="47">
        <f t="shared" si="2"/>
        <v>4</v>
      </c>
      <c r="C158" s="47">
        <v>4</v>
      </c>
      <c r="D158" s="47">
        <v>0</v>
      </c>
      <c r="E158" s="628" t="s">
        <v>1145</v>
      </c>
    </row>
    <row r="159" spans="1:5" ht="42">
      <c r="A159" s="628"/>
      <c r="B159" s="47">
        <f t="shared" si="2"/>
        <v>1</v>
      </c>
      <c r="C159" s="47">
        <v>1</v>
      </c>
      <c r="D159" s="47">
        <v>0</v>
      </c>
      <c r="E159" s="628" t="s">
        <v>1226</v>
      </c>
    </row>
    <row r="160" spans="1:5" ht="42">
      <c r="A160" s="628"/>
      <c r="B160" s="47">
        <f t="shared" si="2"/>
        <v>1</v>
      </c>
      <c r="C160" s="47">
        <v>1</v>
      </c>
      <c r="D160" s="47">
        <v>0</v>
      </c>
      <c r="E160" s="628" t="s">
        <v>1147</v>
      </c>
    </row>
    <row r="161" spans="1:5" ht="42">
      <c r="A161" s="628"/>
      <c r="B161" s="47">
        <f t="shared" si="2"/>
        <v>1</v>
      </c>
      <c r="C161" s="47">
        <v>1</v>
      </c>
      <c r="D161" s="47">
        <v>0</v>
      </c>
      <c r="E161" s="628" t="s">
        <v>1227</v>
      </c>
    </row>
    <row r="162" spans="1:5" ht="21">
      <c r="A162" s="628"/>
      <c r="B162" s="47">
        <f t="shared" si="2"/>
        <v>58</v>
      </c>
      <c r="C162" s="47">
        <v>57</v>
      </c>
      <c r="D162" s="47">
        <v>1</v>
      </c>
      <c r="E162" s="628" t="s">
        <v>1149</v>
      </c>
    </row>
    <row r="163" spans="1:5" ht="21">
      <c r="A163" s="628"/>
      <c r="B163" s="47">
        <f t="shared" si="2"/>
        <v>1</v>
      </c>
      <c r="C163" s="47">
        <v>1</v>
      </c>
      <c r="D163" s="47">
        <v>0</v>
      </c>
      <c r="E163" s="628" t="s">
        <v>1150</v>
      </c>
    </row>
    <row r="164" spans="1:5" ht="21">
      <c r="A164" s="628"/>
      <c r="B164" s="47">
        <f t="shared" si="2"/>
        <v>1</v>
      </c>
      <c r="C164" s="47">
        <v>1</v>
      </c>
      <c r="D164" s="47">
        <v>0</v>
      </c>
      <c r="E164" s="628" t="s">
        <v>1228</v>
      </c>
    </row>
    <row r="165" spans="1:5" ht="42">
      <c r="A165" s="628"/>
      <c r="B165" s="47">
        <f t="shared" si="2"/>
        <v>2</v>
      </c>
      <c r="C165" s="47">
        <v>2</v>
      </c>
      <c r="D165" s="47">
        <v>0</v>
      </c>
      <c r="E165" s="628" t="s">
        <v>1152</v>
      </c>
    </row>
    <row r="166" spans="1:5" ht="21">
      <c r="A166" s="628"/>
      <c r="B166" s="47">
        <f t="shared" si="2"/>
        <v>1</v>
      </c>
      <c r="C166" s="47">
        <v>1</v>
      </c>
      <c r="D166" s="47">
        <v>0</v>
      </c>
      <c r="E166" s="628" t="s">
        <v>1153</v>
      </c>
    </row>
    <row r="167" spans="1:5" ht="42">
      <c r="A167" s="628"/>
      <c r="B167" s="47">
        <f t="shared" si="2"/>
        <v>1</v>
      </c>
      <c r="C167" s="47">
        <v>1</v>
      </c>
      <c r="D167" s="47">
        <v>0</v>
      </c>
      <c r="E167" s="628" t="s">
        <v>1154</v>
      </c>
    </row>
    <row r="168" spans="1:5" ht="21">
      <c r="A168" s="628"/>
      <c r="B168" s="47">
        <f t="shared" si="2"/>
        <v>2</v>
      </c>
      <c r="C168" s="47">
        <v>2</v>
      </c>
      <c r="D168" s="47">
        <v>0</v>
      </c>
      <c r="E168" s="628" t="s">
        <v>1155</v>
      </c>
    </row>
    <row r="169" spans="1:5" ht="21">
      <c r="A169" s="628"/>
      <c r="B169" s="47">
        <f t="shared" si="2"/>
        <v>3</v>
      </c>
      <c r="C169" s="47">
        <v>3</v>
      </c>
      <c r="D169" s="47">
        <v>0</v>
      </c>
      <c r="E169" s="628" t="s">
        <v>1156</v>
      </c>
    </row>
    <row r="170" spans="1:5" ht="21">
      <c r="A170" s="628"/>
      <c r="B170" s="47">
        <f t="shared" si="2"/>
        <v>1</v>
      </c>
      <c r="C170" s="47">
        <v>0</v>
      </c>
      <c r="D170" s="47">
        <v>1</v>
      </c>
      <c r="E170" s="628" t="s">
        <v>1157</v>
      </c>
    </row>
    <row r="171" spans="1:5" ht="21">
      <c r="A171" s="628"/>
      <c r="B171" s="47">
        <f t="shared" si="2"/>
        <v>202</v>
      </c>
      <c r="C171" s="47">
        <v>199</v>
      </c>
      <c r="D171" s="47">
        <v>3</v>
      </c>
      <c r="E171" s="628" t="s">
        <v>1158</v>
      </c>
    </row>
    <row r="172" spans="1:5" ht="21">
      <c r="A172" s="628"/>
      <c r="B172" s="47">
        <f t="shared" si="2"/>
        <v>1</v>
      </c>
      <c r="C172" s="47">
        <v>1</v>
      </c>
      <c r="D172" s="47">
        <v>0</v>
      </c>
      <c r="E172" s="628" t="s">
        <v>1159</v>
      </c>
    </row>
    <row r="173" spans="1:5" ht="42">
      <c r="A173" s="628"/>
      <c r="B173" s="47">
        <f t="shared" si="2"/>
        <v>4</v>
      </c>
      <c r="C173" s="47">
        <v>4</v>
      </c>
      <c r="D173" s="47">
        <v>0</v>
      </c>
      <c r="E173" s="628" t="s">
        <v>1160</v>
      </c>
    </row>
    <row r="174" spans="1:5" ht="21">
      <c r="A174" s="628"/>
      <c r="B174" s="47">
        <f t="shared" si="2"/>
        <v>3</v>
      </c>
      <c r="C174" s="47">
        <v>3</v>
      </c>
      <c r="D174" s="47">
        <v>0</v>
      </c>
      <c r="E174" s="628" t="s">
        <v>1161</v>
      </c>
    </row>
    <row r="175" spans="1:5" ht="21">
      <c r="A175" s="628"/>
      <c r="B175" s="47">
        <f t="shared" si="2"/>
        <v>1</v>
      </c>
      <c r="C175" s="47">
        <v>1</v>
      </c>
      <c r="D175" s="47">
        <v>0</v>
      </c>
      <c r="E175" s="628" t="s">
        <v>1162</v>
      </c>
    </row>
    <row r="176" spans="1:5" ht="21">
      <c r="A176" s="628"/>
      <c r="B176" s="47">
        <f t="shared" si="2"/>
        <v>1</v>
      </c>
      <c r="C176" s="47">
        <v>0</v>
      </c>
      <c r="D176" s="47">
        <v>1</v>
      </c>
      <c r="E176" s="628" t="s">
        <v>1229</v>
      </c>
    </row>
    <row r="177" spans="1:5" ht="21">
      <c r="A177" s="628"/>
      <c r="B177" s="47">
        <f t="shared" si="2"/>
        <v>1</v>
      </c>
      <c r="C177" s="47">
        <v>0</v>
      </c>
      <c r="D177" s="47">
        <v>1</v>
      </c>
      <c r="E177" s="628" t="s">
        <v>1164</v>
      </c>
    </row>
    <row r="178" spans="1:5" ht="42">
      <c r="A178" s="628"/>
      <c r="B178" s="47">
        <f t="shared" si="2"/>
        <v>1</v>
      </c>
      <c r="C178" s="47">
        <v>1</v>
      </c>
      <c r="D178" s="47">
        <v>0</v>
      </c>
      <c r="E178" s="628" t="s">
        <v>1230</v>
      </c>
    </row>
    <row r="179" spans="1:5" ht="21">
      <c r="A179" s="628"/>
      <c r="B179" s="47">
        <f t="shared" si="2"/>
        <v>1</v>
      </c>
      <c r="C179" s="47">
        <v>1</v>
      </c>
      <c r="D179" s="47">
        <v>0</v>
      </c>
      <c r="E179" s="628" t="s">
        <v>1166</v>
      </c>
    </row>
    <row r="180" spans="1:5" ht="21">
      <c r="A180" s="628"/>
      <c r="B180" s="47">
        <f t="shared" si="2"/>
        <v>22</v>
      </c>
      <c r="C180" s="47">
        <v>22</v>
      </c>
      <c r="D180" s="47">
        <v>0</v>
      </c>
      <c r="E180" s="628" t="s">
        <v>1167</v>
      </c>
    </row>
    <row r="181" spans="1:5" ht="42">
      <c r="A181" s="628"/>
      <c r="B181" s="47">
        <f t="shared" si="2"/>
        <v>3</v>
      </c>
      <c r="C181" s="47">
        <v>3</v>
      </c>
      <c r="D181" s="47">
        <v>0</v>
      </c>
      <c r="E181" s="628" t="s">
        <v>1231</v>
      </c>
    </row>
    <row r="182" spans="1:5" ht="42">
      <c r="A182" s="628"/>
      <c r="B182" s="47">
        <f t="shared" si="2"/>
        <v>1</v>
      </c>
      <c r="C182" s="47">
        <v>1</v>
      </c>
      <c r="D182" s="47">
        <v>0</v>
      </c>
      <c r="E182" s="628" t="s">
        <v>1169</v>
      </c>
    </row>
    <row r="183" spans="1:5" ht="21">
      <c r="A183" s="628"/>
      <c r="B183" s="47">
        <f t="shared" si="2"/>
        <v>15</v>
      </c>
      <c r="C183" s="47">
        <v>14</v>
      </c>
      <c r="D183" s="47">
        <v>1</v>
      </c>
      <c r="E183" s="628" t="s">
        <v>1170</v>
      </c>
    </row>
    <row r="184" spans="1:5" ht="21">
      <c r="A184" s="628"/>
      <c r="B184" s="47">
        <f t="shared" si="2"/>
        <v>20</v>
      </c>
      <c r="C184" s="47">
        <v>19</v>
      </c>
      <c r="D184" s="47">
        <v>1</v>
      </c>
      <c r="E184" s="628" t="s">
        <v>6</v>
      </c>
    </row>
    <row r="185" spans="1:5" ht="21">
      <c r="A185" s="628"/>
      <c r="B185" s="47">
        <f t="shared" si="2"/>
        <v>6</v>
      </c>
      <c r="C185" s="47">
        <v>5</v>
      </c>
      <c r="D185" s="47">
        <v>1</v>
      </c>
      <c r="E185" s="628" t="s">
        <v>8</v>
      </c>
    </row>
    <row r="186" spans="1:5" ht="42">
      <c r="A186" s="628"/>
      <c r="B186" s="47">
        <f t="shared" si="2"/>
        <v>2</v>
      </c>
      <c r="C186" s="47">
        <v>2</v>
      </c>
      <c r="D186" s="47">
        <v>0</v>
      </c>
      <c r="E186" s="628" t="s">
        <v>1171</v>
      </c>
    </row>
    <row r="187" spans="1:5" ht="21">
      <c r="A187" s="628"/>
      <c r="B187" s="47">
        <f t="shared" si="2"/>
        <v>3</v>
      </c>
      <c r="C187" s="47">
        <v>3</v>
      </c>
      <c r="D187" s="47">
        <v>0</v>
      </c>
      <c r="E187" s="628" t="s">
        <v>1232</v>
      </c>
    </row>
    <row r="188" spans="1:5" ht="42">
      <c r="A188" s="628"/>
      <c r="B188" s="47">
        <f t="shared" ref="B188:B230" si="3">SUM(C188:D188)</f>
        <v>1</v>
      </c>
      <c r="C188" s="47">
        <v>1</v>
      </c>
      <c r="D188" s="47">
        <v>0</v>
      </c>
      <c r="E188" s="628" t="s">
        <v>1173</v>
      </c>
    </row>
    <row r="189" spans="1:5" ht="21">
      <c r="A189" s="628"/>
      <c r="B189" s="47">
        <f t="shared" si="3"/>
        <v>1</v>
      </c>
      <c r="C189" s="47">
        <v>1</v>
      </c>
      <c r="D189" s="47">
        <v>0</v>
      </c>
      <c r="E189" s="628" t="s">
        <v>1233</v>
      </c>
    </row>
    <row r="190" spans="1:5" ht="21">
      <c r="A190" s="628"/>
      <c r="B190" s="47">
        <f t="shared" si="3"/>
        <v>1</v>
      </c>
      <c r="C190" s="47">
        <v>1</v>
      </c>
      <c r="D190" s="47">
        <v>0</v>
      </c>
      <c r="E190" s="628" t="s">
        <v>1175</v>
      </c>
    </row>
    <row r="191" spans="1:5" ht="21">
      <c r="A191" s="628"/>
      <c r="B191" s="47">
        <f t="shared" si="3"/>
        <v>3</v>
      </c>
      <c r="C191" s="47">
        <v>3</v>
      </c>
      <c r="D191" s="47">
        <v>0</v>
      </c>
      <c r="E191" s="628" t="s">
        <v>1234</v>
      </c>
    </row>
    <row r="192" spans="1:5" ht="21">
      <c r="A192" s="628"/>
      <c r="B192" s="47">
        <f t="shared" si="3"/>
        <v>4</v>
      </c>
      <c r="C192" s="47">
        <v>4</v>
      </c>
      <c r="D192" s="47">
        <v>0</v>
      </c>
      <c r="E192" s="628" t="s">
        <v>1177</v>
      </c>
    </row>
    <row r="193" spans="1:5" ht="21">
      <c r="A193" s="628"/>
      <c r="B193" s="47">
        <f t="shared" si="3"/>
        <v>1</v>
      </c>
      <c r="C193" s="47">
        <v>1</v>
      </c>
      <c r="D193" s="47">
        <v>0</v>
      </c>
      <c r="E193" s="628" t="s">
        <v>1178</v>
      </c>
    </row>
    <row r="194" spans="1:5" ht="21">
      <c r="A194" s="628"/>
      <c r="B194" s="47">
        <f t="shared" si="3"/>
        <v>1</v>
      </c>
      <c r="C194" s="47">
        <v>1</v>
      </c>
      <c r="D194" s="47">
        <v>0</v>
      </c>
      <c r="E194" s="628" t="s">
        <v>1179</v>
      </c>
    </row>
    <row r="195" spans="1:5" ht="21">
      <c r="A195" s="628"/>
      <c r="B195" s="47">
        <f t="shared" si="3"/>
        <v>134</v>
      </c>
      <c r="C195" s="47">
        <v>132</v>
      </c>
      <c r="D195" s="47">
        <v>2</v>
      </c>
      <c r="E195" s="628" t="s">
        <v>1180</v>
      </c>
    </row>
    <row r="196" spans="1:5" ht="21">
      <c r="A196" s="628"/>
      <c r="B196" s="47">
        <f t="shared" si="3"/>
        <v>49</v>
      </c>
      <c r="C196" s="47">
        <v>46</v>
      </c>
      <c r="D196" s="47">
        <v>3</v>
      </c>
      <c r="E196" s="628" t="s">
        <v>9</v>
      </c>
    </row>
    <row r="197" spans="1:5" ht="63">
      <c r="A197" s="628"/>
      <c r="B197" s="47">
        <f t="shared" si="3"/>
        <v>1</v>
      </c>
      <c r="C197" s="47">
        <v>1</v>
      </c>
      <c r="D197" s="47">
        <v>0</v>
      </c>
      <c r="E197" s="628" t="s">
        <v>1235</v>
      </c>
    </row>
    <row r="198" spans="1:5" ht="21">
      <c r="A198" s="628"/>
      <c r="B198" s="47">
        <f t="shared" si="3"/>
        <v>14</v>
      </c>
      <c r="C198" s="47">
        <v>14</v>
      </c>
      <c r="D198" s="47">
        <v>0</v>
      </c>
      <c r="E198" s="628" t="s">
        <v>10</v>
      </c>
    </row>
    <row r="199" spans="1:5" ht="21">
      <c r="A199" s="628"/>
      <c r="B199" s="47">
        <f t="shared" si="3"/>
        <v>54</v>
      </c>
      <c r="C199" s="47">
        <v>54</v>
      </c>
      <c r="D199" s="47">
        <v>0</v>
      </c>
      <c r="E199" s="628" t="s">
        <v>1182</v>
      </c>
    </row>
    <row r="200" spans="1:5" ht="42">
      <c r="A200" s="628"/>
      <c r="B200" s="47">
        <f t="shared" si="3"/>
        <v>2</v>
      </c>
      <c r="C200" s="47">
        <v>1</v>
      </c>
      <c r="D200" s="47">
        <v>1</v>
      </c>
      <c r="E200" s="628" t="s">
        <v>1236</v>
      </c>
    </row>
    <row r="201" spans="1:5" ht="21">
      <c r="A201" s="628"/>
      <c r="B201" s="47">
        <f t="shared" si="3"/>
        <v>6</v>
      </c>
      <c r="C201" s="47">
        <v>6</v>
      </c>
      <c r="D201" s="47">
        <v>0</v>
      </c>
      <c r="E201" s="628" t="s">
        <v>1184</v>
      </c>
    </row>
    <row r="202" spans="1:5" ht="42">
      <c r="A202" s="628"/>
      <c r="B202" s="47">
        <f t="shared" si="3"/>
        <v>1</v>
      </c>
      <c r="C202" s="47">
        <v>1</v>
      </c>
      <c r="D202" s="47">
        <v>0</v>
      </c>
      <c r="E202" s="628" t="s">
        <v>1185</v>
      </c>
    </row>
    <row r="203" spans="1:5" ht="42">
      <c r="A203" s="628"/>
      <c r="B203" s="47">
        <f t="shared" si="3"/>
        <v>1</v>
      </c>
      <c r="C203" s="47">
        <v>1</v>
      </c>
      <c r="D203" s="47">
        <v>0</v>
      </c>
      <c r="E203" s="628" t="s">
        <v>1186</v>
      </c>
    </row>
    <row r="204" spans="1:5" ht="42">
      <c r="A204" s="628"/>
      <c r="B204" s="47">
        <f t="shared" si="3"/>
        <v>1</v>
      </c>
      <c r="C204" s="47">
        <v>1</v>
      </c>
      <c r="D204" s="47">
        <v>0</v>
      </c>
      <c r="E204" s="628" t="s">
        <v>1187</v>
      </c>
    </row>
    <row r="205" spans="1:5" ht="21">
      <c r="A205" s="628"/>
      <c r="B205" s="47">
        <f t="shared" si="3"/>
        <v>1</v>
      </c>
      <c r="C205" s="47">
        <v>1</v>
      </c>
      <c r="D205" s="47">
        <v>0</v>
      </c>
      <c r="E205" s="628" t="s">
        <v>1188</v>
      </c>
    </row>
    <row r="206" spans="1:5" ht="21">
      <c r="A206" s="628"/>
      <c r="B206" s="47">
        <f t="shared" si="3"/>
        <v>1</v>
      </c>
      <c r="C206" s="47">
        <v>1</v>
      </c>
      <c r="D206" s="47">
        <v>0</v>
      </c>
      <c r="E206" s="628" t="s">
        <v>1189</v>
      </c>
    </row>
    <row r="207" spans="1:5" ht="42">
      <c r="A207" s="628"/>
      <c r="B207" s="47">
        <f t="shared" si="3"/>
        <v>1</v>
      </c>
      <c r="C207" s="47">
        <v>1</v>
      </c>
      <c r="D207" s="47">
        <v>0</v>
      </c>
      <c r="E207" s="628" t="s">
        <v>1237</v>
      </c>
    </row>
    <row r="208" spans="1:5" ht="42">
      <c r="A208" s="628"/>
      <c r="B208" s="47">
        <f t="shared" si="3"/>
        <v>12</v>
      </c>
      <c r="C208" s="47">
        <v>12</v>
      </c>
      <c r="D208" s="47">
        <v>0</v>
      </c>
      <c r="E208" s="628" t="s">
        <v>1238</v>
      </c>
    </row>
    <row r="209" spans="1:5" ht="21">
      <c r="A209" s="628"/>
      <c r="B209" s="47">
        <f t="shared" si="3"/>
        <v>2</v>
      </c>
      <c r="C209" s="47">
        <v>2</v>
      </c>
      <c r="D209" s="47">
        <v>0</v>
      </c>
      <c r="E209" s="628" t="s">
        <v>1192</v>
      </c>
    </row>
    <row r="210" spans="1:5" ht="21">
      <c r="A210" s="628"/>
      <c r="B210" s="47">
        <f t="shared" si="3"/>
        <v>1</v>
      </c>
      <c r="C210" s="47">
        <v>1</v>
      </c>
      <c r="D210" s="47">
        <v>0</v>
      </c>
      <c r="E210" s="628" t="s">
        <v>1239</v>
      </c>
    </row>
    <row r="211" spans="1:5" ht="21">
      <c r="A211" s="628"/>
      <c r="B211" s="47">
        <f t="shared" si="3"/>
        <v>2</v>
      </c>
      <c r="C211" s="47">
        <v>2</v>
      </c>
      <c r="D211" s="47">
        <v>0</v>
      </c>
      <c r="E211" s="628" t="s">
        <v>1240</v>
      </c>
    </row>
    <row r="212" spans="1:5" ht="21">
      <c r="A212" s="628"/>
      <c r="B212" s="47">
        <f t="shared" si="3"/>
        <v>5</v>
      </c>
      <c r="C212" s="47">
        <v>5</v>
      </c>
      <c r="D212" s="47">
        <v>0</v>
      </c>
      <c r="E212" s="628" t="s">
        <v>1195</v>
      </c>
    </row>
    <row r="213" spans="1:5" ht="21">
      <c r="A213" s="628"/>
      <c r="B213" s="47">
        <f t="shared" si="3"/>
        <v>2</v>
      </c>
      <c r="C213" s="47">
        <v>2</v>
      </c>
      <c r="D213" s="47">
        <v>0</v>
      </c>
      <c r="E213" s="628" t="s">
        <v>1241</v>
      </c>
    </row>
    <row r="214" spans="1:5" ht="21">
      <c r="A214" s="628"/>
      <c r="B214" s="47">
        <f t="shared" si="3"/>
        <v>1</v>
      </c>
      <c r="C214" s="47">
        <v>1</v>
      </c>
      <c r="D214" s="47">
        <v>0</v>
      </c>
      <c r="E214" s="628" t="s">
        <v>1242</v>
      </c>
    </row>
    <row r="215" spans="1:5" ht="21">
      <c r="A215" s="628"/>
      <c r="B215" s="47">
        <f t="shared" si="3"/>
        <v>3</v>
      </c>
      <c r="C215" s="47">
        <v>3</v>
      </c>
      <c r="D215" s="47">
        <v>0</v>
      </c>
      <c r="E215" s="628" t="s">
        <v>1243</v>
      </c>
    </row>
    <row r="216" spans="1:5" ht="42">
      <c r="A216" s="628"/>
      <c r="B216" s="47">
        <f t="shared" si="3"/>
        <v>13</v>
      </c>
      <c r="C216" s="47">
        <v>13</v>
      </c>
      <c r="D216" s="47">
        <v>0</v>
      </c>
      <c r="E216" s="628" t="s">
        <v>1199</v>
      </c>
    </row>
    <row r="217" spans="1:5" ht="21">
      <c r="A217" s="628"/>
      <c r="B217" s="47">
        <f t="shared" si="3"/>
        <v>15</v>
      </c>
      <c r="C217" s="47">
        <v>15</v>
      </c>
      <c r="D217" s="47">
        <v>0</v>
      </c>
      <c r="E217" s="628" t="s">
        <v>1200</v>
      </c>
    </row>
    <row r="218" spans="1:5" ht="21">
      <c r="A218" s="628"/>
      <c r="B218" s="47">
        <f t="shared" si="3"/>
        <v>2</v>
      </c>
      <c r="C218" s="47">
        <v>2</v>
      </c>
      <c r="D218" s="47">
        <v>0</v>
      </c>
      <c r="E218" s="628" t="s">
        <v>1201</v>
      </c>
    </row>
    <row r="219" spans="1:5" ht="21">
      <c r="A219" s="628"/>
      <c r="B219" s="47">
        <f t="shared" si="3"/>
        <v>91</v>
      </c>
      <c r="C219" s="47">
        <v>82</v>
      </c>
      <c r="D219" s="47">
        <v>9</v>
      </c>
      <c r="E219" s="628" t="s">
        <v>1202</v>
      </c>
    </row>
    <row r="220" spans="1:5" ht="21">
      <c r="A220" s="628"/>
      <c r="B220" s="47">
        <f t="shared" si="3"/>
        <v>16</v>
      </c>
      <c r="C220" s="47">
        <v>16</v>
      </c>
      <c r="D220" s="47">
        <v>0</v>
      </c>
      <c r="E220" s="628" t="s">
        <v>1203</v>
      </c>
    </row>
    <row r="221" spans="1:5" ht="21">
      <c r="A221" s="628"/>
      <c r="B221" s="47">
        <f t="shared" si="3"/>
        <v>2</v>
      </c>
      <c r="C221" s="47">
        <v>2</v>
      </c>
      <c r="D221" s="47">
        <v>0</v>
      </c>
      <c r="E221" s="628" t="s">
        <v>1204</v>
      </c>
    </row>
    <row r="222" spans="1:5" ht="21">
      <c r="A222" s="628"/>
      <c r="B222" s="47">
        <f t="shared" si="3"/>
        <v>16</v>
      </c>
      <c r="C222" s="47">
        <v>5</v>
      </c>
      <c r="D222" s="47">
        <v>11</v>
      </c>
      <c r="E222" s="628" t="s">
        <v>1205</v>
      </c>
    </row>
    <row r="223" spans="1:5" ht="21">
      <c r="A223" s="628"/>
      <c r="B223" s="47">
        <f t="shared" si="3"/>
        <v>1</v>
      </c>
      <c r="C223" s="47">
        <v>1</v>
      </c>
      <c r="D223" s="47">
        <v>0</v>
      </c>
      <c r="E223" s="628" t="s">
        <v>1244</v>
      </c>
    </row>
    <row r="224" spans="1:5" ht="21">
      <c r="A224" s="628"/>
      <c r="B224" s="47">
        <f t="shared" si="3"/>
        <v>2</v>
      </c>
      <c r="C224" s="47">
        <v>2</v>
      </c>
      <c r="D224" s="47">
        <v>0</v>
      </c>
      <c r="E224" s="628" t="s">
        <v>1208</v>
      </c>
    </row>
    <row r="225" spans="1:5" ht="21">
      <c r="A225" s="628"/>
      <c r="B225" s="47">
        <f t="shared" si="3"/>
        <v>2</v>
      </c>
      <c r="C225" s="47">
        <v>2</v>
      </c>
      <c r="D225" s="47">
        <v>0</v>
      </c>
      <c r="E225" s="628" t="s">
        <v>1245</v>
      </c>
    </row>
    <row r="226" spans="1:5" ht="21">
      <c r="A226" s="628"/>
      <c r="B226" s="47">
        <f t="shared" si="3"/>
        <v>1</v>
      </c>
      <c r="C226" s="47">
        <v>1</v>
      </c>
      <c r="D226" s="47">
        <v>0</v>
      </c>
      <c r="E226" s="628" t="s">
        <v>1210</v>
      </c>
    </row>
    <row r="227" spans="1:5" ht="21">
      <c r="A227" s="628"/>
      <c r="B227" s="47">
        <f t="shared" si="3"/>
        <v>4</v>
      </c>
      <c r="C227" s="47">
        <v>4</v>
      </c>
      <c r="D227" s="47">
        <v>0</v>
      </c>
      <c r="E227" s="628" t="s">
        <v>1211</v>
      </c>
    </row>
    <row r="228" spans="1:5" ht="21">
      <c r="A228" s="628"/>
      <c r="B228" s="47">
        <f t="shared" si="3"/>
        <v>5</v>
      </c>
      <c r="C228" s="47">
        <v>5</v>
      </c>
      <c r="D228" s="47">
        <v>0</v>
      </c>
      <c r="E228" s="628" t="s">
        <v>1212</v>
      </c>
    </row>
    <row r="229" spans="1:5" ht="21">
      <c r="A229" s="628"/>
      <c r="B229" s="47">
        <f t="shared" si="3"/>
        <v>1</v>
      </c>
      <c r="C229" s="47">
        <v>1</v>
      </c>
      <c r="D229" s="47">
        <v>0</v>
      </c>
      <c r="E229" s="628" t="s">
        <v>1246</v>
      </c>
    </row>
    <row r="230" spans="1:5" ht="21">
      <c r="A230" s="632"/>
      <c r="B230" s="630">
        <f t="shared" si="3"/>
        <v>1</v>
      </c>
      <c r="C230" s="630">
        <v>1</v>
      </c>
      <c r="D230" s="630">
        <v>0</v>
      </c>
      <c r="E230" s="632" t="s">
        <v>1215</v>
      </c>
    </row>
    <row r="231" spans="1:5">
      <c r="A231" s="615" t="s">
        <v>1074</v>
      </c>
      <c r="B231" s="631"/>
    </row>
  </sheetData>
  <mergeCells count="2">
    <mergeCell ref="A1:E1"/>
    <mergeCell ref="A121:E121"/>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5" tint="0.59999389629810485"/>
  </sheetPr>
  <dimension ref="A2:O236"/>
  <sheetViews>
    <sheetView zoomScale="84" zoomScaleNormal="84" workbookViewId="0">
      <selection activeCell="B27" sqref="B27"/>
    </sheetView>
  </sheetViews>
  <sheetFormatPr defaultRowHeight="15"/>
  <cols>
    <col min="1" max="1" width="40.42578125" style="16" customWidth="1"/>
    <col min="2" max="2" width="13.5703125" style="16" customWidth="1"/>
    <col min="3" max="14" width="8.42578125" style="16" customWidth="1"/>
    <col min="15" max="15" width="40" style="69" customWidth="1"/>
    <col min="16" max="16384" width="9.140625" style="16"/>
  </cols>
  <sheetData>
    <row r="2" spans="1:15" ht="24" customHeight="1">
      <c r="A2" s="1076" t="s">
        <v>1247</v>
      </c>
      <c r="B2" s="1076"/>
      <c r="C2" s="1076"/>
      <c r="D2" s="1076"/>
      <c r="E2" s="1076"/>
      <c r="F2" s="1076"/>
      <c r="G2" s="1076"/>
      <c r="H2" s="1076"/>
      <c r="I2" s="1076"/>
      <c r="J2" s="1076"/>
      <c r="K2" s="1076"/>
      <c r="L2" s="1076"/>
      <c r="M2" s="1076"/>
      <c r="N2" s="1076"/>
      <c r="O2" s="1076"/>
    </row>
    <row r="3" spans="1:15" ht="24" customHeight="1">
      <c r="B3" s="17"/>
    </row>
    <row r="4" spans="1:15" ht="24" customHeight="1">
      <c r="A4" s="87" t="s">
        <v>117</v>
      </c>
      <c r="B4" s="89" t="s">
        <v>1</v>
      </c>
      <c r="C4" s="633" t="s">
        <v>51</v>
      </c>
      <c r="D4" s="633" t="s">
        <v>52</v>
      </c>
      <c r="E4" s="633" t="s">
        <v>53</v>
      </c>
      <c r="F4" s="633" t="s">
        <v>54</v>
      </c>
      <c r="G4" s="633" t="s">
        <v>55</v>
      </c>
      <c r="H4" s="633" t="s">
        <v>56</v>
      </c>
      <c r="I4" s="633" t="s">
        <v>57</v>
      </c>
      <c r="J4" s="633" t="s">
        <v>58</v>
      </c>
      <c r="K4" s="633" t="s">
        <v>59</v>
      </c>
      <c r="L4" s="633" t="s">
        <v>60</v>
      </c>
      <c r="M4" s="633" t="s">
        <v>61</v>
      </c>
      <c r="N4" s="633" t="s">
        <v>62</v>
      </c>
      <c r="O4" s="634" t="s">
        <v>65</v>
      </c>
    </row>
    <row r="5" spans="1:15" ht="24" customHeight="1">
      <c r="A5" s="25" t="s">
        <v>1</v>
      </c>
      <c r="B5" s="635">
        <f>SUM(C5:N5)</f>
        <v>611</v>
      </c>
      <c r="C5" s="18">
        <f t="shared" ref="C5:N5" si="0">SUM(C6:C117)</f>
        <v>61</v>
      </c>
      <c r="D5" s="18">
        <f t="shared" si="0"/>
        <v>64</v>
      </c>
      <c r="E5" s="18">
        <f t="shared" si="0"/>
        <v>42</v>
      </c>
      <c r="F5" s="18">
        <f t="shared" si="0"/>
        <v>6</v>
      </c>
      <c r="G5" s="18">
        <f t="shared" si="0"/>
        <v>6</v>
      </c>
      <c r="H5" s="18">
        <f t="shared" si="0"/>
        <v>26</v>
      </c>
      <c r="I5" s="18">
        <f t="shared" si="0"/>
        <v>64</v>
      </c>
      <c r="J5" s="18">
        <f t="shared" si="0"/>
        <v>56</v>
      </c>
      <c r="K5" s="18">
        <f t="shared" si="0"/>
        <v>80</v>
      </c>
      <c r="L5" s="18">
        <f t="shared" si="0"/>
        <v>69</v>
      </c>
      <c r="M5" s="18">
        <f t="shared" si="0"/>
        <v>52</v>
      </c>
      <c r="N5" s="18">
        <f t="shared" si="0"/>
        <v>85</v>
      </c>
      <c r="O5" s="636" t="s">
        <v>49</v>
      </c>
    </row>
    <row r="6" spans="1:15" ht="24" customHeight="1">
      <c r="A6" s="25"/>
      <c r="B6" s="635">
        <f>SUM(C6:N6)</f>
        <v>2</v>
      </c>
      <c r="C6" s="18">
        <v>0</v>
      </c>
      <c r="D6" s="18"/>
      <c r="E6" s="18"/>
      <c r="F6" s="18"/>
      <c r="G6" s="18"/>
      <c r="H6" s="18"/>
      <c r="I6" s="18"/>
      <c r="J6" s="18"/>
      <c r="K6" s="18"/>
      <c r="L6" s="18">
        <v>0</v>
      </c>
      <c r="M6" s="18">
        <v>2</v>
      </c>
      <c r="N6" s="18">
        <v>0</v>
      </c>
      <c r="O6" s="636" t="s">
        <v>1104</v>
      </c>
    </row>
    <row r="7" spans="1:15" ht="24" customHeight="1">
      <c r="A7" s="25"/>
      <c r="B7" s="635">
        <f>SUM(C7:N7)</f>
        <v>2</v>
      </c>
      <c r="C7" s="18">
        <v>0</v>
      </c>
      <c r="D7" s="18"/>
      <c r="E7" s="18"/>
      <c r="F7" s="18"/>
      <c r="G7" s="18"/>
      <c r="H7" s="18"/>
      <c r="I7" s="18"/>
      <c r="J7" s="18"/>
      <c r="K7" s="18">
        <v>1</v>
      </c>
      <c r="L7" s="18">
        <v>0</v>
      </c>
      <c r="M7" s="18">
        <v>1</v>
      </c>
      <c r="N7" s="18">
        <v>0</v>
      </c>
      <c r="O7" s="637" t="s">
        <v>1106</v>
      </c>
    </row>
    <row r="8" spans="1:15" ht="24" customHeight="1">
      <c r="A8" s="627"/>
      <c r="B8" s="18">
        <f t="shared" ref="B8:B71" si="1">SUM(C8:N8)</f>
        <v>0</v>
      </c>
      <c r="C8" s="638">
        <v>0</v>
      </c>
      <c r="D8" s="638"/>
      <c r="E8" s="638"/>
      <c r="F8" s="638"/>
      <c r="G8" s="638"/>
      <c r="H8" s="638"/>
      <c r="I8" s="638"/>
      <c r="J8" s="638"/>
      <c r="K8" s="638"/>
      <c r="L8" s="638">
        <v>0</v>
      </c>
      <c r="M8" s="638">
        <v>0</v>
      </c>
      <c r="N8" s="638">
        <v>0</v>
      </c>
      <c r="O8" s="639" t="s">
        <v>1108</v>
      </c>
    </row>
    <row r="9" spans="1:15" ht="24" customHeight="1">
      <c r="A9" s="627"/>
      <c r="B9" s="18">
        <f t="shared" si="1"/>
        <v>36</v>
      </c>
      <c r="C9" s="638">
        <v>3</v>
      </c>
      <c r="D9" s="638">
        <v>6</v>
      </c>
      <c r="E9" s="638">
        <v>3</v>
      </c>
      <c r="F9" s="638"/>
      <c r="G9" s="638"/>
      <c r="H9" s="638">
        <v>1</v>
      </c>
      <c r="I9" s="638">
        <v>5</v>
      </c>
      <c r="J9" s="638">
        <v>5</v>
      </c>
      <c r="K9" s="638">
        <v>1</v>
      </c>
      <c r="L9" s="638">
        <v>6</v>
      </c>
      <c r="M9" s="638">
        <v>1</v>
      </c>
      <c r="N9" s="638">
        <v>5</v>
      </c>
      <c r="O9" s="639" t="s">
        <v>1109</v>
      </c>
    </row>
    <row r="10" spans="1:15" ht="24" customHeight="1">
      <c r="A10" s="627"/>
      <c r="B10" s="18">
        <f t="shared" si="1"/>
        <v>0</v>
      </c>
      <c r="C10" s="638">
        <v>0</v>
      </c>
      <c r="D10" s="638"/>
      <c r="E10" s="638"/>
      <c r="F10" s="638"/>
      <c r="G10" s="638"/>
      <c r="H10" s="638"/>
      <c r="I10" s="638"/>
      <c r="J10" s="638"/>
      <c r="K10" s="638"/>
      <c r="L10" s="638"/>
      <c r="M10" s="638"/>
      <c r="N10" s="638"/>
      <c r="O10" s="639" t="s">
        <v>1110</v>
      </c>
    </row>
    <row r="11" spans="1:15" ht="43.5" customHeight="1">
      <c r="A11" s="640"/>
      <c r="B11" s="18">
        <f t="shared" si="1"/>
        <v>0</v>
      </c>
      <c r="C11" s="641">
        <v>0</v>
      </c>
      <c r="D11" s="641"/>
      <c r="E11" s="641"/>
      <c r="F11" s="641"/>
      <c r="G11" s="641"/>
      <c r="H11" s="641"/>
      <c r="I11" s="641"/>
      <c r="J11" s="641"/>
      <c r="K11" s="641"/>
      <c r="L11" s="641"/>
      <c r="M11" s="641"/>
      <c r="N11" s="641"/>
      <c r="O11" s="628" t="s">
        <v>1111</v>
      </c>
    </row>
    <row r="12" spans="1:15" ht="24" customHeight="1">
      <c r="A12" s="627"/>
      <c r="B12" s="18">
        <f t="shared" si="1"/>
        <v>14</v>
      </c>
      <c r="C12" s="638">
        <v>0</v>
      </c>
      <c r="D12" s="638"/>
      <c r="E12" s="638"/>
      <c r="F12" s="638"/>
      <c r="G12" s="638"/>
      <c r="H12" s="638"/>
      <c r="I12" s="638"/>
      <c r="J12" s="638"/>
      <c r="K12" s="638"/>
      <c r="L12" s="638">
        <v>2</v>
      </c>
      <c r="M12" s="638"/>
      <c r="N12" s="638">
        <v>12</v>
      </c>
      <c r="O12" s="639" t="s">
        <v>1112</v>
      </c>
    </row>
    <row r="13" spans="1:15" ht="24" customHeight="1">
      <c r="A13" s="627"/>
      <c r="B13" s="18">
        <f t="shared" si="1"/>
        <v>61</v>
      </c>
      <c r="C13" s="638">
        <v>16</v>
      </c>
      <c r="D13" s="638">
        <v>5</v>
      </c>
      <c r="E13" s="638">
        <v>5</v>
      </c>
      <c r="F13" s="638"/>
      <c r="G13" s="638"/>
      <c r="H13" s="638">
        <v>1</v>
      </c>
      <c r="I13" s="638">
        <v>1</v>
      </c>
      <c r="J13" s="638">
        <v>3</v>
      </c>
      <c r="K13" s="638">
        <v>10</v>
      </c>
      <c r="L13" s="638">
        <v>7</v>
      </c>
      <c r="M13" s="638">
        <v>5</v>
      </c>
      <c r="N13" s="638">
        <v>8</v>
      </c>
      <c r="O13" s="639" t="s">
        <v>1113</v>
      </c>
    </row>
    <row r="14" spans="1:15" ht="45.75" customHeight="1">
      <c r="A14" s="627"/>
      <c r="B14" s="18">
        <f t="shared" si="1"/>
        <v>1</v>
      </c>
      <c r="C14" s="638">
        <v>0</v>
      </c>
      <c r="D14" s="638"/>
      <c r="E14" s="638"/>
      <c r="F14" s="638"/>
      <c r="G14" s="638"/>
      <c r="H14" s="638"/>
      <c r="I14" s="638"/>
      <c r="J14" s="638"/>
      <c r="K14" s="638"/>
      <c r="L14" s="638">
        <v>1</v>
      </c>
      <c r="M14" s="638"/>
      <c r="N14" s="638"/>
      <c r="O14" s="639" t="s">
        <v>1114</v>
      </c>
    </row>
    <row r="15" spans="1:15" ht="24" customHeight="1">
      <c r="A15" s="627"/>
      <c r="B15" s="18">
        <f t="shared" si="1"/>
        <v>1</v>
      </c>
      <c r="C15" s="638">
        <v>0</v>
      </c>
      <c r="D15" s="638"/>
      <c r="E15" s="638"/>
      <c r="F15" s="638"/>
      <c r="G15" s="638"/>
      <c r="H15" s="638"/>
      <c r="I15" s="638"/>
      <c r="J15" s="638"/>
      <c r="K15" s="638"/>
      <c r="L15" s="638"/>
      <c r="M15" s="638">
        <v>1</v>
      </c>
      <c r="N15" s="638"/>
      <c r="O15" s="639" t="s">
        <v>1115</v>
      </c>
    </row>
    <row r="16" spans="1:15" ht="24" customHeight="1">
      <c r="A16" s="627"/>
      <c r="B16" s="18">
        <f t="shared" si="1"/>
        <v>1</v>
      </c>
      <c r="C16" s="638">
        <v>0</v>
      </c>
      <c r="D16" s="638"/>
      <c r="E16" s="638"/>
      <c r="F16" s="638"/>
      <c r="G16" s="638"/>
      <c r="H16" s="638"/>
      <c r="I16" s="638"/>
      <c r="J16" s="638"/>
      <c r="K16" s="638"/>
      <c r="L16" s="638">
        <v>1</v>
      </c>
      <c r="M16" s="638"/>
      <c r="N16" s="638"/>
      <c r="O16" s="639" t="s">
        <v>1116</v>
      </c>
    </row>
    <row r="17" spans="1:15" ht="24" customHeight="1">
      <c r="A17" s="627"/>
      <c r="B17" s="18">
        <f t="shared" si="1"/>
        <v>1</v>
      </c>
      <c r="C17" s="638">
        <v>0</v>
      </c>
      <c r="D17" s="638"/>
      <c r="E17" s="638"/>
      <c r="F17" s="638"/>
      <c r="G17" s="638"/>
      <c r="H17" s="638"/>
      <c r="I17" s="638"/>
      <c r="J17" s="638"/>
      <c r="K17" s="638"/>
      <c r="L17" s="638"/>
      <c r="M17" s="638"/>
      <c r="N17" s="638">
        <v>1</v>
      </c>
      <c r="O17" s="639" t="s">
        <v>1118</v>
      </c>
    </row>
    <row r="18" spans="1:15" ht="24" customHeight="1">
      <c r="A18" s="627"/>
      <c r="B18" s="18">
        <f t="shared" si="1"/>
        <v>3</v>
      </c>
      <c r="C18" s="638">
        <v>0</v>
      </c>
      <c r="D18" s="638">
        <v>2</v>
      </c>
      <c r="E18" s="638"/>
      <c r="F18" s="638"/>
      <c r="G18" s="638"/>
      <c r="H18" s="638"/>
      <c r="I18" s="638"/>
      <c r="J18" s="638"/>
      <c r="K18" s="638"/>
      <c r="L18" s="638"/>
      <c r="M18" s="638"/>
      <c r="N18" s="638">
        <v>1</v>
      </c>
      <c r="O18" s="639" t="s">
        <v>1120</v>
      </c>
    </row>
    <row r="19" spans="1:15" ht="24" customHeight="1">
      <c r="A19" s="627"/>
      <c r="B19" s="18">
        <f t="shared" si="1"/>
        <v>0</v>
      </c>
      <c r="C19" s="638">
        <v>0</v>
      </c>
      <c r="D19" s="638"/>
      <c r="E19" s="638"/>
      <c r="F19" s="638"/>
      <c r="G19" s="638"/>
      <c r="H19" s="638"/>
      <c r="I19" s="638"/>
      <c r="J19" s="638"/>
      <c r="K19" s="638"/>
      <c r="L19" s="638"/>
      <c r="M19" s="638"/>
      <c r="N19" s="638"/>
      <c r="O19" s="639" t="s">
        <v>1121</v>
      </c>
    </row>
    <row r="20" spans="1:15" ht="24" customHeight="1">
      <c r="A20" s="627"/>
      <c r="B20" s="18">
        <f t="shared" si="1"/>
        <v>0</v>
      </c>
      <c r="C20" s="638">
        <v>0</v>
      </c>
      <c r="D20" s="638"/>
      <c r="E20" s="638"/>
      <c r="F20" s="638"/>
      <c r="G20" s="638"/>
      <c r="H20" s="638"/>
      <c r="I20" s="638"/>
      <c r="J20" s="638"/>
      <c r="K20" s="638"/>
      <c r="L20" s="638"/>
      <c r="M20" s="638"/>
      <c r="N20" s="638"/>
      <c r="O20" s="639" t="s">
        <v>1123</v>
      </c>
    </row>
    <row r="21" spans="1:15" ht="24" customHeight="1">
      <c r="A21" s="627"/>
      <c r="B21" s="18">
        <f t="shared" si="1"/>
        <v>6</v>
      </c>
      <c r="C21" s="638">
        <v>0</v>
      </c>
      <c r="D21" s="638"/>
      <c r="E21" s="638">
        <v>1</v>
      </c>
      <c r="F21" s="638"/>
      <c r="G21" s="638"/>
      <c r="H21" s="638"/>
      <c r="I21" s="638">
        <v>1</v>
      </c>
      <c r="J21" s="638"/>
      <c r="K21" s="638">
        <v>2</v>
      </c>
      <c r="L21" s="638">
        <v>1</v>
      </c>
      <c r="M21" s="638">
        <v>1</v>
      </c>
      <c r="N21" s="638"/>
      <c r="O21" s="639" t="s">
        <v>421</v>
      </c>
    </row>
    <row r="22" spans="1:15" ht="24" customHeight="1">
      <c r="A22" s="627"/>
      <c r="B22" s="18">
        <f t="shared" si="1"/>
        <v>0</v>
      </c>
      <c r="C22" s="638">
        <v>0</v>
      </c>
      <c r="D22" s="638"/>
      <c r="E22" s="638"/>
      <c r="F22" s="638"/>
      <c r="G22" s="638"/>
      <c r="H22" s="638"/>
      <c r="I22" s="638"/>
      <c r="J22" s="638"/>
      <c r="K22" s="638"/>
      <c r="L22" s="638"/>
      <c r="M22" s="638"/>
      <c r="N22" s="638"/>
      <c r="O22" s="639" t="s">
        <v>1126</v>
      </c>
    </row>
    <row r="23" spans="1:15" ht="40.5" customHeight="1">
      <c r="A23" s="640"/>
      <c r="B23" s="18">
        <f t="shared" si="1"/>
        <v>0</v>
      </c>
      <c r="C23" s="638">
        <v>0</v>
      </c>
      <c r="D23" s="638"/>
      <c r="E23" s="638"/>
      <c r="F23" s="638"/>
      <c r="G23" s="638"/>
      <c r="H23" s="638"/>
      <c r="I23" s="638"/>
      <c r="J23" s="638"/>
      <c r="K23" s="638"/>
      <c r="L23" s="638"/>
      <c r="M23" s="638"/>
      <c r="N23" s="638"/>
      <c r="O23" s="628" t="s">
        <v>1127</v>
      </c>
    </row>
    <row r="24" spans="1:15" ht="24" customHeight="1">
      <c r="A24" s="640"/>
      <c r="B24" s="18">
        <f t="shared" si="1"/>
        <v>0</v>
      </c>
      <c r="C24" s="638">
        <v>0</v>
      </c>
      <c r="D24" s="638"/>
      <c r="E24" s="638"/>
      <c r="F24" s="638"/>
      <c r="G24" s="638"/>
      <c r="H24" s="638"/>
      <c r="I24" s="638"/>
      <c r="J24" s="638"/>
      <c r="K24" s="638"/>
      <c r="L24" s="638"/>
      <c r="M24" s="638"/>
      <c r="N24" s="638"/>
      <c r="O24" s="628" t="s">
        <v>1128</v>
      </c>
    </row>
    <row r="25" spans="1:15" ht="24" customHeight="1">
      <c r="A25" s="640"/>
      <c r="B25" s="18">
        <f t="shared" si="1"/>
        <v>4</v>
      </c>
      <c r="C25" s="638">
        <v>0</v>
      </c>
      <c r="D25" s="638"/>
      <c r="E25" s="638"/>
      <c r="F25" s="638"/>
      <c r="G25" s="638"/>
      <c r="H25" s="638"/>
      <c r="I25" s="638"/>
      <c r="J25" s="638">
        <v>3</v>
      </c>
      <c r="K25" s="638">
        <v>1</v>
      </c>
      <c r="L25" s="638"/>
      <c r="M25" s="638"/>
      <c r="N25" s="638"/>
      <c r="O25" s="628" t="s">
        <v>1129</v>
      </c>
    </row>
    <row r="26" spans="1:15" ht="24" customHeight="1">
      <c r="A26" s="640"/>
      <c r="B26" s="18">
        <f t="shared" si="1"/>
        <v>7</v>
      </c>
      <c r="C26" s="638">
        <v>0</v>
      </c>
      <c r="D26" s="638"/>
      <c r="E26" s="638">
        <v>2</v>
      </c>
      <c r="F26" s="638"/>
      <c r="G26" s="638"/>
      <c r="H26" s="638">
        <v>1</v>
      </c>
      <c r="I26" s="638">
        <v>1</v>
      </c>
      <c r="J26" s="638"/>
      <c r="K26" s="638">
        <v>1</v>
      </c>
      <c r="L26" s="638"/>
      <c r="M26" s="638">
        <v>1</v>
      </c>
      <c r="N26" s="638">
        <v>1</v>
      </c>
      <c r="O26" s="628" t="s">
        <v>1130</v>
      </c>
    </row>
    <row r="27" spans="1:15" ht="24" customHeight="1">
      <c r="A27" s="640"/>
      <c r="B27" s="18">
        <f t="shared" si="1"/>
        <v>1</v>
      </c>
      <c r="C27" s="638">
        <v>0</v>
      </c>
      <c r="D27" s="638"/>
      <c r="E27" s="638"/>
      <c r="F27" s="638"/>
      <c r="G27" s="638"/>
      <c r="H27" s="638"/>
      <c r="I27" s="638"/>
      <c r="J27" s="638"/>
      <c r="K27" s="638">
        <v>1</v>
      </c>
      <c r="L27" s="638"/>
      <c r="M27" s="638"/>
      <c r="N27" s="638"/>
      <c r="O27" s="628" t="s">
        <v>1131</v>
      </c>
    </row>
    <row r="28" spans="1:15" ht="39" customHeight="1">
      <c r="A28" s="640"/>
      <c r="B28" s="18">
        <f t="shared" si="1"/>
        <v>1</v>
      </c>
      <c r="C28" s="638">
        <v>0</v>
      </c>
      <c r="D28" s="638"/>
      <c r="E28" s="638"/>
      <c r="F28" s="638"/>
      <c r="G28" s="638"/>
      <c r="H28" s="638"/>
      <c r="I28" s="638"/>
      <c r="J28" s="638"/>
      <c r="K28" s="638"/>
      <c r="L28" s="638">
        <v>1</v>
      </c>
      <c r="M28" s="638"/>
      <c r="N28" s="638"/>
      <c r="O28" s="628" t="s">
        <v>1132</v>
      </c>
    </row>
    <row r="29" spans="1:15" ht="39" customHeight="1">
      <c r="A29" s="640"/>
      <c r="B29" s="18">
        <f t="shared" si="1"/>
        <v>4</v>
      </c>
      <c r="C29" s="638">
        <v>0</v>
      </c>
      <c r="D29" s="638"/>
      <c r="E29" s="638"/>
      <c r="F29" s="638">
        <v>1</v>
      </c>
      <c r="G29" s="638"/>
      <c r="H29" s="638"/>
      <c r="I29" s="638"/>
      <c r="J29" s="638">
        <v>1</v>
      </c>
      <c r="K29" s="638"/>
      <c r="L29" s="638"/>
      <c r="M29" s="638"/>
      <c r="N29" s="638">
        <v>2</v>
      </c>
      <c r="O29" s="628" t="s">
        <v>1133</v>
      </c>
    </row>
    <row r="30" spans="1:15" ht="24" customHeight="1">
      <c r="A30" s="640"/>
      <c r="B30" s="18">
        <f t="shared" si="1"/>
        <v>1</v>
      </c>
      <c r="C30" s="638">
        <v>0</v>
      </c>
      <c r="D30" s="638"/>
      <c r="E30" s="638"/>
      <c r="F30" s="638"/>
      <c r="G30" s="638"/>
      <c r="H30" s="638"/>
      <c r="I30" s="638">
        <v>1</v>
      </c>
      <c r="J30" s="638"/>
      <c r="K30" s="638"/>
      <c r="L30" s="638"/>
      <c r="M30" s="638"/>
      <c r="N30" s="638"/>
      <c r="O30" s="628" t="s">
        <v>1134</v>
      </c>
    </row>
    <row r="31" spans="1:15" ht="24" customHeight="1">
      <c r="A31" s="640"/>
      <c r="B31" s="18">
        <f t="shared" si="1"/>
        <v>17</v>
      </c>
      <c r="C31" s="638">
        <v>4</v>
      </c>
      <c r="D31" s="638">
        <v>1</v>
      </c>
      <c r="E31" s="638">
        <v>1</v>
      </c>
      <c r="F31" s="638"/>
      <c r="G31" s="638"/>
      <c r="H31" s="638"/>
      <c r="I31" s="638"/>
      <c r="J31" s="638">
        <v>4</v>
      </c>
      <c r="K31" s="638">
        <v>3</v>
      </c>
      <c r="L31" s="638">
        <v>1</v>
      </c>
      <c r="M31" s="638">
        <v>2</v>
      </c>
      <c r="N31" s="638">
        <v>1</v>
      </c>
      <c r="O31" s="628" t="s">
        <v>1135</v>
      </c>
    </row>
    <row r="32" spans="1:15" ht="24" customHeight="1">
      <c r="A32" s="640"/>
      <c r="B32" s="18">
        <f t="shared" si="1"/>
        <v>9</v>
      </c>
      <c r="C32" s="638">
        <v>2</v>
      </c>
      <c r="D32" s="638">
        <v>2</v>
      </c>
      <c r="E32" s="638"/>
      <c r="F32" s="638"/>
      <c r="G32" s="638"/>
      <c r="H32" s="638"/>
      <c r="I32" s="638"/>
      <c r="J32" s="638">
        <v>2</v>
      </c>
      <c r="K32" s="638"/>
      <c r="L32" s="638">
        <v>2</v>
      </c>
      <c r="M32" s="638"/>
      <c r="N32" s="638">
        <v>1</v>
      </c>
      <c r="O32" s="628" t="s">
        <v>1136</v>
      </c>
    </row>
    <row r="33" spans="1:15" ht="24" customHeight="1">
      <c r="A33" s="640"/>
      <c r="B33" s="18">
        <f t="shared" si="1"/>
        <v>0</v>
      </c>
      <c r="C33" s="638">
        <v>0</v>
      </c>
      <c r="D33" s="638"/>
      <c r="E33" s="638"/>
      <c r="F33" s="638"/>
      <c r="G33" s="638"/>
      <c r="H33" s="638"/>
      <c r="I33" s="638"/>
      <c r="J33" s="638"/>
      <c r="K33" s="638"/>
      <c r="L33" s="638"/>
      <c r="M33" s="638"/>
      <c r="N33" s="638"/>
      <c r="O33" s="628" t="s">
        <v>1137</v>
      </c>
    </row>
    <row r="34" spans="1:15" ht="24" customHeight="1">
      <c r="A34" s="640"/>
      <c r="B34" s="18">
        <f t="shared" si="1"/>
        <v>5</v>
      </c>
      <c r="C34" s="638">
        <v>1</v>
      </c>
      <c r="D34" s="638">
        <v>1</v>
      </c>
      <c r="E34" s="638"/>
      <c r="F34" s="638"/>
      <c r="G34" s="638">
        <v>1</v>
      </c>
      <c r="H34" s="638"/>
      <c r="I34" s="638"/>
      <c r="J34" s="638"/>
      <c r="K34" s="638"/>
      <c r="L34" s="638">
        <v>2</v>
      </c>
      <c r="M34" s="638"/>
      <c r="N34" s="638"/>
      <c r="O34" s="628" t="s">
        <v>1138</v>
      </c>
    </row>
    <row r="35" spans="1:15" ht="24" customHeight="1">
      <c r="A35" s="640"/>
      <c r="B35" s="18">
        <f t="shared" si="1"/>
        <v>9</v>
      </c>
      <c r="C35" s="638">
        <v>3</v>
      </c>
      <c r="D35" s="638">
        <v>2</v>
      </c>
      <c r="E35" s="638"/>
      <c r="F35" s="638"/>
      <c r="G35" s="638"/>
      <c r="H35" s="638"/>
      <c r="I35" s="638">
        <v>1</v>
      </c>
      <c r="J35" s="638"/>
      <c r="K35" s="638"/>
      <c r="L35" s="638"/>
      <c r="M35" s="638">
        <v>1</v>
      </c>
      <c r="N35" s="638">
        <v>2</v>
      </c>
      <c r="O35" s="628" t="s">
        <v>1139</v>
      </c>
    </row>
    <row r="36" spans="1:15" ht="24" customHeight="1">
      <c r="A36" s="640"/>
      <c r="B36" s="18">
        <f t="shared" si="1"/>
        <v>0</v>
      </c>
      <c r="C36" s="638">
        <v>0</v>
      </c>
      <c r="D36" s="638"/>
      <c r="E36" s="638"/>
      <c r="F36" s="638"/>
      <c r="G36" s="638"/>
      <c r="H36" s="638"/>
      <c r="I36" s="638"/>
      <c r="J36" s="638"/>
      <c r="K36" s="638"/>
      <c r="L36" s="638"/>
      <c r="M36" s="638"/>
      <c r="N36" s="638"/>
      <c r="O36" s="628" t="s">
        <v>1140</v>
      </c>
    </row>
    <row r="37" spans="1:15" ht="24" customHeight="1">
      <c r="A37" s="640"/>
      <c r="B37" s="18">
        <f t="shared" si="1"/>
        <v>1</v>
      </c>
      <c r="C37" s="638">
        <v>0</v>
      </c>
      <c r="D37" s="638"/>
      <c r="E37" s="638"/>
      <c r="F37" s="638"/>
      <c r="G37" s="638"/>
      <c r="H37" s="638"/>
      <c r="I37" s="638"/>
      <c r="J37" s="638"/>
      <c r="K37" s="638"/>
      <c r="L37" s="638"/>
      <c r="M37" s="638"/>
      <c r="N37" s="638">
        <v>1</v>
      </c>
      <c r="O37" s="628" t="s">
        <v>1141</v>
      </c>
    </row>
    <row r="38" spans="1:15" ht="41.25" customHeight="1">
      <c r="A38" s="640"/>
      <c r="B38" s="18">
        <f t="shared" si="1"/>
        <v>1</v>
      </c>
      <c r="C38" s="638">
        <v>0</v>
      </c>
      <c r="D38" s="638">
        <v>1</v>
      </c>
      <c r="E38" s="638"/>
      <c r="F38" s="638"/>
      <c r="G38" s="638"/>
      <c r="H38" s="638"/>
      <c r="I38" s="638"/>
      <c r="J38" s="638"/>
      <c r="K38" s="638"/>
      <c r="L38" s="638"/>
      <c r="M38" s="638"/>
      <c r="N38" s="638"/>
      <c r="O38" s="628" t="s">
        <v>1142</v>
      </c>
    </row>
    <row r="39" spans="1:15" ht="41.25" customHeight="1">
      <c r="A39" s="640"/>
      <c r="B39" s="18">
        <f t="shared" si="1"/>
        <v>3</v>
      </c>
      <c r="C39" s="638">
        <v>0</v>
      </c>
      <c r="D39" s="638"/>
      <c r="E39" s="638"/>
      <c r="F39" s="638"/>
      <c r="G39" s="638"/>
      <c r="H39" s="638"/>
      <c r="I39" s="638"/>
      <c r="J39" s="638"/>
      <c r="K39" s="638"/>
      <c r="L39" s="638">
        <v>2</v>
      </c>
      <c r="M39" s="638">
        <v>1</v>
      </c>
      <c r="N39" s="638"/>
      <c r="O39" s="628" t="s">
        <v>1143</v>
      </c>
    </row>
    <row r="40" spans="1:15" ht="41.25" customHeight="1">
      <c r="A40" s="640"/>
      <c r="B40" s="18">
        <f t="shared" si="1"/>
        <v>2</v>
      </c>
      <c r="C40" s="638">
        <v>0</v>
      </c>
      <c r="D40" s="638"/>
      <c r="E40" s="638"/>
      <c r="F40" s="638"/>
      <c r="G40" s="638"/>
      <c r="H40" s="638">
        <v>1</v>
      </c>
      <c r="I40" s="638">
        <v>1</v>
      </c>
      <c r="J40" s="638"/>
      <c r="K40" s="638"/>
      <c r="L40" s="638"/>
      <c r="M40" s="638"/>
      <c r="N40" s="638"/>
      <c r="O40" s="628" t="s">
        <v>1144</v>
      </c>
    </row>
    <row r="41" spans="1:15" ht="41.25" customHeight="1">
      <c r="A41" s="640"/>
      <c r="B41" s="18">
        <f t="shared" si="1"/>
        <v>5</v>
      </c>
      <c r="C41" s="638">
        <v>1</v>
      </c>
      <c r="D41" s="638"/>
      <c r="E41" s="638"/>
      <c r="F41" s="638"/>
      <c r="G41" s="638"/>
      <c r="H41" s="638"/>
      <c r="I41" s="638"/>
      <c r="J41" s="638">
        <v>1</v>
      </c>
      <c r="K41" s="638"/>
      <c r="L41" s="638">
        <v>1</v>
      </c>
      <c r="M41" s="638">
        <v>1</v>
      </c>
      <c r="N41" s="638">
        <v>1</v>
      </c>
      <c r="O41" s="628" t="s">
        <v>1145</v>
      </c>
    </row>
    <row r="42" spans="1:15" ht="41.25" customHeight="1">
      <c r="A42" s="640"/>
      <c r="B42" s="18">
        <f t="shared" si="1"/>
        <v>2</v>
      </c>
      <c r="C42" s="638">
        <v>0</v>
      </c>
      <c r="D42" s="638"/>
      <c r="E42" s="638"/>
      <c r="F42" s="638"/>
      <c r="G42" s="638"/>
      <c r="H42" s="638">
        <v>1</v>
      </c>
      <c r="I42" s="638"/>
      <c r="J42" s="638"/>
      <c r="K42" s="638"/>
      <c r="L42" s="638">
        <v>1</v>
      </c>
      <c r="M42" s="638"/>
      <c r="N42" s="638"/>
      <c r="O42" s="628" t="s">
        <v>1146</v>
      </c>
    </row>
    <row r="43" spans="1:15" ht="41.25" customHeight="1">
      <c r="A43" s="640"/>
      <c r="B43" s="18">
        <f t="shared" si="1"/>
        <v>0</v>
      </c>
      <c r="C43" s="638">
        <v>0</v>
      </c>
      <c r="D43" s="638"/>
      <c r="E43" s="638"/>
      <c r="F43" s="638"/>
      <c r="G43" s="638"/>
      <c r="H43" s="638"/>
      <c r="I43" s="638"/>
      <c r="J43" s="638"/>
      <c r="K43" s="638"/>
      <c r="L43" s="638"/>
      <c r="M43" s="638"/>
      <c r="N43" s="638"/>
      <c r="O43" s="628" t="s">
        <v>1147</v>
      </c>
    </row>
    <row r="44" spans="1:15" ht="41.25" customHeight="1">
      <c r="A44" s="640"/>
      <c r="B44" s="18">
        <f t="shared" si="1"/>
        <v>2</v>
      </c>
      <c r="C44" s="638">
        <v>0</v>
      </c>
      <c r="D44" s="638">
        <v>1</v>
      </c>
      <c r="E44" s="638"/>
      <c r="F44" s="638"/>
      <c r="G44" s="638"/>
      <c r="H44" s="638"/>
      <c r="I44" s="638"/>
      <c r="J44" s="638"/>
      <c r="K44" s="638"/>
      <c r="L44" s="638">
        <v>1</v>
      </c>
      <c r="M44" s="638"/>
      <c r="N44" s="638"/>
      <c r="O44" s="628" t="s">
        <v>1148</v>
      </c>
    </row>
    <row r="45" spans="1:15" ht="41.25" customHeight="1">
      <c r="A45" s="640"/>
      <c r="B45" s="18">
        <f t="shared" si="1"/>
        <v>31</v>
      </c>
      <c r="C45" s="638">
        <v>3</v>
      </c>
      <c r="D45" s="638"/>
      <c r="E45" s="638">
        <v>2</v>
      </c>
      <c r="F45" s="638">
        <v>1</v>
      </c>
      <c r="G45" s="638">
        <v>1</v>
      </c>
      <c r="H45" s="638"/>
      <c r="I45" s="638">
        <v>6</v>
      </c>
      <c r="J45" s="638">
        <v>6</v>
      </c>
      <c r="K45" s="638">
        <v>5</v>
      </c>
      <c r="L45" s="638"/>
      <c r="M45" s="638">
        <v>6</v>
      </c>
      <c r="N45" s="638">
        <v>1</v>
      </c>
      <c r="O45" s="628" t="s">
        <v>1149</v>
      </c>
    </row>
    <row r="46" spans="1:15" ht="41.25" customHeight="1">
      <c r="A46" s="640"/>
      <c r="B46" s="18">
        <f t="shared" si="1"/>
        <v>0</v>
      </c>
      <c r="C46" s="638">
        <v>0</v>
      </c>
      <c r="D46" s="638"/>
      <c r="E46" s="638"/>
      <c r="F46" s="638"/>
      <c r="G46" s="638"/>
      <c r="H46" s="638"/>
      <c r="I46" s="638"/>
      <c r="J46" s="638"/>
      <c r="K46" s="638"/>
      <c r="L46" s="638"/>
      <c r="M46" s="638"/>
      <c r="N46" s="638"/>
      <c r="O46" s="628" t="s">
        <v>1150</v>
      </c>
    </row>
    <row r="47" spans="1:15" ht="41.25" customHeight="1">
      <c r="A47" s="640"/>
      <c r="B47" s="18">
        <f t="shared" si="1"/>
        <v>1</v>
      </c>
      <c r="C47" s="638">
        <v>0</v>
      </c>
      <c r="D47" s="638"/>
      <c r="E47" s="638"/>
      <c r="F47" s="638"/>
      <c r="G47" s="638"/>
      <c r="H47" s="638"/>
      <c r="I47" s="638"/>
      <c r="J47" s="638"/>
      <c r="K47" s="638"/>
      <c r="L47" s="638">
        <v>1</v>
      </c>
      <c r="M47" s="638"/>
      <c r="N47" s="638"/>
      <c r="O47" s="628" t="s">
        <v>1151</v>
      </c>
    </row>
    <row r="48" spans="1:15" ht="41.25" customHeight="1">
      <c r="A48" s="640"/>
      <c r="B48" s="18">
        <f t="shared" si="1"/>
        <v>0</v>
      </c>
      <c r="C48" s="638">
        <v>0</v>
      </c>
      <c r="D48" s="638"/>
      <c r="E48" s="638"/>
      <c r="F48" s="638"/>
      <c r="G48" s="638"/>
      <c r="H48" s="638"/>
      <c r="I48" s="638"/>
      <c r="J48" s="638"/>
      <c r="K48" s="638"/>
      <c r="L48" s="638"/>
      <c r="M48" s="638"/>
      <c r="N48" s="638"/>
      <c r="O48" s="628" t="s">
        <v>1152</v>
      </c>
    </row>
    <row r="49" spans="1:15" ht="41.25" customHeight="1">
      <c r="A49" s="640"/>
      <c r="B49" s="18">
        <f t="shared" si="1"/>
        <v>0</v>
      </c>
      <c r="C49" s="638">
        <v>0</v>
      </c>
      <c r="D49" s="638"/>
      <c r="E49" s="638"/>
      <c r="F49" s="638"/>
      <c r="G49" s="638"/>
      <c r="H49" s="638"/>
      <c r="I49" s="638"/>
      <c r="J49" s="638"/>
      <c r="K49" s="638"/>
      <c r="L49" s="638"/>
      <c r="M49" s="638"/>
      <c r="N49" s="638"/>
      <c r="O49" s="628" t="s">
        <v>1153</v>
      </c>
    </row>
    <row r="50" spans="1:15" ht="41.25" customHeight="1">
      <c r="A50" s="640"/>
      <c r="B50" s="18">
        <f t="shared" si="1"/>
        <v>0</v>
      </c>
      <c r="C50" s="638">
        <v>0</v>
      </c>
      <c r="D50" s="638"/>
      <c r="E50" s="638"/>
      <c r="F50" s="638"/>
      <c r="G50" s="638"/>
      <c r="H50" s="638"/>
      <c r="I50" s="638"/>
      <c r="J50" s="638"/>
      <c r="K50" s="638"/>
      <c r="L50" s="638"/>
      <c r="M50" s="638"/>
      <c r="N50" s="638"/>
      <c r="O50" s="628" t="s">
        <v>1154</v>
      </c>
    </row>
    <row r="51" spans="1:15" ht="24" customHeight="1">
      <c r="A51" s="640"/>
      <c r="B51" s="18">
        <f t="shared" si="1"/>
        <v>0</v>
      </c>
      <c r="C51" s="638">
        <v>0</v>
      </c>
      <c r="D51" s="638"/>
      <c r="E51" s="638"/>
      <c r="F51" s="638"/>
      <c r="G51" s="638"/>
      <c r="H51" s="638"/>
      <c r="I51" s="638"/>
      <c r="J51" s="638"/>
      <c r="K51" s="638"/>
      <c r="L51" s="638"/>
      <c r="M51" s="638"/>
      <c r="N51" s="638"/>
      <c r="O51" s="628" t="s">
        <v>1155</v>
      </c>
    </row>
    <row r="52" spans="1:15" ht="24" customHeight="1">
      <c r="A52" s="640"/>
      <c r="B52" s="18">
        <f t="shared" si="1"/>
        <v>2</v>
      </c>
      <c r="C52" s="638">
        <v>1</v>
      </c>
      <c r="D52" s="638"/>
      <c r="E52" s="638"/>
      <c r="F52" s="638"/>
      <c r="G52" s="638"/>
      <c r="H52" s="638"/>
      <c r="I52" s="638"/>
      <c r="J52" s="638"/>
      <c r="K52" s="638"/>
      <c r="L52" s="638"/>
      <c r="M52" s="638"/>
      <c r="N52" s="638">
        <v>1</v>
      </c>
      <c r="O52" s="628" t="s">
        <v>1156</v>
      </c>
    </row>
    <row r="53" spans="1:15" ht="24" customHeight="1">
      <c r="A53" s="640"/>
      <c r="B53" s="18">
        <f t="shared" si="1"/>
        <v>0</v>
      </c>
      <c r="C53" s="638">
        <v>0</v>
      </c>
      <c r="D53" s="638"/>
      <c r="E53" s="638"/>
      <c r="F53" s="638"/>
      <c r="G53" s="638"/>
      <c r="H53" s="638"/>
      <c r="I53" s="638"/>
      <c r="J53" s="638"/>
      <c r="K53" s="638"/>
      <c r="L53" s="638"/>
      <c r="M53" s="638"/>
      <c r="N53" s="638"/>
      <c r="O53" s="628" t="s">
        <v>1157</v>
      </c>
    </row>
    <row r="54" spans="1:15" ht="24" customHeight="1">
      <c r="A54" s="640"/>
      <c r="B54" s="18">
        <f t="shared" si="1"/>
        <v>109</v>
      </c>
      <c r="C54" s="638">
        <v>7</v>
      </c>
      <c r="D54" s="638">
        <v>7</v>
      </c>
      <c r="E54" s="638">
        <v>6</v>
      </c>
      <c r="F54" s="638">
        <v>1</v>
      </c>
      <c r="G54" s="638">
        <v>1</v>
      </c>
      <c r="H54" s="638">
        <v>2</v>
      </c>
      <c r="I54" s="638">
        <v>16</v>
      </c>
      <c r="J54" s="638">
        <v>15</v>
      </c>
      <c r="K54" s="638">
        <v>22</v>
      </c>
      <c r="L54" s="638">
        <v>14</v>
      </c>
      <c r="M54" s="638">
        <v>4</v>
      </c>
      <c r="N54" s="638">
        <v>14</v>
      </c>
      <c r="O54" s="628" t="s">
        <v>1158</v>
      </c>
    </row>
    <row r="55" spans="1:15" ht="24" customHeight="1">
      <c r="A55" s="640"/>
      <c r="B55" s="18">
        <f t="shared" si="1"/>
        <v>0</v>
      </c>
      <c r="C55" s="638">
        <v>0</v>
      </c>
      <c r="D55" s="638"/>
      <c r="E55" s="638"/>
      <c r="F55" s="638"/>
      <c r="G55" s="638"/>
      <c r="H55" s="638"/>
      <c r="I55" s="638"/>
      <c r="J55" s="638"/>
      <c r="K55" s="638"/>
      <c r="L55" s="638"/>
      <c r="M55" s="638"/>
      <c r="N55" s="638"/>
      <c r="O55" s="628" t="s">
        <v>1159</v>
      </c>
    </row>
    <row r="56" spans="1:15" ht="36" customHeight="1">
      <c r="A56" s="640"/>
      <c r="B56" s="18">
        <f t="shared" si="1"/>
        <v>4</v>
      </c>
      <c r="C56" s="638">
        <v>0</v>
      </c>
      <c r="D56" s="638">
        <v>1</v>
      </c>
      <c r="E56" s="638">
        <v>1</v>
      </c>
      <c r="F56" s="638"/>
      <c r="G56" s="638"/>
      <c r="H56" s="638"/>
      <c r="I56" s="638"/>
      <c r="J56" s="638"/>
      <c r="K56" s="638">
        <v>1</v>
      </c>
      <c r="L56" s="638"/>
      <c r="M56" s="638"/>
      <c r="N56" s="638">
        <v>1</v>
      </c>
      <c r="O56" s="628" t="s">
        <v>1160</v>
      </c>
    </row>
    <row r="57" spans="1:15" ht="36" customHeight="1">
      <c r="A57" s="640"/>
      <c r="B57" s="18">
        <f t="shared" si="1"/>
        <v>10</v>
      </c>
      <c r="C57" s="638">
        <v>1</v>
      </c>
      <c r="D57" s="638">
        <v>2</v>
      </c>
      <c r="E57" s="638">
        <v>2</v>
      </c>
      <c r="F57" s="638"/>
      <c r="G57" s="638"/>
      <c r="H57" s="638"/>
      <c r="I57" s="638"/>
      <c r="J57" s="638"/>
      <c r="K57" s="638"/>
      <c r="L57" s="638">
        <v>4</v>
      </c>
      <c r="M57" s="638">
        <v>1</v>
      </c>
      <c r="N57" s="638"/>
      <c r="O57" s="628" t="s">
        <v>1161</v>
      </c>
    </row>
    <row r="58" spans="1:15" ht="36" customHeight="1">
      <c r="A58" s="640"/>
      <c r="B58" s="18">
        <f t="shared" si="1"/>
        <v>1</v>
      </c>
      <c r="C58" s="638"/>
      <c r="D58" s="638"/>
      <c r="E58" s="638"/>
      <c r="F58" s="638"/>
      <c r="G58" s="638"/>
      <c r="H58" s="638"/>
      <c r="I58" s="638">
        <v>1</v>
      </c>
      <c r="J58" s="638"/>
      <c r="K58" s="638"/>
      <c r="L58" s="638"/>
      <c r="M58" s="638"/>
      <c r="N58" s="638"/>
      <c r="O58" s="628" t="s">
        <v>1162</v>
      </c>
    </row>
    <row r="59" spans="1:15" ht="36" customHeight="1">
      <c r="A59" s="640"/>
      <c r="B59" s="18">
        <f t="shared" si="1"/>
        <v>1</v>
      </c>
      <c r="C59" s="638">
        <v>1</v>
      </c>
      <c r="D59" s="638"/>
      <c r="E59" s="638"/>
      <c r="F59" s="638"/>
      <c r="G59" s="638"/>
      <c r="H59" s="638"/>
      <c r="I59" s="638"/>
      <c r="J59" s="638"/>
      <c r="K59" s="638"/>
      <c r="L59" s="638"/>
      <c r="M59" s="638"/>
      <c r="N59" s="638"/>
      <c r="O59" s="628" t="s">
        <v>1163</v>
      </c>
    </row>
    <row r="60" spans="1:15" ht="36" customHeight="1">
      <c r="A60" s="640"/>
      <c r="B60" s="18">
        <f t="shared" si="1"/>
        <v>0</v>
      </c>
      <c r="C60" s="638"/>
      <c r="D60" s="638"/>
      <c r="E60" s="638"/>
      <c r="F60" s="638"/>
      <c r="G60" s="638"/>
      <c r="H60" s="638"/>
      <c r="I60" s="638"/>
      <c r="J60" s="638"/>
      <c r="K60" s="638"/>
      <c r="L60" s="638"/>
      <c r="M60" s="638"/>
      <c r="N60" s="638"/>
      <c r="O60" s="628" t="s">
        <v>1164</v>
      </c>
    </row>
    <row r="61" spans="1:15" ht="36" customHeight="1">
      <c r="A61" s="640"/>
      <c r="B61" s="18">
        <f t="shared" si="1"/>
        <v>1</v>
      </c>
      <c r="C61" s="638"/>
      <c r="D61" s="638"/>
      <c r="E61" s="638">
        <v>1</v>
      </c>
      <c r="F61" s="638"/>
      <c r="G61" s="638"/>
      <c r="H61" s="638"/>
      <c r="I61" s="638"/>
      <c r="J61" s="638"/>
      <c r="K61" s="638"/>
      <c r="L61" s="638"/>
      <c r="M61" s="638"/>
      <c r="N61" s="638"/>
      <c r="O61" s="628" t="s">
        <v>1165</v>
      </c>
    </row>
    <row r="62" spans="1:15" ht="36" customHeight="1">
      <c r="A62" s="640"/>
      <c r="B62" s="18">
        <f t="shared" si="1"/>
        <v>2</v>
      </c>
      <c r="C62" s="638"/>
      <c r="D62" s="638"/>
      <c r="E62" s="638"/>
      <c r="F62" s="638"/>
      <c r="G62" s="638"/>
      <c r="H62" s="638"/>
      <c r="I62" s="638"/>
      <c r="J62" s="638"/>
      <c r="K62" s="638"/>
      <c r="L62" s="638">
        <v>2</v>
      </c>
      <c r="M62" s="638"/>
      <c r="N62" s="638"/>
      <c r="O62" s="628" t="s">
        <v>1166</v>
      </c>
    </row>
    <row r="63" spans="1:15" ht="36" customHeight="1">
      <c r="A63" s="640"/>
      <c r="B63" s="18">
        <f t="shared" si="1"/>
        <v>3</v>
      </c>
      <c r="C63" s="638"/>
      <c r="D63" s="638">
        <v>1</v>
      </c>
      <c r="E63" s="638"/>
      <c r="F63" s="638"/>
      <c r="G63" s="638"/>
      <c r="H63" s="638"/>
      <c r="I63" s="638"/>
      <c r="J63" s="638"/>
      <c r="K63" s="638">
        <v>1</v>
      </c>
      <c r="L63" s="638">
        <v>1</v>
      </c>
      <c r="M63" s="638">
        <v>0</v>
      </c>
      <c r="N63" s="638"/>
      <c r="O63" s="628" t="s">
        <v>1167</v>
      </c>
    </row>
    <row r="64" spans="1:15" ht="36" customHeight="1">
      <c r="A64" s="640"/>
      <c r="B64" s="18">
        <f t="shared" si="1"/>
        <v>2</v>
      </c>
      <c r="C64" s="638"/>
      <c r="D64" s="638"/>
      <c r="E64" s="638"/>
      <c r="F64" s="638"/>
      <c r="G64" s="638"/>
      <c r="H64" s="638"/>
      <c r="I64" s="638"/>
      <c r="J64" s="638"/>
      <c r="K64" s="638"/>
      <c r="L64" s="638">
        <v>2</v>
      </c>
      <c r="M64" s="638"/>
      <c r="N64" s="638"/>
      <c r="O64" s="628" t="s">
        <v>1168</v>
      </c>
    </row>
    <row r="65" spans="1:15" ht="36" customHeight="1">
      <c r="A65" s="640"/>
      <c r="B65" s="18">
        <f t="shared" si="1"/>
        <v>1</v>
      </c>
      <c r="C65" s="638"/>
      <c r="D65" s="638"/>
      <c r="E65" s="638"/>
      <c r="F65" s="638"/>
      <c r="G65" s="638"/>
      <c r="H65" s="638"/>
      <c r="I65" s="638"/>
      <c r="J65" s="638"/>
      <c r="K65" s="638"/>
      <c r="L65" s="638"/>
      <c r="M65" s="638">
        <v>1</v>
      </c>
      <c r="N65" s="638"/>
      <c r="O65" s="628" t="s">
        <v>1169</v>
      </c>
    </row>
    <row r="66" spans="1:15" ht="36" customHeight="1">
      <c r="A66" s="640"/>
      <c r="B66" s="18">
        <f t="shared" si="1"/>
        <v>8</v>
      </c>
      <c r="C66" s="638"/>
      <c r="D66" s="638">
        <v>1</v>
      </c>
      <c r="E66" s="638">
        <v>1</v>
      </c>
      <c r="F66" s="638"/>
      <c r="G66" s="638"/>
      <c r="H66" s="638">
        <v>1</v>
      </c>
      <c r="I66" s="638">
        <v>3</v>
      </c>
      <c r="J66" s="638"/>
      <c r="K66" s="638">
        <v>1</v>
      </c>
      <c r="L66" s="638">
        <v>1</v>
      </c>
      <c r="M66" s="638"/>
      <c r="N66" s="638"/>
      <c r="O66" s="628" t="s">
        <v>1170</v>
      </c>
    </row>
    <row r="67" spans="1:15" ht="18.75" customHeight="1">
      <c r="A67" s="640"/>
      <c r="B67" s="18">
        <f t="shared" si="1"/>
        <v>2</v>
      </c>
      <c r="C67" s="638"/>
      <c r="D67" s="638"/>
      <c r="E67" s="638"/>
      <c r="F67" s="638"/>
      <c r="G67" s="638"/>
      <c r="H67" s="638"/>
      <c r="I67" s="638">
        <v>1</v>
      </c>
      <c r="J67" s="638">
        <v>1</v>
      </c>
      <c r="K67" s="638"/>
      <c r="L67" s="638"/>
      <c r="M67" s="638"/>
      <c r="N67" s="638"/>
      <c r="O67" s="628" t="s">
        <v>6</v>
      </c>
    </row>
    <row r="68" spans="1:15" ht="18.75" customHeight="1">
      <c r="A68" s="640"/>
      <c r="B68" s="18">
        <f t="shared" si="1"/>
        <v>0</v>
      </c>
      <c r="C68" s="638"/>
      <c r="D68" s="638"/>
      <c r="E68" s="638"/>
      <c r="F68" s="638"/>
      <c r="G68" s="638"/>
      <c r="H68" s="638"/>
      <c r="I68" s="638"/>
      <c r="J68" s="638"/>
      <c r="K68" s="638"/>
      <c r="L68" s="638"/>
      <c r="M68" s="638"/>
      <c r="N68" s="638"/>
      <c r="O68" s="628" t="s">
        <v>8</v>
      </c>
    </row>
    <row r="69" spans="1:15" ht="36" customHeight="1">
      <c r="A69" s="640"/>
      <c r="B69" s="18">
        <f t="shared" si="1"/>
        <v>5</v>
      </c>
      <c r="C69" s="638"/>
      <c r="D69" s="638"/>
      <c r="E69" s="638"/>
      <c r="F69" s="638"/>
      <c r="G69" s="638"/>
      <c r="H69" s="638">
        <v>2</v>
      </c>
      <c r="I69" s="638">
        <v>3</v>
      </c>
      <c r="J69" s="638"/>
      <c r="K69" s="638"/>
      <c r="L69" s="638"/>
      <c r="M69" s="638"/>
      <c r="N69" s="638"/>
      <c r="O69" s="628" t="s">
        <v>1171</v>
      </c>
    </row>
    <row r="70" spans="1:15" ht="36" customHeight="1">
      <c r="A70" s="640"/>
      <c r="B70" s="18">
        <f t="shared" si="1"/>
        <v>2</v>
      </c>
      <c r="C70" s="638"/>
      <c r="D70" s="638"/>
      <c r="E70" s="638"/>
      <c r="F70" s="638"/>
      <c r="G70" s="638"/>
      <c r="H70" s="638">
        <v>2</v>
      </c>
      <c r="I70" s="638"/>
      <c r="J70" s="638"/>
      <c r="K70" s="638"/>
      <c r="L70" s="638"/>
      <c r="M70" s="638"/>
      <c r="N70" s="638"/>
      <c r="O70" s="628" t="s">
        <v>1172</v>
      </c>
    </row>
    <row r="71" spans="1:15" ht="36" customHeight="1">
      <c r="A71" s="640"/>
      <c r="B71" s="18">
        <f t="shared" si="1"/>
        <v>0</v>
      </c>
      <c r="C71" s="638"/>
      <c r="D71" s="638"/>
      <c r="E71" s="638"/>
      <c r="F71" s="638"/>
      <c r="G71" s="638"/>
      <c r="H71" s="638"/>
      <c r="I71" s="638"/>
      <c r="J71" s="638"/>
      <c r="K71" s="638"/>
      <c r="L71" s="638"/>
      <c r="M71" s="638"/>
      <c r="N71" s="638"/>
      <c r="O71" s="628" t="s">
        <v>1173</v>
      </c>
    </row>
    <row r="72" spans="1:15" ht="24" customHeight="1">
      <c r="A72" s="640"/>
      <c r="B72" s="18">
        <f t="shared" ref="B72:B117" si="2">SUM(C72:N72)</f>
        <v>1</v>
      </c>
      <c r="C72" s="638">
        <v>1</v>
      </c>
      <c r="D72" s="638"/>
      <c r="E72" s="638"/>
      <c r="F72" s="638"/>
      <c r="G72" s="638"/>
      <c r="H72" s="638"/>
      <c r="I72" s="638"/>
      <c r="J72" s="638"/>
      <c r="K72" s="638"/>
      <c r="L72" s="638"/>
      <c r="M72" s="638"/>
      <c r="N72" s="638"/>
      <c r="O72" s="628" t="s">
        <v>1174</v>
      </c>
    </row>
    <row r="73" spans="1:15" ht="24" customHeight="1">
      <c r="A73" s="640"/>
      <c r="B73" s="18">
        <f t="shared" si="2"/>
        <v>1</v>
      </c>
      <c r="C73" s="638"/>
      <c r="D73" s="638">
        <v>1</v>
      </c>
      <c r="E73" s="638"/>
      <c r="F73" s="638"/>
      <c r="G73" s="638"/>
      <c r="H73" s="638"/>
      <c r="I73" s="638"/>
      <c r="J73" s="638"/>
      <c r="K73" s="638"/>
      <c r="L73" s="638"/>
      <c r="M73" s="638"/>
      <c r="N73" s="638"/>
      <c r="O73" s="628" t="s">
        <v>1175</v>
      </c>
    </row>
    <row r="74" spans="1:15" ht="63">
      <c r="A74" s="640"/>
      <c r="B74" s="18">
        <f t="shared" si="2"/>
        <v>1</v>
      </c>
      <c r="C74" s="638">
        <v>1</v>
      </c>
      <c r="D74" s="638"/>
      <c r="E74" s="638"/>
      <c r="F74" s="638"/>
      <c r="G74" s="638"/>
      <c r="H74" s="638"/>
      <c r="I74" s="638"/>
      <c r="J74" s="638"/>
      <c r="K74" s="638"/>
      <c r="L74" s="638"/>
      <c r="M74" s="638"/>
      <c r="N74" s="638"/>
      <c r="O74" s="628" t="s">
        <v>1176</v>
      </c>
    </row>
    <row r="75" spans="1:15" ht="24" customHeight="1">
      <c r="A75" s="640"/>
      <c r="B75" s="18">
        <f t="shared" si="2"/>
        <v>1</v>
      </c>
      <c r="C75" s="638">
        <v>1</v>
      </c>
      <c r="D75" s="638"/>
      <c r="E75" s="638"/>
      <c r="F75" s="638"/>
      <c r="G75" s="638"/>
      <c r="H75" s="638"/>
      <c r="I75" s="638"/>
      <c r="J75" s="638"/>
      <c r="K75" s="638"/>
      <c r="L75" s="638"/>
      <c r="M75" s="638"/>
      <c r="N75" s="638"/>
      <c r="O75" s="628" t="s">
        <v>1177</v>
      </c>
    </row>
    <row r="76" spans="1:15" ht="24" customHeight="1">
      <c r="A76" s="640"/>
      <c r="B76" s="18">
        <f t="shared" si="2"/>
        <v>0</v>
      </c>
      <c r="C76" s="638"/>
      <c r="D76" s="638"/>
      <c r="E76" s="638"/>
      <c r="F76" s="638"/>
      <c r="G76" s="638"/>
      <c r="H76" s="638"/>
      <c r="I76" s="638"/>
      <c r="J76" s="638"/>
      <c r="K76" s="638"/>
      <c r="L76" s="638"/>
      <c r="M76" s="638"/>
      <c r="N76" s="638"/>
      <c r="O76" s="628" t="s">
        <v>1178</v>
      </c>
    </row>
    <row r="77" spans="1:15" ht="24" customHeight="1">
      <c r="A77" s="640"/>
      <c r="B77" s="18">
        <f t="shared" si="2"/>
        <v>0</v>
      </c>
      <c r="C77" s="638"/>
      <c r="D77" s="638"/>
      <c r="E77" s="638"/>
      <c r="F77" s="638"/>
      <c r="G77" s="638"/>
      <c r="H77" s="638"/>
      <c r="I77" s="638"/>
      <c r="J77" s="638"/>
      <c r="K77" s="638"/>
      <c r="L77" s="638"/>
      <c r="M77" s="638"/>
      <c r="N77" s="638"/>
      <c r="O77" s="628" t="s">
        <v>1179</v>
      </c>
    </row>
    <row r="78" spans="1:15" ht="35.25" customHeight="1">
      <c r="A78" s="640"/>
      <c r="B78" s="18">
        <f t="shared" si="2"/>
        <v>64</v>
      </c>
      <c r="C78" s="638">
        <v>2</v>
      </c>
      <c r="D78" s="638">
        <v>5</v>
      </c>
      <c r="E78" s="638">
        <v>6</v>
      </c>
      <c r="F78" s="638"/>
      <c r="G78" s="638"/>
      <c r="H78" s="638">
        <v>6</v>
      </c>
      <c r="I78" s="638">
        <v>6</v>
      </c>
      <c r="J78" s="638">
        <v>4</v>
      </c>
      <c r="K78" s="638">
        <v>11</v>
      </c>
      <c r="L78" s="638">
        <v>5</v>
      </c>
      <c r="M78" s="638">
        <v>8</v>
      </c>
      <c r="N78" s="638">
        <v>11</v>
      </c>
      <c r="O78" s="628" t="s">
        <v>1180</v>
      </c>
    </row>
    <row r="79" spans="1:15" ht="35.25" customHeight="1">
      <c r="A79" s="640"/>
      <c r="B79" s="18">
        <f t="shared" si="2"/>
        <v>24</v>
      </c>
      <c r="C79" s="638">
        <v>3</v>
      </c>
      <c r="D79" s="638">
        <v>3</v>
      </c>
      <c r="E79" s="638">
        <v>1</v>
      </c>
      <c r="F79" s="638">
        <v>1</v>
      </c>
      <c r="G79" s="638">
        <v>2</v>
      </c>
      <c r="H79" s="638"/>
      <c r="I79" s="638">
        <v>2</v>
      </c>
      <c r="J79" s="638">
        <v>1</v>
      </c>
      <c r="K79" s="638">
        <v>4</v>
      </c>
      <c r="L79" s="638">
        <v>1</v>
      </c>
      <c r="M79" s="638">
        <v>3</v>
      </c>
      <c r="N79" s="638">
        <v>3</v>
      </c>
      <c r="O79" s="628" t="s">
        <v>9</v>
      </c>
    </row>
    <row r="80" spans="1:15" ht="35.25" customHeight="1">
      <c r="A80" s="640"/>
      <c r="B80" s="18">
        <f t="shared" si="2"/>
        <v>1</v>
      </c>
      <c r="C80" s="638"/>
      <c r="D80" s="638"/>
      <c r="E80" s="638"/>
      <c r="F80" s="638"/>
      <c r="G80" s="638"/>
      <c r="H80" s="638"/>
      <c r="I80" s="638"/>
      <c r="J80" s="638"/>
      <c r="K80" s="638"/>
      <c r="L80" s="638">
        <v>1</v>
      </c>
      <c r="M80" s="638"/>
      <c r="N80" s="638"/>
      <c r="O80" s="628" t="s">
        <v>1181</v>
      </c>
    </row>
    <row r="81" spans="1:15" ht="35.25" customHeight="1">
      <c r="A81" s="640"/>
      <c r="B81" s="18">
        <f t="shared" si="2"/>
        <v>4</v>
      </c>
      <c r="C81" s="638"/>
      <c r="D81" s="638"/>
      <c r="E81" s="638"/>
      <c r="F81" s="638"/>
      <c r="G81" s="638"/>
      <c r="H81" s="638">
        <v>1</v>
      </c>
      <c r="I81" s="638"/>
      <c r="J81" s="638">
        <v>1</v>
      </c>
      <c r="K81" s="638">
        <v>1</v>
      </c>
      <c r="L81" s="638"/>
      <c r="M81" s="638"/>
      <c r="N81" s="638">
        <v>1</v>
      </c>
      <c r="O81" s="628" t="s">
        <v>10</v>
      </c>
    </row>
    <row r="82" spans="1:15" ht="35.25" customHeight="1">
      <c r="A82" s="640"/>
      <c r="B82" s="18">
        <f t="shared" si="2"/>
        <v>30</v>
      </c>
      <c r="C82" s="638">
        <v>5</v>
      </c>
      <c r="D82" s="638">
        <v>3</v>
      </c>
      <c r="E82" s="638">
        <v>1</v>
      </c>
      <c r="F82" s="638"/>
      <c r="G82" s="638"/>
      <c r="H82" s="638">
        <v>4</v>
      </c>
      <c r="I82" s="638">
        <v>3</v>
      </c>
      <c r="J82" s="638">
        <v>3</v>
      </c>
      <c r="K82" s="638">
        <v>4</v>
      </c>
      <c r="L82" s="638">
        <v>1</v>
      </c>
      <c r="M82" s="638">
        <v>2</v>
      </c>
      <c r="N82" s="638">
        <v>4</v>
      </c>
      <c r="O82" s="628" t="s">
        <v>1182</v>
      </c>
    </row>
    <row r="83" spans="1:15" ht="35.25" customHeight="1">
      <c r="A83" s="640"/>
      <c r="B83" s="18">
        <f t="shared" si="2"/>
        <v>1</v>
      </c>
      <c r="C83" s="638"/>
      <c r="D83" s="638"/>
      <c r="E83" s="638"/>
      <c r="F83" s="638"/>
      <c r="G83" s="638"/>
      <c r="H83" s="638"/>
      <c r="I83" s="638"/>
      <c r="J83" s="638"/>
      <c r="K83" s="638">
        <v>1</v>
      </c>
      <c r="L83" s="638"/>
      <c r="M83" s="638"/>
      <c r="N83" s="638"/>
      <c r="O83" s="628" t="s">
        <v>1183</v>
      </c>
    </row>
    <row r="84" spans="1:15" ht="35.25" customHeight="1">
      <c r="A84" s="640"/>
      <c r="B84" s="18">
        <f t="shared" si="2"/>
        <v>3</v>
      </c>
      <c r="C84" s="638"/>
      <c r="D84" s="638">
        <v>1</v>
      </c>
      <c r="E84" s="638">
        <v>1</v>
      </c>
      <c r="F84" s="638"/>
      <c r="G84" s="638"/>
      <c r="H84" s="638"/>
      <c r="I84" s="638"/>
      <c r="J84" s="638"/>
      <c r="K84" s="638"/>
      <c r="L84" s="638"/>
      <c r="M84" s="638">
        <v>1</v>
      </c>
      <c r="N84" s="638"/>
      <c r="O84" s="628" t="s">
        <v>1184</v>
      </c>
    </row>
    <row r="85" spans="1:15" ht="35.25" customHeight="1">
      <c r="A85" s="640"/>
      <c r="B85" s="18">
        <f t="shared" si="2"/>
        <v>0</v>
      </c>
      <c r="C85" s="638"/>
      <c r="D85" s="638"/>
      <c r="E85" s="638"/>
      <c r="F85" s="638"/>
      <c r="G85" s="638"/>
      <c r="H85" s="638"/>
      <c r="I85" s="638"/>
      <c r="J85" s="638"/>
      <c r="K85" s="638"/>
      <c r="L85" s="638"/>
      <c r="M85" s="638"/>
      <c r="N85" s="638"/>
      <c r="O85" s="628" t="s">
        <v>1185</v>
      </c>
    </row>
    <row r="86" spans="1:15" ht="35.25" customHeight="1">
      <c r="A86" s="640"/>
      <c r="B86" s="18">
        <f t="shared" si="2"/>
        <v>0</v>
      </c>
      <c r="C86" s="638"/>
      <c r="D86" s="638"/>
      <c r="E86" s="638"/>
      <c r="F86" s="638"/>
      <c r="G86" s="638"/>
      <c r="H86" s="638"/>
      <c r="I86" s="638"/>
      <c r="J86" s="638"/>
      <c r="K86" s="638"/>
      <c r="L86" s="638"/>
      <c r="M86" s="638"/>
      <c r="N86" s="638"/>
      <c r="O86" s="628" t="s">
        <v>1186</v>
      </c>
    </row>
    <row r="87" spans="1:15" ht="35.25" customHeight="1">
      <c r="A87" s="640"/>
      <c r="B87" s="18">
        <f t="shared" si="2"/>
        <v>0</v>
      </c>
      <c r="C87" s="638"/>
      <c r="D87" s="638"/>
      <c r="E87" s="638"/>
      <c r="F87" s="638"/>
      <c r="G87" s="638"/>
      <c r="H87" s="638"/>
      <c r="I87" s="638"/>
      <c r="J87" s="638"/>
      <c r="K87" s="638"/>
      <c r="L87" s="638"/>
      <c r="M87" s="638"/>
      <c r="N87" s="638"/>
      <c r="O87" s="628" t="s">
        <v>1187</v>
      </c>
    </row>
    <row r="88" spans="1:15" ht="35.25" customHeight="1">
      <c r="A88" s="640"/>
      <c r="B88" s="18">
        <f t="shared" si="2"/>
        <v>0</v>
      </c>
      <c r="C88" s="638"/>
      <c r="D88" s="638"/>
      <c r="E88" s="638"/>
      <c r="F88" s="638"/>
      <c r="G88" s="638"/>
      <c r="H88" s="638"/>
      <c r="I88" s="638"/>
      <c r="J88" s="638"/>
      <c r="K88" s="638"/>
      <c r="L88" s="638"/>
      <c r="M88" s="638"/>
      <c r="N88" s="638"/>
      <c r="O88" s="628" t="s">
        <v>1188</v>
      </c>
    </row>
    <row r="89" spans="1:15" ht="35.25" customHeight="1">
      <c r="A89" s="640"/>
      <c r="B89" s="18">
        <f t="shared" si="2"/>
        <v>0</v>
      </c>
      <c r="C89" s="638"/>
      <c r="D89" s="638"/>
      <c r="E89" s="638"/>
      <c r="F89" s="638"/>
      <c r="G89" s="638"/>
      <c r="H89" s="638"/>
      <c r="I89" s="638"/>
      <c r="J89" s="638"/>
      <c r="K89" s="638"/>
      <c r="L89" s="638"/>
      <c r="M89" s="638"/>
      <c r="N89" s="638"/>
      <c r="O89" s="628" t="s">
        <v>1189</v>
      </c>
    </row>
    <row r="90" spans="1:15" ht="35.25" customHeight="1">
      <c r="A90" s="640"/>
      <c r="B90" s="18">
        <f t="shared" si="2"/>
        <v>1</v>
      </c>
      <c r="C90" s="638"/>
      <c r="D90" s="638"/>
      <c r="E90" s="638"/>
      <c r="F90" s="638"/>
      <c r="G90" s="638"/>
      <c r="H90" s="638"/>
      <c r="I90" s="638"/>
      <c r="J90" s="638"/>
      <c r="K90" s="638"/>
      <c r="L90" s="638">
        <v>1</v>
      </c>
      <c r="M90" s="638"/>
      <c r="N90" s="638"/>
      <c r="O90" s="628" t="s">
        <v>1190</v>
      </c>
    </row>
    <row r="91" spans="1:15" ht="35.25" customHeight="1">
      <c r="A91" s="640"/>
      <c r="B91" s="18">
        <f t="shared" si="2"/>
        <v>3</v>
      </c>
      <c r="C91" s="638"/>
      <c r="D91" s="638">
        <v>1</v>
      </c>
      <c r="E91" s="638"/>
      <c r="F91" s="638"/>
      <c r="G91" s="638">
        <v>1</v>
      </c>
      <c r="H91" s="638"/>
      <c r="I91" s="638">
        <v>1</v>
      </c>
      <c r="J91" s="638"/>
      <c r="K91" s="638"/>
      <c r="L91" s="638"/>
      <c r="M91" s="638"/>
      <c r="N91" s="638"/>
      <c r="O91" s="628" t="s">
        <v>1191</v>
      </c>
    </row>
    <row r="92" spans="1:15" ht="24" customHeight="1">
      <c r="A92" s="640"/>
      <c r="B92" s="18">
        <f t="shared" si="2"/>
        <v>0</v>
      </c>
      <c r="C92" s="638"/>
      <c r="D92" s="638"/>
      <c r="E92" s="638"/>
      <c r="F92" s="638"/>
      <c r="G92" s="638"/>
      <c r="H92" s="638"/>
      <c r="I92" s="638"/>
      <c r="J92" s="638"/>
      <c r="K92" s="638"/>
      <c r="L92" s="638"/>
      <c r="M92" s="638"/>
      <c r="N92" s="638"/>
      <c r="O92" s="628" t="s">
        <v>1192</v>
      </c>
    </row>
    <row r="93" spans="1:15" ht="42">
      <c r="A93" s="640"/>
      <c r="B93" s="18">
        <f t="shared" si="2"/>
        <v>1</v>
      </c>
      <c r="C93" s="638"/>
      <c r="D93" s="638">
        <v>1</v>
      </c>
      <c r="E93" s="638"/>
      <c r="F93" s="638"/>
      <c r="G93" s="638"/>
      <c r="H93" s="638"/>
      <c r="I93" s="638"/>
      <c r="J93" s="638"/>
      <c r="K93" s="638"/>
      <c r="L93" s="638"/>
      <c r="M93" s="638"/>
      <c r="N93" s="638"/>
      <c r="O93" s="628" t="s">
        <v>1193</v>
      </c>
    </row>
    <row r="94" spans="1:15" ht="42">
      <c r="A94" s="640"/>
      <c r="B94" s="18">
        <f t="shared" si="2"/>
        <v>1</v>
      </c>
      <c r="C94" s="638"/>
      <c r="D94" s="638"/>
      <c r="E94" s="638"/>
      <c r="F94" s="638"/>
      <c r="G94" s="638"/>
      <c r="H94" s="638"/>
      <c r="I94" s="638"/>
      <c r="J94" s="638">
        <v>1</v>
      </c>
      <c r="K94" s="638"/>
      <c r="L94" s="638"/>
      <c r="M94" s="638"/>
      <c r="N94" s="638"/>
      <c r="O94" s="628" t="s">
        <v>1194</v>
      </c>
    </row>
    <row r="95" spans="1:15" ht="24" customHeight="1">
      <c r="A95" s="640"/>
      <c r="B95" s="18">
        <f t="shared" si="2"/>
        <v>5</v>
      </c>
      <c r="C95" s="638"/>
      <c r="D95" s="638"/>
      <c r="E95" s="638">
        <v>1</v>
      </c>
      <c r="F95" s="638"/>
      <c r="G95" s="638"/>
      <c r="H95" s="638"/>
      <c r="I95" s="638"/>
      <c r="J95" s="638"/>
      <c r="K95" s="638">
        <v>1</v>
      </c>
      <c r="L95" s="638"/>
      <c r="M95" s="638">
        <v>2</v>
      </c>
      <c r="N95" s="638">
        <v>1</v>
      </c>
      <c r="O95" s="628" t="s">
        <v>1195</v>
      </c>
    </row>
    <row r="96" spans="1:15" ht="24" customHeight="1">
      <c r="A96" s="640"/>
      <c r="B96" s="18">
        <f t="shared" si="2"/>
        <v>1</v>
      </c>
      <c r="C96" s="638"/>
      <c r="D96" s="638"/>
      <c r="E96" s="638"/>
      <c r="F96" s="638"/>
      <c r="G96" s="638"/>
      <c r="H96" s="638"/>
      <c r="I96" s="638"/>
      <c r="J96" s="638"/>
      <c r="K96" s="638"/>
      <c r="L96" s="638"/>
      <c r="M96" s="638"/>
      <c r="N96" s="638">
        <v>1</v>
      </c>
      <c r="O96" s="628" t="s">
        <v>1196</v>
      </c>
    </row>
    <row r="97" spans="1:15" ht="24" customHeight="1">
      <c r="A97" s="640"/>
      <c r="B97" s="18">
        <f t="shared" si="2"/>
        <v>1</v>
      </c>
      <c r="C97" s="638"/>
      <c r="D97" s="638">
        <v>1</v>
      </c>
      <c r="E97" s="638"/>
      <c r="F97" s="638"/>
      <c r="G97" s="638"/>
      <c r="H97" s="638"/>
      <c r="I97" s="638"/>
      <c r="J97" s="638"/>
      <c r="K97" s="638"/>
      <c r="L97" s="638"/>
      <c r="M97" s="638"/>
      <c r="N97" s="638"/>
      <c r="O97" s="628" t="s">
        <v>1197</v>
      </c>
    </row>
    <row r="98" spans="1:15" ht="24" customHeight="1">
      <c r="A98" s="640"/>
      <c r="B98" s="18">
        <f t="shared" si="2"/>
        <v>1</v>
      </c>
      <c r="C98" s="638"/>
      <c r="D98" s="638"/>
      <c r="E98" s="638"/>
      <c r="F98" s="638"/>
      <c r="G98" s="638"/>
      <c r="H98" s="638"/>
      <c r="I98" s="638">
        <v>1</v>
      </c>
      <c r="J98" s="638"/>
      <c r="K98" s="638"/>
      <c r="L98" s="638"/>
      <c r="M98" s="638"/>
      <c r="N98" s="638"/>
      <c r="O98" s="628" t="s">
        <v>1198</v>
      </c>
    </row>
    <row r="99" spans="1:15" ht="47.25" customHeight="1">
      <c r="A99" s="640"/>
      <c r="B99" s="18">
        <f t="shared" si="2"/>
        <v>6</v>
      </c>
      <c r="C99" s="638"/>
      <c r="D99" s="638">
        <v>1</v>
      </c>
      <c r="E99" s="638">
        <v>1</v>
      </c>
      <c r="F99" s="638"/>
      <c r="G99" s="638"/>
      <c r="H99" s="638"/>
      <c r="I99" s="638"/>
      <c r="J99" s="638">
        <v>2</v>
      </c>
      <c r="K99" s="638"/>
      <c r="L99" s="638"/>
      <c r="M99" s="638">
        <v>2</v>
      </c>
      <c r="N99" s="638"/>
      <c r="O99" s="628" t="s">
        <v>1199</v>
      </c>
    </row>
    <row r="100" spans="1:15" ht="24" customHeight="1">
      <c r="A100" s="640"/>
      <c r="B100" s="18">
        <f t="shared" si="2"/>
        <v>15</v>
      </c>
      <c r="C100" s="638">
        <v>2</v>
      </c>
      <c r="D100" s="638">
        <v>2</v>
      </c>
      <c r="E100" s="638">
        <v>1</v>
      </c>
      <c r="F100" s="638">
        <v>1</v>
      </c>
      <c r="G100" s="638"/>
      <c r="H100" s="638">
        <v>1</v>
      </c>
      <c r="I100" s="638">
        <v>2</v>
      </c>
      <c r="J100" s="638"/>
      <c r="K100" s="638">
        <v>1</v>
      </c>
      <c r="L100" s="638"/>
      <c r="M100" s="638">
        <v>2</v>
      </c>
      <c r="N100" s="638">
        <v>3</v>
      </c>
      <c r="O100" s="628" t="s">
        <v>1200</v>
      </c>
    </row>
    <row r="101" spans="1:15" ht="24" customHeight="1">
      <c r="A101" s="640"/>
      <c r="B101" s="18">
        <f t="shared" si="2"/>
        <v>3</v>
      </c>
      <c r="C101" s="638"/>
      <c r="D101" s="638"/>
      <c r="E101" s="638"/>
      <c r="F101" s="638"/>
      <c r="G101" s="638"/>
      <c r="H101" s="638"/>
      <c r="I101" s="638"/>
      <c r="J101" s="638"/>
      <c r="K101" s="638">
        <v>1</v>
      </c>
      <c r="L101" s="638">
        <v>1</v>
      </c>
      <c r="M101" s="638">
        <v>1</v>
      </c>
      <c r="N101" s="638"/>
      <c r="O101" s="628" t="s">
        <v>1201</v>
      </c>
    </row>
    <row r="102" spans="1:15" ht="24" customHeight="1">
      <c r="A102" s="640"/>
      <c r="B102" s="18">
        <f t="shared" si="2"/>
        <v>22</v>
      </c>
      <c r="C102" s="638">
        <v>3</v>
      </c>
      <c r="D102" s="638">
        <v>3</v>
      </c>
      <c r="E102" s="638">
        <v>2</v>
      </c>
      <c r="F102" s="638"/>
      <c r="G102" s="638"/>
      <c r="H102" s="638"/>
      <c r="I102" s="638">
        <v>3</v>
      </c>
      <c r="J102" s="638">
        <v>1</v>
      </c>
      <c r="K102" s="638">
        <v>1</v>
      </c>
      <c r="L102" s="638">
        <v>3</v>
      </c>
      <c r="M102" s="638">
        <v>1</v>
      </c>
      <c r="N102" s="638">
        <v>5</v>
      </c>
      <c r="O102" s="628" t="s">
        <v>1202</v>
      </c>
    </row>
    <row r="103" spans="1:15" ht="24" customHeight="1">
      <c r="A103" s="640"/>
      <c r="B103" s="18">
        <f t="shared" si="2"/>
        <v>6</v>
      </c>
      <c r="C103" s="638"/>
      <c r="D103" s="638">
        <v>3</v>
      </c>
      <c r="E103" s="638"/>
      <c r="F103" s="638"/>
      <c r="G103" s="638"/>
      <c r="H103" s="638"/>
      <c r="I103" s="638"/>
      <c r="J103" s="638"/>
      <c r="K103" s="638">
        <v>1</v>
      </c>
      <c r="L103" s="638">
        <v>1</v>
      </c>
      <c r="M103" s="638">
        <v>1</v>
      </c>
      <c r="N103" s="638"/>
      <c r="O103" s="628" t="s">
        <v>1203</v>
      </c>
    </row>
    <row r="104" spans="1:15" ht="24" customHeight="1">
      <c r="A104" s="640"/>
      <c r="B104" s="18">
        <f t="shared" si="2"/>
        <v>0</v>
      </c>
      <c r="C104" s="638"/>
      <c r="D104" s="638"/>
      <c r="E104" s="638"/>
      <c r="F104" s="638"/>
      <c r="G104" s="638"/>
      <c r="H104" s="638"/>
      <c r="I104" s="638"/>
      <c r="J104" s="638"/>
      <c r="K104" s="638"/>
      <c r="L104" s="638"/>
      <c r="M104" s="638"/>
      <c r="N104" s="638"/>
      <c r="O104" s="628" t="s">
        <v>1204</v>
      </c>
    </row>
    <row r="105" spans="1:15" ht="24" customHeight="1">
      <c r="A105" s="640"/>
      <c r="B105" s="18">
        <f t="shared" si="2"/>
        <v>5</v>
      </c>
      <c r="C105" s="638"/>
      <c r="D105" s="638">
        <v>1</v>
      </c>
      <c r="E105" s="638">
        <v>1</v>
      </c>
      <c r="F105" s="638"/>
      <c r="G105" s="638"/>
      <c r="H105" s="638">
        <v>1</v>
      </c>
      <c r="I105" s="638">
        <v>1</v>
      </c>
      <c r="J105" s="638">
        <v>1</v>
      </c>
      <c r="K105" s="638"/>
      <c r="L105" s="638"/>
      <c r="M105" s="638"/>
      <c r="N105" s="638"/>
      <c r="O105" s="628" t="s">
        <v>1205</v>
      </c>
    </row>
    <row r="106" spans="1:15" ht="24" customHeight="1">
      <c r="A106" s="640"/>
      <c r="B106" s="18">
        <f t="shared" si="2"/>
        <v>1</v>
      </c>
      <c r="C106" s="638"/>
      <c r="D106" s="638">
        <v>1</v>
      </c>
      <c r="E106" s="638"/>
      <c r="F106" s="638"/>
      <c r="G106" s="638"/>
      <c r="H106" s="638"/>
      <c r="I106" s="638"/>
      <c r="J106" s="638"/>
      <c r="K106" s="638"/>
      <c r="L106" s="638"/>
      <c r="M106" s="638"/>
      <c r="N106" s="638"/>
      <c r="O106" s="628" t="s">
        <v>1206</v>
      </c>
    </row>
    <row r="107" spans="1:15" ht="24" customHeight="1">
      <c r="A107" s="640"/>
      <c r="B107" s="18">
        <f t="shared" si="2"/>
        <v>1</v>
      </c>
      <c r="C107" s="638"/>
      <c r="D107" s="638"/>
      <c r="E107" s="638">
        <v>1</v>
      </c>
      <c r="F107" s="638"/>
      <c r="G107" s="638"/>
      <c r="H107" s="638"/>
      <c r="I107" s="638"/>
      <c r="J107" s="638"/>
      <c r="K107" s="638"/>
      <c r="L107" s="638"/>
      <c r="M107" s="638"/>
      <c r="N107" s="638"/>
      <c r="O107" s="628" t="s">
        <v>1207</v>
      </c>
    </row>
    <row r="108" spans="1:15" ht="24" customHeight="1">
      <c r="A108" s="640"/>
      <c r="B108" s="18">
        <f t="shared" si="2"/>
        <v>4</v>
      </c>
      <c r="C108" s="638"/>
      <c r="D108" s="638">
        <v>2</v>
      </c>
      <c r="E108" s="638"/>
      <c r="F108" s="638"/>
      <c r="G108" s="638"/>
      <c r="H108" s="638"/>
      <c r="I108" s="638"/>
      <c r="J108" s="638"/>
      <c r="K108" s="638">
        <v>2</v>
      </c>
      <c r="L108" s="638"/>
      <c r="M108" s="638"/>
      <c r="N108" s="638"/>
      <c r="O108" s="628" t="s">
        <v>1208</v>
      </c>
    </row>
    <row r="109" spans="1:15" ht="24" customHeight="1">
      <c r="A109" s="640"/>
      <c r="B109" s="18">
        <f t="shared" si="2"/>
        <v>1</v>
      </c>
      <c r="C109" s="638"/>
      <c r="D109" s="638"/>
      <c r="E109" s="638"/>
      <c r="F109" s="638"/>
      <c r="G109" s="638"/>
      <c r="H109" s="638"/>
      <c r="I109" s="638"/>
      <c r="J109" s="638"/>
      <c r="K109" s="638">
        <v>1</v>
      </c>
      <c r="L109" s="638"/>
      <c r="M109" s="638"/>
      <c r="N109" s="638"/>
      <c r="O109" s="628" t="s">
        <v>1209</v>
      </c>
    </row>
    <row r="110" spans="1:15" ht="24" customHeight="1">
      <c r="A110" s="640"/>
      <c r="B110" s="18">
        <f t="shared" si="2"/>
        <v>2</v>
      </c>
      <c r="C110" s="638"/>
      <c r="D110" s="638"/>
      <c r="E110" s="638"/>
      <c r="F110" s="638">
        <v>1</v>
      </c>
      <c r="G110" s="638"/>
      <c r="H110" s="638"/>
      <c r="I110" s="638"/>
      <c r="J110" s="638">
        <v>1</v>
      </c>
      <c r="K110" s="638"/>
      <c r="L110" s="638"/>
      <c r="M110" s="638"/>
      <c r="N110" s="638"/>
      <c r="O110" s="628" t="s">
        <v>1210</v>
      </c>
    </row>
    <row r="111" spans="1:15" ht="24" customHeight="1">
      <c r="A111" s="640"/>
      <c r="B111" s="18">
        <f t="shared" si="2"/>
        <v>2</v>
      </c>
      <c r="C111" s="638"/>
      <c r="D111" s="638"/>
      <c r="E111" s="638"/>
      <c r="F111" s="638"/>
      <c r="G111" s="638"/>
      <c r="H111" s="638"/>
      <c r="I111" s="638"/>
      <c r="J111" s="638"/>
      <c r="K111" s="638"/>
      <c r="L111" s="638">
        <v>1</v>
      </c>
      <c r="M111" s="638"/>
      <c r="N111" s="638">
        <v>1</v>
      </c>
      <c r="O111" s="628" t="s">
        <v>1211</v>
      </c>
    </row>
    <row r="112" spans="1:15" ht="24" customHeight="1">
      <c r="A112" s="640"/>
      <c r="B112" s="18">
        <f t="shared" si="2"/>
        <v>6</v>
      </c>
      <c r="C112" s="638"/>
      <c r="D112" s="638">
        <v>1</v>
      </c>
      <c r="E112" s="638">
        <v>1</v>
      </c>
      <c r="F112" s="638"/>
      <c r="G112" s="638"/>
      <c r="H112" s="638">
        <v>1</v>
      </c>
      <c r="I112" s="638">
        <v>3</v>
      </c>
      <c r="J112" s="638"/>
      <c r="K112" s="638"/>
      <c r="L112" s="638"/>
      <c r="M112" s="638"/>
      <c r="N112" s="638"/>
      <c r="O112" s="628" t="s">
        <v>1212</v>
      </c>
    </row>
    <row r="113" spans="1:15" ht="42">
      <c r="A113" s="640"/>
      <c r="B113" s="18">
        <f t="shared" si="2"/>
        <v>1</v>
      </c>
      <c r="C113" s="638"/>
      <c r="D113" s="638"/>
      <c r="E113" s="638"/>
      <c r="F113" s="638"/>
      <c r="G113" s="638"/>
      <c r="H113" s="638"/>
      <c r="I113" s="638"/>
      <c r="J113" s="638"/>
      <c r="K113" s="638">
        <v>1</v>
      </c>
      <c r="L113" s="638"/>
      <c r="M113" s="638"/>
      <c r="N113" s="638"/>
      <c r="O113" s="629" t="s">
        <v>1213</v>
      </c>
    </row>
    <row r="114" spans="1:15" ht="42">
      <c r="A114" s="640"/>
      <c r="B114" s="18">
        <f t="shared" si="2"/>
        <v>1</v>
      </c>
      <c r="C114" s="638"/>
      <c r="D114" s="638"/>
      <c r="E114" s="638"/>
      <c r="F114" s="638"/>
      <c r="G114" s="638"/>
      <c r="H114" s="638"/>
      <c r="I114" s="638"/>
      <c r="J114" s="638"/>
      <c r="K114" s="638"/>
      <c r="L114" s="638"/>
      <c r="M114" s="638"/>
      <c r="N114" s="638">
        <v>1</v>
      </c>
      <c r="O114" s="629" t="s">
        <v>1214</v>
      </c>
    </row>
    <row r="115" spans="1:15" ht="24" customHeight="1">
      <c r="A115" s="640"/>
      <c r="B115" s="18">
        <f t="shared" si="2"/>
        <v>1</v>
      </c>
      <c r="C115" s="638"/>
      <c r="D115" s="638"/>
      <c r="E115" s="638"/>
      <c r="F115" s="638"/>
      <c r="G115" s="638"/>
      <c r="H115" s="638"/>
      <c r="I115" s="638"/>
      <c r="J115" s="638"/>
      <c r="K115" s="638"/>
      <c r="L115" s="638"/>
      <c r="M115" s="638"/>
      <c r="N115" s="638">
        <v>1</v>
      </c>
      <c r="O115" s="629" t="s">
        <v>1215</v>
      </c>
    </row>
    <row r="116" spans="1:15" ht="24.75" customHeight="1">
      <c r="A116" s="640"/>
      <c r="B116" s="18">
        <f t="shared" si="2"/>
        <v>1</v>
      </c>
      <c r="C116" s="638"/>
      <c r="D116" s="638">
        <v>1</v>
      </c>
      <c r="E116" s="638"/>
      <c r="F116" s="638"/>
      <c r="G116" s="638"/>
      <c r="H116" s="638"/>
      <c r="I116" s="638"/>
      <c r="J116" s="638"/>
      <c r="K116" s="638"/>
      <c r="L116" s="638"/>
      <c r="M116" s="638"/>
      <c r="N116" s="638"/>
      <c r="O116" s="629" t="s">
        <v>1216</v>
      </c>
    </row>
    <row r="117" spans="1:15" ht="24.75" customHeight="1">
      <c r="A117" s="642"/>
      <c r="B117" s="26">
        <f t="shared" si="2"/>
        <v>1</v>
      </c>
      <c r="C117" s="643"/>
      <c r="D117" s="643"/>
      <c r="E117" s="643"/>
      <c r="F117" s="643"/>
      <c r="G117" s="643"/>
      <c r="H117" s="643"/>
      <c r="I117" s="643">
        <v>1</v>
      </c>
      <c r="J117" s="643"/>
      <c r="K117" s="643"/>
      <c r="L117" s="643"/>
      <c r="M117" s="643"/>
      <c r="N117" s="643"/>
      <c r="O117" s="629" t="s">
        <v>1217</v>
      </c>
    </row>
    <row r="118" spans="1:15" ht="24.75" customHeight="1">
      <c r="A118" s="644" t="s">
        <v>1074</v>
      </c>
      <c r="B118" s="645">
        <f>SUM(B6:B117)</f>
        <v>611</v>
      </c>
      <c r="C118" s="42"/>
      <c r="D118" s="42"/>
      <c r="E118" s="42"/>
      <c r="F118" s="42"/>
      <c r="G118" s="42"/>
      <c r="H118" s="42"/>
      <c r="I118" s="42"/>
      <c r="J118" s="42"/>
      <c r="K118" s="42"/>
      <c r="L118" s="42"/>
      <c r="M118" s="42"/>
      <c r="O118" s="617" t="s">
        <v>1075</v>
      </c>
    </row>
    <row r="126" spans="1:15" ht="24" customHeight="1">
      <c r="A126" s="1076" t="s">
        <v>1248</v>
      </c>
      <c r="B126" s="1076"/>
      <c r="C126" s="1076"/>
      <c r="D126" s="1076"/>
      <c r="E126" s="1076"/>
      <c r="F126" s="1076"/>
      <c r="G126" s="1076"/>
      <c r="H126" s="1076"/>
      <c r="I126" s="1076"/>
      <c r="J126" s="1076"/>
      <c r="K126" s="1076"/>
      <c r="L126" s="1076"/>
      <c r="M126" s="1076"/>
      <c r="N126" s="1076"/>
      <c r="O126" s="1076"/>
    </row>
    <row r="127" spans="1:15" ht="24" customHeight="1">
      <c r="B127" s="17"/>
    </row>
    <row r="128" spans="1:15" ht="24" customHeight="1">
      <c r="A128" s="87" t="s">
        <v>117</v>
      </c>
      <c r="B128" s="89" t="s">
        <v>1</v>
      </c>
      <c r="C128" s="633" t="s">
        <v>51</v>
      </c>
      <c r="D128" s="633" t="s">
        <v>52</v>
      </c>
      <c r="E128" s="633" t="s">
        <v>53</v>
      </c>
      <c r="F128" s="633" t="s">
        <v>54</v>
      </c>
      <c r="G128" s="633" t="s">
        <v>55</v>
      </c>
      <c r="H128" s="633" t="s">
        <v>56</v>
      </c>
      <c r="I128" s="633" t="s">
        <v>57</v>
      </c>
      <c r="J128" s="633" t="s">
        <v>58</v>
      </c>
      <c r="K128" s="633" t="s">
        <v>59</v>
      </c>
      <c r="L128" s="633" t="s">
        <v>60</v>
      </c>
      <c r="M128" s="633" t="s">
        <v>61</v>
      </c>
      <c r="N128" s="633" t="s">
        <v>62</v>
      </c>
      <c r="O128" s="646"/>
    </row>
    <row r="129" spans="1:15" ht="24" customHeight="1">
      <c r="A129" s="25" t="s">
        <v>1</v>
      </c>
      <c r="B129" s="635">
        <f t="shared" ref="B129:B192" si="3">SUM(C129:N129)</f>
        <v>1240</v>
      </c>
      <c r="C129" s="18">
        <f t="shared" ref="C129:N129" si="4">SUM(C130:C235)</f>
        <v>103</v>
      </c>
      <c r="D129" s="18">
        <f t="shared" si="4"/>
        <v>118</v>
      </c>
      <c r="E129" s="18">
        <f t="shared" si="4"/>
        <v>111</v>
      </c>
      <c r="F129" s="18">
        <f t="shared" si="4"/>
        <v>109</v>
      </c>
      <c r="G129" s="18">
        <f t="shared" si="4"/>
        <v>51</v>
      </c>
      <c r="H129" s="18">
        <f t="shared" si="4"/>
        <v>61</v>
      </c>
      <c r="I129" s="18">
        <f t="shared" si="4"/>
        <v>149</v>
      </c>
      <c r="J129" s="18">
        <f t="shared" si="4"/>
        <v>92</v>
      </c>
      <c r="K129" s="18">
        <f t="shared" si="4"/>
        <v>162</v>
      </c>
      <c r="L129" s="18">
        <f t="shared" si="4"/>
        <v>105</v>
      </c>
      <c r="M129" s="18">
        <f t="shared" si="4"/>
        <v>88</v>
      </c>
      <c r="N129" s="18">
        <f t="shared" si="4"/>
        <v>91</v>
      </c>
      <c r="O129" s="636" t="s">
        <v>49</v>
      </c>
    </row>
    <row r="130" spans="1:15" ht="24" customHeight="1">
      <c r="A130" s="627"/>
      <c r="B130" s="18">
        <f t="shared" si="3"/>
        <v>1</v>
      </c>
      <c r="C130" s="42">
        <v>0</v>
      </c>
      <c r="D130" s="42">
        <v>0</v>
      </c>
      <c r="E130" s="42">
        <v>0</v>
      </c>
      <c r="F130" s="42">
        <v>0</v>
      </c>
      <c r="G130" s="42">
        <v>0</v>
      </c>
      <c r="H130" s="42">
        <v>0</v>
      </c>
      <c r="I130" s="42">
        <v>0</v>
      </c>
      <c r="J130" s="42">
        <v>0</v>
      </c>
      <c r="K130" s="42">
        <v>0</v>
      </c>
      <c r="L130" s="42">
        <v>1</v>
      </c>
      <c r="M130" s="42">
        <v>0</v>
      </c>
      <c r="N130" s="42">
        <v>0</v>
      </c>
      <c r="O130" s="639" t="s">
        <v>1108</v>
      </c>
    </row>
    <row r="131" spans="1:15" ht="24" customHeight="1">
      <c r="A131" s="627"/>
      <c r="B131" s="18">
        <f t="shared" si="3"/>
        <v>50</v>
      </c>
      <c r="C131" s="42">
        <v>3</v>
      </c>
      <c r="D131" s="42">
        <v>5</v>
      </c>
      <c r="E131" s="42">
        <v>3</v>
      </c>
      <c r="F131" s="42">
        <v>8</v>
      </c>
      <c r="G131" s="42">
        <v>5</v>
      </c>
      <c r="H131" s="42">
        <v>1</v>
      </c>
      <c r="I131" s="42">
        <v>10</v>
      </c>
      <c r="J131" s="42">
        <v>4</v>
      </c>
      <c r="K131" s="42">
        <v>4</v>
      </c>
      <c r="L131" s="42">
        <v>3</v>
      </c>
      <c r="M131" s="42">
        <v>2</v>
      </c>
      <c r="N131" s="42">
        <v>2</v>
      </c>
      <c r="O131" s="639" t="s">
        <v>1109</v>
      </c>
    </row>
    <row r="132" spans="1:15" ht="24" customHeight="1">
      <c r="A132" s="627"/>
      <c r="B132" s="18">
        <f t="shared" si="3"/>
        <v>2</v>
      </c>
      <c r="C132" s="42">
        <v>0</v>
      </c>
      <c r="D132" s="42">
        <v>0</v>
      </c>
      <c r="E132" s="42">
        <v>0</v>
      </c>
      <c r="F132" s="42">
        <v>0</v>
      </c>
      <c r="G132" s="42">
        <v>2</v>
      </c>
      <c r="H132" s="42">
        <v>0</v>
      </c>
      <c r="I132" s="42">
        <v>0</v>
      </c>
      <c r="J132" s="42">
        <v>0</v>
      </c>
      <c r="K132" s="42">
        <v>0</v>
      </c>
      <c r="L132" s="42">
        <v>0</v>
      </c>
      <c r="M132" s="42">
        <v>0</v>
      </c>
      <c r="N132" s="42">
        <v>0</v>
      </c>
      <c r="O132" s="639" t="s">
        <v>1110</v>
      </c>
    </row>
    <row r="133" spans="1:15" ht="43.5" customHeight="1">
      <c r="A133" s="640"/>
      <c r="B133" s="18">
        <f t="shared" si="3"/>
        <v>1</v>
      </c>
      <c r="C133" s="504">
        <v>0</v>
      </c>
      <c r="D133" s="504">
        <v>0</v>
      </c>
      <c r="E133" s="504">
        <v>0</v>
      </c>
      <c r="F133" s="504">
        <v>0</v>
      </c>
      <c r="G133" s="504">
        <v>1</v>
      </c>
      <c r="H133" s="504">
        <v>0</v>
      </c>
      <c r="I133" s="504">
        <v>0</v>
      </c>
      <c r="J133" s="504">
        <v>0</v>
      </c>
      <c r="K133" s="504">
        <v>0</v>
      </c>
      <c r="L133" s="504">
        <v>0</v>
      </c>
      <c r="M133" s="504">
        <v>0</v>
      </c>
      <c r="N133" s="504">
        <v>0</v>
      </c>
      <c r="O133" s="628" t="s">
        <v>1111</v>
      </c>
    </row>
    <row r="134" spans="1:15" ht="24" customHeight="1">
      <c r="A134" s="627"/>
      <c r="B134" s="18">
        <f t="shared" si="3"/>
        <v>3</v>
      </c>
      <c r="C134" s="42">
        <v>0</v>
      </c>
      <c r="D134" s="42">
        <v>0</v>
      </c>
      <c r="E134" s="42">
        <v>1</v>
      </c>
      <c r="F134" s="42">
        <v>0</v>
      </c>
      <c r="G134" s="42"/>
      <c r="H134" s="42">
        <v>0</v>
      </c>
      <c r="I134" s="42">
        <v>0</v>
      </c>
      <c r="J134" s="42">
        <v>0</v>
      </c>
      <c r="K134" s="42">
        <v>0</v>
      </c>
      <c r="L134" s="42">
        <v>0</v>
      </c>
      <c r="M134" s="42">
        <v>1</v>
      </c>
      <c r="N134" s="42">
        <v>1</v>
      </c>
      <c r="O134" s="639" t="s">
        <v>1112</v>
      </c>
    </row>
    <row r="135" spans="1:15" ht="24" customHeight="1">
      <c r="A135" s="627"/>
      <c r="B135" s="18">
        <f t="shared" si="3"/>
        <v>177</v>
      </c>
      <c r="C135" s="42">
        <v>13</v>
      </c>
      <c r="D135" s="42">
        <v>20</v>
      </c>
      <c r="E135" s="42">
        <v>29</v>
      </c>
      <c r="F135" s="42">
        <v>7</v>
      </c>
      <c r="G135" s="42">
        <v>3</v>
      </c>
      <c r="H135" s="42">
        <v>9</v>
      </c>
      <c r="I135" s="42">
        <v>23</v>
      </c>
      <c r="J135" s="42">
        <v>8</v>
      </c>
      <c r="K135" s="42">
        <v>20</v>
      </c>
      <c r="L135" s="42">
        <v>15</v>
      </c>
      <c r="M135" s="42">
        <v>13</v>
      </c>
      <c r="N135" s="42">
        <v>17</v>
      </c>
      <c r="O135" s="639" t="s">
        <v>1113</v>
      </c>
    </row>
    <row r="136" spans="1:15" ht="24" customHeight="1">
      <c r="A136" s="627"/>
      <c r="B136" s="18">
        <f t="shared" si="3"/>
        <v>1</v>
      </c>
      <c r="C136" s="42">
        <v>0</v>
      </c>
      <c r="D136" s="42">
        <v>0</v>
      </c>
      <c r="E136" s="42">
        <v>0</v>
      </c>
      <c r="F136" s="42">
        <v>0</v>
      </c>
      <c r="G136" s="42">
        <v>0</v>
      </c>
      <c r="H136" s="42">
        <v>0</v>
      </c>
      <c r="I136" s="42">
        <v>0</v>
      </c>
      <c r="J136" s="42">
        <v>0</v>
      </c>
      <c r="K136" s="42">
        <v>0</v>
      </c>
      <c r="L136" s="42">
        <v>1</v>
      </c>
      <c r="M136" s="42">
        <v>0</v>
      </c>
      <c r="N136" s="42">
        <v>0</v>
      </c>
      <c r="O136" s="639" t="s">
        <v>1219</v>
      </c>
    </row>
    <row r="137" spans="1:15" ht="24" customHeight="1">
      <c r="A137" s="627"/>
      <c r="B137" s="18">
        <f t="shared" si="3"/>
        <v>1</v>
      </c>
      <c r="C137" s="42">
        <v>0</v>
      </c>
      <c r="D137" s="42">
        <v>0</v>
      </c>
      <c r="E137" s="42">
        <v>0</v>
      </c>
      <c r="F137" s="42">
        <v>1</v>
      </c>
      <c r="G137" s="42">
        <v>0</v>
      </c>
      <c r="H137" s="42">
        <v>0</v>
      </c>
      <c r="I137" s="42">
        <v>0</v>
      </c>
      <c r="J137" s="42">
        <v>0</v>
      </c>
      <c r="K137" s="42">
        <v>0</v>
      </c>
      <c r="L137" s="42">
        <v>0</v>
      </c>
      <c r="M137" s="42">
        <v>0</v>
      </c>
      <c r="N137" s="42">
        <v>0</v>
      </c>
      <c r="O137" s="639" t="s">
        <v>1220</v>
      </c>
    </row>
    <row r="138" spans="1:15" ht="24" customHeight="1">
      <c r="A138" s="627"/>
      <c r="B138" s="18">
        <f t="shared" si="3"/>
        <v>1</v>
      </c>
      <c r="C138" s="42">
        <v>0</v>
      </c>
      <c r="D138" s="42">
        <v>0</v>
      </c>
      <c r="E138" s="42">
        <v>0</v>
      </c>
      <c r="F138" s="42">
        <v>0</v>
      </c>
      <c r="G138" s="42">
        <v>0</v>
      </c>
      <c r="H138" s="42">
        <v>0</v>
      </c>
      <c r="I138" s="42">
        <v>0</v>
      </c>
      <c r="J138" s="42">
        <v>0</v>
      </c>
      <c r="K138" s="42">
        <v>1</v>
      </c>
      <c r="L138" s="42">
        <v>0</v>
      </c>
      <c r="M138" s="42">
        <v>0</v>
      </c>
      <c r="N138" s="42">
        <v>0</v>
      </c>
      <c r="O138" s="639" t="s">
        <v>1221</v>
      </c>
    </row>
    <row r="139" spans="1:15" ht="24" customHeight="1">
      <c r="A139" s="627"/>
      <c r="B139" s="18">
        <f t="shared" si="3"/>
        <v>1</v>
      </c>
      <c r="C139" s="42">
        <v>0</v>
      </c>
      <c r="D139" s="42">
        <v>0</v>
      </c>
      <c r="E139" s="42">
        <v>0</v>
      </c>
      <c r="F139" s="42">
        <v>0</v>
      </c>
      <c r="G139" s="42">
        <v>0</v>
      </c>
      <c r="H139" s="42">
        <v>0</v>
      </c>
      <c r="I139" s="42">
        <v>1</v>
      </c>
      <c r="J139" s="42">
        <v>0</v>
      </c>
      <c r="K139" s="42">
        <v>0</v>
      </c>
      <c r="L139" s="42">
        <v>0</v>
      </c>
      <c r="M139" s="42">
        <v>0</v>
      </c>
      <c r="N139" s="42">
        <v>0</v>
      </c>
      <c r="O139" s="639" t="s">
        <v>1118</v>
      </c>
    </row>
    <row r="140" spans="1:15" ht="24" customHeight="1">
      <c r="A140" s="627"/>
      <c r="B140" s="18">
        <f t="shared" si="3"/>
        <v>14</v>
      </c>
      <c r="C140" s="42">
        <v>3</v>
      </c>
      <c r="D140" s="42">
        <v>5</v>
      </c>
      <c r="E140" s="42">
        <v>2</v>
      </c>
      <c r="F140" s="42">
        <v>2</v>
      </c>
      <c r="G140" s="42">
        <v>0</v>
      </c>
      <c r="H140" s="42">
        <v>0</v>
      </c>
      <c r="I140" s="42">
        <v>0</v>
      </c>
      <c r="J140" s="42">
        <v>0</v>
      </c>
      <c r="K140" s="42">
        <v>0</v>
      </c>
      <c r="L140" s="42">
        <v>1</v>
      </c>
      <c r="M140" s="42">
        <v>1</v>
      </c>
      <c r="N140" s="42">
        <v>0</v>
      </c>
      <c r="O140" s="639" t="s">
        <v>1120</v>
      </c>
    </row>
    <row r="141" spans="1:15" ht="24" customHeight="1">
      <c r="A141" s="627"/>
      <c r="B141" s="18">
        <f t="shared" si="3"/>
        <v>2</v>
      </c>
      <c r="C141" s="42">
        <v>0</v>
      </c>
      <c r="D141" s="42">
        <v>0</v>
      </c>
      <c r="E141" s="42">
        <v>0</v>
      </c>
      <c r="F141" s="42">
        <v>0</v>
      </c>
      <c r="G141" s="42">
        <v>0</v>
      </c>
      <c r="H141" s="42">
        <v>0</v>
      </c>
      <c r="I141" s="42">
        <v>0</v>
      </c>
      <c r="J141" s="42">
        <v>0</v>
      </c>
      <c r="K141" s="42">
        <v>0</v>
      </c>
      <c r="L141" s="42">
        <v>1</v>
      </c>
      <c r="M141" s="42">
        <v>0</v>
      </c>
      <c r="N141" s="42">
        <v>1</v>
      </c>
      <c r="O141" s="639" t="s">
        <v>1121</v>
      </c>
    </row>
    <row r="142" spans="1:15" ht="24" customHeight="1">
      <c r="A142" s="627"/>
      <c r="B142" s="18">
        <f t="shared" si="3"/>
        <v>2</v>
      </c>
      <c r="C142" s="42">
        <v>0</v>
      </c>
      <c r="D142" s="42">
        <v>0</v>
      </c>
      <c r="E142" s="42">
        <v>0</v>
      </c>
      <c r="F142" s="42">
        <v>0</v>
      </c>
      <c r="G142" s="42">
        <v>0</v>
      </c>
      <c r="H142" s="42">
        <v>0</v>
      </c>
      <c r="I142" s="42">
        <v>0</v>
      </c>
      <c r="J142" s="42">
        <v>0</v>
      </c>
      <c r="K142" s="42">
        <v>1</v>
      </c>
      <c r="L142" s="42">
        <v>1</v>
      </c>
      <c r="M142" s="42">
        <v>0</v>
      </c>
      <c r="N142" s="42">
        <v>0</v>
      </c>
      <c r="O142" s="639" t="s">
        <v>1123</v>
      </c>
    </row>
    <row r="143" spans="1:15" ht="24" customHeight="1">
      <c r="A143" s="627"/>
      <c r="B143" s="18">
        <f t="shared" si="3"/>
        <v>15</v>
      </c>
      <c r="C143" s="42">
        <v>5</v>
      </c>
      <c r="D143" s="42">
        <v>1</v>
      </c>
      <c r="E143" s="42">
        <v>1</v>
      </c>
      <c r="F143" s="42">
        <v>1</v>
      </c>
      <c r="G143" s="42">
        <v>0</v>
      </c>
      <c r="H143" s="42">
        <v>0</v>
      </c>
      <c r="I143" s="42">
        <v>0</v>
      </c>
      <c r="J143" s="42">
        <v>2</v>
      </c>
      <c r="K143" s="42">
        <v>3</v>
      </c>
      <c r="L143" s="42">
        <v>1</v>
      </c>
      <c r="M143" s="42">
        <v>0</v>
      </c>
      <c r="N143" s="42">
        <v>1</v>
      </c>
      <c r="O143" s="639" t="s">
        <v>421</v>
      </c>
    </row>
    <row r="144" spans="1:15" ht="24" customHeight="1">
      <c r="A144" s="627"/>
      <c r="B144" s="18">
        <f t="shared" si="3"/>
        <v>2</v>
      </c>
      <c r="C144" s="42">
        <v>0</v>
      </c>
      <c r="D144" s="42">
        <v>0</v>
      </c>
      <c r="E144" s="42">
        <v>0</v>
      </c>
      <c r="F144" s="42">
        <v>0</v>
      </c>
      <c r="G144" s="42">
        <v>0</v>
      </c>
      <c r="H144" s="42">
        <v>0</v>
      </c>
      <c r="I144" s="42">
        <v>0</v>
      </c>
      <c r="J144" s="42">
        <v>0</v>
      </c>
      <c r="K144" s="42">
        <v>1</v>
      </c>
      <c r="L144" s="42">
        <v>0</v>
      </c>
      <c r="M144" s="42">
        <v>1</v>
      </c>
      <c r="N144" s="42">
        <v>0</v>
      </c>
      <c r="O144" s="639" t="s">
        <v>1126</v>
      </c>
    </row>
    <row r="145" spans="1:15" ht="40.5" customHeight="1">
      <c r="A145" s="640"/>
      <c r="B145" s="18">
        <f t="shared" si="3"/>
        <v>1</v>
      </c>
      <c r="C145" s="42">
        <v>0</v>
      </c>
      <c r="D145" s="42">
        <v>0</v>
      </c>
      <c r="E145" s="42">
        <v>0</v>
      </c>
      <c r="F145" s="42">
        <v>0</v>
      </c>
      <c r="G145" s="42">
        <v>0</v>
      </c>
      <c r="H145" s="42">
        <v>0</v>
      </c>
      <c r="I145" s="42">
        <v>0</v>
      </c>
      <c r="J145" s="42">
        <v>0</v>
      </c>
      <c r="K145" s="42">
        <v>0</v>
      </c>
      <c r="L145" s="42">
        <v>1</v>
      </c>
      <c r="M145" s="42">
        <v>0</v>
      </c>
      <c r="N145" s="42">
        <v>0</v>
      </c>
      <c r="O145" s="628" t="s">
        <v>1127</v>
      </c>
    </row>
    <row r="146" spans="1:15" ht="24" customHeight="1">
      <c r="A146" s="640"/>
      <c r="B146" s="18">
        <f t="shared" si="3"/>
        <v>1</v>
      </c>
      <c r="C146" s="42">
        <v>0</v>
      </c>
      <c r="D146" s="42">
        <v>0</v>
      </c>
      <c r="E146" s="42"/>
      <c r="F146" s="42">
        <v>0</v>
      </c>
      <c r="G146" s="42">
        <v>0</v>
      </c>
      <c r="H146" s="42">
        <v>0</v>
      </c>
      <c r="I146" s="42">
        <v>0</v>
      </c>
      <c r="J146" s="42">
        <v>1</v>
      </c>
      <c r="K146" s="42">
        <v>0</v>
      </c>
      <c r="L146" s="42">
        <v>0</v>
      </c>
      <c r="M146" s="42">
        <v>0</v>
      </c>
      <c r="N146" s="42">
        <v>0</v>
      </c>
      <c r="O146" s="628" t="s">
        <v>1128</v>
      </c>
    </row>
    <row r="147" spans="1:15" ht="24" customHeight="1">
      <c r="A147" s="640"/>
      <c r="B147" s="18">
        <f t="shared" si="3"/>
        <v>17</v>
      </c>
      <c r="C147" s="42">
        <v>2</v>
      </c>
      <c r="D147" s="42">
        <v>0</v>
      </c>
      <c r="E147" s="42">
        <v>2</v>
      </c>
      <c r="F147" s="42">
        <v>1</v>
      </c>
      <c r="G147" s="42">
        <v>0</v>
      </c>
      <c r="H147" s="42">
        <v>0</v>
      </c>
      <c r="I147" s="42">
        <v>4</v>
      </c>
      <c r="J147" s="42">
        <v>0</v>
      </c>
      <c r="K147" s="42">
        <v>5</v>
      </c>
      <c r="L147" s="42">
        <v>2</v>
      </c>
      <c r="M147" s="42">
        <v>1</v>
      </c>
      <c r="N147" s="42">
        <v>0</v>
      </c>
      <c r="O147" s="628" t="s">
        <v>1129</v>
      </c>
    </row>
    <row r="148" spans="1:15" ht="24" customHeight="1">
      <c r="A148" s="640"/>
      <c r="B148" s="18">
        <f t="shared" si="3"/>
        <v>7</v>
      </c>
      <c r="C148" s="42">
        <v>2</v>
      </c>
      <c r="D148" s="42">
        <v>0</v>
      </c>
      <c r="E148" s="42">
        <v>1</v>
      </c>
      <c r="F148" s="42">
        <v>1</v>
      </c>
      <c r="G148" s="42">
        <v>0</v>
      </c>
      <c r="H148" s="42">
        <v>1</v>
      </c>
      <c r="I148" s="42">
        <v>0</v>
      </c>
      <c r="J148" s="42">
        <v>2</v>
      </c>
      <c r="K148" s="42">
        <v>0</v>
      </c>
      <c r="L148" s="42">
        <v>0</v>
      </c>
      <c r="M148" s="42">
        <v>0</v>
      </c>
      <c r="N148" s="42">
        <v>0</v>
      </c>
      <c r="O148" s="628" t="s">
        <v>1130</v>
      </c>
    </row>
    <row r="149" spans="1:15" ht="24" customHeight="1">
      <c r="A149" s="640"/>
      <c r="B149" s="18">
        <f t="shared" si="3"/>
        <v>1</v>
      </c>
      <c r="C149" s="42">
        <v>0</v>
      </c>
      <c r="D149" s="42">
        <v>0</v>
      </c>
      <c r="E149" s="42">
        <v>0</v>
      </c>
      <c r="F149" s="42">
        <v>0</v>
      </c>
      <c r="G149" s="42">
        <v>0</v>
      </c>
      <c r="H149" s="42">
        <v>0</v>
      </c>
      <c r="I149" s="42">
        <v>1</v>
      </c>
      <c r="J149" s="42">
        <v>0</v>
      </c>
      <c r="K149" s="42">
        <v>0</v>
      </c>
      <c r="L149" s="42">
        <v>0</v>
      </c>
      <c r="M149" s="42">
        <v>0</v>
      </c>
      <c r="N149" s="42">
        <v>0</v>
      </c>
      <c r="O149" s="628" t="s">
        <v>1131</v>
      </c>
    </row>
    <row r="150" spans="1:15" ht="39" customHeight="1">
      <c r="A150" s="640"/>
      <c r="B150" s="18">
        <f t="shared" si="3"/>
        <v>1</v>
      </c>
      <c r="C150" s="42">
        <v>0</v>
      </c>
      <c r="D150" s="42">
        <v>0</v>
      </c>
      <c r="E150" s="42">
        <v>0</v>
      </c>
      <c r="F150" s="42">
        <v>0</v>
      </c>
      <c r="G150" s="42">
        <v>0</v>
      </c>
      <c r="H150" s="42">
        <v>0</v>
      </c>
      <c r="I150" s="42">
        <v>0</v>
      </c>
      <c r="J150" s="42">
        <v>1</v>
      </c>
      <c r="K150" s="42">
        <v>0</v>
      </c>
      <c r="L150" s="42">
        <v>0</v>
      </c>
      <c r="M150" s="42">
        <v>0</v>
      </c>
      <c r="N150" s="42">
        <v>0</v>
      </c>
      <c r="O150" s="628" t="s">
        <v>1222</v>
      </c>
    </row>
    <row r="151" spans="1:15" ht="39" customHeight="1">
      <c r="A151" s="640"/>
      <c r="B151" s="18">
        <f t="shared" si="3"/>
        <v>4</v>
      </c>
      <c r="C151" s="42">
        <v>0</v>
      </c>
      <c r="D151" s="42">
        <v>0</v>
      </c>
      <c r="E151" s="42">
        <v>0</v>
      </c>
      <c r="F151" s="42">
        <v>0</v>
      </c>
      <c r="G151" s="42">
        <v>0</v>
      </c>
      <c r="H151" s="42">
        <v>0</v>
      </c>
      <c r="I151" s="42">
        <v>1</v>
      </c>
      <c r="J151" s="42">
        <v>0</v>
      </c>
      <c r="K151" s="42">
        <v>0</v>
      </c>
      <c r="L151" s="42">
        <v>1</v>
      </c>
      <c r="M151" s="42">
        <v>2</v>
      </c>
      <c r="N151" s="42">
        <v>0</v>
      </c>
      <c r="O151" s="628" t="s">
        <v>1133</v>
      </c>
    </row>
    <row r="152" spans="1:15" ht="24" customHeight="1">
      <c r="A152" s="640"/>
      <c r="B152" s="18">
        <f t="shared" si="3"/>
        <v>1</v>
      </c>
      <c r="C152" s="42">
        <v>0</v>
      </c>
      <c r="D152" s="42">
        <v>0</v>
      </c>
      <c r="E152" s="42">
        <v>0</v>
      </c>
      <c r="F152" s="42">
        <v>0</v>
      </c>
      <c r="G152" s="42">
        <v>0</v>
      </c>
      <c r="H152" s="42">
        <v>0</v>
      </c>
      <c r="I152" s="42">
        <v>0</v>
      </c>
      <c r="J152" s="42">
        <v>1</v>
      </c>
      <c r="K152" s="42">
        <v>0</v>
      </c>
      <c r="L152" s="42"/>
      <c r="M152" s="42">
        <v>0</v>
      </c>
      <c r="N152" s="42">
        <v>0</v>
      </c>
      <c r="O152" s="628" t="s">
        <v>1223</v>
      </c>
    </row>
    <row r="153" spans="1:15" ht="24" customHeight="1">
      <c r="A153" s="640"/>
      <c r="B153" s="18">
        <f t="shared" si="3"/>
        <v>41</v>
      </c>
      <c r="C153" s="42">
        <v>7</v>
      </c>
      <c r="D153" s="42">
        <v>5</v>
      </c>
      <c r="E153" s="42">
        <v>1</v>
      </c>
      <c r="F153" s="42">
        <v>3</v>
      </c>
      <c r="G153" s="42">
        <v>3</v>
      </c>
      <c r="H153" s="42">
        <v>3</v>
      </c>
      <c r="I153" s="42">
        <v>3</v>
      </c>
      <c r="J153" s="42">
        <v>4</v>
      </c>
      <c r="K153" s="42">
        <v>5</v>
      </c>
      <c r="L153" s="42">
        <v>1</v>
      </c>
      <c r="M153" s="42">
        <v>3</v>
      </c>
      <c r="N153" s="42">
        <v>3</v>
      </c>
      <c r="O153" s="628" t="s">
        <v>1135</v>
      </c>
    </row>
    <row r="154" spans="1:15" ht="24" customHeight="1">
      <c r="A154" s="640"/>
      <c r="B154" s="18">
        <f t="shared" si="3"/>
        <v>12</v>
      </c>
      <c r="C154" s="42">
        <v>0</v>
      </c>
      <c r="D154" s="42">
        <v>0</v>
      </c>
      <c r="E154" s="42">
        <v>0</v>
      </c>
      <c r="F154" s="42">
        <v>4</v>
      </c>
      <c r="G154" s="42">
        <v>0</v>
      </c>
      <c r="H154" s="42">
        <v>0</v>
      </c>
      <c r="I154" s="42">
        <v>1</v>
      </c>
      <c r="J154" s="42">
        <v>1</v>
      </c>
      <c r="K154" s="42">
        <v>3</v>
      </c>
      <c r="L154" s="42">
        <v>2</v>
      </c>
      <c r="M154" s="42">
        <v>1</v>
      </c>
      <c r="N154" s="42">
        <v>0</v>
      </c>
      <c r="O154" s="628" t="s">
        <v>1136</v>
      </c>
    </row>
    <row r="155" spans="1:15" ht="24" customHeight="1">
      <c r="A155" s="640"/>
      <c r="B155" s="18">
        <f t="shared" si="3"/>
        <v>1</v>
      </c>
      <c r="C155" s="42">
        <v>0</v>
      </c>
      <c r="D155" s="42">
        <v>1</v>
      </c>
      <c r="E155" s="42">
        <v>0</v>
      </c>
      <c r="F155" s="42">
        <v>0</v>
      </c>
      <c r="G155" s="42">
        <v>0</v>
      </c>
      <c r="H155" s="42">
        <v>0</v>
      </c>
      <c r="I155" s="42">
        <v>0</v>
      </c>
      <c r="J155" s="42">
        <v>0</v>
      </c>
      <c r="K155" s="42">
        <v>0</v>
      </c>
      <c r="L155" s="42">
        <v>0</v>
      </c>
      <c r="M155" s="42">
        <v>0</v>
      </c>
      <c r="N155" s="42">
        <v>0</v>
      </c>
      <c r="O155" s="628" t="s">
        <v>1137</v>
      </c>
    </row>
    <row r="156" spans="1:15" ht="24" customHeight="1">
      <c r="A156" s="640"/>
      <c r="B156" s="18">
        <f t="shared" si="3"/>
        <v>7</v>
      </c>
      <c r="C156" s="42">
        <v>1</v>
      </c>
      <c r="D156" s="42">
        <v>1</v>
      </c>
      <c r="E156" s="42">
        <v>0</v>
      </c>
      <c r="F156" s="42">
        <v>1</v>
      </c>
      <c r="G156" s="42">
        <v>0</v>
      </c>
      <c r="H156" s="42">
        <v>0</v>
      </c>
      <c r="I156" s="42">
        <v>0</v>
      </c>
      <c r="J156" s="42">
        <v>0</v>
      </c>
      <c r="K156" s="42">
        <v>0</v>
      </c>
      <c r="L156" s="42">
        <v>1</v>
      </c>
      <c r="M156" s="42">
        <v>0</v>
      </c>
      <c r="N156" s="42">
        <v>3</v>
      </c>
      <c r="O156" s="628" t="s">
        <v>1138</v>
      </c>
    </row>
    <row r="157" spans="1:15" ht="24" customHeight="1">
      <c r="A157" s="640"/>
      <c r="B157" s="18">
        <f t="shared" si="3"/>
        <v>19</v>
      </c>
      <c r="C157" s="42">
        <v>0</v>
      </c>
      <c r="D157" s="42">
        <v>1</v>
      </c>
      <c r="E157" s="42">
        <v>2</v>
      </c>
      <c r="F157" s="42">
        <v>3</v>
      </c>
      <c r="G157" s="42">
        <v>0</v>
      </c>
      <c r="H157" s="42">
        <v>1</v>
      </c>
      <c r="I157" s="42">
        <v>7</v>
      </c>
      <c r="J157" s="42">
        <v>2</v>
      </c>
      <c r="K157" s="42">
        <v>2</v>
      </c>
      <c r="L157" s="42">
        <v>1</v>
      </c>
      <c r="M157" s="42">
        <v>0</v>
      </c>
      <c r="N157" s="42">
        <v>0</v>
      </c>
      <c r="O157" s="628" t="s">
        <v>1139</v>
      </c>
    </row>
    <row r="158" spans="1:15" ht="24" customHeight="1">
      <c r="A158" s="640"/>
      <c r="B158" s="18">
        <f t="shared" si="3"/>
        <v>1</v>
      </c>
      <c r="C158" s="42">
        <v>0</v>
      </c>
      <c r="D158" s="42">
        <v>0</v>
      </c>
      <c r="E158" s="42">
        <v>0</v>
      </c>
      <c r="F158" s="42">
        <v>0</v>
      </c>
      <c r="G158" s="42">
        <v>0</v>
      </c>
      <c r="H158" s="42">
        <v>0</v>
      </c>
      <c r="I158" s="42">
        <v>0</v>
      </c>
      <c r="J158" s="42">
        <v>0</v>
      </c>
      <c r="K158" s="42">
        <v>1</v>
      </c>
      <c r="L158" s="42">
        <v>0</v>
      </c>
      <c r="M158" s="42">
        <v>0</v>
      </c>
      <c r="N158" s="42">
        <v>0</v>
      </c>
      <c r="O158" s="628" t="s">
        <v>1140</v>
      </c>
    </row>
    <row r="159" spans="1:15" ht="24" customHeight="1">
      <c r="A159" s="640"/>
      <c r="B159" s="18">
        <f t="shared" si="3"/>
        <v>7</v>
      </c>
      <c r="C159" s="42">
        <v>0</v>
      </c>
      <c r="D159" s="42">
        <v>1</v>
      </c>
      <c r="E159" s="42">
        <v>0</v>
      </c>
      <c r="F159" s="42">
        <v>0</v>
      </c>
      <c r="G159" s="42">
        <v>5</v>
      </c>
      <c r="H159" s="42">
        <v>1</v>
      </c>
      <c r="I159" s="42">
        <v>0</v>
      </c>
      <c r="J159" s="42">
        <v>0</v>
      </c>
      <c r="K159" s="42">
        <v>0</v>
      </c>
      <c r="L159" s="42">
        <v>0</v>
      </c>
      <c r="M159" s="42">
        <v>0</v>
      </c>
      <c r="N159" s="42">
        <v>0</v>
      </c>
      <c r="O159" s="628" t="s">
        <v>1141</v>
      </c>
    </row>
    <row r="160" spans="1:15" ht="41.25" customHeight="1">
      <c r="A160" s="640"/>
      <c r="B160" s="18">
        <f t="shared" si="3"/>
        <v>1</v>
      </c>
      <c r="C160" s="42">
        <v>0</v>
      </c>
      <c r="D160" s="42">
        <v>0</v>
      </c>
      <c r="E160" s="42">
        <v>0</v>
      </c>
      <c r="F160" s="42">
        <v>0</v>
      </c>
      <c r="G160" s="42">
        <v>0</v>
      </c>
      <c r="H160" s="42">
        <v>1</v>
      </c>
      <c r="I160" s="42">
        <v>0</v>
      </c>
      <c r="J160" s="42">
        <v>0</v>
      </c>
      <c r="K160" s="42">
        <v>0</v>
      </c>
      <c r="L160" s="42">
        <v>0</v>
      </c>
      <c r="M160" s="42">
        <v>0</v>
      </c>
      <c r="N160" s="42">
        <v>0</v>
      </c>
      <c r="O160" s="628" t="s">
        <v>1224</v>
      </c>
    </row>
    <row r="161" spans="1:15" ht="41.25" customHeight="1">
      <c r="A161" s="640"/>
      <c r="B161" s="18">
        <f t="shared" si="3"/>
        <v>2</v>
      </c>
      <c r="C161" s="42">
        <v>0</v>
      </c>
      <c r="D161" s="42">
        <v>0</v>
      </c>
      <c r="E161" s="42">
        <v>0</v>
      </c>
      <c r="F161" s="42">
        <v>0</v>
      </c>
      <c r="G161" s="42">
        <v>0</v>
      </c>
      <c r="H161" s="42">
        <v>1</v>
      </c>
      <c r="I161" s="42">
        <v>0</v>
      </c>
      <c r="J161" s="42">
        <v>1</v>
      </c>
      <c r="K161" s="42">
        <v>0</v>
      </c>
      <c r="L161" s="42">
        <v>0</v>
      </c>
      <c r="M161" s="42">
        <v>0</v>
      </c>
      <c r="N161" s="42">
        <v>0</v>
      </c>
      <c r="O161" s="628" t="s">
        <v>1143</v>
      </c>
    </row>
    <row r="162" spans="1:15" ht="41.25" customHeight="1">
      <c r="A162" s="640"/>
      <c r="B162" s="18">
        <f t="shared" si="3"/>
        <v>1</v>
      </c>
      <c r="C162" s="42">
        <v>0</v>
      </c>
      <c r="D162" s="42">
        <v>0</v>
      </c>
      <c r="E162" s="42">
        <v>1</v>
      </c>
      <c r="F162" s="42">
        <v>0</v>
      </c>
      <c r="G162" s="42">
        <v>0</v>
      </c>
      <c r="H162" s="42">
        <v>0</v>
      </c>
      <c r="I162" s="42">
        <v>0</v>
      </c>
      <c r="J162" s="42">
        <v>0</v>
      </c>
      <c r="K162" s="42">
        <v>0</v>
      </c>
      <c r="L162" s="42">
        <v>0</v>
      </c>
      <c r="M162" s="42">
        <v>0</v>
      </c>
      <c r="N162" s="42">
        <v>0</v>
      </c>
      <c r="O162" s="628" t="s">
        <v>1225</v>
      </c>
    </row>
    <row r="163" spans="1:15" ht="41.25" customHeight="1">
      <c r="A163" s="640"/>
      <c r="B163" s="18">
        <f t="shared" si="3"/>
        <v>4</v>
      </c>
      <c r="C163" s="42">
        <v>0</v>
      </c>
      <c r="D163" s="42">
        <v>0</v>
      </c>
      <c r="E163" s="42">
        <v>0</v>
      </c>
      <c r="F163" s="42">
        <v>1</v>
      </c>
      <c r="G163" s="42">
        <v>0</v>
      </c>
      <c r="H163" s="42">
        <v>0</v>
      </c>
      <c r="I163" s="42">
        <v>0</v>
      </c>
      <c r="J163" s="42">
        <v>0</v>
      </c>
      <c r="K163" s="42">
        <v>2</v>
      </c>
      <c r="L163" s="42">
        <v>1</v>
      </c>
      <c r="M163" s="42">
        <v>0</v>
      </c>
      <c r="N163" s="42">
        <v>0</v>
      </c>
      <c r="O163" s="628" t="s">
        <v>1145</v>
      </c>
    </row>
    <row r="164" spans="1:15" ht="41.25" customHeight="1">
      <c r="A164" s="640"/>
      <c r="B164" s="18">
        <f t="shared" si="3"/>
        <v>1</v>
      </c>
      <c r="C164" s="42">
        <v>1</v>
      </c>
      <c r="D164" s="42">
        <v>0</v>
      </c>
      <c r="E164" s="42">
        <v>0</v>
      </c>
      <c r="F164" s="42">
        <v>0</v>
      </c>
      <c r="G164" s="42">
        <v>0</v>
      </c>
      <c r="H164" s="42">
        <v>0</v>
      </c>
      <c r="I164" s="42">
        <v>0</v>
      </c>
      <c r="J164" s="42">
        <v>0</v>
      </c>
      <c r="K164" s="42">
        <v>0</v>
      </c>
      <c r="L164" s="42">
        <v>0</v>
      </c>
      <c r="M164" s="42">
        <v>0</v>
      </c>
      <c r="N164" s="42">
        <v>0</v>
      </c>
      <c r="O164" s="628" t="s">
        <v>1226</v>
      </c>
    </row>
    <row r="165" spans="1:15" ht="41.25" customHeight="1">
      <c r="A165" s="640"/>
      <c r="B165" s="18">
        <f t="shared" si="3"/>
        <v>1</v>
      </c>
      <c r="C165" s="42">
        <v>0</v>
      </c>
      <c r="D165" s="42">
        <v>0</v>
      </c>
      <c r="E165" s="42">
        <v>0</v>
      </c>
      <c r="F165" s="42">
        <v>0</v>
      </c>
      <c r="G165" s="42">
        <v>0</v>
      </c>
      <c r="H165" s="42">
        <v>0</v>
      </c>
      <c r="I165" s="42">
        <v>0</v>
      </c>
      <c r="J165" s="42">
        <v>1</v>
      </c>
      <c r="K165" s="42">
        <v>0</v>
      </c>
      <c r="L165" s="42">
        <v>0</v>
      </c>
      <c r="M165" s="42">
        <v>0</v>
      </c>
      <c r="N165" s="42">
        <v>0</v>
      </c>
      <c r="O165" s="628" t="s">
        <v>1147</v>
      </c>
    </row>
    <row r="166" spans="1:15" ht="41.25" customHeight="1">
      <c r="A166" s="640"/>
      <c r="B166" s="18">
        <f t="shared" si="3"/>
        <v>1</v>
      </c>
      <c r="C166" s="42">
        <v>0</v>
      </c>
      <c r="D166" s="42">
        <v>0</v>
      </c>
      <c r="E166" s="42">
        <v>1</v>
      </c>
      <c r="F166" s="42">
        <v>0</v>
      </c>
      <c r="G166" s="42">
        <v>0</v>
      </c>
      <c r="H166" s="42">
        <v>0</v>
      </c>
      <c r="I166" s="42">
        <v>0</v>
      </c>
      <c r="J166" s="42">
        <v>0</v>
      </c>
      <c r="K166" s="42">
        <v>0</v>
      </c>
      <c r="L166" s="42">
        <v>0</v>
      </c>
      <c r="M166" s="42">
        <v>0</v>
      </c>
      <c r="N166" s="42">
        <v>0</v>
      </c>
      <c r="O166" s="628" t="s">
        <v>1227</v>
      </c>
    </row>
    <row r="167" spans="1:15" ht="41.25" customHeight="1">
      <c r="A167" s="640"/>
      <c r="B167" s="18">
        <f t="shared" si="3"/>
        <v>58</v>
      </c>
      <c r="C167" s="42">
        <v>10</v>
      </c>
      <c r="D167" s="42">
        <v>2</v>
      </c>
      <c r="E167" s="42">
        <v>2</v>
      </c>
      <c r="F167" s="42">
        <v>4</v>
      </c>
      <c r="G167" s="42">
        <v>1</v>
      </c>
      <c r="H167" s="42">
        <v>3</v>
      </c>
      <c r="I167" s="42">
        <v>6</v>
      </c>
      <c r="J167" s="42">
        <v>4</v>
      </c>
      <c r="K167" s="42">
        <v>11</v>
      </c>
      <c r="L167" s="42">
        <v>8</v>
      </c>
      <c r="M167" s="42">
        <v>4</v>
      </c>
      <c r="N167" s="42">
        <v>3</v>
      </c>
      <c r="O167" s="628" t="s">
        <v>1149</v>
      </c>
    </row>
    <row r="168" spans="1:15" ht="41.25" customHeight="1">
      <c r="A168" s="640"/>
      <c r="B168" s="18">
        <f t="shared" si="3"/>
        <v>1</v>
      </c>
      <c r="C168" s="42">
        <v>1</v>
      </c>
      <c r="D168" s="42">
        <v>0</v>
      </c>
      <c r="E168" s="42">
        <v>0</v>
      </c>
      <c r="F168" s="42">
        <v>0</v>
      </c>
      <c r="G168" s="42">
        <v>0</v>
      </c>
      <c r="H168" s="42">
        <v>0</v>
      </c>
      <c r="I168" s="42">
        <v>0</v>
      </c>
      <c r="J168" s="42">
        <v>0</v>
      </c>
      <c r="K168" s="42">
        <v>0</v>
      </c>
      <c r="L168" s="42">
        <v>0</v>
      </c>
      <c r="M168" s="42">
        <v>0</v>
      </c>
      <c r="N168" s="42">
        <v>0</v>
      </c>
      <c r="O168" s="628" t="s">
        <v>1150</v>
      </c>
    </row>
    <row r="169" spans="1:15" ht="41.25" customHeight="1">
      <c r="A169" s="640"/>
      <c r="B169" s="18">
        <f t="shared" si="3"/>
        <v>1</v>
      </c>
      <c r="C169" s="42">
        <v>0</v>
      </c>
      <c r="D169" s="42">
        <v>0</v>
      </c>
      <c r="E169" s="42">
        <v>0</v>
      </c>
      <c r="F169" s="42">
        <v>0</v>
      </c>
      <c r="G169" s="42">
        <v>0</v>
      </c>
      <c r="H169" s="42">
        <v>0</v>
      </c>
      <c r="I169" s="42">
        <v>0</v>
      </c>
      <c r="J169" s="42">
        <v>0</v>
      </c>
      <c r="K169" s="42">
        <v>0</v>
      </c>
      <c r="L169" s="42">
        <v>0</v>
      </c>
      <c r="M169" s="42">
        <v>0</v>
      </c>
      <c r="N169" s="42">
        <v>1</v>
      </c>
      <c r="O169" s="628" t="s">
        <v>1228</v>
      </c>
    </row>
    <row r="170" spans="1:15" ht="41.25" customHeight="1">
      <c r="A170" s="640"/>
      <c r="B170" s="18">
        <f t="shared" si="3"/>
        <v>2</v>
      </c>
      <c r="C170" s="42">
        <v>0</v>
      </c>
      <c r="D170" s="42">
        <v>0</v>
      </c>
      <c r="E170" s="42">
        <v>0</v>
      </c>
      <c r="F170" s="42">
        <v>0</v>
      </c>
      <c r="G170" s="42">
        <v>0</v>
      </c>
      <c r="H170" s="42">
        <v>0</v>
      </c>
      <c r="I170" s="42">
        <v>0</v>
      </c>
      <c r="J170" s="42">
        <v>2</v>
      </c>
      <c r="K170" s="42">
        <v>0</v>
      </c>
      <c r="L170" s="42">
        <v>0</v>
      </c>
      <c r="M170" s="42">
        <v>0</v>
      </c>
      <c r="N170" s="42">
        <v>0</v>
      </c>
      <c r="O170" s="628" t="s">
        <v>1152</v>
      </c>
    </row>
    <row r="171" spans="1:15" ht="41.25" customHeight="1">
      <c r="A171" s="640"/>
      <c r="B171" s="18">
        <f t="shared" si="3"/>
        <v>1</v>
      </c>
      <c r="C171" s="42">
        <v>0</v>
      </c>
      <c r="D171" s="42">
        <v>0</v>
      </c>
      <c r="E171" s="42">
        <v>0</v>
      </c>
      <c r="F171" s="42">
        <v>0</v>
      </c>
      <c r="G171" s="42">
        <v>0</v>
      </c>
      <c r="H171" s="42">
        <v>1</v>
      </c>
      <c r="I171" s="42">
        <v>0</v>
      </c>
      <c r="J171" s="42">
        <v>0</v>
      </c>
      <c r="K171" s="42">
        <v>0</v>
      </c>
      <c r="L171" s="42">
        <v>0</v>
      </c>
      <c r="M171" s="42">
        <v>0</v>
      </c>
      <c r="N171" s="42">
        <v>0</v>
      </c>
      <c r="O171" s="628" t="s">
        <v>1153</v>
      </c>
    </row>
    <row r="172" spans="1:15" ht="41.25" customHeight="1">
      <c r="A172" s="640"/>
      <c r="B172" s="18">
        <f t="shared" si="3"/>
        <v>1</v>
      </c>
      <c r="C172" s="42">
        <v>0</v>
      </c>
      <c r="D172" s="42">
        <v>0</v>
      </c>
      <c r="E172" s="42">
        <v>0</v>
      </c>
      <c r="F172" s="42">
        <v>0</v>
      </c>
      <c r="G172" s="42">
        <v>0</v>
      </c>
      <c r="H172" s="42">
        <v>0</v>
      </c>
      <c r="I172" s="42">
        <v>0</v>
      </c>
      <c r="J172" s="42">
        <v>1</v>
      </c>
      <c r="K172" s="42">
        <v>0</v>
      </c>
      <c r="L172" s="42">
        <v>0</v>
      </c>
      <c r="M172" s="42">
        <v>0</v>
      </c>
      <c r="N172" s="42">
        <v>0</v>
      </c>
      <c r="O172" s="628" t="s">
        <v>1154</v>
      </c>
    </row>
    <row r="173" spans="1:15" ht="24" customHeight="1">
      <c r="A173" s="640"/>
      <c r="B173" s="18">
        <f t="shared" si="3"/>
        <v>2</v>
      </c>
      <c r="C173" s="42">
        <v>0</v>
      </c>
      <c r="D173" s="42">
        <v>0</v>
      </c>
      <c r="E173" s="42">
        <v>0</v>
      </c>
      <c r="F173" s="42">
        <v>0</v>
      </c>
      <c r="G173" s="42">
        <v>0</v>
      </c>
      <c r="H173" s="42">
        <v>0</v>
      </c>
      <c r="I173" s="42">
        <v>0</v>
      </c>
      <c r="J173" s="42">
        <v>0</v>
      </c>
      <c r="K173" s="42">
        <v>0</v>
      </c>
      <c r="L173" s="42">
        <v>0</v>
      </c>
      <c r="M173" s="42">
        <v>2</v>
      </c>
      <c r="N173" s="42">
        <v>0</v>
      </c>
      <c r="O173" s="628" t="s">
        <v>1155</v>
      </c>
    </row>
    <row r="174" spans="1:15" ht="24" customHeight="1">
      <c r="A174" s="640"/>
      <c r="B174" s="18">
        <f t="shared" si="3"/>
        <v>3</v>
      </c>
      <c r="C174" s="42">
        <v>0</v>
      </c>
      <c r="D174" s="42">
        <v>0</v>
      </c>
      <c r="E174" s="42">
        <v>0</v>
      </c>
      <c r="F174" s="42">
        <v>0</v>
      </c>
      <c r="G174" s="42">
        <v>1</v>
      </c>
      <c r="H174" s="42">
        <v>1</v>
      </c>
      <c r="I174" s="42">
        <v>1</v>
      </c>
      <c r="J174" s="42">
        <v>0</v>
      </c>
      <c r="K174" s="42">
        <v>0</v>
      </c>
      <c r="L174" s="42">
        <v>0</v>
      </c>
      <c r="M174" s="42">
        <v>0</v>
      </c>
      <c r="N174" s="42">
        <v>0</v>
      </c>
      <c r="O174" s="628" t="s">
        <v>1156</v>
      </c>
    </row>
    <row r="175" spans="1:15" ht="24" customHeight="1">
      <c r="A175" s="640"/>
      <c r="B175" s="18">
        <f t="shared" si="3"/>
        <v>1</v>
      </c>
      <c r="C175" s="42">
        <v>0</v>
      </c>
      <c r="D175" s="42">
        <v>0</v>
      </c>
      <c r="E175" s="42">
        <v>0</v>
      </c>
      <c r="F175" s="42">
        <v>0</v>
      </c>
      <c r="G175" s="42">
        <v>0</v>
      </c>
      <c r="H175" s="42">
        <v>0</v>
      </c>
      <c r="I175" s="42">
        <v>0</v>
      </c>
      <c r="J175" s="42">
        <v>0</v>
      </c>
      <c r="K175" s="42">
        <v>0</v>
      </c>
      <c r="L175" s="42">
        <v>1</v>
      </c>
      <c r="M175" s="42">
        <v>0</v>
      </c>
      <c r="N175" s="42">
        <v>0</v>
      </c>
      <c r="O175" s="628" t="s">
        <v>1157</v>
      </c>
    </row>
    <row r="176" spans="1:15" ht="24" customHeight="1">
      <c r="A176" s="640"/>
      <c r="B176" s="18">
        <f t="shared" si="3"/>
        <v>202</v>
      </c>
      <c r="C176" s="42">
        <v>20</v>
      </c>
      <c r="D176" s="42">
        <v>11</v>
      </c>
      <c r="E176" s="42">
        <v>16</v>
      </c>
      <c r="F176" s="42">
        <v>17</v>
      </c>
      <c r="G176" s="42">
        <v>9</v>
      </c>
      <c r="H176" s="42">
        <v>7</v>
      </c>
      <c r="I176" s="42">
        <v>21</v>
      </c>
      <c r="J176" s="42">
        <v>11</v>
      </c>
      <c r="K176" s="42">
        <v>35</v>
      </c>
      <c r="L176" s="42">
        <v>15</v>
      </c>
      <c r="M176" s="42">
        <v>20</v>
      </c>
      <c r="N176" s="42">
        <v>20</v>
      </c>
      <c r="O176" s="628" t="s">
        <v>1158</v>
      </c>
    </row>
    <row r="177" spans="1:15" ht="24" customHeight="1">
      <c r="A177" s="640"/>
      <c r="B177" s="18">
        <f t="shared" si="3"/>
        <v>1</v>
      </c>
      <c r="C177" s="42">
        <v>0</v>
      </c>
      <c r="D177" s="42">
        <v>0</v>
      </c>
      <c r="E177" s="42">
        <v>1</v>
      </c>
      <c r="F177" s="42">
        <v>0</v>
      </c>
      <c r="G177" s="42">
        <v>0</v>
      </c>
      <c r="H177" s="42">
        <v>0</v>
      </c>
      <c r="I177" s="42">
        <v>0</v>
      </c>
      <c r="J177" s="42">
        <v>0</v>
      </c>
      <c r="K177" s="42">
        <v>0</v>
      </c>
      <c r="L177" s="42">
        <v>0</v>
      </c>
      <c r="M177" s="42">
        <v>0</v>
      </c>
      <c r="N177" s="42">
        <v>0</v>
      </c>
      <c r="O177" s="628" t="s">
        <v>1159</v>
      </c>
    </row>
    <row r="178" spans="1:15" ht="36" customHeight="1">
      <c r="A178" s="640"/>
      <c r="B178" s="18">
        <f t="shared" si="3"/>
        <v>4</v>
      </c>
      <c r="C178" s="42">
        <v>1</v>
      </c>
      <c r="D178" s="42">
        <v>0</v>
      </c>
      <c r="E178" s="42">
        <v>0</v>
      </c>
      <c r="F178" s="42">
        <v>0</v>
      </c>
      <c r="G178" s="42">
        <v>0</v>
      </c>
      <c r="H178" s="42">
        <v>0</v>
      </c>
      <c r="I178" s="42">
        <v>0</v>
      </c>
      <c r="J178" s="42">
        <v>0</v>
      </c>
      <c r="K178" s="42">
        <v>2</v>
      </c>
      <c r="L178" s="42">
        <v>0</v>
      </c>
      <c r="M178" s="42">
        <v>1</v>
      </c>
      <c r="N178" s="42">
        <v>0</v>
      </c>
      <c r="O178" s="628" t="s">
        <v>1160</v>
      </c>
    </row>
    <row r="179" spans="1:15" ht="36" customHeight="1">
      <c r="A179" s="640"/>
      <c r="B179" s="18">
        <f t="shared" si="3"/>
        <v>3</v>
      </c>
      <c r="C179" s="42">
        <v>0</v>
      </c>
      <c r="D179" s="42">
        <v>1</v>
      </c>
      <c r="E179" s="42">
        <v>0</v>
      </c>
      <c r="F179" s="42">
        <v>0</v>
      </c>
      <c r="G179" s="42">
        <v>0</v>
      </c>
      <c r="H179" s="42">
        <v>0</v>
      </c>
      <c r="I179" s="42">
        <v>0</v>
      </c>
      <c r="J179" s="42">
        <v>2</v>
      </c>
      <c r="K179" s="42">
        <v>0</v>
      </c>
      <c r="L179" s="42">
        <v>0</v>
      </c>
      <c r="M179" s="42">
        <v>0</v>
      </c>
      <c r="N179" s="42">
        <v>0</v>
      </c>
      <c r="O179" s="628" t="s">
        <v>1161</v>
      </c>
    </row>
    <row r="180" spans="1:15" ht="36" customHeight="1">
      <c r="A180" s="640"/>
      <c r="B180" s="18">
        <f t="shared" si="3"/>
        <v>1</v>
      </c>
      <c r="C180" s="42">
        <v>0</v>
      </c>
      <c r="D180" s="42">
        <v>0</v>
      </c>
      <c r="E180" s="42">
        <v>0</v>
      </c>
      <c r="F180" s="42">
        <v>0</v>
      </c>
      <c r="G180" s="42">
        <v>0</v>
      </c>
      <c r="H180" s="42">
        <v>0</v>
      </c>
      <c r="I180" s="42">
        <v>0</v>
      </c>
      <c r="J180" s="42">
        <v>0</v>
      </c>
      <c r="K180" s="42">
        <v>1</v>
      </c>
      <c r="L180" s="42">
        <v>0</v>
      </c>
      <c r="M180" s="42">
        <v>0</v>
      </c>
      <c r="N180" s="42">
        <v>0</v>
      </c>
      <c r="O180" s="628" t="s">
        <v>1162</v>
      </c>
    </row>
    <row r="181" spans="1:15" ht="36" customHeight="1">
      <c r="A181" s="640"/>
      <c r="B181" s="18">
        <f t="shared" si="3"/>
        <v>1</v>
      </c>
      <c r="C181" s="42">
        <v>0</v>
      </c>
      <c r="D181" s="42">
        <v>0</v>
      </c>
      <c r="E181" s="42">
        <v>1</v>
      </c>
      <c r="F181" s="42">
        <v>0</v>
      </c>
      <c r="G181" s="42">
        <v>0</v>
      </c>
      <c r="H181" s="42">
        <v>0</v>
      </c>
      <c r="I181" s="42">
        <v>0</v>
      </c>
      <c r="J181" s="42">
        <v>0</v>
      </c>
      <c r="K181" s="42">
        <v>0</v>
      </c>
      <c r="L181" s="42">
        <v>0</v>
      </c>
      <c r="M181" s="42">
        <v>0</v>
      </c>
      <c r="N181" s="42">
        <v>0</v>
      </c>
      <c r="O181" s="628" t="s">
        <v>1229</v>
      </c>
    </row>
    <row r="182" spans="1:15" ht="36" customHeight="1">
      <c r="A182" s="640"/>
      <c r="B182" s="18">
        <f t="shared" si="3"/>
        <v>1</v>
      </c>
      <c r="C182" s="42">
        <v>0</v>
      </c>
      <c r="D182" s="42">
        <v>0</v>
      </c>
      <c r="E182" s="42">
        <v>0</v>
      </c>
      <c r="F182" s="42">
        <v>0</v>
      </c>
      <c r="G182" s="42">
        <v>0</v>
      </c>
      <c r="H182" s="42">
        <v>0</v>
      </c>
      <c r="I182" s="42">
        <v>0</v>
      </c>
      <c r="J182" s="42">
        <v>0</v>
      </c>
      <c r="K182" s="42">
        <v>0</v>
      </c>
      <c r="L182" s="42">
        <v>1</v>
      </c>
      <c r="M182" s="42">
        <v>0</v>
      </c>
      <c r="N182" s="42">
        <v>0</v>
      </c>
      <c r="O182" s="628" t="s">
        <v>1164</v>
      </c>
    </row>
    <row r="183" spans="1:15" ht="36" customHeight="1">
      <c r="A183" s="640"/>
      <c r="B183" s="18">
        <f t="shared" si="3"/>
        <v>1</v>
      </c>
      <c r="C183" s="42">
        <v>0</v>
      </c>
      <c r="D183" s="42">
        <v>0</v>
      </c>
      <c r="E183" s="42">
        <v>0</v>
      </c>
      <c r="F183" s="42">
        <v>0</v>
      </c>
      <c r="G183" s="42">
        <v>0</v>
      </c>
      <c r="H183" s="42">
        <v>0</v>
      </c>
      <c r="I183" s="42">
        <v>0</v>
      </c>
      <c r="J183" s="42">
        <v>1</v>
      </c>
      <c r="K183" s="42">
        <v>0</v>
      </c>
      <c r="L183" s="42">
        <v>0</v>
      </c>
      <c r="M183" s="42">
        <v>0</v>
      </c>
      <c r="N183" s="42">
        <v>0</v>
      </c>
      <c r="O183" s="628" t="s">
        <v>1230</v>
      </c>
    </row>
    <row r="184" spans="1:15" ht="36" customHeight="1">
      <c r="A184" s="640"/>
      <c r="B184" s="18">
        <f t="shared" si="3"/>
        <v>1</v>
      </c>
      <c r="C184" s="42">
        <v>0</v>
      </c>
      <c r="D184" s="42">
        <v>0</v>
      </c>
      <c r="E184" s="42">
        <v>0</v>
      </c>
      <c r="F184" s="42">
        <v>0</v>
      </c>
      <c r="G184" s="42">
        <v>0</v>
      </c>
      <c r="H184" s="42">
        <v>0</v>
      </c>
      <c r="I184" s="42">
        <v>0</v>
      </c>
      <c r="J184" s="42">
        <v>0</v>
      </c>
      <c r="K184" s="42">
        <v>0</v>
      </c>
      <c r="L184" s="42">
        <v>0</v>
      </c>
      <c r="M184" s="42">
        <v>1</v>
      </c>
      <c r="N184" s="42">
        <v>0</v>
      </c>
      <c r="O184" s="628" t="s">
        <v>1166</v>
      </c>
    </row>
    <row r="185" spans="1:15" ht="36" customHeight="1">
      <c r="A185" s="640"/>
      <c r="B185" s="18">
        <f t="shared" si="3"/>
        <v>22</v>
      </c>
      <c r="C185" s="42">
        <v>0</v>
      </c>
      <c r="D185" s="42">
        <v>0</v>
      </c>
      <c r="E185" s="42">
        <v>1</v>
      </c>
      <c r="F185" s="42">
        <v>1</v>
      </c>
      <c r="G185" s="42">
        <v>0</v>
      </c>
      <c r="H185" s="42">
        <v>0</v>
      </c>
      <c r="I185" s="42">
        <v>1</v>
      </c>
      <c r="J185" s="42">
        <v>1</v>
      </c>
      <c r="K185" s="42">
        <v>1</v>
      </c>
      <c r="L185" s="42">
        <v>3</v>
      </c>
      <c r="M185" s="42">
        <v>1</v>
      </c>
      <c r="N185" s="42">
        <v>13</v>
      </c>
      <c r="O185" s="628" t="s">
        <v>1167</v>
      </c>
    </row>
    <row r="186" spans="1:15" ht="36" customHeight="1">
      <c r="A186" s="640"/>
      <c r="B186" s="18">
        <f t="shared" si="3"/>
        <v>3</v>
      </c>
      <c r="C186" s="42">
        <v>0</v>
      </c>
      <c r="D186" s="42">
        <v>0</v>
      </c>
      <c r="E186" s="42">
        <v>0</v>
      </c>
      <c r="F186" s="42">
        <v>0</v>
      </c>
      <c r="G186" s="42">
        <v>0</v>
      </c>
      <c r="H186" s="42">
        <v>3</v>
      </c>
      <c r="I186" s="42">
        <v>0</v>
      </c>
      <c r="J186" s="42">
        <v>0</v>
      </c>
      <c r="K186" s="42">
        <v>0</v>
      </c>
      <c r="L186" s="42">
        <v>0</v>
      </c>
      <c r="M186" s="42">
        <v>0</v>
      </c>
      <c r="N186" s="42">
        <v>0</v>
      </c>
      <c r="O186" s="628" t="s">
        <v>1231</v>
      </c>
    </row>
    <row r="187" spans="1:15" ht="36" customHeight="1">
      <c r="A187" s="640"/>
      <c r="B187" s="18">
        <f t="shared" si="3"/>
        <v>1</v>
      </c>
      <c r="C187" s="42">
        <v>0</v>
      </c>
      <c r="D187" s="42">
        <v>0</v>
      </c>
      <c r="E187" s="42">
        <v>0</v>
      </c>
      <c r="F187" s="42">
        <v>0</v>
      </c>
      <c r="G187" s="42">
        <v>0</v>
      </c>
      <c r="H187" s="42">
        <v>0</v>
      </c>
      <c r="I187" s="42">
        <v>0</v>
      </c>
      <c r="J187" s="42">
        <v>1</v>
      </c>
      <c r="K187" s="42">
        <v>0</v>
      </c>
      <c r="L187" s="42">
        <v>0</v>
      </c>
      <c r="M187" s="42">
        <v>0</v>
      </c>
      <c r="N187" s="42">
        <v>0</v>
      </c>
      <c r="O187" s="628" t="s">
        <v>1169</v>
      </c>
    </row>
    <row r="188" spans="1:15" ht="36" customHeight="1">
      <c r="A188" s="640"/>
      <c r="B188" s="18">
        <f t="shared" si="3"/>
        <v>15</v>
      </c>
      <c r="C188" s="42">
        <v>2</v>
      </c>
      <c r="D188" s="42">
        <v>0</v>
      </c>
      <c r="E188" s="42">
        <v>1</v>
      </c>
      <c r="F188" s="42">
        <v>5</v>
      </c>
      <c r="G188" s="42">
        <v>0</v>
      </c>
      <c r="H188" s="42">
        <v>1</v>
      </c>
      <c r="I188" s="42">
        <v>2</v>
      </c>
      <c r="J188" s="42">
        <v>1</v>
      </c>
      <c r="K188" s="42">
        <v>2</v>
      </c>
      <c r="L188" s="42">
        <v>0</v>
      </c>
      <c r="M188" s="42">
        <v>0</v>
      </c>
      <c r="N188" s="42">
        <v>1</v>
      </c>
      <c r="O188" s="628" t="s">
        <v>1170</v>
      </c>
    </row>
    <row r="189" spans="1:15" ht="18.75" customHeight="1">
      <c r="A189" s="640"/>
      <c r="B189" s="18">
        <f t="shared" si="3"/>
        <v>20</v>
      </c>
      <c r="C189" s="42">
        <v>5</v>
      </c>
      <c r="D189" s="42">
        <v>2</v>
      </c>
      <c r="E189" s="42">
        <v>1</v>
      </c>
      <c r="F189" s="42">
        <v>4</v>
      </c>
      <c r="G189" s="42">
        <v>5</v>
      </c>
      <c r="H189" s="42">
        <v>0</v>
      </c>
      <c r="I189" s="42">
        <v>1</v>
      </c>
      <c r="J189" s="42">
        <v>0</v>
      </c>
      <c r="K189" s="42">
        <v>1</v>
      </c>
      <c r="L189" s="42">
        <v>0</v>
      </c>
      <c r="M189" s="42">
        <v>1</v>
      </c>
      <c r="N189" s="42">
        <v>0</v>
      </c>
      <c r="O189" s="628" t="s">
        <v>6</v>
      </c>
    </row>
    <row r="190" spans="1:15" ht="18.75" customHeight="1">
      <c r="A190" s="640"/>
      <c r="B190" s="18">
        <f t="shared" si="3"/>
        <v>6</v>
      </c>
      <c r="C190" s="42">
        <v>1</v>
      </c>
      <c r="D190" s="42">
        <v>1</v>
      </c>
      <c r="E190" s="42">
        <v>2</v>
      </c>
      <c r="F190" s="42">
        <v>2</v>
      </c>
      <c r="G190" s="42">
        <v>0</v>
      </c>
      <c r="H190" s="42">
        <v>0</v>
      </c>
      <c r="I190" s="42">
        <v>0</v>
      </c>
      <c r="J190" s="42">
        <v>0</v>
      </c>
      <c r="K190" s="42">
        <v>0</v>
      </c>
      <c r="L190" s="42">
        <v>0</v>
      </c>
      <c r="M190" s="42">
        <v>0</v>
      </c>
      <c r="N190" s="42">
        <v>0</v>
      </c>
      <c r="O190" s="628" t="s">
        <v>8</v>
      </c>
    </row>
    <row r="191" spans="1:15" ht="36" customHeight="1">
      <c r="A191" s="640"/>
      <c r="B191" s="18">
        <f t="shared" si="3"/>
        <v>2</v>
      </c>
      <c r="C191" s="42">
        <v>0</v>
      </c>
      <c r="D191" s="42">
        <v>0</v>
      </c>
      <c r="E191" s="42">
        <v>0</v>
      </c>
      <c r="F191" s="42">
        <v>0</v>
      </c>
      <c r="G191" s="42">
        <v>0</v>
      </c>
      <c r="H191" s="42">
        <v>0</v>
      </c>
      <c r="I191" s="42">
        <v>0</v>
      </c>
      <c r="J191" s="42">
        <v>1</v>
      </c>
      <c r="K191" s="42">
        <v>1</v>
      </c>
      <c r="L191" s="42">
        <v>0</v>
      </c>
      <c r="M191" s="42">
        <v>0</v>
      </c>
      <c r="N191" s="42">
        <v>0</v>
      </c>
      <c r="O191" s="628" t="s">
        <v>1171</v>
      </c>
    </row>
    <row r="192" spans="1:15" ht="36" customHeight="1">
      <c r="A192" s="640"/>
      <c r="B192" s="18">
        <f t="shared" si="3"/>
        <v>3</v>
      </c>
      <c r="C192" s="42">
        <v>0</v>
      </c>
      <c r="D192" s="42">
        <v>0</v>
      </c>
      <c r="E192" s="42">
        <v>0</v>
      </c>
      <c r="F192" s="42">
        <v>0</v>
      </c>
      <c r="G192" s="42">
        <v>0</v>
      </c>
      <c r="H192" s="42">
        <v>0</v>
      </c>
      <c r="I192" s="42">
        <v>0</v>
      </c>
      <c r="J192" s="42">
        <v>0</v>
      </c>
      <c r="K192" s="42">
        <v>0</v>
      </c>
      <c r="L192" s="42">
        <v>2</v>
      </c>
      <c r="M192" s="42">
        <v>1</v>
      </c>
      <c r="N192" s="42">
        <v>0</v>
      </c>
      <c r="O192" s="628" t="s">
        <v>1232</v>
      </c>
    </row>
    <row r="193" spans="1:15" ht="36" customHeight="1">
      <c r="A193" s="640"/>
      <c r="B193" s="18">
        <f t="shared" ref="B193:B224" si="5">SUM(C193:N193)</f>
        <v>1</v>
      </c>
      <c r="C193" s="42">
        <v>0</v>
      </c>
      <c r="D193" s="42">
        <v>0</v>
      </c>
      <c r="E193" s="42">
        <v>1</v>
      </c>
      <c r="F193" s="42">
        <v>0</v>
      </c>
      <c r="G193" s="42">
        <v>0</v>
      </c>
      <c r="H193" s="42">
        <v>0</v>
      </c>
      <c r="I193" s="42">
        <v>0</v>
      </c>
      <c r="J193" s="42">
        <v>0</v>
      </c>
      <c r="K193" s="42">
        <v>0</v>
      </c>
      <c r="L193" s="42">
        <v>0</v>
      </c>
      <c r="M193" s="42">
        <v>0</v>
      </c>
      <c r="N193" s="42">
        <v>0</v>
      </c>
      <c r="O193" s="628" t="s">
        <v>1173</v>
      </c>
    </row>
    <row r="194" spans="1:15" ht="24" customHeight="1">
      <c r="A194" s="640"/>
      <c r="B194" s="18">
        <f t="shared" si="5"/>
        <v>1</v>
      </c>
      <c r="C194" s="42">
        <v>0</v>
      </c>
      <c r="D194" s="42">
        <v>0</v>
      </c>
      <c r="E194" s="42">
        <v>0</v>
      </c>
      <c r="F194" s="42">
        <v>0</v>
      </c>
      <c r="G194" s="42">
        <v>0</v>
      </c>
      <c r="H194" s="42">
        <v>0</v>
      </c>
      <c r="I194" s="42">
        <v>1</v>
      </c>
      <c r="J194" s="42">
        <v>0</v>
      </c>
      <c r="K194" s="42">
        <v>0</v>
      </c>
      <c r="L194" s="42">
        <v>0</v>
      </c>
      <c r="M194" s="42">
        <v>0</v>
      </c>
      <c r="N194" s="42">
        <v>0</v>
      </c>
      <c r="O194" s="628" t="s">
        <v>1233</v>
      </c>
    </row>
    <row r="195" spans="1:15" ht="24" customHeight="1">
      <c r="A195" s="640"/>
      <c r="B195" s="18">
        <f t="shared" si="5"/>
        <v>1</v>
      </c>
      <c r="C195" s="42">
        <v>0</v>
      </c>
      <c r="D195" s="42">
        <v>0</v>
      </c>
      <c r="E195" s="42">
        <v>0</v>
      </c>
      <c r="F195" s="42">
        <v>0</v>
      </c>
      <c r="G195" s="42">
        <v>0</v>
      </c>
      <c r="H195" s="42">
        <v>0</v>
      </c>
      <c r="I195" s="42">
        <v>0</v>
      </c>
      <c r="J195" s="42">
        <v>0</v>
      </c>
      <c r="K195" s="42">
        <v>0</v>
      </c>
      <c r="L195" s="42">
        <v>1</v>
      </c>
      <c r="M195" s="42">
        <v>0</v>
      </c>
      <c r="N195" s="42">
        <v>0</v>
      </c>
      <c r="O195" s="628" t="s">
        <v>1175</v>
      </c>
    </row>
    <row r="196" spans="1:15" ht="24" customHeight="1">
      <c r="A196" s="640"/>
      <c r="B196" s="18">
        <f t="shared" si="5"/>
        <v>3</v>
      </c>
      <c r="C196" s="42">
        <v>0</v>
      </c>
      <c r="D196" s="42">
        <v>0</v>
      </c>
      <c r="E196" s="42">
        <v>0</v>
      </c>
      <c r="F196" s="42">
        <v>0</v>
      </c>
      <c r="G196" s="42">
        <v>1</v>
      </c>
      <c r="H196" s="42">
        <v>0</v>
      </c>
      <c r="I196" s="42">
        <v>2</v>
      </c>
      <c r="J196" s="42">
        <v>0</v>
      </c>
      <c r="K196" s="42">
        <v>0</v>
      </c>
      <c r="L196" s="42">
        <v>0</v>
      </c>
      <c r="M196" s="42">
        <v>0</v>
      </c>
      <c r="N196" s="42">
        <v>0</v>
      </c>
      <c r="O196" s="628" t="s">
        <v>1234</v>
      </c>
    </row>
    <row r="197" spans="1:15" ht="24" customHeight="1">
      <c r="A197" s="640"/>
      <c r="B197" s="18">
        <f t="shared" si="5"/>
        <v>4</v>
      </c>
      <c r="C197" s="42">
        <v>0</v>
      </c>
      <c r="D197" s="42">
        <v>0</v>
      </c>
      <c r="E197" s="42">
        <v>0</v>
      </c>
      <c r="F197" s="42">
        <v>1</v>
      </c>
      <c r="G197" s="42">
        <v>0</v>
      </c>
      <c r="H197" s="42">
        <v>0</v>
      </c>
      <c r="I197" s="42">
        <v>2</v>
      </c>
      <c r="J197" s="42">
        <v>0</v>
      </c>
      <c r="K197" s="42">
        <v>0</v>
      </c>
      <c r="L197" s="42">
        <v>1</v>
      </c>
      <c r="M197" s="42">
        <v>0</v>
      </c>
      <c r="N197" s="42">
        <v>0</v>
      </c>
      <c r="O197" s="628" t="s">
        <v>1177</v>
      </c>
    </row>
    <row r="198" spans="1:15" ht="24" customHeight="1">
      <c r="A198" s="640"/>
      <c r="B198" s="18">
        <f t="shared" si="5"/>
        <v>1</v>
      </c>
      <c r="C198" s="42">
        <v>0</v>
      </c>
      <c r="D198" s="42">
        <v>0</v>
      </c>
      <c r="E198" s="42">
        <v>0</v>
      </c>
      <c r="F198" s="42">
        <v>0</v>
      </c>
      <c r="G198" s="42">
        <v>1</v>
      </c>
      <c r="H198" s="42">
        <v>0</v>
      </c>
      <c r="I198" s="42">
        <v>0</v>
      </c>
      <c r="J198" s="42">
        <v>0</v>
      </c>
      <c r="K198" s="42">
        <v>0</v>
      </c>
      <c r="L198" s="42">
        <v>0</v>
      </c>
      <c r="M198" s="42">
        <v>0</v>
      </c>
      <c r="N198" s="42">
        <v>0</v>
      </c>
      <c r="O198" s="628" t="s">
        <v>1178</v>
      </c>
    </row>
    <row r="199" spans="1:15" ht="24" customHeight="1">
      <c r="A199" s="640"/>
      <c r="B199" s="18">
        <f t="shared" si="5"/>
        <v>1</v>
      </c>
      <c r="C199" s="42">
        <v>0</v>
      </c>
      <c r="D199" s="42">
        <v>0</v>
      </c>
      <c r="E199" s="42">
        <v>1</v>
      </c>
      <c r="F199" s="42">
        <v>0</v>
      </c>
      <c r="G199" s="42">
        <v>0</v>
      </c>
      <c r="H199" s="42">
        <v>0</v>
      </c>
      <c r="I199" s="42">
        <v>0</v>
      </c>
      <c r="J199" s="42">
        <v>0</v>
      </c>
      <c r="K199" s="42">
        <v>0</v>
      </c>
      <c r="L199" s="42">
        <v>0</v>
      </c>
      <c r="M199" s="42">
        <v>0</v>
      </c>
      <c r="N199" s="42">
        <v>0</v>
      </c>
      <c r="O199" s="628" t="s">
        <v>1179</v>
      </c>
    </row>
    <row r="200" spans="1:15" ht="35.25" customHeight="1">
      <c r="A200" s="640"/>
      <c r="B200" s="18">
        <f t="shared" si="5"/>
        <v>134</v>
      </c>
      <c r="C200" s="42">
        <v>3</v>
      </c>
      <c r="D200" s="42">
        <v>11</v>
      </c>
      <c r="E200" s="42">
        <v>13</v>
      </c>
      <c r="F200" s="42">
        <v>14</v>
      </c>
      <c r="G200" s="42">
        <v>2</v>
      </c>
      <c r="H200" s="42">
        <v>7</v>
      </c>
      <c r="I200" s="42">
        <v>24</v>
      </c>
      <c r="J200" s="42">
        <v>11</v>
      </c>
      <c r="K200" s="42">
        <v>20</v>
      </c>
      <c r="L200" s="42">
        <v>18</v>
      </c>
      <c r="M200" s="42">
        <v>9</v>
      </c>
      <c r="N200" s="42">
        <v>2</v>
      </c>
      <c r="O200" s="628" t="s">
        <v>1180</v>
      </c>
    </row>
    <row r="201" spans="1:15" ht="35.25" customHeight="1">
      <c r="A201" s="640"/>
      <c r="B201" s="18">
        <f t="shared" si="5"/>
        <v>49</v>
      </c>
      <c r="C201" s="42">
        <v>5</v>
      </c>
      <c r="D201" s="42">
        <v>7</v>
      </c>
      <c r="E201" s="42">
        <v>4</v>
      </c>
      <c r="F201" s="42">
        <v>5</v>
      </c>
      <c r="G201" s="42">
        <v>2</v>
      </c>
      <c r="H201" s="42">
        <v>2</v>
      </c>
      <c r="I201" s="42">
        <v>1</v>
      </c>
      <c r="J201" s="42">
        <v>2</v>
      </c>
      <c r="K201" s="42">
        <v>10</v>
      </c>
      <c r="L201" s="42">
        <v>3</v>
      </c>
      <c r="M201" s="42">
        <v>6</v>
      </c>
      <c r="N201" s="42">
        <v>2</v>
      </c>
      <c r="O201" s="628" t="s">
        <v>9</v>
      </c>
    </row>
    <row r="202" spans="1:15" ht="35.25" customHeight="1">
      <c r="A202" s="640"/>
      <c r="B202" s="18">
        <f t="shared" si="5"/>
        <v>1</v>
      </c>
      <c r="C202" s="42">
        <v>0</v>
      </c>
      <c r="D202" s="42">
        <v>0</v>
      </c>
      <c r="E202" s="42">
        <v>0</v>
      </c>
      <c r="F202" s="42">
        <v>0</v>
      </c>
      <c r="G202" s="42">
        <v>0</v>
      </c>
      <c r="H202" s="42">
        <v>1</v>
      </c>
      <c r="I202" s="42">
        <v>0</v>
      </c>
      <c r="J202" s="42">
        <v>0</v>
      </c>
      <c r="K202" s="42">
        <v>0</v>
      </c>
      <c r="L202" s="42">
        <v>0</v>
      </c>
      <c r="M202" s="42">
        <v>0</v>
      </c>
      <c r="N202" s="42">
        <v>0</v>
      </c>
      <c r="O202" s="628" t="s">
        <v>1235</v>
      </c>
    </row>
    <row r="203" spans="1:15" ht="35.25" customHeight="1">
      <c r="A203" s="640"/>
      <c r="B203" s="18">
        <f t="shared" si="5"/>
        <v>14</v>
      </c>
      <c r="C203" s="42">
        <v>1</v>
      </c>
      <c r="D203" s="42">
        <v>3</v>
      </c>
      <c r="E203" s="42">
        <v>1</v>
      </c>
      <c r="F203" s="42">
        <v>1</v>
      </c>
      <c r="G203" s="42">
        <v>0</v>
      </c>
      <c r="H203" s="42">
        <v>0</v>
      </c>
      <c r="I203" s="42">
        <v>1</v>
      </c>
      <c r="J203" s="42">
        <v>2</v>
      </c>
      <c r="K203" s="42">
        <v>1</v>
      </c>
      <c r="L203" s="42">
        <v>0</v>
      </c>
      <c r="M203" s="42">
        <v>3</v>
      </c>
      <c r="N203" s="42">
        <v>1</v>
      </c>
      <c r="O203" s="628" t="s">
        <v>10</v>
      </c>
    </row>
    <row r="204" spans="1:15" ht="35.25" customHeight="1">
      <c r="A204" s="640"/>
      <c r="B204" s="18">
        <f t="shared" si="5"/>
        <v>54</v>
      </c>
      <c r="C204" s="42">
        <v>6</v>
      </c>
      <c r="D204" s="42">
        <v>8</v>
      </c>
      <c r="E204" s="42">
        <v>3</v>
      </c>
      <c r="F204" s="42">
        <v>7</v>
      </c>
      <c r="G204" s="42">
        <v>2</v>
      </c>
      <c r="H204" s="42">
        <v>6</v>
      </c>
      <c r="I204" s="42">
        <v>5</v>
      </c>
      <c r="J204" s="42">
        <v>5</v>
      </c>
      <c r="K204" s="42">
        <v>3</v>
      </c>
      <c r="L204" s="42">
        <v>1</v>
      </c>
      <c r="M204" s="42">
        <v>1</v>
      </c>
      <c r="N204" s="42">
        <v>7</v>
      </c>
      <c r="O204" s="628" t="s">
        <v>1182</v>
      </c>
    </row>
    <row r="205" spans="1:15" ht="35.25" customHeight="1">
      <c r="A205" s="640"/>
      <c r="B205" s="18">
        <f t="shared" si="5"/>
        <v>2</v>
      </c>
      <c r="C205" s="42">
        <v>0</v>
      </c>
      <c r="D205" s="42">
        <v>0</v>
      </c>
      <c r="E205" s="42">
        <v>1</v>
      </c>
      <c r="F205" s="42">
        <v>0</v>
      </c>
      <c r="G205" s="42">
        <v>0</v>
      </c>
      <c r="H205" s="42">
        <v>0</v>
      </c>
      <c r="I205" s="42">
        <v>0</v>
      </c>
      <c r="J205" s="42">
        <v>0</v>
      </c>
      <c r="K205" s="42">
        <v>1</v>
      </c>
      <c r="L205" s="42">
        <v>0</v>
      </c>
      <c r="M205" s="42">
        <v>0</v>
      </c>
      <c r="N205" s="42">
        <v>0</v>
      </c>
      <c r="O205" s="628" t="s">
        <v>1236</v>
      </c>
    </row>
    <row r="206" spans="1:15" ht="35.25" customHeight="1">
      <c r="A206" s="640"/>
      <c r="B206" s="18">
        <f t="shared" si="5"/>
        <v>6</v>
      </c>
      <c r="C206" s="42">
        <v>0</v>
      </c>
      <c r="D206" s="42">
        <v>0</v>
      </c>
      <c r="E206" s="42">
        <v>0</v>
      </c>
      <c r="F206" s="42">
        <v>1</v>
      </c>
      <c r="G206" s="42">
        <v>0</v>
      </c>
      <c r="H206" s="42">
        <v>1</v>
      </c>
      <c r="I206" s="42">
        <v>1</v>
      </c>
      <c r="J206" s="42">
        <v>1</v>
      </c>
      <c r="K206" s="42">
        <v>1</v>
      </c>
      <c r="L206" s="42">
        <v>0</v>
      </c>
      <c r="M206" s="42">
        <v>0</v>
      </c>
      <c r="N206" s="42">
        <v>1</v>
      </c>
      <c r="O206" s="628" t="s">
        <v>1184</v>
      </c>
    </row>
    <row r="207" spans="1:15" ht="35.25" customHeight="1">
      <c r="A207" s="640"/>
      <c r="B207" s="18">
        <f t="shared" si="5"/>
        <v>1</v>
      </c>
      <c r="C207" s="42">
        <v>0</v>
      </c>
      <c r="D207" s="42">
        <v>0</v>
      </c>
      <c r="E207" s="42">
        <v>0</v>
      </c>
      <c r="F207" s="42">
        <v>0</v>
      </c>
      <c r="G207" s="42">
        <v>0</v>
      </c>
      <c r="H207" s="42">
        <v>0</v>
      </c>
      <c r="I207" s="42">
        <v>0</v>
      </c>
      <c r="J207" s="42">
        <v>0</v>
      </c>
      <c r="K207" s="42">
        <v>0</v>
      </c>
      <c r="L207" s="42">
        <v>0</v>
      </c>
      <c r="M207" s="42">
        <v>0</v>
      </c>
      <c r="N207" s="42">
        <v>1</v>
      </c>
      <c r="O207" s="628" t="s">
        <v>1185</v>
      </c>
    </row>
    <row r="208" spans="1:15" ht="35.25" customHeight="1">
      <c r="A208" s="640"/>
      <c r="B208" s="18">
        <f t="shared" si="5"/>
        <v>1</v>
      </c>
      <c r="C208" s="42">
        <v>0</v>
      </c>
      <c r="D208" s="42">
        <v>0</v>
      </c>
      <c r="E208" s="42">
        <v>0</v>
      </c>
      <c r="F208" s="42">
        <v>0</v>
      </c>
      <c r="G208" s="42">
        <v>0</v>
      </c>
      <c r="H208" s="42">
        <v>0</v>
      </c>
      <c r="I208" s="42">
        <v>0</v>
      </c>
      <c r="J208" s="42">
        <v>1</v>
      </c>
      <c r="K208" s="42">
        <v>0</v>
      </c>
      <c r="L208" s="42">
        <v>0</v>
      </c>
      <c r="M208" s="42">
        <v>0</v>
      </c>
      <c r="N208" s="42">
        <v>0</v>
      </c>
      <c r="O208" s="628" t="s">
        <v>1186</v>
      </c>
    </row>
    <row r="209" spans="1:15" ht="35.25" customHeight="1">
      <c r="A209" s="640"/>
      <c r="B209" s="18">
        <f t="shared" si="5"/>
        <v>1</v>
      </c>
      <c r="C209" s="42">
        <v>0</v>
      </c>
      <c r="D209" s="42">
        <v>0</v>
      </c>
      <c r="E209" s="42">
        <v>0</v>
      </c>
      <c r="F209" s="42">
        <v>0</v>
      </c>
      <c r="G209" s="42">
        <v>0</v>
      </c>
      <c r="H209" s="42">
        <v>0</v>
      </c>
      <c r="I209" s="42">
        <v>0</v>
      </c>
      <c r="J209" s="42">
        <v>1</v>
      </c>
      <c r="K209" s="42">
        <v>0</v>
      </c>
      <c r="L209" s="42">
        <v>0</v>
      </c>
      <c r="M209" s="42">
        <v>0</v>
      </c>
      <c r="N209" s="42">
        <v>0</v>
      </c>
      <c r="O209" s="628" t="s">
        <v>1187</v>
      </c>
    </row>
    <row r="210" spans="1:15" ht="35.25" customHeight="1">
      <c r="A210" s="640"/>
      <c r="B210" s="18">
        <f t="shared" si="5"/>
        <v>1</v>
      </c>
      <c r="C210" s="42">
        <v>0</v>
      </c>
      <c r="D210" s="42">
        <v>1</v>
      </c>
      <c r="E210" s="42">
        <v>0</v>
      </c>
      <c r="F210" s="42">
        <v>0</v>
      </c>
      <c r="G210" s="42">
        <v>0</v>
      </c>
      <c r="H210" s="42">
        <v>0</v>
      </c>
      <c r="I210" s="42">
        <v>0</v>
      </c>
      <c r="J210" s="42">
        <v>0</v>
      </c>
      <c r="K210" s="42">
        <v>0</v>
      </c>
      <c r="L210" s="42">
        <v>0</v>
      </c>
      <c r="M210" s="42">
        <v>0</v>
      </c>
      <c r="N210" s="42">
        <v>0</v>
      </c>
      <c r="O210" s="628" t="s">
        <v>1188</v>
      </c>
    </row>
    <row r="211" spans="1:15" ht="35.25" customHeight="1">
      <c r="A211" s="640"/>
      <c r="B211" s="18">
        <f t="shared" si="5"/>
        <v>1</v>
      </c>
      <c r="C211" s="42">
        <v>0</v>
      </c>
      <c r="D211" s="42">
        <v>1</v>
      </c>
      <c r="E211" s="42">
        <v>0</v>
      </c>
      <c r="F211" s="42">
        <v>0</v>
      </c>
      <c r="G211" s="42">
        <v>0</v>
      </c>
      <c r="H211" s="42">
        <v>0</v>
      </c>
      <c r="I211" s="42">
        <v>0</v>
      </c>
      <c r="J211" s="42">
        <v>0</v>
      </c>
      <c r="K211" s="42">
        <v>0</v>
      </c>
      <c r="L211" s="42">
        <v>0</v>
      </c>
      <c r="M211" s="42">
        <v>0</v>
      </c>
      <c r="N211" s="42">
        <v>0</v>
      </c>
      <c r="O211" s="628" t="s">
        <v>1189</v>
      </c>
    </row>
    <row r="212" spans="1:15" ht="35.25" customHeight="1">
      <c r="A212" s="640"/>
      <c r="B212" s="18">
        <f t="shared" si="5"/>
        <v>1</v>
      </c>
      <c r="C212" s="42">
        <v>0</v>
      </c>
      <c r="D212" s="42">
        <v>0</v>
      </c>
      <c r="E212" s="42">
        <v>0</v>
      </c>
      <c r="F212" s="42">
        <v>0</v>
      </c>
      <c r="G212" s="42">
        <v>0</v>
      </c>
      <c r="H212" s="42">
        <v>0</v>
      </c>
      <c r="I212" s="42">
        <v>0</v>
      </c>
      <c r="J212" s="42">
        <v>1</v>
      </c>
      <c r="K212" s="42">
        <v>0</v>
      </c>
      <c r="L212" s="42">
        <v>0</v>
      </c>
      <c r="M212" s="42">
        <v>0</v>
      </c>
      <c r="N212" s="42">
        <v>0</v>
      </c>
      <c r="O212" s="628" t="s">
        <v>1237</v>
      </c>
    </row>
    <row r="213" spans="1:15" ht="35.25" customHeight="1">
      <c r="A213" s="640"/>
      <c r="B213" s="18">
        <f t="shared" si="5"/>
        <v>12</v>
      </c>
      <c r="C213" s="42">
        <v>0</v>
      </c>
      <c r="D213" s="42">
        <v>0</v>
      </c>
      <c r="E213" s="42">
        <v>0</v>
      </c>
      <c r="F213" s="42">
        <v>1</v>
      </c>
      <c r="G213" s="42">
        <v>0</v>
      </c>
      <c r="H213" s="42">
        <v>0</v>
      </c>
      <c r="I213" s="42">
        <v>6</v>
      </c>
      <c r="J213" s="42">
        <v>1</v>
      </c>
      <c r="K213" s="42">
        <v>0</v>
      </c>
      <c r="L213" s="42">
        <v>1</v>
      </c>
      <c r="M213" s="42">
        <v>0</v>
      </c>
      <c r="N213" s="42">
        <v>3</v>
      </c>
      <c r="O213" s="628" t="s">
        <v>1238</v>
      </c>
    </row>
    <row r="214" spans="1:15" ht="24" customHeight="1">
      <c r="A214" s="640"/>
      <c r="B214" s="18">
        <f t="shared" si="5"/>
        <v>2</v>
      </c>
      <c r="C214" s="42">
        <v>0</v>
      </c>
      <c r="D214" s="42">
        <v>0</v>
      </c>
      <c r="E214" s="42">
        <v>0</v>
      </c>
      <c r="F214" s="42">
        <v>0</v>
      </c>
      <c r="G214" s="42">
        <v>0</v>
      </c>
      <c r="H214" s="42">
        <v>0</v>
      </c>
      <c r="I214" s="42">
        <v>0</v>
      </c>
      <c r="J214" s="42">
        <v>0</v>
      </c>
      <c r="K214" s="42">
        <v>1</v>
      </c>
      <c r="L214" s="42">
        <v>0</v>
      </c>
      <c r="M214" s="42">
        <v>1</v>
      </c>
      <c r="N214" s="42">
        <v>0</v>
      </c>
      <c r="O214" s="628" t="s">
        <v>1192</v>
      </c>
    </row>
    <row r="215" spans="1:15" ht="24" customHeight="1">
      <c r="A215" s="640"/>
      <c r="B215" s="18">
        <f t="shared" si="5"/>
        <v>1</v>
      </c>
      <c r="C215" s="42">
        <v>0</v>
      </c>
      <c r="D215" s="42">
        <v>0</v>
      </c>
      <c r="E215" s="42">
        <v>1</v>
      </c>
      <c r="F215" s="42">
        <v>0</v>
      </c>
      <c r="G215" s="42">
        <v>0</v>
      </c>
      <c r="H215" s="42">
        <v>0</v>
      </c>
      <c r="I215" s="42">
        <v>0</v>
      </c>
      <c r="J215" s="42">
        <v>0</v>
      </c>
      <c r="K215" s="42">
        <v>0</v>
      </c>
      <c r="L215" s="42">
        <v>0</v>
      </c>
      <c r="M215" s="42">
        <v>0</v>
      </c>
      <c r="N215" s="42">
        <v>0</v>
      </c>
      <c r="O215" s="628" t="s">
        <v>1239</v>
      </c>
    </row>
    <row r="216" spans="1:15" ht="24" customHeight="1">
      <c r="A216" s="640"/>
      <c r="B216" s="18">
        <f t="shared" si="5"/>
        <v>2</v>
      </c>
      <c r="C216" s="42">
        <v>0</v>
      </c>
      <c r="D216" s="42">
        <v>0</v>
      </c>
      <c r="E216" s="42">
        <v>0</v>
      </c>
      <c r="F216" s="42">
        <v>1</v>
      </c>
      <c r="G216" s="42">
        <v>0</v>
      </c>
      <c r="H216" s="42">
        <v>0</v>
      </c>
      <c r="I216" s="42">
        <v>0</v>
      </c>
      <c r="J216" s="42">
        <v>0</v>
      </c>
      <c r="K216" s="42">
        <v>0</v>
      </c>
      <c r="L216" s="42">
        <v>0</v>
      </c>
      <c r="M216" s="42">
        <v>0</v>
      </c>
      <c r="N216" s="42">
        <v>1</v>
      </c>
      <c r="O216" s="628" t="s">
        <v>1240</v>
      </c>
    </row>
    <row r="217" spans="1:15" ht="24" customHeight="1">
      <c r="A217" s="640"/>
      <c r="B217" s="18">
        <f t="shared" si="5"/>
        <v>5</v>
      </c>
      <c r="C217" s="42">
        <v>0</v>
      </c>
      <c r="D217" s="42">
        <v>2</v>
      </c>
      <c r="E217" s="42">
        <v>0</v>
      </c>
      <c r="F217" s="42">
        <v>0</v>
      </c>
      <c r="G217" s="42">
        <v>0</v>
      </c>
      <c r="H217" s="42">
        <v>0</v>
      </c>
      <c r="I217" s="42">
        <v>0</v>
      </c>
      <c r="J217" s="42">
        <v>1</v>
      </c>
      <c r="K217" s="42">
        <v>1</v>
      </c>
      <c r="L217" s="42">
        <v>0</v>
      </c>
      <c r="M217" s="42">
        <v>1</v>
      </c>
      <c r="N217" s="42">
        <v>0</v>
      </c>
      <c r="O217" s="628" t="s">
        <v>1195</v>
      </c>
    </row>
    <row r="218" spans="1:15" ht="24" customHeight="1">
      <c r="A218" s="640"/>
      <c r="B218" s="18">
        <f t="shared" si="5"/>
        <v>2</v>
      </c>
      <c r="C218" s="42">
        <v>0</v>
      </c>
      <c r="D218" s="42">
        <v>1</v>
      </c>
      <c r="E218" s="42">
        <v>0</v>
      </c>
      <c r="F218" s="42">
        <v>0</v>
      </c>
      <c r="G218" s="42">
        <v>0</v>
      </c>
      <c r="H218" s="42">
        <v>1</v>
      </c>
      <c r="I218" s="42">
        <v>0</v>
      </c>
      <c r="J218" s="42">
        <v>0</v>
      </c>
      <c r="K218" s="42">
        <v>0</v>
      </c>
      <c r="L218" s="42">
        <v>0</v>
      </c>
      <c r="M218" s="42">
        <v>0</v>
      </c>
      <c r="N218" s="42">
        <v>0</v>
      </c>
      <c r="O218" s="628" t="s">
        <v>1241</v>
      </c>
    </row>
    <row r="219" spans="1:15" ht="24" customHeight="1">
      <c r="A219" s="640"/>
      <c r="B219" s="18">
        <f t="shared" si="5"/>
        <v>1</v>
      </c>
      <c r="C219" s="42">
        <v>0</v>
      </c>
      <c r="D219" s="42">
        <v>0</v>
      </c>
      <c r="E219" s="42">
        <v>0</v>
      </c>
      <c r="F219" s="42">
        <v>0</v>
      </c>
      <c r="G219" s="42">
        <v>0</v>
      </c>
      <c r="H219" s="42">
        <v>0</v>
      </c>
      <c r="I219" s="42">
        <v>1</v>
      </c>
      <c r="J219" s="42">
        <v>0</v>
      </c>
      <c r="K219" s="42">
        <v>0</v>
      </c>
      <c r="L219" s="42">
        <v>0</v>
      </c>
      <c r="M219" s="42">
        <v>0</v>
      </c>
      <c r="N219" s="42">
        <v>0</v>
      </c>
      <c r="O219" s="628" t="s">
        <v>1242</v>
      </c>
    </row>
    <row r="220" spans="1:15" ht="24" customHeight="1">
      <c r="A220" s="640"/>
      <c r="B220" s="18">
        <f t="shared" si="5"/>
        <v>3</v>
      </c>
      <c r="C220" s="42">
        <v>0</v>
      </c>
      <c r="D220" s="42">
        <v>0</v>
      </c>
      <c r="E220" s="42">
        <v>0</v>
      </c>
      <c r="F220" s="42">
        <v>0</v>
      </c>
      <c r="G220" s="42">
        <v>0</v>
      </c>
      <c r="H220" s="42">
        <v>0</v>
      </c>
      <c r="I220" s="42">
        <v>0</v>
      </c>
      <c r="J220" s="42">
        <v>0</v>
      </c>
      <c r="K220" s="42">
        <v>1</v>
      </c>
      <c r="L220" s="42">
        <v>2</v>
      </c>
      <c r="M220" s="42">
        <v>0</v>
      </c>
      <c r="N220" s="42">
        <v>0</v>
      </c>
      <c r="O220" s="628" t="s">
        <v>1243</v>
      </c>
    </row>
    <row r="221" spans="1:15" ht="47.25" customHeight="1">
      <c r="A221" s="640"/>
      <c r="B221" s="18">
        <f t="shared" si="5"/>
        <v>13</v>
      </c>
      <c r="C221" s="42">
        <v>0</v>
      </c>
      <c r="D221" s="42">
        <v>0</v>
      </c>
      <c r="E221" s="42">
        <v>0</v>
      </c>
      <c r="F221" s="42">
        <v>2</v>
      </c>
      <c r="G221" s="42">
        <v>0</v>
      </c>
      <c r="H221" s="42">
        <v>2</v>
      </c>
      <c r="I221" s="42">
        <v>3</v>
      </c>
      <c r="J221" s="42">
        <v>2</v>
      </c>
      <c r="K221" s="42">
        <v>3</v>
      </c>
      <c r="L221" s="42">
        <v>1</v>
      </c>
      <c r="M221" s="42">
        <v>0</v>
      </c>
      <c r="N221" s="42">
        <v>0</v>
      </c>
      <c r="O221" s="628" t="s">
        <v>1199</v>
      </c>
    </row>
    <row r="222" spans="1:15" ht="24" customHeight="1">
      <c r="A222" s="640"/>
      <c r="B222" s="18">
        <f t="shared" si="5"/>
        <v>15</v>
      </c>
      <c r="C222" s="42">
        <v>0</v>
      </c>
      <c r="D222" s="42">
        <v>1</v>
      </c>
      <c r="E222" s="42">
        <v>1</v>
      </c>
      <c r="F222" s="42">
        <v>0</v>
      </c>
      <c r="G222" s="42">
        <v>3</v>
      </c>
      <c r="H222" s="42">
        <v>1</v>
      </c>
      <c r="I222" s="42">
        <v>2</v>
      </c>
      <c r="J222" s="42">
        <v>1</v>
      </c>
      <c r="K222" s="42">
        <v>1</v>
      </c>
      <c r="L222" s="42">
        <v>2</v>
      </c>
      <c r="M222" s="42">
        <v>2</v>
      </c>
      <c r="N222" s="42">
        <v>1</v>
      </c>
      <c r="O222" s="628" t="s">
        <v>1200</v>
      </c>
    </row>
    <row r="223" spans="1:15" ht="24" customHeight="1">
      <c r="A223" s="640"/>
      <c r="B223" s="18">
        <f t="shared" si="5"/>
        <v>2</v>
      </c>
      <c r="C223" s="42">
        <v>0</v>
      </c>
      <c r="D223" s="42">
        <v>0</v>
      </c>
      <c r="E223" s="42"/>
      <c r="F223" s="42">
        <v>0</v>
      </c>
      <c r="G223" s="42">
        <v>0</v>
      </c>
      <c r="H223" s="42">
        <v>0</v>
      </c>
      <c r="I223" s="42">
        <v>1</v>
      </c>
      <c r="J223" s="42">
        <v>0</v>
      </c>
      <c r="K223" s="42">
        <v>0</v>
      </c>
      <c r="L223" s="42"/>
      <c r="M223" s="42">
        <v>0</v>
      </c>
      <c r="N223" s="42">
        <v>1</v>
      </c>
      <c r="O223" s="628" t="s">
        <v>1201</v>
      </c>
    </row>
    <row r="224" spans="1:15" ht="24" customHeight="1">
      <c r="A224" s="640"/>
      <c r="B224" s="18">
        <f t="shared" si="5"/>
        <v>91</v>
      </c>
      <c r="C224" s="42">
        <v>7</v>
      </c>
      <c r="D224" s="42">
        <v>20</v>
      </c>
      <c r="E224" s="42">
        <v>12</v>
      </c>
      <c r="F224" s="42">
        <v>9</v>
      </c>
      <c r="G224" s="42">
        <v>4</v>
      </c>
      <c r="H224" s="42">
        <v>5</v>
      </c>
      <c r="I224" s="42">
        <v>11</v>
      </c>
      <c r="J224" s="42">
        <v>3</v>
      </c>
      <c r="K224" s="42">
        <v>11</v>
      </c>
      <c r="L224" s="42">
        <v>3</v>
      </c>
      <c r="M224" s="42">
        <v>3</v>
      </c>
      <c r="N224" s="42">
        <v>3</v>
      </c>
      <c r="O224" s="628" t="s">
        <v>1202</v>
      </c>
    </row>
    <row r="225" spans="1:15" ht="24" customHeight="1">
      <c r="A225" s="640"/>
      <c r="B225" s="18">
        <f t="shared" ref="B225:B235" si="6">SUM(C225:N225)</f>
        <v>16</v>
      </c>
      <c r="C225" s="42">
        <v>1</v>
      </c>
      <c r="D225" s="42">
        <v>2</v>
      </c>
      <c r="E225" s="42">
        <v>1</v>
      </c>
      <c r="F225" s="42">
        <v>0</v>
      </c>
      <c r="G225" s="42">
        <v>0</v>
      </c>
      <c r="H225" s="42">
        <v>0</v>
      </c>
      <c r="I225" s="42">
        <v>1</v>
      </c>
      <c r="J225" s="42">
        <v>5</v>
      </c>
      <c r="K225" s="42">
        <v>1</v>
      </c>
      <c r="L225" s="42">
        <v>1</v>
      </c>
      <c r="M225" s="42">
        <v>2</v>
      </c>
      <c r="N225" s="42">
        <v>2</v>
      </c>
      <c r="O225" s="628" t="s">
        <v>1203</v>
      </c>
    </row>
    <row r="226" spans="1:15" ht="24" customHeight="1">
      <c r="A226" s="640"/>
      <c r="B226" s="18">
        <f t="shared" si="6"/>
        <v>2</v>
      </c>
      <c r="C226" s="42">
        <v>0</v>
      </c>
      <c r="D226" s="42">
        <v>0</v>
      </c>
      <c r="E226" s="42">
        <v>1</v>
      </c>
      <c r="F226" s="42">
        <v>0</v>
      </c>
      <c r="G226" s="42">
        <v>0</v>
      </c>
      <c r="H226" s="42">
        <v>0</v>
      </c>
      <c r="I226" s="42">
        <v>0</v>
      </c>
      <c r="J226" s="42">
        <v>0</v>
      </c>
      <c r="K226" s="42">
        <v>0</v>
      </c>
      <c r="L226" s="42">
        <v>0</v>
      </c>
      <c r="M226" s="42">
        <v>1</v>
      </c>
      <c r="N226" s="42">
        <v>0</v>
      </c>
      <c r="O226" s="628" t="s">
        <v>1204</v>
      </c>
    </row>
    <row r="227" spans="1:15" ht="24" customHeight="1">
      <c r="A227" s="640"/>
      <c r="B227" s="18">
        <f t="shared" si="6"/>
        <v>16</v>
      </c>
      <c r="C227" s="42">
        <v>2</v>
      </c>
      <c r="D227" s="42">
        <v>4</v>
      </c>
      <c r="E227" s="42">
        <v>1</v>
      </c>
      <c r="F227" s="42">
        <v>1</v>
      </c>
      <c r="G227" s="42">
        <v>0</v>
      </c>
      <c r="H227" s="42">
        <v>0</v>
      </c>
      <c r="I227" s="42">
        <v>1</v>
      </c>
      <c r="J227" s="42">
        <v>2</v>
      </c>
      <c r="K227" s="42">
        <v>1</v>
      </c>
      <c r="L227" s="42">
        <v>3</v>
      </c>
      <c r="M227" s="42">
        <v>1</v>
      </c>
      <c r="N227" s="42">
        <v>0</v>
      </c>
      <c r="O227" s="628" t="s">
        <v>1205</v>
      </c>
    </row>
    <row r="228" spans="1:15" ht="24" customHeight="1">
      <c r="A228" s="640"/>
      <c r="B228" s="18">
        <f t="shared" si="6"/>
        <v>1</v>
      </c>
      <c r="C228" s="42">
        <v>0</v>
      </c>
      <c r="D228" s="42">
        <v>0</v>
      </c>
      <c r="E228" s="42">
        <v>0</v>
      </c>
      <c r="F228" s="42">
        <v>0</v>
      </c>
      <c r="G228" s="42">
        <v>0</v>
      </c>
      <c r="H228" s="42">
        <v>0</v>
      </c>
      <c r="I228" s="42">
        <v>0</v>
      </c>
      <c r="J228" s="42">
        <v>0</v>
      </c>
      <c r="K228" s="42">
        <v>0</v>
      </c>
      <c r="L228" s="42">
        <v>1</v>
      </c>
      <c r="M228" s="42">
        <v>0</v>
      </c>
      <c r="N228" s="42">
        <v>0</v>
      </c>
      <c r="O228" s="628" t="s">
        <v>1244</v>
      </c>
    </row>
    <row r="229" spans="1:15" ht="24" customHeight="1">
      <c r="A229" s="640"/>
      <c r="B229" s="18">
        <f t="shared" si="6"/>
        <v>2</v>
      </c>
      <c r="C229" s="42">
        <v>0</v>
      </c>
      <c r="D229" s="42">
        <v>0</v>
      </c>
      <c r="E229" s="42">
        <v>0</v>
      </c>
      <c r="F229" s="42">
        <v>0</v>
      </c>
      <c r="G229" s="42">
        <v>0</v>
      </c>
      <c r="H229" s="42">
        <v>0</v>
      </c>
      <c r="I229" s="42">
        <v>1</v>
      </c>
      <c r="J229" s="42">
        <v>0</v>
      </c>
      <c r="K229" s="42">
        <v>1</v>
      </c>
      <c r="L229" s="42">
        <v>0</v>
      </c>
      <c r="M229" s="42">
        <v>0</v>
      </c>
      <c r="N229" s="42">
        <v>0</v>
      </c>
      <c r="O229" s="628" t="s">
        <v>1208</v>
      </c>
    </row>
    <row r="230" spans="1:15" ht="24" customHeight="1">
      <c r="A230" s="640"/>
      <c r="B230" s="18">
        <f t="shared" si="6"/>
        <v>2</v>
      </c>
      <c r="C230" s="42">
        <v>0</v>
      </c>
      <c r="D230" s="42">
        <v>0</v>
      </c>
      <c r="E230" s="42">
        <v>0</v>
      </c>
      <c r="F230" s="42">
        <v>0</v>
      </c>
      <c r="G230" s="42">
        <v>0</v>
      </c>
      <c r="H230" s="42">
        <v>1</v>
      </c>
      <c r="I230" s="42">
        <v>0</v>
      </c>
      <c r="J230" s="42">
        <v>0</v>
      </c>
      <c r="K230" s="42">
        <v>1</v>
      </c>
      <c r="L230" s="42">
        <v>0</v>
      </c>
      <c r="M230" s="42">
        <v>0</v>
      </c>
      <c r="N230" s="42">
        <v>0</v>
      </c>
      <c r="O230" s="628" t="s">
        <v>1245</v>
      </c>
    </row>
    <row r="231" spans="1:15" ht="24" customHeight="1">
      <c r="A231" s="640"/>
      <c r="B231" s="18">
        <f t="shared" si="6"/>
        <v>1</v>
      </c>
      <c r="C231" s="42">
        <v>0</v>
      </c>
      <c r="D231" s="42">
        <v>0</v>
      </c>
      <c r="E231" s="42">
        <v>0</v>
      </c>
      <c r="F231" s="42">
        <v>0</v>
      </c>
      <c r="G231" s="42">
        <v>0</v>
      </c>
      <c r="H231" s="42">
        <v>0</v>
      </c>
      <c r="I231" s="42">
        <v>0</v>
      </c>
      <c r="J231" s="42">
        <v>0</v>
      </c>
      <c r="K231" s="42">
        <v>0</v>
      </c>
      <c r="L231" s="42">
        <v>0</v>
      </c>
      <c r="M231" s="42">
        <v>1</v>
      </c>
      <c r="N231" s="42">
        <v>0</v>
      </c>
      <c r="O231" s="628" t="s">
        <v>1210</v>
      </c>
    </row>
    <row r="232" spans="1:15" ht="24" customHeight="1">
      <c r="A232" s="640"/>
      <c r="B232" s="18">
        <f t="shared" si="6"/>
        <v>4</v>
      </c>
      <c r="C232" s="42">
        <v>0</v>
      </c>
      <c r="D232" s="42">
        <v>0</v>
      </c>
      <c r="E232" s="42">
        <v>0</v>
      </c>
      <c r="F232" s="42">
        <v>0</v>
      </c>
      <c r="G232" s="42">
        <v>0</v>
      </c>
      <c r="H232" s="42">
        <v>0</v>
      </c>
      <c r="I232" s="42">
        <v>0</v>
      </c>
      <c r="J232" s="42">
        <v>0</v>
      </c>
      <c r="K232" s="42">
        <v>1</v>
      </c>
      <c r="L232" s="42">
        <v>2</v>
      </c>
      <c r="M232" s="42">
        <v>1</v>
      </c>
      <c r="N232" s="42">
        <v>0</v>
      </c>
      <c r="O232" s="628" t="s">
        <v>1211</v>
      </c>
    </row>
    <row r="233" spans="1:15" ht="24" customHeight="1">
      <c r="A233" s="640"/>
      <c r="B233" s="18">
        <f t="shared" si="6"/>
        <v>5</v>
      </c>
      <c r="C233" s="42">
        <v>0</v>
      </c>
      <c r="D233" s="42">
        <v>0</v>
      </c>
      <c r="E233" s="42">
        <v>1</v>
      </c>
      <c r="F233" s="42">
        <v>0</v>
      </c>
      <c r="G233" s="42">
        <v>1</v>
      </c>
      <c r="H233" s="42">
        <v>0</v>
      </c>
      <c r="I233" s="42">
        <v>2</v>
      </c>
      <c r="J233" s="42">
        <v>0</v>
      </c>
      <c r="K233" s="42">
        <v>0</v>
      </c>
      <c r="L233" s="42">
        <v>1</v>
      </c>
      <c r="M233" s="42">
        <v>0</v>
      </c>
      <c r="N233" s="42">
        <v>0</v>
      </c>
      <c r="O233" s="628" t="s">
        <v>1212</v>
      </c>
    </row>
    <row r="234" spans="1:15" ht="24" customHeight="1">
      <c r="A234" s="640"/>
      <c r="B234" s="18">
        <f t="shared" si="6"/>
        <v>1</v>
      </c>
      <c r="C234" s="42">
        <v>1</v>
      </c>
      <c r="D234" s="42">
        <v>0</v>
      </c>
      <c r="E234" s="42">
        <v>0</v>
      </c>
      <c r="F234" s="42">
        <v>0</v>
      </c>
      <c r="G234" s="42">
        <v>0</v>
      </c>
      <c r="H234" s="42">
        <v>0</v>
      </c>
      <c r="I234" s="42">
        <v>0</v>
      </c>
      <c r="J234" s="42">
        <v>0</v>
      </c>
      <c r="K234" s="42">
        <v>0</v>
      </c>
      <c r="L234" s="42">
        <v>0</v>
      </c>
      <c r="M234" s="42">
        <v>0</v>
      </c>
      <c r="N234" s="42">
        <v>0</v>
      </c>
      <c r="O234" s="628" t="s">
        <v>1246</v>
      </c>
    </row>
    <row r="235" spans="1:15" ht="24" customHeight="1">
      <c r="A235" s="642"/>
      <c r="B235" s="26">
        <f t="shared" si="6"/>
        <v>1</v>
      </c>
      <c r="C235" s="647">
        <v>0</v>
      </c>
      <c r="D235" s="647">
        <v>0</v>
      </c>
      <c r="E235" s="647">
        <v>0</v>
      </c>
      <c r="F235" s="647">
        <v>0</v>
      </c>
      <c r="G235" s="647">
        <v>0</v>
      </c>
      <c r="H235" s="647">
        <v>0</v>
      </c>
      <c r="I235" s="647">
        <v>0</v>
      </c>
      <c r="J235" s="647">
        <v>0</v>
      </c>
      <c r="K235" s="647">
        <v>1</v>
      </c>
      <c r="L235" s="647">
        <v>0</v>
      </c>
      <c r="M235" s="647">
        <v>0</v>
      </c>
      <c r="N235" s="647">
        <v>0</v>
      </c>
      <c r="O235" s="632" t="s">
        <v>1215</v>
      </c>
    </row>
    <row r="236" spans="1:15" ht="24" customHeight="1">
      <c r="A236" s="644" t="s">
        <v>1074</v>
      </c>
      <c r="B236" s="18"/>
      <c r="C236" s="42"/>
      <c r="D236" s="42"/>
      <c r="E236" s="42"/>
      <c r="F236" s="42"/>
      <c r="G236" s="42"/>
      <c r="H236" s="42"/>
      <c r="I236" s="42"/>
      <c r="J236" s="42"/>
      <c r="K236" s="42"/>
      <c r="L236" s="42"/>
      <c r="M236" s="42"/>
      <c r="O236" s="617" t="s">
        <v>1075</v>
      </c>
    </row>
  </sheetData>
  <mergeCells count="2">
    <mergeCell ref="A2:O2"/>
    <mergeCell ref="A126:O126"/>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A3:E40"/>
  <sheetViews>
    <sheetView view="pageBreakPreview" zoomScale="60" zoomScaleNormal="100" workbookViewId="0">
      <selection activeCell="H39" sqref="H39"/>
    </sheetView>
  </sheetViews>
  <sheetFormatPr defaultRowHeight="15"/>
  <cols>
    <col min="1" max="1" width="25.5703125" style="16" customWidth="1"/>
    <col min="2" max="2" width="16.28515625" style="17" customWidth="1"/>
    <col min="3" max="5" width="16.28515625" style="16" customWidth="1"/>
    <col min="6" max="14" width="12.5703125" style="16" customWidth="1"/>
    <col min="15" max="16384" width="9.140625" style="16"/>
  </cols>
  <sheetData>
    <row r="3" spans="1:5">
      <c r="A3" s="1076" t="s">
        <v>1249</v>
      </c>
      <c r="B3" s="1076"/>
      <c r="C3" s="1076"/>
      <c r="D3" s="1076"/>
      <c r="E3" s="1076"/>
    </row>
    <row r="5" spans="1:5">
      <c r="A5" s="1182" t="s">
        <v>1250</v>
      </c>
      <c r="B5" s="1080" t="s">
        <v>1251</v>
      </c>
      <c r="C5" s="1081"/>
      <c r="D5" s="1080" t="s">
        <v>1252</v>
      </c>
      <c r="E5" s="1080"/>
    </row>
    <row r="6" spans="1:5">
      <c r="A6" s="1073"/>
      <c r="B6" s="92" t="s">
        <v>1253</v>
      </c>
      <c r="C6" s="648" t="s">
        <v>1254</v>
      </c>
      <c r="D6" s="92" t="s">
        <v>1253</v>
      </c>
      <c r="E6" s="99" t="s">
        <v>1254</v>
      </c>
    </row>
    <row r="7" spans="1:5">
      <c r="A7" s="649" t="s">
        <v>51</v>
      </c>
      <c r="B7" s="10">
        <v>55</v>
      </c>
      <c r="C7" s="651">
        <v>19</v>
      </c>
      <c r="D7" s="16">
        <v>87</v>
      </c>
      <c r="E7" s="16">
        <v>16</v>
      </c>
    </row>
    <row r="8" spans="1:5">
      <c r="A8" s="649" t="s">
        <v>52</v>
      </c>
      <c r="B8" s="10">
        <v>59</v>
      </c>
      <c r="C8" s="651">
        <v>14</v>
      </c>
      <c r="D8" s="16">
        <v>22</v>
      </c>
      <c r="E8" s="16">
        <v>14</v>
      </c>
    </row>
    <row r="9" spans="1:5">
      <c r="A9" s="649" t="s">
        <v>53</v>
      </c>
      <c r="B9" s="10">
        <v>33</v>
      </c>
      <c r="C9" s="651">
        <v>25</v>
      </c>
      <c r="D9" s="16">
        <v>32</v>
      </c>
      <c r="E9" s="16">
        <v>4</v>
      </c>
    </row>
    <row r="10" spans="1:5">
      <c r="A10" s="649" t="s">
        <v>54</v>
      </c>
      <c r="B10" s="10">
        <v>11</v>
      </c>
      <c r="C10" s="651">
        <v>17</v>
      </c>
      <c r="D10" s="16">
        <v>123</v>
      </c>
      <c r="E10" s="16">
        <v>0</v>
      </c>
    </row>
    <row r="11" spans="1:5">
      <c r="A11" s="649" t="s">
        <v>55</v>
      </c>
      <c r="B11" s="10">
        <v>0</v>
      </c>
      <c r="C11" s="651">
        <v>18</v>
      </c>
      <c r="D11" s="16">
        <v>54</v>
      </c>
      <c r="E11" s="16">
        <v>23</v>
      </c>
    </row>
    <row r="12" spans="1:5">
      <c r="A12" s="649" t="s">
        <v>56</v>
      </c>
      <c r="B12" s="10">
        <v>0</v>
      </c>
      <c r="C12" s="651">
        <v>13</v>
      </c>
      <c r="D12" s="16">
        <v>54</v>
      </c>
      <c r="E12" s="16">
        <v>2</v>
      </c>
    </row>
    <row r="13" spans="1:5">
      <c r="A13" s="649" t="s">
        <v>57</v>
      </c>
      <c r="B13" s="10">
        <v>17</v>
      </c>
      <c r="C13" s="651">
        <v>18</v>
      </c>
      <c r="D13" s="16">
        <v>39</v>
      </c>
      <c r="E13" s="16">
        <v>6</v>
      </c>
    </row>
    <row r="14" spans="1:5">
      <c r="A14" s="649" t="s">
        <v>58</v>
      </c>
      <c r="B14" s="10">
        <v>25</v>
      </c>
      <c r="C14" s="651">
        <v>3</v>
      </c>
      <c r="D14" s="16">
        <v>26</v>
      </c>
      <c r="E14" s="16">
        <v>3</v>
      </c>
    </row>
    <row r="15" spans="1:5">
      <c r="A15" s="649" t="s">
        <v>59</v>
      </c>
      <c r="B15" s="10">
        <v>44</v>
      </c>
      <c r="C15" s="651">
        <v>54</v>
      </c>
      <c r="D15" s="16">
        <v>13</v>
      </c>
      <c r="E15" s="16">
        <v>14</v>
      </c>
    </row>
    <row r="16" spans="1:5">
      <c r="A16" s="649" t="s">
        <v>60</v>
      </c>
      <c r="B16" s="10">
        <v>40</v>
      </c>
      <c r="C16" s="651">
        <v>7</v>
      </c>
      <c r="D16" s="16">
        <v>20</v>
      </c>
      <c r="E16" s="16">
        <v>5</v>
      </c>
    </row>
    <row r="17" spans="1:5">
      <c r="A17" s="649" t="s">
        <v>61</v>
      </c>
      <c r="B17" s="10">
        <v>32</v>
      </c>
      <c r="C17" s="651">
        <v>24</v>
      </c>
      <c r="D17" s="16">
        <v>28</v>
      </c>
      <c r="E17" s="16">
        <v>4</v>
      </c>
    </row>
    <row r="18" spans="1:5">
      <c r="A18" s="650" t="s">
        <v>62</v>
      </c>
      <c r="B18" s="529">
        <v>40</v>
      </c>
      <c r="C18" s="652">
        <v>18</v>
      </c>
      <c r="D18" s="43">
        <v>29</v>
      </c>
      <c r="E18" s="43">
        <v>23</v>
      </c>
    </row>
    <row r="19" spans="1:5" ht="18.75">
      <c r="A19" s="51" t="s">
        <v>1074</v>
      </c>
      <c r="E19" s="617" t="s">
        <v>1075</v>
      </c>
    </row>
    <row r="24" spans="1:5">
      <c r="A24" s="1076" t="s">
        <v>1255</v>
      </c>
      <c r="B24" s="1076"/>
      <c r="C24" s="1076"/>
      <c r="D24" s="1076"/>
      <c r="E24" s="1076"/>
    </row>
    <row r="26" spans="1:5">
      <c r="A26" s="1182" t="s">
        <v>1250</v>
      </c>
      <c r="B26" s="1080" t="s">
        <v>1251</v>
      </c>
      <c r="C26" s="1081"/>
      <c r="D26" s="1080" t="s">
        <v>1252</v>
      </c>
      <c r="E26" s="1080"/>
    </row>
    <row r="27" spans="1:5">
      <c r="A27" s="1073"/>
      <c r="B27" s="92" t="s">
        <v>1253</v>
      </c>
      <c r="C27" s="648" t="s">
        <v>1254</v>
      </c>
      <c r="D27" s="92" t="s">
        <v>1253</v>
      </c>
      <c r="E27" s="99" t="s">
        <v>1254</v>
      </c>
    </row>
    <row r="28" spans="1:5">
      <c r="A28" s="649" t="s">
        <v>51</v>
      </c>
      <c r="B28" s="10">
        <v>71</v>
      </c>
      <c r="C28" s="651">
        <v>8</v>
      </c>
      <c r="D28" s="16">
        <v>17</v>
      </c>
      <c r="E28" s="16">
        <v>8</v>
      </c>
    </row>
    <row r="29" spans="1:5">
      <c r="A29" s="649" t="s">
        <v>52</v>
      </c>
      <c r="B29" s="10">
        <v>93</v>
      </c>
      <c r="C29" s="651">
        <v>6</v>
      </c>
      <c r="D29" s="16">
        <v>11</v>
      </c>
      <c r="E29" s="16">
        <v>15</v>
      </c>
    </row>
    <row r="30" spans="1:5">
      <c r="A30" s="649" t="s">
        <v>53</v>
      </c>
      <c r="B30" s="10">
        <v>57</v>
      </c>
      <c r="C30" s="651">
        <v>8</v>
      </c>
      <c r="D30" s="16">
        <v>13</v>
      </c>
      <c r="E30" s="16">
        <v>7</v>
      </c>
    </row>
    <row r="31" spans="1:5">
      <c r="A31" s="649" t="s">
        <v>54</v>
      </c>
      <c r="B31" s="10">
        <v>105</v>
      </c>
      <c r="C31" s="651">
        <v>19</v>
      </c>
      <c r="D31" s="16">
        <v>152</v>
      </c>
      <c r="E31" s="16">
        <v>6</v>
      </c>
    </row>
    <row r="32" spans="1:5">
      <c r="A32" s="649" t="s">
        <v>55</v>
      </c>
      <c r="B32" s="10">
        <v>60</v>
      </c>
      <c r="C32" s="651">
        <v>14</v>
      </c>
      <c r="D32" s="16">
        <v>110</v>
      </c>
      <c r="E32" s="16">
        <v>11</v>
      </c>
    </row>
    <row r="33" spans="1:5">
      <c r="A33" s="649" t="s">
        <v>56</v>
      </c>
      <c r="B33" s="10">
        <v>62</v>
      </c>
      <c r="C33" s="651">
        <v>23</v>
      </c>
      <c r="D33" s="16">
        <v>31</v>
      </c>
      <c r="E33" s="16">
        <v>5</v>
      </c>
    </row>
    <row r="34" spans="1:5">
      <c r="A34" s="649" t="s">
        <v>57</v>
      </c>
      <c r="B34" s="10">
        <v>120</v>
      </c>
      <c r="C34" s="651">
        <v>37</v>
      </c>
      <c r="D34" s="16">
        <v>28</v>
      </c>
      <c r="E34" s="16">
        <v>8</v>
      </c>
    </row>
    <row r="35" spans="1:5">
      <c r="A35" s="649" t="s">
        <v>58</v>
      </c>
      <c r="B35" s="10">
        <v>73</v>
      </c>
      <c r="C35" s="651">
        <v>22</v>
      </c>
      <c r="D35" s="16">
        <v>15</v>
      </c>
      <c r="E35" s="16">
        <v>7</v>
      </c>
    </row>
    <row r="36" spans="1:5">
      <c r="A36" s="649" t="s">
        <v>59</v>
      </c>
      <c r="B36" s="10">
        <v>111</v>
      </c>
      <c r="C36" s="651">
        <v>11</v>
      </c>
      <c r="D36" s="16">
        <v>27</v>
      </c>
      <c r="E36" s="16">
        <v>17</v>
      </c>
    </row>
    <row r="37" spans="1:5">
      <c r="A37" s="649" t="s">
        <v>60</v>
      </c>
      <c r="B37" s="10">
        <v>105</v>
      </c>
      <c r="C37" s="651">
        <v>25</v>
      </c>
      <c r="D37" s="16">
        <v>26</v>
      </c>
      <c r="E37" s="16">
        <v>13</v>
      </c>
    </row>
    <row r="38" spans="1:5">
      <c r="A38" s="649" t="s">
        <v>61</v>
      </c>
      <c r="B38" s="10">
        <v>85</v>
      </c>
      <c r="C38" s="651">
        <v>6</v>
      </c>
      <c r="D38" s="16">
        <v>38</v>
      </c>
      <c r="E38" s="16">
        <v>5</v>
      </c>
    </row>
    <row r="39" spans="1:5">
      <c r="A39" s="650" t="s">
        <v>62</v>
      </c>
      <c r="B39" s="529">
        <v>93</v>
      </c>
      <c r="C39" s="652">
        <v>16</v>
      </c>
      <c r="D39" s="43">
        <v>95</v>
      </c>
      <c r="E39" s="43">
        <v>22</v>
      </c>
    </row>
    <row r="40" spans="1:5" ht="18.75">
      <c r="A40" s="51" t="s">
        <v>1074</v>
      </c>
      <c r="E40" s="617" t="s">
        <v>1075</v>
      </c>
    </row>
  </sheetData>
  <mergeCells count="8">
    <mergeCell ref="A26:A27"/>
    <mergeCell ref="B26:C26"/>
    <mergeCell ref="D26:E26"/>
    <mergeCell ref="A3:E3"/>
    <mergeCell ref="A5:A6"/>
    <mergeCell ref="B5:C5"/>
    <mergeCell ref="D5:E5"/>
    <mergeCell ref="A24:E24"/>
  </mergeCells>
  <pageMargins left="0.7" right="0.7" top="0.75" bottom="0.75" header="0.3" footer="0.3"/>
  <pageSetup paperSize="9" scale="96"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A1:Y56"/>
  <sheetViews>
    <sheetView view="pageBreakPreview" topLeftCell="A9" zoomScale="60" zoomScaleNormal="100" workbookViewId="0">
      <selection activeCell="O9" sqref="O9"/>
    </sheetView>
  </sheetViews>
  <sheetFormatPr defaultColWidth="9.140625" defaultRowHeight="15"/>
  <cols>
    <col min="1" max="1" width="28.42578125" style="653" customWidth="1"/>
    <col min="2" max="12" width="9.7109375" style="653" customWidth="1"/>
    <col min="13" max="13" width="27.85546875" style="16" customWidth="1"/>
    <col min="14" max="14" width="13.140625" style="16" bestFit="1" customWidth="1"/>
    <col min="15" max="22" width="13.140625" style="16" customWidth="1"/>
    <col min="23" max="23" width="9.140625" style="16"/>
    <col min="24" max="24" width="14.7109375" style="16" customWidth="1"/>
    <col min="25" max="16384" width="9.140625" style="16"/>
  </cols>
  <sheetData>
    <row r="1" spans="1:25" ht="21" customHeight="1">
      <c r="A1" s="1260" t="s">
        <v>1256</v>
      </c>
      <c r="B1" s="1260"/>
      <c r="C1" s="1260"/>
      <c r="D1" s="1260"/>
      <c r="E1" s="1260"/>
      <c r="F1" s="1260"/>
      <c r="G1" s="1260"/>
      <c r="H1" s="1260"/>
      <c r="I1" s="1260"/>
      <c r="J1" s="1260"/>
      <c r="K1" s="1260"/>
      <c r="L1" s="1260"/>
      <c r="M1" s="1260"/>
    </row>
    <row r="2" spans="1:25" s="47" customFormat="1" ht="18.75" customHeight="1">
      <c r="A2" s="1261" t="s">
        <v>1257</v>
      </c>
      <c r="B2" s="1261"/>
      <c r="C2" s="1261"/>
      <c r="D2" s="1261"/>
      <c r="E2" s="1261"/>
      <c r="F2" s="1261"/>
      <c r="G2" s="1261"/>
      <c r="H2" s="1261"/>
      <c r="I2" s="1261"/>
      <c r="J2" s="1261"/>
      <c r="K2" s="1261"/>
      <c r="L2" s="1261"/>
      <c r="M2" s="1261"/>
    </row>
    <row r="3" spans="1:25" ht="2.25" customHeight="1">
      <c r="B3" s="654"/>
      <c r="C3" s="654"/>
      <c r="D3" s="654"/>
      <c r="E3" s="654"/>
      <c r="F3" s="654"/>
      <c r="G3" s="654"/>
      <c r="H3" s="654"/>
      <c r="I3" s="654"/>
      <c r="J3" s="654"/>
      <c r="K3" s="654"/>
      <c r="L3" s="654"/>
    </row>
    <row r="4" spans="1:25" ht="16.5" customHeight="1">
      <c r="A4" s="1182" t="s">
        <v>24</v>
      </c>
      <c r="B4" s="1262" t="s">
        <v>1258</v>
      </c>
      <c r="C4" s="1262"/>
      <c r="D4" s="1262"/>
      <c r="E4" s="1262"/>
      <c r="F4" s="1262"/>
      <c r="G4" s="1262"/>
      <c r="H4" s="1262"/>
      <c r="I4" s="1262"/>
      <c r="J4" s="1262"/>
      <c r="K4" s="655"/>
      <c r="L4" s="655"/>
      <c r="M4" s="1263" t="s">
        <v>25</v>
      </c>
    </row>
    <row r="5" spans="1:25" ht="13.5" customHeight="1">
      <c r="A5" s="1170"/>
      <c r="B5" s="656">
        <v>2010</v>
      </c>
      <c r="C5" s="656">
        <v>2011</v>
      </c>
      <c r="D5" s="656">
        <v>2012</v>
      </c>
      <c r="E5" s="656">
        <v>2013</v>
      </c>
      <c r="F5" s="656">
        <v>2014</v>
      </c>
      <c r="G5" s="656">
        <v>2015</v>
      </c>
      <c r="H5" s="656">
        <v>2016</v>
      </c>
      <c r="I5" s="656">
        <v>2017</v>
      </c>
      <c r="J5" s="657">
        <v>2018</v>
      </c>
      <c r="K5" s="657">
        <v>2019</v>
      </c>
      <c r="L5" s="657">
        <v>2020</v>
      </c>
      <c r="M5" s="1264"/>
    </row>
    <row r="6" spans="1:25" s="25" customFormat="1" ht="18" customHeight="1">
      <c r="A6" s="658" t="s">
        <v>20</v>
      </c>
      <c r="B6" s="659">
        <f>B8+B7</f>
        <v>932</v>
      </c>
      <c r="C6" s="659">
        <f t="shared" ref="C6:H6" si="0">C8+C7</f>
        <v>1002</v>
      </c>
      <c r="D6" s="659">
        <f t="shared" si="0"/>
        <v>1294</v>
      </c>
      <c r="E6" s="659">
        <f t="shared" si="0"/>
        <v>1318</v>
      </c>
      <c r="F6" s="659">
        <f>F8+F7</f>
        <v>932</v>
      </c>
      <c r="G6" s="659">
        <f>G8+G7</f>
        <v>833</v>
      </c>
      <c r="H6" s="659">
        <f t="shared" si="0"/>
        <v>958</v>
      </c>
      <c r="I6" s="659">
        <f>SUM(I7:I8)</f>
        <v>750</v>
      </c>
      <c r="J6" s="25">
        <v>930</v>
      </c>
      <c r="K6" s="25">
        <v>1397</v>
      </c>
      <c r="L6" s="25">
        <v>938</v>
      </c>
      <c r="M6" s="660" t="s">
        <v>1259</v>
      </c>
    </row>
    <row r="7" spans="1:25" s="25" customFormat="1" ht="18" customHeight="1">
      <c r="A7" s="661" t="s">
        <v>21</v>
      </c>
      <c r="B7" s="662">
        <v>437</v>
      </c>
      <c r="C7" s="662">
        <v>356</v>
      </c>
      <c r="D7" s="662">
        <v>512</v>
      </c>
      <c r="E7" s="662">
        <v>646</v>
      </c>
      <c r="F7" s="662">
        <v>520</v>
      </c>
      <c r="G7" s="662">
        <v>301</v>
      </c>
      <c r="H7" s="662">
        <v>357</v>
      </c>
      <c r="I7" s="662">
        <v>285</v>
      </c>
      <c r="J7" s="25">
        <v>455</v>
      </c>
      <c r="K7" s="25">
        <v>592</v>
      </c>
      <c r="L7" s="25">
        <v>485</v>
      </c>
      <c r="M7" s="83" t="s">
        <v>18</v>
      </c>
    </row>
    <row r="8" spans="1:25" s="25" customFormat="1" ht="18" customHeight="1">
      <c r="A8" s="661" t="s">
        <v>22</v>
      </c>
      <c r="B8" s="662">
        <f>SUM(B9:B29)</f>
        <v>495</v>
      </c>
      <c r="C8" s="662">
        <f t="shared" ref="C8:I8" si="1">SUM(C9:C29)</f>
        <v>646</v>
      </c>
      <c r="D8" s="662">
        <f t="shared" si="1"/>
        <v>782</v>
      </c>
      <c r="E8" s="662">
        <f t="shared" si="1"/>
        <v>672</v>
      </c>
      <c r="F8" s="662">
        <f t="shared" si="1"/>
        <v>412</v>
      </c>
      <c r="G8" s="662">
        <f t="shared" si="1"/>
        <v>532</v>
      </c>
      <c r="H8" s="662">
        <f t="shared" si="1"/>
        <v>601</v>
      </c>
      <c r="I8" s="662">
        <f t="shared" si="1"/>
        <v>465</v>
      </c>
      <c r="J8" s="25">
        <v>475</v>
      </c>
      <c r="K8" s="25">
        <f>SUM(K9:K29)</f>
        <v>805</v>
      </c>
      <c r="L8" s="948">
        <v>453</v>
      </c>
      <c r="M8" s="83" t="s">
        <v>19</v>
      </c>
      <c r="N8" s="663"/>
      <c r="Q8" s="663"/>
      <c r="R8" s="663"/>
      <c r="S8" s="663"/>
      <c r="T8" s="663"/>
      <c r="U8" s="663"/>
      <c r="V8" s="663"/>
      <c r="W8" s="663"/>
      <c r="X8" s="664" t="s">
        <v>21</v>
      </c>
      <c r="Y8" s="665">
        <f>H7/H6*100</f>
        <v>37.265135699373694</v>
      </c>
    </row>
    <row r="9" spans="1:25" ht="18" customHeight="1">
      <c r="A9" s="666" t="s">
        <v>102</v>
      </c>
      <c r="B9" s="667">
        <v>52</v>
      </c>
      <c r="C9" s="667">
        <v>50</v>
      </c>
      <c r="D9" s="667">
        <v>61</v>
      </c>
      <c r="E9" s="667">
        <v>69</v>
      </c>
      <c r="F9" s="667">
        <v>32</v>
      </c>
      <c r="G9" s="667">
        <v>25</v>
      </c>
      <c r="H9" s="667">
        <v>46</v>
      </c>
      <c r="I9" s="667">
        <v>34</v>
      </c>
      <c r="J9" s="668">
        <v>39</v>
      </c>
      <c r="K9" s="668">
        <v>56</v>
      </c>
      <c r="L9" s="671">
        <v>32</v>
      </c>
      <c r="M9" s="669" t="s">
        <v>1260</v>
      </c>
      <c r="N9" s="670"/>
      <c r="Q9" s="670"/>
      <c r="R9" s="670"/>
      <c r="S9" s="670"/>
      <c r="T9" s="670"/>
      <c r="U9" s="670"/>
      <c r="V9" s="670"/>
      <c r="W9" s="670"/>
      <c r="X9" s="664" t="s">
        <v>22</v>
      </c>
      <c r="Y9" s="665">
        <f>H8/H6*100</f>
        <v>62.734864300626306</v>
      </c>
    </row>
    <row r="10" spans="1:25" ht="18" customHeight="1">
      <c r="A10" s="666" t="s">
        <v>103</v>
      </c>
      <c r="B10" s="667">
        <v>40</v>
      </c>
      <c r="C10" s="667">
        <v>43</v>
      </c>
      <c r="D10" s="667">
        <v>40</v>
      </c>
      <c r="E10" s="667">
        <v>33</v>
      </c>
      <c r="F10" s="667">
        <v>23</v>
      </c>
      <c r="G10" s="667">
        <v>40</v>
      </c>
      <c r="H10" s="667">
        <v>77</v>
      </c>
      <c r="I10" s="667">
        <v>43</v>
      </c>
      <c r="J10" s="671">
        <v>17</v>
      </c>
      <c r="K10" s="671">
        <v>44</v>
      </c>
      <c r="L10" s="671">
        <v>23</v>
      </c>
      <c r="M10" s="669" t="s">
        <v>1261</v>
      </c>
      <c r="N10" s="672"/>
      <c r="Q10" s="672"/>
      <c r="R10" s="672"/>
      <c r="S10" s="672"/>
      <c r="T10" s="672"/>
      <c r="U10" s="672"/>
      <c r="V10" s="672"/>
      <c r="W10" s="672"/>
      <c r="X10" s="670"/>
    </row>
    <row r="11" spans="1:25" ht="18" customHeight="1">
      <c r="A11" s="666" t="s">
        <v>104</v>
      </c>
      <c r="B11" s="667">
        <v>24</v>
      </c>
      <c r="C11" s="667">
        <v>16</v>
      </c>
      <c r="D11" s="667">
        <v>18</v>
      </c>
      <c r="E11" s="667">
        <v>9</v>
      </c>
      <c r="F11" s="667">
        <v>18</v>
      </c>
      <c r="G11" s="667">
        <v>22</v>
      </c>
      <c r="H11" s="667">
        <v>39</v>
      </c>
      <c r="I11" s="667">
        <v>27</v>
      </c>
      <c r="J11" s="671">
        <v>31</v>
      </c>
      <c r="K11" s="671">
        <v>37</v>
      </c>
      <c r="L11" s="671">
        <v>23</v>
      </c>
      <c r="M11" s="669" t="s">
        <v>1262</v>
      </c>
      <c r="N11" s="672"/>
      <c r="Q11" s="672"/>
      <c r="R11" s="672"/>
      <c r="S11" s="672"/>
      <c r="T11" s="672"/>
      <c r="U11" s="672"/>
      <c r="V11" s="672"/>
      <c r="W11" s="672"/>
      <c r="X11" s="670"/>
    </row>
    <row r="12" spans="1:25" ht="18" customHeight="1">
      <c r="A12" s="666" t="s">
        <v>105</v>
      </c>
      <c r="B12" s="667">
        <v>24</v>
      </c>
      <c r="C12" s="667">
        <v>42</v>
      </c>
      <c r="D12" s="667">
        <v>23</v>
      </c>
      <c r="E12" s="667">
        <v>33</v>
      </c>
      <c r="F12" s="667">
        <v>16</v>
      </c>
      <c r="G12" s="667">
        <v>35</v>
      </c>
      <c r="H12" s="667">
        <v>28</v>
      </c>
      <c r="I12" s="667">
        <v>12</v>
      </c>
      <c r="J12" s="671">
        <v>21</v>
      </c>
      <c r="K12" s="671">
        <v>35</v>
      </c>
      <c r="L12" s="16">
        <v>20</v>
      </c>
      <c r="M12" s="669" t="s">
        <v>1263</v>
      </c>
    </row>
    <row r="13" spans="1:25" ht="18" customHeight="1">
      <c r="A13" s="666" t="s">
        <v>106</v>
      </c>
      <c r="B13" s="667">
        <v>16</v>
      </c>
      <c r="C13" s="667">
        <v>21</v>
      </c>
      <c r="D13" s="667">
        <v>41</v>
      </c>
      <c r="E13" s="667">
        <v>28</v>
      </c>
      <c r="F13" s="667">
        <v>16</v>
      </c>
      <c r="G13" s="667">
        <v>37</v>
      </c>
      <c r="H13" s="667">
        <v>17</v>
      </c>
      <c r="I13" s="667">
        <v>27</v>
      </c>
      <c r="J13" s="16">
        <v>46</v>
      </c>
      <c r="K13" s="16">
        <v>40</v>
      </c>
      <c r="L13" s="16">
        <v>31</v>
      </c>
      <c r="M13" s="669" t="s">
        <v>1264</v>
      </c>
      <c r="N13" s="673"/>
      <c r="X13" s="674"/>
    </row>
    <row r="14" spans="1:25" ht="18" customHeight="1">
      <c r="A14" s="666" t="s">
        <v>1265</v>
      </c>
      <c r="B14" s="667">
        <v>10</v>
      </c>
      <c r="C14" s="667">
        <v>21</v>
      </c>
      <c r="D14" s="667">
        <v>22</v>
      </c>
      <c r="E14" s="667">
        <v>46</v>
      </c>
      <c r="F14" s="667">
        <v>12</v>
      </c>
      <c r="G14" s="667">
        <v>12</v>
      </c>
      <c r="H14" s="667">
        <v>12</v>
      </c>
      <c r="I14" s="667">
        <v>17</v>
      </c>
      <c r="J14" s="16">
        <v>26</v>
      </c>
      <c r="K14" s="16">
        <v>39</v>
      </c>
      <c r="L14" s="16">
        <v>10</v>
      </c>
      <c r="M14" s="669" t="s">
        <v>1266</v>
      </c>
      <c r="N14" s="673"/>
    </row>
    <row r="15" spans="1:25" ht="18" customHeight="1">
      <c r="A15" s="666" t="s">
        <v>1267</v>
      </c>
      <c r="B15" s="667">
        <v>31</v>
      </c>
      <c r="C15" s="667">
        <v>28</v>
      </c>
      <c r="D15" s="667">
        <v>16</v>
      </c>
      <c r="E15" s="667">
        <v>25</v>
      </c>
      <c r="F15" s="667">
        <v>5</v>
      </c>
      <c r="G15" s="667">
        <v>11</v>
      </c>
      <c r="H15" s="667">
        <v>15</v>
      </c>
      <c r="I15" s="667">
        <v>9</v>
      </c>
      <c r="J15" s="16">
        <v>26</v>
      </c>
      <c r="K15" s="16">
        <v>24</v>
      </c>
      <c r="L15" s="16">
        <v>20</v>
      </c>
      <c r="M15" s="669" t="s">
        <v>1268</v>
      </c>
      <c r="N15" s="673"/>
    </row>
    <row r="16" spans="1:25" ht="18" customHeight="1">
      <c r="A16" s="666" t="s">
        <v>1269</v>
      </c>
      <c r="B16" s="667">
        <v>18</v>
      </c>
      <c r="C16" s="667">
        <v>14</v>
      </c>
      <c r="D16" s="667">
        <v>32</v>
      </c>
      <c r="E16" s="667">
        <v>18</v>
      </c>
      <c r="F16" s="667">
        <v>23</v>
      </c>
      <c r="G16" s="667">
        <v>16</v>
      </c>
      <c r="H16" s="667">
        <v>21</v>
      </c>
      <c r="I16" s="667">
        <v>16</v>
      </c>
      <c r="J16" s="16">
        <v>24</v>
      </c>
      <c r="K16" s="16">
        <v>58</v>
      </c>
      <c r="L16" s="16">
        <v>18</v>
      </c>
      <c r="M16" s="669" t="s">
        <v>1270</v>
      </c>
      <c r="N16" s="673"/>
    </row>
    <row r="17" spans="1:14" ht="18.75">
      <c r="A17" s="666" t="s">
        <v>107</v>
      </c>
      <c r="B17" s="667">
        <v>24</v>
      </c>
      <c r="C17" s="667">
        <v>9</v>
      </c>
      <c r="D17" s="667">
        <v>22</v>
      </c>
      <c r="E17" s="667">
        <v>23</v>
      </c>
      <c r="F17" s="667">
        <v>25</v>
      </c>
      <c r="G17" s="667">
        <v>22</v>
      </c>
      <c r="H17" s="667">
        <v>13</v>
      </c>
      <c r="I17" s="667">
        <v>18</v>
      </c>
      <c r="J17" s="16">
        <v>5</v>
      </c>
      <c r="K17" s="16">
        <v>16</v>
      </c>
      <c r="L17" s="16">
        <v>13</v>
      </c>
      <c r="M17" s="669" t="s">
        <v>1271</v>
      </c>
      <c r="N17" s="673"/>
    </row>
    <row r="18" spans="1:14" ht="18.75">
      <c r="A18" s="666" t="s">
        <v>108</v>
      </c>
      <c r="B18" s="667">
        <v>16</v>
      </c>
      <c r="C18" s="667">
        <v>13</v>
      </c>
      <c r="D18" s="667">
        <v>17</v>
      </c>
      <c r="E18" s="667">
        <v>31</v>
      </c>
      <c r="F18" s="667">
        <v>6</v>
      </c>
      <c r="G18" s="667">
        <v>29</v>
      </c>
      <c r="H18" s="667">
        <v>39</v>
      </c>
      <c r="I18" s="667">
        <v>35</v>
      </c>
      <c r="J18" s="16">
        <v>28</v>
      </c>
      <c r="K18" s="16">
        <v>79</v>
      </c>
      <c r="L18" s="16">
        <v>18</v>
      </c>
      <c r="M18" s="669" t="s">
        <v>1272</v>
      </c>
      <c r="N18" s="673"/>
    </row>
    <row r="19" spans="1:14" ht="18.75">
      <c r="A19" s="666" t="s">
        <v>109</v>
      </c>
      <c r="B19" s="667">
        <v>10</v>
      </c>
      <c r="C19" s="667">
        <v>1</v>
      </c>
      <c r="D19" s="667">
        <v>5</v>
      </c>
      <c r="E19" s="667">
        <v>9</v>
      </c>
      <c r="F19" s="667">
        <v>7</v>
      </c>
      <c r="G19" s="667">
        <v>8</v>
      </c>
      <c r="H19" s="667">
        <v>2</v>
      </c>
      <c r="I19" s="667">
        <v>1</v>
      </c>
      <c r="J19" s="16">
        <v>2</v>
      </c>
      <c r="K19" s="16">
        <v>26</v>
      </c>
      <c r="L19" s="16">
        <v>6</v>
      </c>
      <c r="M19" s="669" t="s">
        <v>1273</v>
      </c>
    </row>
    <row r="20" spans="1:14" ht="18.75">
      <c r="A20" s="666" t="s">
        <v>110</v>
      </c>
      <c r="B20" s="667">
        <v>16</v>
      </c>
      <c r="C20" s="667">
        <v>15</v>
      </c>
      <c r="D20" s="667">
        <v>23</v>
      </c>
      <c r="E20" s="667">
        <v>11</v>
      </c>
      <c r="F20" s="667">
        <v>2</v>
      </c>
      <c r="G20" s="667">
        <v>5</v>
      </c>
      <c r="H20" s="667">
        <v>2</v>
      </c>
      <c r="I20" s="667">
        <v>11</v>
      </c>
      <c r="J20" s="16">
        <v>5</v>
      </c>
      <c r="K20" s="16">
        <v>11</v>
      </c>
      <c r="L20" s="16">
        <v>7</v>
      </c>
      <c r="M20" s="669" t="s">
        <v>1274</v>
      </c>
    </row>
    <row r="21" spans="1:14" ht="18.75">
      <c r="A21" s="666" t="s">
        <v>1275</v>
      </c>
      <c r="B21" s="667">
        <v>6</v>
      </c>
      <c r="C21" s="667">
        <v>24</v>
      </c>
      <c r="D21" s="667">
        <v>36</v>
      </c>
      <c r="E21" s="667">
        <v>23</v>
      </c>
      <c r="F21" s="667">
        <v>20</v>
      </c>
      <c r="G21" s="667">
        <v>23</v>
      </c>
      <c r="H21" s="667">
        <v>26</v>
      </c>
      <c r="I21" s="667">
        <v>39</v>
      </c>
      <c r="J21" s="16">
        <v>5</v>
      </c>
      <c r="K21" s="16">
        <v>15</v>
      </c>
      <c r="L21" s="16">
        <v>8</v>
      </c>
      <c r="M21" s="669" t="s">
        <v>1276</v>
      </c>
    </row>
    <row r="22" spans="1:14" ht="18.75">
      <c r="A22" s="666" t="s">
        <v>111</v>
      </c>
      <c r="B22" s="667">
        <v>13</v>
      </c>
      <c r="C22" s="667">
        <v>16</v>
      </c>
      <c r="D22" s="667">
        <v>32</v>
      </c>
      <c r="E22" s="667">
        <v>27</v>
      </c>
      <c r="F22" s="667">
        <v>5</v>
      </c>
      <c r="G22" s="667">
        <v>7</v>
      </c>
      <c r="H22" s="667">
        <v>2</v>
      </c>
      <c r="I22" s="667">
        <v>9</v>
      </c>
      <c r="J22" s="16">
        <v>6</v>
      </c>
      <c r="K22" s="16">
        <v>13</v>
      </c>
      <c r="L22" s="16">
        <v>13</v>
      </c>
      <c r="M22" s="675" t="s">
        <v>1277</v>
      </c>
    </row>
    <row r="23" spans="1:14" ht="18.75">
      <c r="A23" s="666" t="s">
        <v>112</v>
      </c>
      <c r="B23" s="667">
        <v>22</v>
      </c>
      <c r="C23" s="667">
        <v>59</v>
      </c>
      <c r="D23" s="667">
        <v>35</v>
      </c>
      <c r="E23" s="667">
        <v>38</v>
      </c>
      <c r="F23" s="667">
        <v>13</v>
      </c>
      <c r="G23" s="667">
        <v>29</v>
      </c>
      <c r="H23" s="667">
        <v>28</v>
      </c>
      <c r="I23" s="667">
        <v>16</v>
      </c>
      <c r="J23" s="16">
        <v>20</v>
      </c>
      <c r="K23" s="16">
        <v>34</v>
      </c>
      <c r="L23" s="16">
        <v>20</v>
      </c>
      <c r="M23" s="676" t="s">
        <v>1278</v>
      </c>
    </row>
    <row r="24" spans="1:14" ht="18.75">
      <c r="A24" s="666" t="s">
        <v>113</v>
      </c>
      <c r="B24" s="667">
        <v>32</v>
      </c>
      <c r="C24" s="667">
        <v>56</v>
      </c>
      <c r="D24" s="667">
        <v>81</v>
      </c>
      <c r="E24" s="667">
        <v>75</v>
      </c>
      <c r="F24" s="667">
        <v>46</v>
      </c>
      <c r="G24" s="667">
        <v>49</v>
      </c>
      <c r="H24" s="667">
        <v>35</v>
      </c>
      <c r="I24" s="667">
        <v>27</v>
      </c>
      <c r="J24" s="16">
        <v>24</v>
      </c>
      <c r="K24" s="16">
        <v>65</v>
      </c>
      <c r="L24" s="16">
        <v>45</v>
      </c>
      <c r="M24" s="677" t="s">
        <v>1279</v>
      </c>
    </row>
    <row r="25" spans="1:14" ht="18.75">
      <c r="A25" s="666" t="s">
        <v>114</v>
      </c>
      <c r="B25" s="667">
        <v>48</v>
      </c>
      <c r="C25" s="667">
        <v>43</v>
      </c>
      <c r="D25" s="667">
        <v>82</v>
      </c>
      <c r="E25" s="667">
        <v>41</v>
      </c>
      <c r="F25" s="667">
        <v>26</v>
      </c>
      <c r="G25" s="667">
        <v>55</v>
      </c>
      <c r="H25" s="667">
        <v>52</v>
      </c>
      <c r="I25" s="667">
        <v>49</v>
      </c>
      <c r="J25" s="16">
        <v>42</v>
      </c>
      <c r="K25" s="16">
        <v>53</v>
      </c>
      <c r="L25" s="16">
        <v>38</v>
      </c>
      <c r="M25" s="676" t="s">
        <v>1280</v>
      </c>
    </row>
    <row r="26" spans="1:14" ht="18.75">
      <c r="A26" s="666" t="s">
        <v>115</v>
      </c>
      <c r="B26" s="667">
        <v>52</v>
      </c>
      <c r="C26" s="667">
        <v>111</v>
      </c>
      <c r="D26" s="667">
        <v>127</v>
      </c>
      <c r="E26" s="667">
        <v>60</v>
      </c>
      <c r="F26" s="667">
        <v>57</v>
      </c>
      <c r="G26" s="667">
        <v>60</v>
      </c>
      <c r="H26" s="667">
        <v>98</v>
      </c>
      <c r="I26" s="667">
        <v>35</v>
      </c>
      <c r="J26" s="16">
        <v>58</v>
      </c>
      <c r="K26" s="16">
        <v>61</v>
      </c>
      <c r="L26" s="16">
        <v>51</v>
      </c>
      <c r="M26" s="676" t="s">
        <v>1281</v>
      </c>
    </row>
    <row r="27" spans="1:14" ht="18.75">
      <c r="A27" s="666" t="s">
        <v>116</v>
      </c>
      <c r="B27" s="667">
        <v>13</v>
      </c>
      <c r="C27" s="667">
        <v>17</v>
      </c>
      <c r="D27" s="667">
        <v>12</v>
      </c>
      <c r="E27" s="667">
        <v>24</v>
      </c>
      <c r="F27" s="667">
        <v>17</v>
      </c>
      <c r="G27" s="667">
        <v>23</v>
      </c>
      <c r="H27" s="667">
        <v>18</v>
      </c>
      <c r="I27" s="667">
        <v>11</v>
      </c>
      <c r="J27" s="16">
        <v>5</v>
      </c>
      <c r="K27" s="16">
        <v>38</v>
      </c>
      <c r="L27" s="16">
        <v>13</v>
      </c>
      <c r="M27" s="678" t="s">
        <v>1282</v>
      </c>
    </row>
    <row r="28" spans="1:14" ht="18.75">
      <c r="A28" s="666" t="s">
        <v>1283</v>
      </c>
      <c r="B28" s="667">
        <v>28</v>
      </c>
      <c r="C28" s="667">
        <v>47</v>
      </c>
      <c r="D28" s="667">
        <v>57</v>
      </c>
      <c r="E28" s="667">
        <v>47</v>
      </c>
      <c r="F28" s="667">
        <v>38</v>
      </c>
      <c r="G28" s="667">
        <v>23</v>
      </c>
      <c r="H28" s="667">
        <v>31</v>
      </c>
      <c r="I28" s="667">
        <v>29</v>
      </c>
      <c r="J28" s="16">
        <v>45</v>
      </c>
      <c r="K28" s="16">
        <v>60</v>
      </c>
      <c r="L28" s="16">
        <v>44</v>
      </c>
      <c r="M28" s="677" t="s">
        <v>1284</v>
      </c>
    </row>
    <row r="29" spans="1:14" ht="18.75">
      <c r="A29" s="679" t="s">
        <v>1285</v>
      </c>
      <c r="B29" s="680">
        <v>0</v>
      </c>
      <c r="C29" s="680">
        <v>0</v>
      </c>
      <c r="D29" s="680">
        <v>0</v>
      </c>
      <c r="E29" s="680">
        <v>2</v>
      </c>
      <c r="F29" s="680">
        <v>5</v>
      </c>
      <c r="G29" s="680">
        <v>1</v>
      </c>
      <c r="H29" s="680">
        <v>0</v>
      </c>
      <c r="I29" s="680">
        <v>0</v>
      </c>
      <c r="J29" s="43">
        <v>0</v>
      </c>
      <c r="K29" s="43">
        <v>1</v>
      </c>
      <c r="L29" s="43">
        <v>0</v>
      </c>
      <c r="M29" s="681" t="s">
        <v>1286</v>
      </c>
    </row>
    <row r="30" spans="1:14" ht="18.75">
      <c r="A30" s="682" t="s">
        <v>1287</v>
      </c>
      <c r="M30" s="683" t="s">
        <v>1288</v>
      </c>
    </row>
    <row r="31" spans="1:14" ht="19.5" customHeight="1"/>
    <row r="49" spans="5:5" s="16" customFormat="1"/>
    <row r="56" spans="5:5" s="16" customFormat="1">
      <c r="E56" s="653"/>
    </row>
  </sheetData>
  <mergeCells count="5">
    <mergeCell ref="A1:M1"/>
    <mergeCell ref="A2:M2"/>
    <mergeCell ref="A4:A5"/>
    <mergeCell ref="B4:J4"/>
    <mergeCell ref="M4:M5"/>
  </mergeCells>
  <pageMargins left="0.7" right="0.7" top="0.75" bottom="0.75" header="0.3" footer="0.3"/>
  <pageSetup paperSize="9" scale="53" orientation="portrait" r:id="rId1"/>
  <colBreaks count="1" manualBreakCount="1">
    <brk id="13" max="30"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A2:H20"/>
  <sheetViews>
    <sheetView view="pageBreakPreview" topLeftCell="A4" zoomScale="60" zoomScaleNormal="100" workbookViewId="0">
      <selection activeCell="M7" sqref="M7"/>
    </sheetView>
  </sheetViews>
  <sheetFormatPr defaultRowHeight="15"/>
  <cols>
    <col min="1" max="1" width="33.28515625" style="16" customWidth="1"/>
    <col min="2" max="7" width="11.85546875" style="16" customWidth="1"/>
    <col min="8" max="8" width="32" style="16" customWidth="1"/>
    <col min="9" max="16384" width="9.140625" style="16"/>
  </cols>
  <sheetData>
    <row r="2" spans="1:8" ht="21">
      <c r="A2" s="1265" t="s">
        <v>1289</v>
      </c>
      <c r="B2" s="1265"/>
      <c r="C2" s="1265"/>
      <c r="D2" s="1265"/>
      <c r="E2" s="1265"/>
      <c r="F2" s="1265"/>
      <c r="G2" s="1265"/>
      <c r="H2" s="1265"/>
    </row>
    <row r="3" spans="1:8" ht="15.75">
      <c r="A3" s="1186" t="s">
        <v>1290</v>
      </c>
      <c r="B3" s="1186"/>
      <c r="C3" s="1186"/>
      <c r="D3" s="1186"/>
      <c r="E3" s="1186"/>
      <c r="F3" s="1186"/>
      <c r="G3" s="1186"/>
      <c r="H3" s="1186"/>
    </row>
    <row r="4" spans="1:8" ht="15.75">
      <c r="A4" s="520"/>
      <c r="B4" s="520"/>
      <c r="C4" s="520"/>
      <c r="D4" s="520"/>
      <c r="E4" s="520"/>
      <c r="F4" s="520"/>
      <c r="G4" s="520"/>
      <c r="H4" s="520"/>
    </row>
    <row r="5" spans="1:8" ht="21">
      <c r="A5" s="95" t="s">
        <v>117</v>
      </c>
      <c r="B5" s="95">
        <v>2015</v>
      </c>
      <c r="C5" s="95">
        <v>2016</v>
      </c>
      <c r="D5" s="95">
        <v>2017</v>
      </c>
      <c r="E5" s="95">
        <v>2018</v>
      </c>
      <c r="F5" s="95">
        <v>2019</v>
      </c>
      <c r="G5" s="95">
        <v>2020</v>
      </c>
      <c r="H5" s="684" t="s">
        <v>67</v>
      </c>
    </row>
    <row r="6" spans="1:8" s="47" customFormat="1" ht="21">
      <c r="A6" s="24" t="s">
        <v>1</v>
      </c>
      <c r="B6" s="24">
        <f t="shared" ref="B6:G6" si="0">SUM(B7:B18)</f>
        <v>855</v>
      </c>
      <c r="C6" s="24">
        <f t="shared" si="0"/>
        <v>920</v>
      </c>
      <c r="D6" s="24">
        <f t="shared" si="0"/>
        <v>819</v>
      </c>
      <c r="E6" s="24">
        <f t="shared" si="0"/>
        <v>1088</v>
      </c>
      <c r="F6" s="24">
        <f t="shared" si="0"/>
        <v>1397</v>
      </c>
      <c r="G6" s="24">
        <f t="shared" si="0"/>
        <v>938</v>
      </c>
      <c r="H6" s="50" t="s">
        <v>49</v>
      </c>
    </row>
    <row r="7" spans="1:8" ht="21">
      <c r="A7" s="649" t="s">
        <v>1291</v>
      </c>
      <c r="B7" s="16">
        <v>287</v>
      </c>
      <c r="C7" s="16">
        <v>320</v>
      </c>
      <c r="D7" s="16">
        <v>110</v>
      </c>
      <c r="E7" s="16">
        <v>339</v>
      </c>
      <c r="F7" s="16">
        <v>548</v>
      </c>
      <c r="G7" s="16">
        <v>376</v>
      </c>
      <c r="H7" s="685" t="s">
        <v>1292</v>
      </c>
    </row>
    <row r="8" spans="1:8" ht="21">
      <c r="A8" s="649" t="s">
        <v>1293</v>
      </c>
      <c r="B8" s="16">
        <v>156</v>
      </c>
      <c r="C8" s="16">
        <v>105</v>
      </c>
      <c r="D8" s="16">
        <v>275</v>
      </c>
      <c r="E8" s="16">
        <v>92</v>
      </c>
      <c r="F8" s="16">
        <v>235</v>
      </c>
      <c r="G8" s="16">
        <v>127</v>
      </c>
      <c r="H8" s="685" t="s">
        <v>1294</v>
      </c>
    </row>
    <row r="9" spans="1:8" ht="21">
      <c r="A9" s="649" t="s">
        <v>1295</v>
      </c>
      <c r="B9" s="16">
        <v>61</v>
      </c>
      <c r="C9" s="16">
        <v>76</v>
      </c>
      <c r="D9" s="16">
        <v>74</v>
      </c>
      <c r="E9" s="16">
        <v>118</v>
      </c>
      <c r="F9" s="16">
        <v>89</v>
      </c>
      <c r="G9" s="16">
        <v>89</v>
      </c>
      <c r="H9" s="685" t="s">
        <v>1296</v>
      </c>
    </row>
    <row r="10" spans="1:8" ht="21">
      <c r="A10" s="649" t="s">
        <v>1297</v>
      </c>
      <c r="B10" s="16">
        <v>66</v>
      </c>
      <c r="C10" s="16">
        <v>53</v>
      </c>
      <c r="D10" s="16">
        <v>80</v>
      </c>
      <c r="E10" s="16">
        <v>55</v>
      </c>
      <c r="F10" s="16">
        <v>97</v>
      </c>
      <c r="G10" s="16">
        <v>78</v>
      </c>
      <c r="H10" s="685" t="s">
        <v>1298</v>
      </c>
    </row>
    <row r="11" spans="1:8" ht="21">
      <c r="A11" s="649" t="s">
        <v>1299</v>
      </c>
      <c r="B11" s="16">
        <v>5</v>
      </c>
      <c r="C11" s="16">
        <v>12</v>
      </c>
      <c r="D11" s="16">
        <v>9</v>
      </c>
      <c r="E11" s="16">
        <v>4</v>
      </c>
      <c r="F11" s="16">
        <v>12</v>
      </c>
      <c r="G11" s="16">
        <v>7</v>
      </c>
      <c r="H11" s="685" t="s">
        <v>1300</v>
      </c>
    </row>
    <row r="12" spans="1:8" ht="21">
      <c r="A12" s="649" t="s">
        <v>1301</v>
      </c>
      <c r="B12" s="949">
        <v>0</v>
      </c>
      <c r="C12" s="949">
        <v>0</v>
      </c>
      <c r="D12" s="949">
        <v>0</v>
      </c>
      <c r="E12" s="16">
        <v>11</v>
      </c>
      <c r="F12" s="16">
        <v>35</v>
      </c>
      <c r="G12" s="16">
        <v>16</v>
      </c>
      <c r="H12" s="685" t="s">
        <v>1302</v>
      </c>
    </row>
    <row r="13" spans="1:8" ht="21">
      <c r="A13" s="649" t="s">
        <v>1303</v>
      </c>
      <c r="B13" s="949">
        <v>0</v>
      </c>
      <c r="C13" s="949">
        <v>0</v>
      </c>
      <c r="D13" s="949">
        <v>0</v>
      </c>
      <c r="E13" s="16">
        <v>5</v>
      </c>
      <c r="F13" s="16">
        <v>12</v>
      </c>
      <c r="G13" s="16">
        <v>3</v>
      </c>
      <c r="H13" s="685" t="s">
        <v>1304</v>
      </c>
    </row>
    <row r="14" spans="1:8" ht="21">
      <c r="A14" s="649" t="s">
        <v>1305</v>
      </c>
      <c r="B14" s="949">
        <v>0</v>
      </c>
      <c r="C14" s="949">
        <v>0</v>
      </c>
      <c r="D14" s="949">
        <v>0</v>
      </c>
      <c r="E14" s="16">
        <v>0</v>
      </c>
      <c r="F14" s="16">
        <v>3</v>
      </c>
      <c r="G14" s="16">
        <v>2</v>
      </c>
      <c r="H14" s="685" t="s">
        <v>1306</v>
      </c>
    </row>
    <row r="15" spans="1:8" ht="21">
      <c r="A15" s="649" t="s">
        <v>1307</v>
      </c>
      <c r="B15" s="949">
        <v>0</v>
      </c>
      <c r="C15" s="949">
        <v>0</v>
      </c>
      <c r="D15" s="949">
        <v>0</v>
      </c>
      <c r="E15" s="16">
        <v>23</v>
      </c>
      <c r="F15" s="16">
        <v>25</v>
      </c>
      <c r="G15" s="16">
        <v>4</v>
      </c>
      <c r="H15" s="685" t="s">
        <v>1308</v>
      </c>
    </row>
    <row r="16" spans="1:8" ht="21">
      <c r="A16" s="649" t="s">
        <v>1309</v>
      </c>
      <c r="B16" s="949">
        <v>0</v>
      </c>
      <c r="C16" s="949">
        <v>0</v>
      </c>
      <c r="D16" s="949">
        <v>0</v>
      </c>
      <c r="E16" s="16">
        <v>56</v>
      </c>
      <c r="F16" s="16">
        <v>33</v>
      </c>
      <c r="G16" s="16">
        <v>19</v>
      </c>
      <c r="H16" s="685" t="s">
        <v>1310</v>
      </c>
    </row>
    <row r="17" spans="1:8" ht="21">
      <c r="A17" s="649" t="s">
        <v>1311</v>
      </c>
      <c r="B17" s="949">
        <v>0</v>
      </c>
      <c r="C17" s="949">
        <v>0</v>
      </c>
      <c r="D17" s="949">
        <v>0</v>
      </c>
      <c r="E17" s="16">
        <v>63</v>
      </c>
      <c r="F17" s="16">
        <v>58</v>
      </c>
      <c r="G17" s="16">
        <v>51</v>
      </c>
      <c r="H17" s="685" t="s">
        <v>1312</v>
      </c>
    </row>
    <row r="18" spans="1:8" ht="21">
      <c r="A18" s="650" t="s">
        <v>5</v>
      </c>
      <c r="B18" s="43">
        <v>280</v>
      </c>
      <c r="C18" s="43">
        <v>354</v>
      </c>
      <c r="D18" s="43">
        <v>271</v>
      </c>
      <c r="E18" s="43">
        <v>322</v>
      </c>
      <c r="F18" s="43">
        <v>250</v>
      </c>
      <c r="G18" s="43">
        <v>166</v>
      </c>
      <c r="H18" s="686" t="s">
        <v>13</v>
      </c>
    </row>
    <row r="19" spans="1:8" ht="18.75">
      <c r="A19" s="31" t="s">
        <v>1287</v>
      </c>
      <c r="H19" s="683" t="s">
        <v>1288</v>
      </c>
    </row>
    <row r="20" spans="1:8">
      <c r="A20" s="517" t="s">
        <v>1313</v>
      </c>
    </row>
  </sheetData>
  <mergeCells count="2">
    <mergeCell ref="A2:H2"/>
    <mergeCell ref="A3:H3"/>
  </mergeCells>
  <pageMargins left="0.7" right="0.7" top="0.75" bottom="0.75" header="0.3" footer="0.3"/>
  <pageSetup paperSize="9" scale="64"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A1:L19"/>
  <sheetViews>
    <sheetView view="pageBreakPreview" zoomScale="60" zoomScaleNormal="100" workbookViewId="0">
      <selection activeCell="K16" sqref="K16"/>
    </sheetView>
  </sheetViews>
  <sheetFormatPr defaultRowHeight="15"/>
  <cols>
    <col min="1" max="1" width="44.7109375" style="16" customWidth="1"/>
    <col min="2" max="7" width="11.140625" style="16" customWidth="1"/>
    <col min="8" max="8" width="45.85546875" style="16" customWidth="1"/>
    <col min="9" max="16384" width="9.140625" style="16"/>
  </cols>
  <sheetData>
    <row r="1" spans="1:9" ht="21">
      <c r="A1" s="1260" t="s">
        <v>2121</v>
      </c>
      <c r="B1" s="1260"/>
      <c r="C1" s="1260"/>
      <c r="D1" s="1260"/>
      <c r="E1" s="1260"/>
      <c r="F1" s="1260"/>
      <c r="G1" s="1260"/>
      <c r="H1" s="1260"/>
    </row>
    <row r="2" spans="1:9">
      <c r="A2" s="1266" t="s">
        <v>2120</v>
      </c>
      <c r="B2" s="1266"/>
      <c r="C2" s="1266"/>
      <c r="D2" s="1266"/>
      <c r="E2" s="1266"/>
      <c r="F2" s="1266"/>
      <c r="G2" s="1266"/>
      <c r="H2" s="1266"/>
    </row>
    <row r="3" spans="1:9" ht="21">
      <c r="A3" s="95" t="s">
        <v>117</v>
      </c>
      <c r="B3" s="95">
        <v>2015</v>
      </c>
      <c r="C3" s="95">
        <v>2016</v>
      </c>
      <c r="D3" s="95">
        <v>2017</v>
      </c>
      <c r="E3" s="95">
        <v>2018</v>
      </c>
      <c r="F3" s="95">
        <v>2019</v>
      </c>
      <c r="G3" s="95">
        <v>2020</v>
      </c>
      <c r="H3" s="684" t="s">
        <v>67</v>
      </c>
    </row>
    <row r="4" spans="1:9" ht="21">
      <c r="A4" s="24" t="s">
        <v>1</v>
      </c>
      <c r="B4" s="687">
        <f>SUM(B5:B14)</f>
        <v>1346</v>
      </c>
      <c r="C4" s="687">
        <f>SUM(C5:C14)</f>
        <v>912</v>
      </c>
      <c r="D4" s="687">
        <f>SUM(D5:D14)</f>
        <v>1341</v>
      </c>
      <c r="E4" s="687">
        <f>SUM(E5:E14)</f>
        <v>1370</v>
      </c>
      <c r="F4" s="687">
        <f>SUM(F5:F12)</f>
        <v>710</v>
      </c>
      <c r="G4" s="687">
        <f>SUM(G5:G14)</f>
        <v>427</v>
      </c>
      <c r="H4" s="50" t="s">
        <v>49</v>
      </c>
    </row>
    <row r="5" spans="1:9" ht="21">
      <c r="A5" s="688" t="s">
        <v>1314</v>
      </c>
      <c r="B5" s="48">
        <v>555</v>
      </c>
      <c r="C5" s="48">
        <v>442</v>
      </c>
      <c r="D5" s="48">
        <v>742</v>
      </c>
      <c r="E5" s="48">
        <v>836</v>
      </c>
      <c r="F5" s="48">
        <v>269</v>
      </c>
      <c r="G5" s="48">
        <v>333</v>
      </c>
      <c r="H5" s="689" t="s">
        <v>1315</v>
      </c>
    </row>
    <row r="6" spans="1:9" ht="21">
      <c r="A6" s="688" t="s">
        <v>1316</v>
      </c>
      <c r="B6" s="48">
        <v>416</v>
      </c>
      <c r="C6" s="48">
        <v>269</v>
      </c>
      <c r="D6" s="48">
        <v>305</v>
      </c>
      <c r="E6" s="48">
        <v>137</v>
      </c>
      <c r="F6" s="48">
        <v>317</v>
      </c>
      <c r="G6" s="48">
        <v>8</v>
      </c>
      <c r="H6" s="689" t="s">
        <v>1317</v>
      </c>
    </row>
    <row r="7" spans="1:9" ht="21">
      <c r="A7" s="688" t="s">
        <v>1318</v>
      </c>
      <c r="B7" s="48">
        <v>195</v>
      </c>
      <c r="C7" s="48">
        <v>126</v>
      </c>
      <c r="D7" s="48">
        <v>190</v>
      </c>
      <c r="E7" s="48">
        <v>282</v>
      </c>
      <c r="F7" s="48">
        <v>82</v>
      </c>
      <c r="G7" s="48">
        <v>50</v>
      </c>
      <c r="H7" s="689" t="s">
        <v>1319</v>
      </c>
    </row>
    <row r="8" spans="1:9" ht="25.5">
      <c r="A8" s="688" t="s">
        <v>1320</v>
      </c>
      <c r="B8" s="48">
        <v>80</v>
      </c>
      <c r="C8" s="48">
        <v>49</v>
      </c>
      <c r="D8" s="48">
        <v>57</v>
      </c>
      <c r="E8" s="48">
        <v>72</v>
      </c>
      <c r="F8" s="48">
        <v>14</v>
      </c>
      <c r="G8" s="48">
        <v>16</v>
      </c>
      <c r="H8" s="690" t="s">
        <v>1321</v>
      </c>
    </row>
    <row r="9" spans="1:9" ht="21">
      <c r="A9" s="688" t="s">
        <v>1322</v>
      </c>
      <c r="B9" s="48">
        <v>65</v>
      </c>
      <c r="C9" s="48">
        <v>16</v>
      </c>
      <c r="D9" s="48">
        <v>25</v>
      </c>
      <c r="E9" s="48">
        <v>21</v>
      </c>
      <c r="F9" s="48">
        <v>6</v>
      </c>
      <c r="G9" s="48">
        <v>3</v>
      </c>
      <c r="H9" s="689" t="s">
        <v>1323</v>
      </c>
    </row>
    <row r="10" spans="1:9" ht="21">
      <c r="A10" s="688" t="s">
        <v>1324</v>
      </c>
      <c r="B10" s="48">
        <v>18</v>
      </c>
      <c r="C10" s="48">
        <v>0</v>
      </c>
      <c r="D10" s="48">
        <v>2</v>
      </c>
      <c r="E10" s="48">
        <v>4</v>
      </c>
      <c r="F10" s="48">
        <v>1</v>
      </c>
      <c r="G10" s="48">
        <v>1</v>
      </c>
      <c r="H10" s="689" t="s">
        <v>1325</v>
      </c>
    </row>
    <row r="11" spans="1:9" ht="21">
      <c r="A11" s="688" t="s">
        <v>1326</v>
      </c>
      <c r="B11" s="48">
        <v>14</v>
      </c>
      <c r="C11" s="48">
        <v>10</v>
      </c>
      <c r="D11" s="48">
        <v>17</v>
      </c>
      <c r="E11" s="48">
        <v>17</v>
      </c>
      <c r="F11" s="48">
        <v>19</v>
      </c>
      <c r="G11" s="48">
        <v>12</v>
      </c>
      <c r="H11" s="689" t="s">
        <v>1327</v>
      </c>
    </row>
    <row r="12" spans="1:9" ht="21">
      <c r="A12" s="688" t="s">
        <v>1328</v>
      </c>
      <c r="B12" s="950">
        <v>0</v>
      </c>
      <c r="C12" s="950">
        <v>0</v>
      </c>
      <c r="D12" s="950">
        <v>0</v>
      </c>
      <c r="E12" s="950">
        <v>0</v>
      </c>
      <c r="F12" s="48">
        <v>2</v>
      </c>
      <c r="G12" s="48">
        <v>1</v>
      </c>
      <c r="H12" s="689" t="s">
        <v>1329</v>
      </c>
    </row>
    <row r="13" spans="1:9" ht="21">
      <c r="A13" s="688" t="s">
        <v>1322</v>
      </c>
      <c r="B13" s="950">
        <v>0</v>
      </c>
      <c r="C13" s="950">
        <v>0</v>
      </c>
      <c r="D13" s="950">
        <v>0</v>
      </c>
      <c r="E13" s="950">
        <v>0</v>
      </c>
      <c r="F13" s="48">
        <v>0</v>
      </c>
      <c r="G13" s="48">
        <v>3</v>
      </c>
      <c r="H13" s="689" t="s">
        <v>1330</v>
      </c>
    </row>
    <row r="14" spans="1:9" ht="21">
      <c r="A14" s="691" t="s">
        <v>5</v>
      </c>
      <c r="B14" s="951">
        <v>3</v>
      </c>
      <c r="C14" s="951">
        <v>0</v>
      </c>
      <c r="D14" s="951">
        <v>3</v>
      </c>
      <c r="E14" s="951">
        <v>1</v>
      </c>
      <c r="F14" s="951">
        <v>0</v>
      </c>
      <c r="G14" s="951">
        <v>0</v>
      </c>
      <c r="H14" s="692" t="s">
        <v>13</v>
      </c>
    </row>
    <row r="15" spans="1:9" ht="21.75">
      <c r="A15" s="1267" t="s">
        <v>1331</v>
      </c>
      <c r="B15" s="1267"/>
      <c r="C15" s="1267"/>
      <c r="D15" s="1267"/>
      <c r="E15" s="1267"/>
      <c r="F15" s="1267"/>
      <c r="G15" s="1267"/>
      <c r="H15" s="1267"/>
      <c r="I15" s="952"/>
    </row>
    <row r="16" spans="1:9" ht="18.75">
      <c r="A16" s="31" t="s">
        <v>1287</v>
      </c>
      <c r="H16" s="683" t="s">
        <v>1288</v>
      </c>
    </row>
    <row r="17" spans="8:12" ht="21.75">
      <c r="J17" s="953"/>
      <c r="K17" s="953"/>
      <c r="L17" s="953"/>
    </row>
    <row r="18" spans="8:12" ht="21">
      <c r="H18" s="37"/>
    </row>
    <row r="19" spans="8:12" ht="21">
      <c r="H19" s="37"/>
    </row>
  </sheetData>
  <mergeCells count="3">
    <mergeCell ref="A1:H1"/>
    <mergeCell ref="A2:H2"/>
    <mergeCell ref="A15:H15"/>
  </mergeCells>
  <pageMargins left="0.7" right="0.7" top="0.75" bottom="0.75" header="0.3" footer="0.3"/>
  <pageSetup paperSize="9" scale="52" orientation="portrait" r:id="rId1"/>
  <colBreaks count="1" manualBreakCount="1">
    <brk id="9"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A1:S27"/>
  <sheetViews>
    <sheetView view="pageBreakPreview" zoomScale="60" zoomScaleNormal="100" workbookViewId="0">
      <selection activeCell="Q36" sqref="Q36:S42"/>
    </sheetView>
  </sheetViews>
  <sheetFormatPr defaultColWidth="9.140625" defaultRowHeight="15"/>
  <cols>
    <col min="1" max="1" width="50.42578125" style="16" customWidth="1"/>
    <col min="2" max="11" width="9.42578125" style="16" customWidth="1"/>
    <col min="12" max="12" width="10.5703125" style="16" customWidth="1"/>
    <col min="13" max="13" width="43.28515625" style="16" customWidth="1"/>
    <col min="14" max="14" width="9.7109375" style="16" customWidth="1"/>
    <col min="15" max="16384" width="9.140625" style="16"/>
  </cols>
  <sheetData>
    <row r="1" spans="1:19" ht="15.75">
      <c r="A1" s="1273" t="s">
        <v>1332</v>
      </c>
      <c r="B1" s="1273"/>
      <c r="C1" s="1273"/>
      <c r="D1" s="1273"/>
      <c r="E1" s="1273"/>
      <c r="F1" s="1273"/>
      <c r="G1" s="1273"/>
      <c r="H1" s="1273"/>
      <c r="I1" s="1273"/>
      <c r="J1" s="1273"/>
      <c r="K1" s="1273"/>
      <c r="L1" s="1273"/>
      <c r="M1" s="1273"/>
    </row>
    <row r="2" spans="1:19" ht="21">
      <c r="A2" s="1274" t="s">
        <v>1333</v>
      </c>
      <c r="B2" s="1274"/>
      <c r="C2" s="1274"/>
      <c r="D2" s="1274"/>
      <c r="E2" s="1274"/>
      <c r="F2" s="1274"/>
      <c r="G2" s="1274"/>
      <c r="H2" s="1274"/>
      <c r="I2" s="1274"/>
      <c r="J2" s="1274"/>
      <c r="K2" s="1274"/>
      <c r="L2" s="1274"/>
      <c r="M2" s="1274"/>
      <c r="N2" s="693"/>
      <c r="O2" s="693"/>
      <c r="P2" s="693"/>
      <c r="Q2" s="694"/>
    </row>
    <row r="3" spans="1:19" ht="21">
      <c r="A3" s="1182" t="s">
        <v>63</v>
      </c>
      <c r="B3" s="1277" t="s">
        <v>1334</v>
      </c>
      <c r="C3" s="1277"/>
      <c r="D3" s="1277"/>
      <c r="E3" s="1277"/>
      <c r="F3" s="1277"/>
      <c r="G3" s="1277"/>
      <c r="H3" s="1277"/>
      <c r="I3" s="1277"/>
      <c r="J3" s="1277"/>
      <c r="K3" s="1277"/>
      <c r="L3" s="1275" t="s">
        <v>1335</v>
      </c>
      <c r="M3" s="1275"/>
    </row>
    <row r="4" spans="1:19" ht="21">
      <c r="A4" s="1073"/>
      <c r="B4" s="58">
        <v>2011</v>
      </c>
      <c r="C4" s="58">
        <v>2012</v>
      </c>
      <c r="D4" s="58">
        <v>2013</v>
      </c>
      <c r="E4" s="58">
        <v>2014</v>
      </c>
      <c r="F4" s="58">
        <v>2015</v>
      </c>
      <c r="G4" s="58">
        <v>2016</v>
      </c>
      <c r="H4" s="58">
        <v>2017</v>
      </c>
      <c r="I4" s="58">
        <v>2018</v>
      </c>
      <c r="J4" s="58">
        <v>2019</v>
      </c>
      <c r="K4" s="58">
        <v>2020</v>
      </c>
      <c r="L4" s="1276"/>
      <c r="M4" s="1276"/>
      <c r="Q4" s="693"/>
      <c r="R4" s="693"/>
      <c r="S4" s="693"/>
    </row>
    <row r="5" spans="1:19" ht="21">
      <c r="A5" s="695" t="s">
        <v>1</v>
      </c>
      <c r="B5" s="696">
        <f>SUM(B6:B18)</f>
        <v>52</v>
      </c>
      <c r="C5" s="696">
        <f t="shared" ref="C5:H5" si="0">SUM(C6:C18)</f>
        <v>145</v>
      </c>
      <c r="D5" s="696">
        <f t="shared" si="0"/>
        <v>177</v>
      </c>
      <c r="E5" s="696">
        <f t="shared" si="0"/>
        <v>104</v>
      </c>
      <c r="F5" s="696">
        <f t="shared" si="0"/>
        <v>31</v>
      </c>
      <c r="G5" s="696">
        <f t="shared" si="0"/>
        <v>26</v>
      </c>
      <c r="H5" s="696">
        <f t="shared" si="0"/>
        <v>20</v>
      </c>
      <c r="I5" s="696">
        <f>SUM(I6:I18)</f>
        <v>14</v>
      </c>
      <c r="J5" s="696">
        <f>SUM(J6:J18)</f>
        <v>3</v>
      </c>
      <c r="K5" s="696">
        <f>SUM(K6:K24)</f>
        <v>54</v>
      </c>
      <c r="L5" s="1275" t="s">
        <v>49</v>
      </c>
      <c r="M5" s="1275"/>
      <c r="Q5" s="693"/>
      <c r="R5" s="693"/>
      <c r="S5" s="693"/>
    </row>
    <row r="6" spans="1:19" ht="21">
      <c r="A6" s="16" t="s">
        <v>1336</v>
      </c>
      <c r="B6" s="75">
        <v>23</v>
      </c>
      <c r="C6" s="697">
        <v>91</v>
      </c>
      <c r="D6" s="697">
        <v>70</v>
      </c>
      <c r="E6" s="697">
        <v>76</v>
      </c>
      <c r="F6" s="10">
        <v>17</v>
      </c>
      <c r="G6" s="697">
        <v>14</v>
      </c>
      <c r="H6" s="697">
        <v>12</v>
      </c>
      <c r="I6" s="697">
        <v>8</v>
      </c>
      <c r="J6" s="697">
        <v>2</v>
      </c>
      <c r="K6" s="697">
        <v>11</v>
      </c>
      <c r="L6" s="1268" t="s">
        <v>1315</v>
      </c>
      <c r="M6" s="1268"/>
    </row>
    <row r="7" spans="1:19" ht="21">
      <c r="A7" s="16" t="s">
        <v>1337</v>
      </c>
      <c r="B7" s="75">
        <v>13</v>
      </c>
      <c r="C7" s="697">
        <v>3</v>
      </c>
      <c r="D7" s="697">
        <v>37</v>
      </c>
      <c r="E7" s="697">
        <v>10</v>
      </c>
      <c r="F7" s="10">
        <v>9</v>
      </c>
      <c r="G7" s="697">
        <v>4</v>
      </c>
      <c r="H7" s="697">
        <v>0</v>
      </c>
      <c r="I7" s="697">
        <v>3</v>
      </c>
      <c r="J7" s="697">
        <v>1</v>
      </c>
      <c r="K7" s="697">
        <v>2</v>
      </c>
      <c r="L7" s="1268" t="s">
        <v>1319</v>
      </c>
      <c r="M7" s="1268"/>
    </row>
    <row r="8" spans="1:19" ht="21">
      <c r="A8" s="16" t="s">
        <v>1338</v>
      </c>
      <c r="B8" s="75">
        <v>7</v>
      </c>
      <c r="C8" s="697">
        <v>1</v>
      </c>
      <c r="D8" s="697">
        <v>4</v>
      </c>
      <c r="E8" s="697">
        <v>1</v>
      </c>
      <c r="F8" s="697">
        <v>0</v>
      </c>
      <c r="G8" s="697">
        <v>0</v>
      </c>
      <c r="H8" s="697">
        <v>0</v>
      </c>
      <c r="I8" s="697">
        <v>0</v>
      </c>
      <c r="J8" s="697">
        <v>0</v>
      </c>
      <c r="K8" s="697">
        <v>0</v>
      </c>
      <c r="L8" s="1268" t="s">
        <v>1339</v>
      </c>
      <c r="M8" s="1268"/>
    </row>
    <row r="9" spans="1:19" ht="21">
      <c r="A9" s="16" t="s">
        <v>1326</v>
      </c>
      <c r="B9" s="75">
        <v>0</v>
      </c>
      <c r="C9" s="697">
        <v>1</v>
      </c>
      <c r="D9" s="697">
        <v>5</v>
      </c>
      <c r="E9" s="697">
        <v>0</v>
      </c>
      <c r="F9" s="697">
        <v>0</v>
      </c>
      <c r="G9" s="697">
        <v>0</v>
      </c>
      <c r="H9" s="697">
        <v>0</v>
      </c>
      <c r="I9" s="697">
        <v>0</v>
      </c>
      <c r="J9" s="697">
        <v>0</v>
      </c>
      <c r="K9" s="697">
        <v>0</v>
      </c>
      <c r="L9" s="1268" t="s">
        <v>1327</v>
      </c>
      <c r="M9" s="1268"/>
      <c r="N9" s="1271"/>
      <c r="O9" s="1272"/>
      <c r="P9" s="1272"/>
    </row>
    <row r="10" spans="1:19" ht="21">
      <c r="A10" s="16" t="s">
        <v>1340</v>
      </c>
      <c r="B10" s="75">
        <v>8</v>
      </c>
      <c r="C10" s="697">
        <v>25</v>
      </c>
      <c r="D10" s="697">
        <v>20</v>
      </c>
      <c r="E10" s="697">
        <v>2</v>
      </c>
      <c r="F10" s="697">
        <v>0</v>
      </c>
      <c r="G10" s="697">
        <v>3</v>
      </c>
      <c r="H10" s="697">
        <v>2</v>
      </c>
      <c r="I10" s="697">
        <v>1</v>
      </c>
      <c r="J10" s="697">
        <v>0</v>
      </c>
      <c r="K10" s="697">
        <v>4</v>
      </c>
      <c r="L10" s="1268" t="s">
        <v>1341</v>
      </c>
      <c r="M10" s="1268"/>
      <c r="N10" s="1271"/>
      <c r="O10" s="1272"/>
      <c r="P10" s="1272"/>
    </row>
    <row r="11" spans="1:19" ht="21">
      <c r="A11" s="16" t="s">
        <v>1342</v>
      </c>
      <c r="B11" s="75">
        <v>1</v>
      </c>
      <c r="C11" s="697">
        <v>1</v>
      </c>
      <c r="D11" s="697">
        <v>8</v>
      </c>
      <c r="E11" s="697">
        <v>0</v>
      </c>
      <c r="F11" s="697">
        <v>0</v>
      </c>
      <c r="G11" s="697">
        <v>0</v>
      </c>
      <c r="H11" s="697">
        <v>0</v>
      </c>
      <c r="I11" s="697">
        <v>0</v>
      </c>
      <c r="J11" s="697">
        <v>0</v>
      </c>
      <c r="K11" s="697">
        <v>0</v>
      </c>
      <c r="L11" s="1268" t="s">
        <v>1343</v>
      </c>
      <c r="M11" s="1268"/>
      <c r="N11" s="1271"/>
      <c r="O11" s="1272"/>
      <c r="P11" s="1272"/>
    </row>
    <row r="12" spans="1:19" ht="21">
      <c r="A12" s="16" t="s">
        <v>1344</v>
      </c>
      <c r="B12" s="75">
        <v>0</v>
      </c>
      <c r="C12" s="697">
        <v>17</v>
      </c>
      <c r="D12" s="697">
        <v>27</v>
      </c>
      <c r="E12" s="697">
        <v>15</v>
      </c>
      <c r="F12" s="10">
        <v>3</v>
      </c>
      <c r="G12" s="697">
        <v>5</v>
      </c>
      <c r="H12" s="697">
        <v>6</v>
      </c>
      <c r="I12" s="697">
        <v>2</v>
      </c>
      <c r="J12" s="697">
        <v>0</v>
      </c>
      <c r="K12" s="697">
        <v>0</v>
      </c>
      <c r="L12" s="1268" t="s">
        <v>1345</v>
      </c>
      <c r="M12" s="1268"/>
      <c r="N12" s="1271"/>
      <c r="O12" s="1272"/>
      <c r="P12" s="1272"/>
    </row>
    <row r="13" spans="1:19" ht="21">
      <c r="A13" s="16" t="s">
        <v>1346</v>
      </c>
      <c r="B13" s="75">
        <v>0</v>
      </c>
      <c r="C13" s="697">
        <v>1</v>
      </c>
      <c r="D13" s="697">
        <v>0</v>
      </c>
      <c r="E13" s="697">
        <v>0</v>
      </c>
      <c r="F13" s="697">
        <v>0</v>
      </c>
      <c r="G13" s="697">
        <v>0</v>
      </c>
      <c r="H13" s="697">
        <v>0</v>
      </c>
      <c r="I13" s="697">
        <v>0</v>
      </c>
      <c r="J13" s="697">
        <v>0</v>
      </c>
      <c r="K13" s="697">
        <v>0</v>
      </c>
      <c r="L13" s="1268" t="s">
        <v>1347</v>
      </c>
      <c r="M13" s="1268"/>
      <c r="N13" s="1271"/>
      <c r="O13" s="1272"/>
      <c r="P13" s="1272"/>
    </row>
    <row r="14" spans="1:19" ht="21">
      <c r="A14" s="16" t="s">
        <v>1348</v>
      </c>
      <c r="B14" s="75">
        <v>0</v>
      </c>
      <c r="C14" s="697">
        <v>1</v>
      </c>
      <c r="D14" s="697">
        <v>0</v>
      </c>
      <c r="E14" s="697">
        <v>0</v>
      </c>
      <c r="F14" s="697">
        <v>1</v>
      </c>
      <c r="G14" s="697">
        <v>0</v>
      </c>
      <c r="H14" s="697">
        <v>0</v>
      </c>
      <c r="I14" s="697">
        <v>0</v>
      </c>
      <c r="J14" s="697">
        <v>0</v>
      </c>
      <c r="K14" s="697">
        <v>0</v>
      </c>
      <c r="L14" s="1268" t="s">
        <v>1349</v>
      </c>
      <c r="M14" s="1268"/>
      <c r="N14" s="1271"/>
      <c r="O14" s="1272"/>
      <c r="P14" s="1272"/>
    </row>
    <row r="15" spans="1:19" ht="21">
      <c r="A15" s="16" t="s">
        <v>1350</v>
      </c>
      <c r="B15" s="75">
        <v>0</v>
      </c>
      <c r="C15" s="697">
        <v>1</v>
      </c>
      <c r="D15" s="697">
        <v>0</v>
      </c>
      <c r="E15" s="697">
        <v>0</v>
      </c>
      <c r="F15" s="697">
        <v>0</v>
      </c>
      <c r="G15" s="697">
        <v>0</v>
      </c>
      <c r="H15" s="697">
        <v>0</v>
      </c>
      <c r="I15" s="697">
        <v>0</v>
      </c>
      <c r="J15" s="697">
        <v>0</v>
      </c>
      <c r="K15" s="697">
        <v>0</v>
      </c>
      <c r="L15" s="1268" t="s">
        <v>1351</v>
      </c>
      <c r="M15" s="1268"/>
    </row>
    <row r="16" spans="1:19" ht="21">
      <c r="A16" s="16" t="s">
        <v>1352</v>
      </c>
      <c r="B16" s="75">
        <v>0</v>
      </c>
      <c r="C16" s="697">
        <v>1</v>
      </c>
      <c r="D16" s="698">
        <v>2</v>
      </c>
      <c r="E16" s="698">
        <v>0</v>
      </c>
      <c r="F16" s="698">
        <v>0</v>
      </c>
      <c r="G16" s="697">
        <v>0</v>
      </c>
      <c r="H16" s="698">
        <v>0</v>
      </c>
      <c r="I16" s="698">
        <v>0</v>
      </c>
      <c r="J16" s="697">
        <v>0</v>
      </c>
      <c r="K16" s="698">
        <v>0</v>
      </c>
      <c r="L16" s="1268" t="s">
        <v>1353</v>
      </c>
      <c r="M16" s="1268"/>
    </row>
    <row r="17" spans="1:19" ht="21">
      <c r="A17" s="16" t="s">
        <v>1354</v>
      </c>
      <c r="B17" s="75">
        <v>0</v>
      </c>
      <c r="C17" s="697">
        <v>1</v>
      </c>
      <c r="D17" s="697">
        <v>4</v>
      </c>
      <c r="E17" s="697">
        <v>0</v>
      </c>
      <c r="F17" s="697">
        <v>1</v>
      </c>
      <c r="G17" s="697">
        <v>0</v>
      </c>
      <c r="H17" s="697">
        <v>0</v>
      </c>
      <c r="I17" s="697">
        <v>0</v>
      </c>
      <c r="J17" s="697">
        <v>0</v>
      </c>
      <c r="K17" s="697">
        <v>0</v>
      </c>
      <c r="L17" s="1268" t="s">
        <v>1325</v>
      </c>
      <c r="M17" s="1268"/>
    </row>
    <row r="18" spans="1:19" ht="21">
      <c r="A18" s="43" t="s">
        <v>1355</v>
      </c>
      <c r="B18" s="515">
        <v>0</v>
      </c>
      <c r="C18" s="699">
        <v>1</v>
      </c>
      <c r="D18" s="700">
        <v>0</v>
      </c>
      <c r="E18" s="700">
        <v>0</v>
      </c>
      <c r="F18" s="700">
        <v>0</v>
      </c>
      <c r="G18" s="699">
        <v>0</v>
      </c>
      <c r="H18" s="700">
        <v>0</v>
      </c>
      <c r="I18" s="700">
        <v>0</v>
      </c>
      <c r="J18" s="700">
        <v>0</v>
      </c>
      <c r="K18" s="700">
        <v>0</v>
      </c>
      <c r="L18" s="1269" t="s">
        <v>1356</v>
      </c>
      <c r="M18" s="1269"/>
    </row>
    <row r="19" spans="1:19" ht="63">
      <c r="A19" s="954" t="s">
        <v>1357</v>
      </c>
      <c r="B19" s="75">
        <v>0</v>
      </c>
      <c r="C19" s="75">
        <v>0</v>
      </c>
      <c r="D19" s="75">
        <v>0</v>
      </c>
      <c r="E19" s="75">
        <v>0</v>
      </c>
      <c r="F19" s="75">
        <v>0</v>
      </c>
      <c r="G19" s="75">
        <v>0</v>
      </c>
      <c r="H19" s="75">
        <v>0</v>
      </c>
      <c r="I19" s="75">
        <v>0</v>
      </c>
      <c r="J19" s="697">
        <v>0</v>
      </c>
      <c r="K19" s="698">
        <v>1</v>
      </c>
      <c r="M19" s="955" t="s">
        <v>1358</v>
      </c>
    </row>
    <row r="20" spans="1:19" ht="30">
      <c r="A20" s="954" t="s">
        <v>1359</v>
      </c>
      <c r="B20" s="75">
        <v>0</v>
      </c>
      <c r="C20" s="75">
        <v>0</v>
      </c>
      <c r="D20" s="75">
        <v>0</v>
      </c>
      <c r="E20" s="75">
        <v>0</v>
      </c>
      <c r="F20" s="75">
        <v>0</v>
      </c>
      <c r="G20" s="75">
        <v>0</v>
      </c>
      <c r="H20" s="75">
        <v>0</v>
      </c>
      <c r="I20" s="75">
        <v>0</v>
      </c>
      <c r="J20" s="697">
        <v>0</v>
      </c>
      <c r="K20" s="697">
        <v>2</v>
      </c>
      <c r="M20" s="956" t="s">
        <v>1360</v>
      </c>
    </row>
    <row r="21" spans="1:19" ht="42">
      <c r="A21" s="626" t="s">
        <v>1361</v>
      </c>
      <c r="B21" s="75">
        <v>0</v>
      </c>
      <c r="C21" s="75">
        <v>0</v>
      </c>
      <c r="D21" s="75">
        <v>0</v>
      </c>
      <c r="E21" s="75">
        <v>0</v>
      </c>
      <c r="F21" s="75">
        <v>0</v>
      </c>
      <c r="G21" s="75">
        <v>0</v>
      </c>
      <c r="H21" s="75">
        <v>0</v>
      </c>
      <c r="I21" s="75">
        <v>0</v>
      </c>
      <c r="J21" s="697">
        <v>0</v>
      </c>
      <c r="K21" s="698">
        <v>2</v>
      </c>
      <c r="M21" s="957" t="s">
        <v>1362</v>
      </c>
    </row>
    <row r="22" spans="1:19" ht="30">
      <c r="A22" s="954" t="s">
        <v>1363</v>
      </c>
      <c r="B22" s="75">
        <v>0</v>
      </c>
      <c r="C22" s="75">
        <v>0</v>
      </c>
      <c r="D22" s="75">
        <v>0</v>
      </c>
      <c r="E22" s="75">
        <v>0</v>
      </c>
      <c r="F22" s="75">
        <v>0</v>
      </c>
      <c r="G22" s="75">
        <v>0</v>
      </c>
      <c r="H22" s="75">
        <v>0</v>
      </c>
      <c r="I22" s="75">
        <v>0</v>
      </c>
      <c r="J22" s="697">
        <v>0</v>
      </c>
      <c r="K22" s="698">
        <v>10</v>
      </c>
      <c r="M22" s="956" t="s">
        <v>1364</v>
      </c>
    </row>
    <row r="23" spans="1:19" ht="21">
      <c r="A23" s="954" t="s">
        <v>1365</v>
      </c>
      <c r="B23" s="75">
        <v>0</v>
      </c>
      <c r="C23" s="75">
        <v>0</v>
      </c>
      <c r="D23" s="75">
        <v>0</v>
      </c>
      <c r="E23" s="75">
        <v>0</v>
      </c>
      <c r="F23" s="75">
        <v>0</v>
      </c>
      <c r="G23" s="75">
        <v>0</v>
      </c>
      <c r="H23" s="75">
        <v>0</v>
      </c>
      <c r="I23" s="75">
        <v>0</v>
      </c>
      <c r="J23" s="697">
        <v>0</v>
      </c>
      <c r="K23" s="697">
        <v>4</v>
      </c>
      <c r="M23" s="956" t="s">
        <v>1366</v>
      </c>
    </row>
    <row r="24" spans="1:19" ht="21">
      <c r="A24" s="958" t="s">
        <v>1367</v>
      </c>
      <c r="B24" s="515">
        <v>0</v>
      </c>
      <c r="C24" s="515">
        <v>0</v>
      </c>
      <c r="D24" s="515">
        <v>0</v>
      </c>
      <c r="E24" s="515">
        <v>0</v>
      </c>
      <c r="F24" s="515">
        <v>0</v>
      </c>
      <c r="G24" s="515">
        <v>0</v>
      </c>
      <c r="H24" s="515">
        <v>0</v>
      </c>
      <c r="I24" s="515">
        <v>0</v>
      </c>
      <c r="J24" s="699">
        <v>0</v>
      </c>
      <c r="K24" s="700">
        <v>18</v>
      </c>
      <c r="L24" s="43"/>
      <c r="M24" s="959" t="s">
        <v>1368</v>
      </c>
    </row>
    <row r="25" spans="1:19" ht="21">
      <c r="B25" s="653"/>
      <c r="C25" s="653"/>
      <c r="D25" s="653"/>
      <c r="E25" s="653"/>
      <c r="F25" s="653"/>
      <c r="G25" s="1270" t="s">
        <v>1369</v>
      </c>
      <c r="H25" s="1270"/>
      <c r="I25" s="1270"/>
      <c r="J25" s="1270"/>
      <c r="K25" s="1270"/>
      <c r="L25" s="1270"/>
      <c r="M25" s="1270"/>
    </row>
    <row r="26" spans="1:19" ht="12" customHeight="1">
      <c r="A26" s="31" t="s">
        <v>1287</v>
      </c>
      <c r="M26" s="960" t="s">
        <v>1288</v>
      </c>
    </row>
    <row r="27" spans="1:19" ht="21">
      <c r="N27" s="701" t="s">
        <v>1370</v>
      </c>
      <c r="O27" s="702"/>
      <c r="P27" s="702"/>
      <c r="Q27" s="702"/>
      <c r="R27" s="702"/>
      <c r="S27" s="702"/>
    </row>
  </sheetData>
  <mergeCells count="21">
    <mergeCell ref="A1:M1"/>
    <mergeCell ref="A2:M2"/>
    <mergeCell ref="A3:A4"/>
    <mergeCell ref="L3:M4"/>
    <mergeCell ref="L5:M5"/>
    <mergeCell ref="B3:K3"/>
    <mergeCell ref="N9:P14"/>
    <mergeCell ref="L10:M10"/>
    <mergeCell ref="L11:M11"/>
    <mergeCell ref="L12:M12"/>
    <mergeCell ref="L13:M13"/>
    <mergeCell ref="L14:M14"/>
    <mergeCell ref="L16:M16"/>
    <mergeCell ref="L17:M17"/>
    <mergeCell ref="L18:M18"/>
    <mergeCell ref="G25:M25"/>
    <mergeCell ref="L6:M6"/>
    <mergeCell ref="L7:M7"/>
    <mergeCell ref="L8:M8"/>
    <mergeCell ref="L9:M9"/>
    <mergeCell ref="L15:M15"/>
  </mergeCells>
  <pageMargins left="0.7" right="0.7" top="0.75" bottom="0.75" header="0.3" footer="0.3"/>
  <pageSetup paperSize="9" scale="42" orientation="portrait" r:id="rId1"/>
  <colBreaks count="1" manualBreakCount="1">
    <brk id="14"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A1:O47"/>
  <sheetViews>
    <sheetView view="pageBreakPreview" zoomScale="60" zoomScaleNormal="100" workbookViewId="0">
      <selection activeCell="A49" sqref="A49:XFD62"/>
    </sheetView>
  </sheetViews>
  <sheetFormatPr defaultColWidth="9.140625" defaultRowHeight="15"/>
  <cols>
    <col min="1" max="1" width="56.7109375" style="16" customWidth="1"/>
    <col min="2" max="7" width="10.85546875" style="16" customWidth="1"/>
    <col min="8" max="8" width="10.85546875" style="504" customWidth="1"/>
    <col min="9" max="9" width="53" style="16" bestFit="1" customWidth="1"/>
    <col min="10" max="10" width="3" style="16" customWidth="1"/>
    <col min="11" max="16384" width="9.140625" style="16"/>
  </cols>
  <sheetData>
    <row r="1" spans="1:15" ht="21.75">
      <c r="A1" s="1280" t="s">
        <v>1371</v>
      </c>
      <c r="B1" s="1280"/>
      <c r="C1" s="1280"/>
      <c r="D1" s="1280"/>
      <c r="E1" s="1280"/>
      <c r="F1" s="1280"/>
      <c r="G1" s="1280"/>
      <c r="H1" s="1280"/>
      <c r="I1" s="1280"/>
    </row>
    <row r="2" spans="1:15" ht="15.75">
      <c r="A2" s="1281" t="s">
        <v>1372</v>
      </c>
      <c r="B2" s="1281"/>
      <c r="C2" s="1281"/>
      <c r="D2" s="1281"/>
      <c r="E2" s="1281"/>
      <c r="F2" s="1281"/>
      <c r="G2" s="1281"/>
      <c r="H2" s="1281"/>
      <c r="I2" s="1281"/>
    </row>
    <row r="3" spans="1:15" ht="21">
      <c r="A3" s="1182" t="s">
        <v>1373</v>
      </c>
      <c r="B3" s="1279" t="s">
        <v>1374</v>
      </c>
      <c r="C3" s="1279"/>
      <c r="D3" s="1279"/>
      <c r="E3" s="1279"/>
      <c r="F3" s="1279"/>
      <c r="G3" s="1279"/>
      <c r="H3" s="1279"/>
      <c r="I3" s="1282" t="s">
        <v>1375</v>
      </c>
    </row>
    <row r="4" spans="1:15">
      <c r="A4" s="1073"/>
      <c r="B4" s="26">
        <v>2014</v>
      </c>
      <c r="C4" s="26">
        <v>2015</v>
      </c>
      <c r="D4" s="26">
        <v>2016</v>
      </c>
      <c r="E4" s="26">
        <v>2017</v>
      </c>
      <c r="F4" s="26">
        <v>2018</v>
      </c>
      <c r="G4" s="26">
        <v>2019</v>
      </c>
      <c r="H4" s="26">
        <v>2020</v>
      </c>
      <c r="I4" s="1283"/>
    </row>
    <row r="5" spans="1:15" ht="21">
      <c r="A5" s="703" t="s">
        <v>1</v>
      </c>
      <c r="B5" s="704">
        <f t="shared" ref="B5:H5" si="0">SUM(B6:B45)</f>
        <v>928</v>
      </c>
      <c r="C5" s="705">
        <f t="shared" si="0"/>
        <v>838</v>
      </c>
      <c r="D5" s="705">
        <f t="shared" si="0"/>
        <v>922</v>
      </c>
      <c r="E5" s="705">
        <f t="shared" si="0"/>
        <v>809</v>
      </c>
      <c r="F5" s="705">
        <f t="shared" si="0"/>
        <v>940</v>
      </c>
      <c r="G5" s="705">
        <f>SUM(G6:G45)</f>
        <v>1397</v>
      </c>
      <c r="H5" s="310">
        <f t="shared" si="0"/>
        <v>952</v>
      </c>
      <c r="I5" s="706" t="s">
        <v>49</v>
      </c>
    </row>
    <row r="6" spans="1:15" ht="21">
      <c r="A6" s="16" t="s">
        <v>1376</v>
      </c>
      <c r="B6" s="46">
        <v>4</v>
      </c>
      <c r="C6" s="46">
        <v>8</v>
      </c>
      <c r="D6" s="46">
        <v>30</v>
      </c>
      <c r="E6" s="46">
        <v>8</v>
      </c>
      <c r="F6" s="46">
        <v>10</v>
      </c>
      <c r="G6" s="46">
        <v>42</v>
      </c>
      <c r="H6" s="70">
        <v>32</v>
      </c>
      <c r="I6" s="707" t="s">
        <v>1377</v>
      </c>
    </row>
    <row r="7" spans="1:15" ht="21">
      <c r="A7" s="16" t="s">
        <v>1378</v>
      </c>
      <c r="B7" s="46">
        <v>2</v>
      </c>
      <c r="C7" s="46">
        <v>1</v>
      </c>
      <c r="D7" s="46">
        <v>0</v>
      </c>
      <c r="E7" s="46">
        <v>1</v>
      </c>
      <c r="F7" s="46">
        <v>5</v>
      </c>
      <c r="G7" s="46">
        <v>2</v>
      </c>
      <c r="H7" s="70">
        <v>0</v>
      </c>
      <c r="I7" s="707" t="s">
        <v>1379</v>
      </c>
    </row>
    <row r="8" spans="1:15" ht="21">
      <c r="A8" s="16" t="s">
        <v>1380</v>
      </c>
      <c r="B8" s="46">
        <v>0</v>
      </c>
      <c r="C8" s="46">
        <v>5</v>
      </c>
      <c r="D8" s="46">
        <v>0</v>
      </c>
      <c r="E8" s="46">
        <v>2</v>
      </c>
      <c r="F8" s="46">
        <v>0</v>
      </c>
      <c r="G8" s="46">
        <v>1</v>
      </c>
      <c r="H8" s="70">
        <v>2</v>
      </c>
      <c r="I8" s="707" t="s">
        <v>1381</v>
      </c>
    </row>
    <row r="9" spans="1:15" ht="21">
      <c r="A9" s="53" t="s">
        <v>1382</v>
      </c>
      <c r="B9" s="46">
        <v>14</v>
      </c>
      <c r="C9" s="46">
        <v>4</v>
      </c>
      <c r="D9" s="46">
        <v>2</v>
      </c>
      <c r="E9" s="46">
        <v>1</v>
      </c>
      <c r="F9" s="46">
        <v>5</v>
      </c>
      <c r="G9" s="46">
        <v>0</v>
      </c>
      <c r="H9" s="70">
        <v>3</v>
      </c>
      <c r="I9" s="707" t="s">
        <v>1383</v>
      </c>
    </row>
    <row r="10" spans="1:15" ht="21">
      <c r="A10" s="16" t="s">
        <v>1384</v>
      </c>
      <c r="B10" s="46">
        <v>10</v>
      </c>
      <c r="C10" s="46">
        <v>0</v>
      </c>
      <c r="D10" s="46">
        <v>0</v>
      </c>
      <c r="E10" s="46">
        <v>0</v>
      </c>
      <c r="F10" s="46">
        <v>0</v>
      </c>
      <c r="G10" s="46">
        <v>0</v>
      </c>
      <c r="H10" s="70">
        <v>0</v>
      </c>
      <c r="I10" s="707" t="s">
        <v>1385</v>
      </c>
    </row>
    <row r="11" spans="1:15" ht="21">
      <c r="A11" s="53" t="s">
        <v>1386</v>
      </c>
      <c r="B11" s="46">
        <v>176</v>
      </c>
      <c r="C11" s="46">
        <v>107</v>
      </c>
      <c r="D11" s="46">
        <v>110</v>
      </c>
      <c r="E11" s="46">
        <v>133</v>
      </c>
      <c r="F11" s="46">
        <v>129</v>
      </c>
      <c r="G11" s="46">
        <v>294</v>
      </c>
      <c r="H11" s="70">
        <v>204</v>
      </c>
      <c r="I11" s="707" t="s">
        <v>1387</v>
      </c>
    </row>
    <row r="12" spans="1:15" ht="21">
      <c r="A12" s="53" t="s">
        <v>1388</v>
      </c>
      <c r="B12" s="46">
        <v>231</v>
      </c>
      <c r="C12" s="46">
        <v>320</v>
      </c>
      <c r="D12" s="46">
        <v>349</v>
      </c>
      <c r="E12" s="46">
        <v>324</v>
      </c>
      <c r="F12" s="46">
        <v>227</v>
      </c>
      <c r="G12" s="46">
        <v>382</v>
      </c>
      <c r="H12" s="70">
        <v>243</v>
      </c>
      <c r="I12" s="37" t="s">
        <v>1389</v>
      </c>
      <c r="M12" s="1271"/>
      <c r="N12" s="1272"/>
      <c r="O12" s="1272"/>
    </row>
    <row r="13" spans="1:15" ht="21">
      <c r="A13" s="53" t="s">
        <v>1390</v>
      </c>
      <c r="B13" s="46">
        <v>24</v>
      </c>
      <c r="C13" s="46">
        <v>52</v>
      </c>
      <c r="D13" s="46">
        <v>57</v>
      </c>
      <c r="E13" s="46">
        <v>19</v>
      </c>
      <c r="F13" s="46">
        <v>14</v>
      </c>
      <c r="G13" s="46">
        <v>24</v>
      </c>
      <c r="H13" s="70">
        <v>14</v>
      </c>
      <c r="I13" s="37" t="s">
        <v>1391</v>
      </c>
      <c r="M13" s="1271"/>
      <c r="N13" s="1272"/>
      <c r="O13" s="1272"/>
    </row>
    <row r="14" spans="1:15" ht="21">
      <c r="A14" s="53" t="s">
        <v>1392</v>
      </c>
      <c r="B14" s="46">
        <v>52</v>
      </c>
      <c r="C14" s="46">
        <v>19</v>
      </c>
      <c r="D14" s="46">
        <v>9</v>
      </c>
      <c r="E14" s="46">
        <v>15</v>
      </c>
      <c r="F14" s="46">
        <v>16</v>
      </c>
      <c r="G14" s="46">
        <v>50</v>
      </c>
      <c r="H14" s="70">
        <v>50</v>
      </c>
      <c r="I14" s="37" t="s">
        <v>1393</v>
      </c>
      <c r="M14" s="1271"/>
      <c r="N14" s="1272"/>
      <c r="O14" s="1272"/>
    </row>
    <row r="15" spans="1:15" ht="21">
      <c r="A15" s="53" t="s">
        <v>1394</v>
      </c>
      <c r="B15" s="46">
        <v>40</v>
      </c>
      <c r="C15" s="46">
        <v>33</v>
      </c>
      <c r="D15" s="46">
        <v>68</v>
      </c>
      <c r="E15" s="46">
        <v>22</v>
      </c>
      <c r="F15" s="46">
        <v>53</v>
      </c>
      <c r="G15" s="46">
        <v>74</v>
      </c>
      <c r="H15" s="70">
        <v>48</v>
      </c>
      <c r="I15" s="37" t="s">
        <v>1395</v>
      </c>
      <c r="M15" s="1271"/>
      <c r="N15" s="1272"/>
      <c r="O15" s="1272"/>
    </row>
    <row r="16" spans="1:15" ht="21">
      <c r="A16" s="53" t="s">
        <v>1396</v>
      </c>
      <c r="B16" s="46">
        <v>0</v>
      </c>
      <c r="C16" s="46">
        <v>0</v>
      </c>
      <c r="D16" s="46">
        <v>0</v>
      </c>
      <c r="E16" s="46">
        <v>1</v>
      </c>
      <c r="F16" s="46">
        <v>0</v>
      </c>
      <c r="G16" s="46">
        <v>5</v>
      </c>
      <c r="H16" s="70">
        <v>3</v>
      </c>
      <c r="I16" s="37" t="s">
        <v>1397</v>
      </c>
      <c r="M16" s="1271"/>
      <c r="N16" s="1272"/>
      <c r="O16" s="1272"/>
    </row>
    <row r="17" spans="1:15" ht="21">
      <c r="A17" s="53" t="s">
        <v>1398</v>
      </c>
      <c r="B17" s="46">
        <v>1</v>
      </c>
      <c r="C17" s="46">
        <v>2</v>
      </c>
      <c r="D17" s="46">
        <v>10</v>
      </c>
      <c r="E17" s="46">
        <v>23</v>
      </c>
      <c r="F17" s="46">
        <v>7</v>
      </c>
      <c r="G17" s="46">
        <v>8</v>
      </c>
      <c r="H17" s="70">
        <v>2</v>
      </c>
      <c r="I17" s="37" t="s">
        <v>1399</v>
      </c>
      <c r="M17" s="1271"/>
      <c r="N17" s="1272"/>
      <c r="O17" s="1272"/>
    </row>
    <row r="18" spans="1:15" ht="21">
      <c r="A18" s="53" t="s">
        <v>1400</v>
      </c>
      <c r="B18" s="46">
        <v>15</v>
      </c>
      <c r="C18" s="46">
        <v>6</v>
      </c>
      <c r="D18" s="46">
        <v>4</v>
      </c>
      <c r="E18" s="46">
        <v>6</v>
      </c>
      <c r="F18" s="46">
        <v>28</v>
      </c>
      <c r="G18" s="46">
        <v>22</v>
      </c>
      <c r="H18" s="70">
        <v>22</v>
      </c>
      <c r="I18" s="37" t="s">
        <v>1401</v>
      </c>
    </row>
    <row r="19" spans="1:15" ht="21">
      <c r="A19" s="53" t="s">
        <v>1402</v>
      </c>
      <c r="B19" s="46">
        <v>10</v>
      </c>
      <c r="C19" s="46">
        <v>11</v>
      </c>
      <c r="D19" s="46">
        <v>8</v>
      </c>
      <c r="E19" s="46">
        <v>2</v>
      </c>
      <c r="F19" s="46">
        <v>7</v>
      </c>
      <c r="G19" s="46">
        <v>11</v>
      </c>
      <c r="H19" s="70">
        <v>15</v>
      </c>
      <c r="I19" s="37" t="s">
        <v>1403</v>
      </c>
    </row>
    <row r="20" spans="1:15" ht="21">
      <c r="A20" s="53" t="s">
        <v>1404</v>
      </c>
      <c r="B20" s="46">
        <v>4</v>
      </c>
      <c r="C20" s="46">
        <v>4</v>
      </c>
      <c r="D20" s="46">
        <v>8</v>
      </c>
      <c r="E20" s="46">
        <v>3</v>
      </c>
      <c r="F20" s="46">
        <v>24</v>
      </c>
      <c r="G20" s="46">
        <v>9</v>
      </c>
      <c r="H20" s="70">
        <v>10</v>
      </c>
      <c r="I20" s="37" t="s">
        <v>1405</v>
      </c>
    </row>
    <row r="21" spans="1:15" ht="21">
      <c r="A21" s="53" t="s">
        <v>1406</v>
      </c>
      <c r="B21" s="46">
        <v>0</v>
      </c>
      <c r="C21" s="46">
        <v>0</v>
      </c>
      <c r="D21" s="46">
        <v>0</v>
      </c>
      <c r="E21" s="46">
        <v>0</v>
      </c>
      <c r="F21" s="46">
        <v>3</v>
      </c>
      <c r="G21" s="46">
        <v>22</v>
      </c>
      <c r="H21" s="70">
        <v>21</v>
      </c>
      <c r="I21" s="37" t="s">
        <v>1407</v>
      </c>
    </row>
    <row r="22" spans="1:15" ht="21">
      <c r="A22" s="53" t="s">
        <v>1408</v>
      </c>
      <c r="B22" s="46">
        <v>17</v>
      </c>
      <c r="C22" s="46">
        <v>9</v>
      </c>
      <c r="D22" s="46">
        <v>8</v>
      </c>
      <c r="E22" s="46">
        <v>7</v>
      </c>
      <c r="F22" s="46">
        <v>6</v>
      </c>
      <c r="G22" s="46">
        <v>17</v>
      </c>
      <c r="H22" s="70">
        <v>0</v>
      </c>
      <c r="I22" s="37" t="s">
        <v>1409</v>
      </c>
    </row>
    <row r="23" spans="1:15" ht="21">
      <c r="A23" s="53" t="s">
        <v>1410</v>
      </c>
      <c r="B23" s="46">
        <v>7</v>
      </c>
      <c r="C23" s="46">
        <v>8</v>
      </c>
      <c r="D23" s="46">
        <v>1</v>
      </c>
      <c r="E23" s="46">
        <v>4</v>
      </c>
      <c r="F23" s="46">
        <v>7</v>
      </c>
      <c r="G23" s="46">
        <v>10</v>
      </c>
      <c r="H23" s="70">
        <v>17</v>
      </c>
      <c r="I23" s="37" t="s">
        <v>1411</v>
      </c>
    </row>
    <row r="24" spans="1:15" ht="21">
      <c r="A24" s="53" t="s">
        <v>1412</v>
      </c>
      <c r="B24" s="46">
        <v>0</v>
      </c>
      <c r="C24" s="46">
        <v>0</v>
      </c>
      <c r="D24" s="46">
        <v>0</v>
      </c>
      <c r="E24" s="46">
        <v>0</v>
      </c>
      <c r="F24" s="46">
        <v>3</v>
      </c>
      <c r="G24" s="46">
        <v>6</v>
      </c>
      <c r="H24" s="70">
        <v>12</v>
      </c>
      <c r="I24" s="37" t="s">
        <v>1413</v>
      </c>
    </row>
    <row r="25" spans="1:15" ht="21">
      <c r="A25" s="53" t="s">
        <v>1414</v>
      </c>
      <c r="B25" s="46">
        <v>9</v>
      </c>
      <c r="C25" s="46">
        <v>14</v>
      </c>
      <c r="D25" s="46">
        <v>6</v>
      </c>
      <c r="E25" s="46">
        <v>0</v>
      </c>
      <c r="F25" s="46">
        <v>2</v>
      </c>
      <c r="G25" s="46">
        <v>16</v>
      </c>
      <c r="H25" s="70">
        <v>0</v>
      </c>
      <c r="I25" s="37" t="s">
        <v>1415</v>
      </c>
    </row>
    <row r="26" spans="1:15" ht="21">
      <c r="A26" s="53" t="s">
        <v>1416</v>
      </c>
      <c r="B26" s="46">
        <v>6</v>
      </c>
      <c r="C26" s="46">
        <v>4</v>
      </c>
      <c r="D26" s="46">
        <v>37</v>
      </c>
      <c r="E26" s="46">
        <v>36</v>
      </c>
      <c r="F26" s="46">
        <v>5</v>
      </c>
      <c r="G26" s="46">
        <v>11</v>
      </c>
      <c r="H26" s="70">
        <v>7</v>
      </c>
      <c r="I26" s="37" t="s">
        <v>1417</v>
      </c>
    </row>
    <row r="27" spans="1:15" ht="21">
      <c r="A27" s="53" t="s">
        <v>1418</v>
      </c>
      <c r="B27" s="46">
        <v>0</v>
      </c>
      <c r="C27" s="46">
        <v>0</v>
      </c>
      <c r="D27" s="46">
        <v>0</v>
      </c>
      <c r="E27" s="46">
        <v>0</v>
      </c>
      <c r="F27" s="46">
        <v>14</v>
      </c>
      <c r="G27" s="46">
        <v>8</v>
      </c>
      <c r="H27" s="70">
        <v>2</v>
      </c>
      <c r="I27" s="37" t="s">
        <v>1419</v>
      </c>
    </row>
    <row r="28" spans="1:15" ht="21">
      <c r="A28" s="53" t="s">
        <v>1420</v>
      </c>
      <c r="B28" s="46">
        <v>0</v>
      </c>
      <c r="C28" s="46">
        <v>0</v>
      </c>
      <c r="D28" s="46">
        <v>0</v>
      </c>
      <c r="E28" s="46">
        <v>0</v>
      </c>
      <c r="F28" s="46">
        <v>14</v>
      </c>
      <c r="G28" s="46">
        <v>18</v>
      </c>
      <c r="H28" s="70">
        <v>6</v>
      </c>
      <c r="I28" s="37" t="s">
        <v>1421</v>
      </c>
    </row>
    <row r="29" spans="1:15" ht="21">
      <c r="A29" s="53" t="s">
        <v>1422</v>
      </c>
      <c r="B29" s="46">
        <v>36</v>
      </c>
      <c r="C29" s="46">
        <v>34</v>
      </c>
      <c r="D29" s="46">
        <v>0</v>
      </c>
      <c r="E29" s="46">
        <v>1</v>
      </c>
      <c r="F29" s="46">
        <v>98</v>
      </c>
      <c r="G29" s="46">
        <v>0</v>
      </c>
      <c r="H29" s="70">
        <v>0</v>
      </c>
      <c r="I29" s="37" t="s">
        <v>1423</v>
      </c>
    </row>
    <row r="30" spans="1:15" ht="21">
      <c r="A30" s="53" t="s">
        <v>1424</v>
      </c>
      <c r="B30" s="46">
        <v>0</v>
      </c>
      <c r="C30" s="46">
        <v>0</v>
      </c>
      <c r="D30" s="46">
        <v>0</v>
      </c>
      <c r="E30" s="46">
        <v>0</v>
      </c>
      <c r="F30" s="46">
        <v>0</v>
      </c>
      <c r="G30" s="46">
        <v>0</v>
      </c>
      <c r="H30" s="70">
        <v>11</v>
      </c>
      <c r="I30" s="37" t="s">
        <v>1425</v>
      </c>
    </row>
    <row r="31" spans="1:15" ht="21">
      <c r="A31" s="53" t="s">
        <v>1426</v>
      </c>
      <c r="B31" s="46">
        <v>0</v>
      </c>
      <c r="C31" s="46">
        <v>0</v>
      </c>
      <c r="D31" s="46">
        <v>0</v>
      </c>
      <c r="E31" s="46">
        <v>0</v>
      </c>
      <c r="F31" s="46">
        <v>1</v>
      </c>
      <c r="G31" s="46">
        <v>6</v>
      </c>
      <c r="H31" s="70">
        <v>0</v>
      </c>
      <c r="I31" s="37" t="s">
        <v>1427</v>
      </c>
    </row>
    <row r="32" spans="1:15" ht="21">
      <c r="A32" s="53" t="s">
        <v>1428</v>
      </c>
      <c r="B32" s="46">
        <v>0</v>
      </c>
      <c r="C32" s="46">
        <v>0</v>
      </c>
      <c r="D32" s="46">
        <v>0</v>
      </c>
      <c r="E32" s="46">
        <v>0</v>
      </c>
      <c r="F32" s="46">
        <v>1</v>
      </c>
      <c r="G32" s="46">
        <v>4</v>
      </c>
      <c r="H32" s="70">
        <v>1</v>
      </c>
      <c r="I32" s="37" t="s">
        <v>1429</v>
      </c>
    </row>
    <row r="33" spans="1:11" ht="21">
      <c r="A33" s="53" t="s">
        <v>1430</v>
      </c>
      <c r="B33" s="46">
        <v>13</v>
      </c>
      <c r="C33" s="46">
        <v>2</v>
      </c>
      <c r="D33" s="46">
        <v>1</v>
      </c>
      <c r="E33" s="46">
        <v>1</v>
      </c>
      <c r="F33" s="46">
        <v>1</v>
      </c>
      <c r="G33" s="46">
        <v>11</v>
      </c>
      <c r="H33" s="70">
        <v>31</v>
      </c>
      <c r="I33" s="37" t="s">
        <v>1431</v>
      </c>
    </row>
    <row r="34" spans="1:11" ht="21">
      <c r="A34" s="53" t="s">
        <v>1432</v>
      </c>
      <c r="B34" s="46">
        <v>0</v>
      </c>
      <c r="C34" s="46">
        <v>0</v>
      </c>
      <c r="D34" s="46">
        <v>0</v>
      </c>
      <c r="E34" s="46">
        <v>0</v>
      </c>
      <c r="F34" s="46">
        <v>5</v>
      </c>
      <c r="G34" s="46">
        <v>20</v>
      </c>
      <c r="H34" s="70">
        <v>0</v>
      </c>
      <c r="I34" s="37" t="s">
        <v>1433</v>
      </c>
    </row>
    <row r="35" spans="1:11" ht="21">
      <c r="A35" s="53" t="s">
        <v>1434</v>
      </c>
      <c r="B35" s="46">
        <v>0</v>
      </c>
      <c r="C35" s="46">
        <v>0</v>
      </c>
      <c r="D35" s="46">
        <v>0</v>
      </c>
      <c r="E35" s="46">
        <v>0</v>
      </c>
      <c r="F35" s="46">
        <v>0</v>
      </c>
      <c r="G35" s="46">
        <v>0</v>
      </c>
      <c r="H35" s="70">
        <v>6</v>
      </c>
      <c r="I35" s="37" t="s">
        <v>1435</v>
      </c>
    </row>
    <row r="36" spans="1:11" ht="21">
      <c r="A36" s="53" t="s">
        <v>1436</v>
      </c>
      <c r="B36" s="46">
        <v>6</v>
      </c>
      <c r="C36" s="46">
        <v>5</v>
      </c>
      <c r="D36" s="46">
        <v>3</v>
      </c>
      <c r="E36" s="46">
        <v>5</v>
      </c>
      <c r="F36" s="46">
        <v>6</v>
      </c>
      <c r="G36" s="46">
        <v>10</v>
      </c>
      <c r="H36" s="70">
        <v>0</v>
      </c>
      <c r="I36" s="37" t="s">
        <v>1437</v>
      </c>
    </row>
    <row r="37" spans="1:11" ht="21">
      <c r="A37" s="53" t="s">
        <v>1438</v>
      </c>
      <c r="B37" s="46">
        <v>33</v>
      </c>
      <c r="C37" s="46">
        <v>29</v>
      </c>
      <c r="D37" s="46">
        <v>14</v>
      </c>
      <c r="E37" s="46">
        <v>18</v>
      </c>
      <c r="F37" s="46">
        <v>83</v>
      </c>
      <c r="G37" s="46">
        <v>28</v>
      </c>
      <c r="H37" s="70">
        <v>14</v>
      </c>
      <c r="I37" s="37" t="s">
        <v>1439</v>
      </c>
    </row>
    <row r="38" spans="1:11" ht="21">
      <c r="A38" s="53" t="s">
        <v>1440</v>
      </c>
      <c r="B38" s="46">
        <v>5</v>
      </c>
      <c r="C38" s="46">
        <v>0</v>
      </c>
      <c r="D38" s="46">
        <v>6</v>
      </c>
      <c r="E38" s="46">
        <v>4</v>
      </c>
      <c r="F38" s="46">
        <v>4</v>
      </c>
      <c r="G38" s="46">
        <v>0</v>
      </c>
      <c r="H38" s="70">
        <v>0</v>
      </c>
      <c r="I38" s="37" t="s">
        <v>1441</v>
      </c>
    </row>
    <row r="39" spans="1:11" s="49" customFormat="1" ht="21">
      <c r="A39" s="1070" t="s">
        <v>1442</v>
      </c>
      <c r="B39" s="46">
        <v>0</v>
      </c>
      <c r="C39" s="46">
        <v>0</v>
      </c>
      <c r="D39" s="46">
        <v>0</v>
      </c>
      <c r="E39" s="46">
        <v>0</v>
      </c>
      <c r="F39" s="46">
        <v>0</v>
      </c>
      <c r="G39" s="46">
        <v>9</v>
      </c>
      <c r="H39" s="70">
        <v>5</v>
      </c>
      <c r="I39" s="708" t="s">
        <v>1443</v>
      </c>
    </row>
    <row r="40" spans="1:11" ht="21">
      <c r="A40" s="53" t="s">
        <v>1444</v>
      </c>
      <c r="B40" s="46">
        <v>60</v>
      </c>
      <c r="C40" s="46">
        <v>43</v>
      </c>
      <c r="D40" s="46">
        <v>66</v>
      </c>
      <c r="E40" s="46">
        <v>43</v>
      </c>
      <c r="F40" s="46">
        <v>49</v>
      </c>
      <c r="G40" s="46">
        <v>101</v>
      </c>
      <c r="H40" s="70">
        <v>69</v>
      </c>
      <c r="I40" s="37" t="s">
        <v>1445</v>
      </c>
    </row>
    <row r="41" spans="1:11" ht="21">
      <c r="A41" s="53" t="s">
        <v>2122</v>
      </c>
      <c r="B41" s="46">
        <v>0</v>
      </c>
      <c r="C41" s="46">
        <v>0</v>
      </c>
      <c r="D41" s="46">
        <v>0</v>
      </c>
      <c r="E41" s="46">
        <v>0</v>
      </c>
      <c r="F41" s="46">
        <v>0</v>
      </c>
      <c r="G41" s="46">
        <v>0</v>
      </c>
      <c r="H41" s="70">
        <v>2</v>
      </c>
      <c r="I41" s="37" t="s">
        <v>1446</v>
      </c>
    </row>
    <row r="42" spans="1:11" ht="21">
      <c r="A42" s="53" t="s">
        <v>1447</v>
      </c>
      <c r="B42" s="46">
        <v>115</v>
      </c>
      <c r="C42" s="46">
        <v>94</v>
      </c>
      <c r="D42" s="46">
        <v>97</v>
      </c>
      <c r="E42" s="46">
        <v>112</v>
      </c>
      <c r="F42" s="46">
        <v>90</v>
      </c>
      <c r="G42" s="46">
        <v>144</v>
      </c>
      <c r="H42" s="70">
        <v>59</v>
      </c>
      <c r="I42" s="37" t="s">
        <v>1448</v>
      </c>
    </row>
    <row r="43" spans="1:11" ht="21">
      <c r="A43" s="53" t="s">
        <v>1449</v>
      </c>
      <c r="B43" s="46">
        <v>24</v>
      </c>
      <c r="C43" s="46">
        <v>21</v>
      </c>
      <c r="D43" s="46">
        <v>22</v>
      </c>
      <c r="E43" s="46">
        <v>13</v>
      </c>
      <c r="F43" s="46">
        <v>14</v>
      </c>
      <c r="G43" s="46">
        <v>22</v>
      </c>
      <c r="H43" s="70">
        <v>18</v>
      </c>
      <c r="I43" s="708" t="s">
        <v>1450</v>
      </c>
      <c r="J43" s="708"/>
    </row>
    <row r="44" spans="1:11" ht="21">
      <c r="A44" s="53" t="s">
        <v>1451</v>
      </c>
      <c r="B44" s="46">
        <v>7</v>
      </c>
      <c r="C44" s="46">
        <v>0</v>
      </c>
      <c r="D44" s="46">
        <v>2</v>
      </c>
      <c r="E44" s="46">
        <v>2</v>
      </c>
      <c r="F44" s="46">
        <v>5</v>
      </c>
      <c r="G44" s="46">
        <v>3</v>
      </c>
      <c r="H44" s="70">
        <v>0</v>
      </c>
      <c r="I44" s="37" t="s">
        <v>1452</v>
      </c>
    </row>
    <row r="45" spans="1:11" ht="21">
      <c r="A45" s="709" t="s">
        <v>1453</v>
      </c>
      <c r="B45" s="1071">
        <v>7</v>
      </c>
      <c r="C45" s="1071">
        <v>3</v>
      </c>
      <c r="D45" s="1071">
        <v>4</v>
      </c>
      <c r="E45" s="1071">
        <v>3</v>
      </c>
      <c r="F45" s="1071">
        <v>4</v>
      </c>
      <c r="G45" s="1071">
        <v>7</v>
      </c>
      <c r="H45" s="71">
        <v>23</v>
      </c>
      <c r="I45" s="710" t="s">
        <v>1454</v>
      </c>
      <c r="J45" s="37"/>
    </row>
    <row r="46" spans="1:11" ht="18">
      <c r="A46" s="1278" t="s">
        <v>1455</v>
      </c>
      <c r="B46" s="1278"/>
      <c r="C46" s="711"/>
      <c r="D46" s="711"/>
      <c r="E46" s="711"/>
      <c r="F46" s="711"/>
      <c r="G46" s="711"/>
      <c r="H46" s="712"/>
      <c r="I46" s="713" t="s">
        <v>1456</v>
      </c>
      <c r="J46" s="714"/>
      <c r="K46" s="714"/>
    </row>
    <row r="47" spans="1:11" ht="18">
      <c r="A47" s="32" t="s">
        <v>1457</v>
      </c>
      <c r="I47" s="713"/>
    </row>
  </sheetData>
  <mergeCells count="7">
    <mergeCell ref="M12:O17"/>
    <mergeCell ref="A46:B46"/>
    <mergeCell ref="B3:H3"/>
    <mergeCell ref="A1:I1"/>
    <mergeCell ref="A2:I2"/>
    <mergeCell ref="A3:A4"/>
    <mergeCell ref="I3:I4"/>
  </mergeCells>
  <pageMargins left="0.7" right="0.7" top="0.75" bottom="0.75" header="0.3" footer="0.3"/>
  <pageSetup paperSize="9" scale="46" orientation="portrait" r:id="rId1"/>
  <colBreaks count="1" manualBreakCount="1">
    <brk id="10"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A1:Q12"/>
  <sheetViews>
    <sheetView view="pageBreakPreview" zoomScale="60" zoomScaleNormal="100" workbookViewId="0">
      <selection activeCell="M23" sqref="M23"/>
    </sheetView>
  </sheetViews>
  <sheetFormatPr defaultColWidth="9.140625" defaultRowHeight="15"/>
  <cols>
    <col min="1" max="1" width="43.140625" style="16" customWidth="1"/>
    <col min="2" max="11" width="7.140625" style="16" customWidth="1"/>
    <col min="12" max="12" width="49.140625" style="16" customWidth="1"/>
    <col min="13" max="16384" width="9.140625" style="16"/>
  </cols>
  <sheetData>
    <row r="1" spans="1:17" ht="21">
      <c r="A1" s="1260" t="s">
        <v>1458</v>
      </c>
      <c r="B1" s="1260"/>
      <c r="C1" s="1260"/>
      <c r="D1" s="1260"/>
      <c r="E1" s="1260"/>
      <c r="F1" s="1260"/>
      <c r="G1" s="1260"/>
      <c r="H1" s="1260"/>
      <c r="I1" s="1260"/>
      <c r="J1" s="1260"/>
      <c r="K1" s="1260"/>
      <c r="L1" s="1260"/>
    </row>
    <row r="2" spans="1:17">
      <c r="A2" s="1079" t="s">
        <v>1459</v>
      </c>
      <c r="B2" s="1079"/>
      <c r="C2" s="1079"/>
      <c r="D2" s="1079"/>
      <c r="E2" s="1079"/>
      <c r="F2" s="1079"/>
      <c r="G2" s="1079"/>
      <c r="H2" s="1079"/>
      <c r="I2" s="1079"/>
      <c r="J2" s="1079"/>
      <c r="K2" s="1079"/>
      <c r="L2" s="1079"/>
    </row>
    <row r="4" spans="1:17" ht="21">
      <c r="A4" s="87" t="s">
        <v>74</v>
      </c>
      <c r="B4" s="93">
        <v>2011</v>
      </c>
      <c r="C4" s="93">
        <v>2012</v>
      </c>
      <c r="D4" s="93">
        <v>2013</v>
      </c>
      <c r="E4" s="93">
        <v>2014</v>
      </c>
      <c r="F4" s="93">
        <v>2015</v>
      </c>
      <c r="G4" s="93">
        <v>2016</v>
      </c>
      <c r="H4" s="93">
        <v>2017</v>
      </c>
      <c r="I4" s="93">
        <v>2018</v>
      </c>
      <c r="J4" s="93">
        <v>2019</v>
      </c>
      <c r="K4" s="93">
        <v>2020</v>
      </c>
      <c r="L4" s="715" t="s">
        <v>1460</v>
      </c>
    </row>
    <row r="5" spans="1:17" ht="42">
      <c r="A5" s="716" t="s">
        <v>1461</v>
      </c>
      <c r="B5" s="41">
        <v>297</v>
      </c>
      <c r="C5" s="41">
        <v>329</v>
      </c>
      <c r="D5" s="41">
        <v>504</v>
      </c>
      <c r="E5" s="41">
        <v>694</v>
      </c>
      <c r="F5" s="41">
        <v>829</v>
      </c>
      <c r="G5" s="717">
        <v>815</v>
      </c>
      <c r="H5" s="465">
        <v>1313</v>
      </c>
      <c r="I5" s="41">
        <v>1292</v>
      </c>
      <c r="J5" s="41">
        <v>708</v>
      </c>
      <c r="K5" s="41">
        <v>323</v>
      </c>
      <c r="L5" s="718" t="s">
        <v>1462</v>
      </c>
    </row>
    <row r="6" spans="1:17" ht="45">
      <c r="A6" s="716" t="s">
        <v>1463</v>
      </c>
      <c r="B6" s="41">
        <v>114</v>
      </c>
      <c r="C6" s="41">
        <v>186</v>
      </c>
      <c r="D6" s="41">
        <v>199</v>
      </c>
      <c r="E6" s="41">
        <v>208</v>
      </c>
      <c r="F6" s="41">
        <v>0</v>
      </c>
      <c r="G6" s="41">
        <v>0</v>
      </c>
      <c r="H6" s="465">
        <v>253</v>
      </c>
      <c r="I6" s="41">
        <v>192</v>
      </c>
      <c r="J6" s="41">
        <v>129</v>
      </c>
      <c r="K6" s="41">
        <v>82</v>
      </c>
      <c r="L6" s="719" t="s">
        <v>1464</v>
      </c>
      <c r="O6" s="720"/>
      <c r="P6" s="721"/>
      <c r="Q6" s="721"/>
    </row>
    <row r="7" spans="1:17" ht="30">
      <c r="A7" s="716" t="s">
        <v>1465</v>
      </c>
      <c r="B7" s="41"/>
      <c r="C7" s="41"/>
      <c r="D7" s="41"/>
      <c r="E7" s="41"/>
      <c r="F7" s="41">
        <v>0</v>
      </c>
      <c r="G7" s="41">
        <v>0</v>
      </c>
      <c r="H7" s="465">
        <v>0</v>
      </c>
      <c r="I7" s="41">
        <v>0</v>
      </c>
      <c r="J7" s="41">
        <v>0</v>
      </c>
      <c r="K7" s="41">
        <v>94</v>
      </c>
      <c r="L7" s="719" t="s">
        <v>1466</v>
      </c>
      <c r="O7" s="720"/>
      <c r="P7" s="721"/>
      <c r="Q7" s="721"/>
    </row>
    <row r="8" spans="1:17" ht="42">
      <c r="A8" s="709" t="s">
        <v>1467</v>
      </c>
      <c r="B8" s="722">
        <v>28</v>
      </c>
      <c r="C8" s="722">
        <v>54</v>
      </c>
      <c r="D8" s="722">
        <v>51</v>
      </c>
      <c r="E8" s="722">
        <v>38</v>
      </c>
      <c r="F8" s="722">
        <v>26</v>
      </c>
      <c r="G8" s="722">
        <v>14</v>
      </c>
      <c r="H8" s="487">
        <v>13</v>
      </c>
      <c r="I8" s="722">
        <v>7</v>
      </c>
      <c r="J8" s="722">
        <v>3</v>
      </c>
      <c r="K8" s="722">
        <v>10</v>
      </c>
      <c r="L8" s="723" t="s">
        <v>1468</v>
      </c>
      <c r="O8" s="720"/>
      <c r="P8" s="721"/>
      <c r="Q8" s="721"/>
    </row>
    <row r="9" spans="1:17" ht="18">
      <c r="A9" s="724" t="s">
        <v>1469</v>
      </c>
      <c r="L9" s="713" t="s">
        <v>1470</v>
      </c>
      <c r="O9" s="720"/>
      <c r="P9" s="721"/>
      <c r="Q9" s="721"/>
    </row>
    <row r="10" spans="1:17">
      <c r="A10" s="725" t="s">
        <v>1471</v>
      </c>
      <c r="O10" s="720"/>
      <c r="P10" s="721"/>
      <c r="Q10" s="721"/>
    </row>
    <row r="11" spans="1:17">
      <c r="A11" s="16" t="s">
        <v>1472</v>
      </c>
      <c r="H11" s="726"/>
      <c r="I11" s="726"/>
      <c r="J11" s="726"/>
      <c r="K11" s="726"/>
      <c r="O11" s="720"/>
      <c r="P11" s="721"/>
      <c r="Q11" s="721"/>
    </row>
    <row r="12" spans="1:17">
      <c r="O12" s="720"/>
      <c r="P12" s="721"/>
      <c r="Q12" s="721"/>
    </row>
  </sheetData>
  <mergeCells count="2">
    <mergeCell ref="A1:L1"/>
    <mergeCell ref="A2:L2"/>
  </mergeCells>
  <pageMargins left="0.7" right="0.7" top="0.75" bottom="0.75" header="0.3" footer="0.3"/>
  <pageSetup paperSize="9" scale="50" orientation="portrait" r:id="rId1"/>
  <colBreaks count="1" manualBreakCount="1">
    <brk id="13" max="11"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A2:K17"/>
  <sheetViews>
    <sheetView view="pageBreakPreview" zoomScale="60" zoomScaleNormal="100" workbookViewId="0">
      <selection activeCell="E10" sqref="E10"/>
    </sheetView>
  </sheetViews>
  <sheetFormatPr defaultColWidth="9.140625" defaultRowHeight="15"/>
  <cols>
    <col min="1" max="1" width="31.28515625" style="16" customWidth="1"/>
    <col min="2" max="2" width="33.42578125" style="16" customWidth="1"/>
    <col min="3" max="3" width="9.140625" style="16"/>
    <col min="4" max="4" width="17.7109375" style="16" customWidth="1"/>
    <col min="5" max="16384" width="9.140625" style="16"/>
  </cols>
  <sheetData>
    <row r="2" spans="1:11" ht="21">
      <c r="A2" s="1265" t="s">
        <v>1473</v>
      </c>
      <c r="B2" s="1265"/>
    </row>
    <row r="3" spans="1:11" ht="15.75">
      <c r="A3" s="1186" t="s">
        <v>1474</v>
      </c>
      <c r="B3" s="1186"/>
    </row>
    <row r="4" spans="1:11" ht="21">
      <c r="A4" s="706"/>
    </row>
    <row r="5" spans="1:11" ht="21">
      <c r="A5" s="727" t="s">
        <v>1475</v>
      </c>
      <c r="B5" s="727" t="s">
        <v>1476</v>
      </c>
    </row>
    <row r="6" spans="1:11" ht="19.5" customHeight="1">
      <c r="A6" s="10">
        <v>2010</v>
      </c>
      <c r="B6" s="41">
        <v>324</v>
      </c>
      <c r="H6" s="720"/>
      <c r="I6" s="721"/>
      <c r="J6" s="721"/>
    </row>
    <row r="7" spans="1:11" ht="19.5" customHeight="1">
      <c r="A7" s="10">
        <v>2011</v>
      </c>
      <c r="B7" s="41">
        <v>409</v>
      </c>
      <c r="H7" s="720"/>
      <c r="I7" s="721"/>
      <c r="J7" s="721"/>
    </row>
    <row r="8" spans="1:11" ht="19.5" customHeight="1">
      <c r="A8" s="10">
        <v>2012</v>
      </c>
      <c r="B8" s="41">
        <v>431</v>
      </c>
      <c r="H8" s="720"/>
      <c r="I8" s="721"/>
      <c r="J8" s="721"/>
    </row>
    <row r="9" spans="1:11" ht="19.5" customHeight="1">
      <c r="A9" s="10">
        <v>2013</v>
      </c>
      <c r="B9" s="41">
        <v>620</v>
      </c>
      <c r="H9" s="720"/>
      <c r="I9" s="721"/>
      <c r="J9" s="721"/>
      <c r="K9" s="53"/>
    </row>
    <row r="10" spans="1:11" ht="19.5" customHeight="1">
      <c r="A10" s="10">
        <v>2014</v>
      </c>
      <c r="B10" s="41">
        <v>783</v>
      </c>
      <c r="H10" s="720"/>
      <c r="I10" s="721"/>
      <c r="J10" s="721"/>
    </row>
    <row r="11" spans="1:11" ht="19.5" customHeight="1">
      <c r="A11" s="10">
        <v>2015</v>
      </c>
      <c r="B11" s="41">
        <v>855</v>
      </c>
      <c r="H11" s="720"/>
      <c r="I11" s="721"/>
      <c r="J11" s="721"/>
    </row>
    <row r="12" spans="1:11" ht="19.5" customHeight="1">
      <c r="A12" s="10">
        <v>2016</v>
      </c>
      <c r="B12" s="717">
        <v>829</v>
      </c>
    </row>
    <row r="13" spans="1:11" ht="19.5" customHeight="1">
      <c r="A13" s="10">
        <v>2017</v>
      </c>
      <c r="B13" s="41">
        <v>1326</v>
      </c>
    </row>
    <row r="14" spans="1:11" ht="19.5" customHeight="1">
      <c r="A14" s="10">
        <v>2018</v>
      </c>
      <c r="B14" s="41">
        <v>1299</v>
      </c>
    </row>
    <row r="15" spans="1:11" ht="19.5" customHeight="1">
      <c r="A15" s="10">
        <v>2019</v>
      </c>
      <c r="B15" s="41">
        <v>710</v>
      </c>
    </row>
    <row r="16" spans="1:11" ht="19.5" customHeight="1">
      <c r="A16" s="529">
        <v>2020</v>
      </c>
      <c r="B16" s="722">
        <v>961</v>
      </c>
    </row>
    <row r="17" spans="1:2" ht="18">
      <c r="A17" s="725" t="s">
        <v>1471</v>
      </c>
      <c r="B17" s="713" t="s">
        <v>1470</v>
      </c>
    </row>
  </sheetData>
  <mergeCells count="2">
    <mergeCell ref="A2:B2"/>
    <mergeCell ref="A3:B3"/>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A1:Q19"/>
  <sheetViews>
    <sheetView view="pageBreakPreview" zoomScale="60" zoomScaleNormal="100" workbookViewId="0">
      <selection activeCell="T24" sqref="T24"/>
    </sheetView>
  </sheetViews>
  <sheetFormatPr defaultColWidth="9.140625" defaultRowHeight="24.75" customHeight="1"/>
  <cols>
    <col min="1" max="1" width="29.85546875" style="76" customWidth="1"/>
    <col min="2" max="9" width="10.7109375" style="76" hidden="1" customWidth="1"/>
    <col min="10" max="13" width="10.7109375" style="76" customWidth="1"/>
    <col min="14" max="14" width="34" style="76" customWidth="1"/>
    <col min="15" max="16384" width="9.140625" style="76"/>
  </cols>
  <sheetData>
    <row r="1" spans="1:17" ht="18" customHeight="1">
      <c r="A1" s="1284" t="s">
        <v>1477</v>
      </c>
      <c r="B1" s="1284"/>
      <c r="C1" s="1284"/>
      <c r="D1" s="1284"/>
      <c r="E1" s="1284"/>
      <c r="F1" s="1284"/>
      <c r="G1" s="1284"/>
      <c r="H1" s="1284"/>
      <c r="I1" s="1284"/>
      <c r="J1" s="1284"/>
      <c r="K1" s="1284"/>
      <c r="L1" s="1284"/>
      <c r="M1" s="1284"/>
      <c r="N1" s="1284"/>
    </row>
    <row r="2" spans="1:17" ht="22.5" customHeight="1">
      <c r="A2" s="1090" t="s">
        <v>1478</v>
      </c>
      <c r="B2" s="1090"/>
      <c r="C2" s="1090"/>
      <c r="D2" s="1090"/>
      <c r="E2" s="1090"/>
      <c r="F2" s="1090"/>
      <c r="G2" s="1090"/>
      <c r="H2" s="1090"/>
      <c r="I2" s="1090"/>
      <c r="J2" s="1090"/>
      <c r="K2" s="1090"/>
      <c r="L2" s="1090"/>
      <c r="M2" s="1090"/>
      <c r="N2" s="1090"/>
      <c r="Q2" s="728"/>
    </row>
    <row r="3" spans="1:17" ht="24.75" customHeight="1">
      <c r="A3" s="91"/>
      <c r="B3" s="91"/>
      <c r="C3" s="91"/>
      <c r="D3" s="91"/>
      <c r="E3" s="91"/>
      <c r="F3" s="91"/>
      <c r="G3" s="91"/>
      <c r="H3" s="91"/>
      <c r="I3" s="91"/>
      <c r="J3" s="91"/>
      <c r="K3" s="91"/>
      <c r="L3" s="91"/>
      <c r="M3" s="91"/>
      <c r="N3" s="91"/>
    </row>
    <row r="4" spans="1:17" ht="20.25" customHeight="1">
      <c r="A4" s="729" t="s">
        <v>1479</v>
      </c>
      <c r="B4" s="730">
        <v>2009</v>
      </c>
      <c r="C4" s="730">
        <v>2010</v>
      </c>
      <c r="D4" s="730">
        <v>2011</v>
      </c>
      <c r="E4" s="730">
        <v>2012</v>
      </c>
      <c r="F4" s="730">
        <v>2013</v>
      </c>
      <c r="G4" s="730">
        <v>2014</v>
      </c>
      <c r="H4" s="730">
        <v>2015</v>
      </c>
      <c r="I4" s="730">
        <v>2016</v>
      </c>
      <c r="J4" s="730">
        <v>2017</v>
      </c>
      <c r="K4" s="730">
        <v>2018</v>
      </c>
      <c r="L4" s="730">
        <v>2019</v>
      </c>
      <c r="M4" s="730">
        <v>2020</v>
      </c>
      <c r="N4" s="731" t="s">
        <v>118</v>
      </c>
    </row>
    <row r="5" spans="1:17" s="736" customFormat="1" ht="24.75" customHeight="1">
      <c r="A5" s="732" t="s">
        <v>1</v>
      </c>
      <c r="B5" s="733">
        <f t="shared" ref="B5:H5" si="0">SUM(B6:B9)</f>
        <v>314</v>
      </c>
      <c r="C5" s="733">
        <f t="shared" si="0"/>
        <v>331</v>
      </c>
      <c r="D5" s="733">
        <f t="shared" si="0"/>
        <v>485</v>
      </c>
      <c r="E5" s="733">
        <f t="shared" si="0"/>
        <v>654</v>
      </c>
      <c r="F5" s="733">
        <f t="shared" si="0"/>
        <v>440</v>
      </c>
      <c r="G5" s="733">
        <f t="shared" si="0"/>
        <v>624</v>
      </c>
      <c r="H5" s="733">
        <f t="shared" si="0"/>
        <v>642</v>
      </c>
      <c r="I5" s="733">
        <f>SUM(I6:I9)</f>
        <v>1095</v>
      </c>
      <c r="J5" s="733">
        <f>SUM(J6:J14)</f>
        <v>1412</v>
      </c>
      <c r="K5" s="734">
        <f>SUM(K6:K14)</f>
        <v>1309</v>
      </c>
      <c r="L5" s="734">
        <f>SUM(L6:L14)</f>
        <v>1375</v>
      </c>
      <c r="M5" s="734">
        <f>SUM(M6:M14)</f>
        <v>1283</v>
      </c>
      <c r="N5" s="735" t="s">
        <v>49</v>
      </c>
    </row>
    <row r="6" spans="1:17" s="741" customFormat="1" ht="24.75" customHeight="1">
      <c r="A6" s="737" t="s">
        <v>155</v>
      </c>
      <c r="B6" s="738">
        <v>75</v>
      </c>
      <c r="C6" s="738">
        <v>102</v>
      </c>
      <c r="D6" s="738">
        <v>156</v>
      </c>
      <c r="E6" s="738">
        <v>141</v>
      </c>
      <c r="F6" s="738">
        <v>116</v>
      </c>
      <c r="G6" s="738">
        <v>120</v>
      </c>
      <c r="H6" s="738">
        <v>227</v>
      </c>
      <c r="I6" s="738">
        <v>287</v>
      </c>
      <c r="J6" s="738">
        <v>297</v>
      </c>
      <c r="K6" s="738">
        <v>351</v>
      </c>
      <c r="L6" s="738">
        <v>410</v>
      </c>
      <c r="M6" s="739">
        <v>331</v>
      </c>
      <c r="N6" s="740" t="s">
        <v>1480</v>
      </c>
    </row>
    <row r="7" spans="1:17" s="741" customFormat="1" ht="24.75" customHeight="1">
      <c r="A7" s="737" t="s">
        <v>153</v>
      </c>
      <c r="B7" s="738">
        <v>76</v>
      </c>
      <c r="C7" s="738">
        <v>69</v>
      </c>
      <c r="D7" s="738">
        <v>96</v>
      </c>
      <c r="E7" s="738">
        <v>159</v>
      </c>
      <c r="F7" s="738">
        <v>110</v>
      </c>
      <c r="G7" s="738">
        <v>139</v>
      </c>
      <c r="H7" s="738">
        <v>245</v>
      </c>
      <c r="I7" s="738">
        <v>324</v>
      </c>
      <c r="J7" s="738">
        <v>354</v>
      </c>
      <c r="K7" s="738">
        <v>316</v>
      </c>
      <c r="L7" s="738">
        <v>299</v>
      </c>
      <c r="M7" s="739">
        <v>252</v>
      </c>
      <c r="N7" s="1021" t="s">
        <v>1481</v>
      </c>
    </row>
    <row r="8" spans="1:17" s="741" customFormat="1" ht="24.75" customHeight="1">
      <c r="A8" s="737" t="s">
        <v>1482</v>
      </c>
      <c r="B8" s="738">
        <v>30</v>
      </c>
      <c r="C8" s="738">
        <v>93</v>
      </c>
      <c r="D8" s="738">
        <v>146</v>
      </c>
      <c r="E8" s="738">
        <v>59</v>
      </c>
      <c r="F8" s="738">
        <v>170</v>
      </c>
      <c r="G8" s="738">
        <v>65</v>
      </c>
      <c r="H8" s="738">
        <v>72</v>
      </c>
      <c r="I8" s="738">
        <v>142</v>
      </c>
      <c r="J8" s="738">
        <v>182</v>
      </c>
      <c r="K8" s="738">
        <v>113</v>
      </c>
      <c r="L8" s="738">
        <v>144</v>
      </c>
      <c r="M8" s="739">
        <v>83</v>
      </c>
      <c r="N8" s="1021" t="s">
        <v>1483</v>
      </c>
    </row>
    <row r="9" spans="1:17" s="741" customFormat="1" ht="24.75" customHeight="1">
      <c r="A9" s="737" t="s">
        <v>154</v>
      </c>
      <c r="B9" s="738">
        <v>133</v>
      </c>
      <c r="C9" s="738">
        <v>67</v>
      </c>
      <c r="D9" s="738">
        <v>87</v>
      </c>
      <c r="E9" s="738">
        <v>295</v>
      </c>
      <c r="F9" s="738">
        <v>44</v>
      </c>
      <c r="G9" s="738">
        <v>300</v>
      </c>
      <c r="H9" s="738">
        <v>98</v>
      </c>
      <c r="I9" s="738">
        <v>342</v>
      </c>
      <c r="J9" s="738">
        <v>418</v>
      </c>
      <c r="K9" s="738">
        <v>358</v>
      </c>
      <c r="L9" s="738">
        <v>360</v>
      </c>
      <c r="M9" s="739">
        <v>461</v>
      </c>
      <c r="N9" s="1021" t="s">
        <v>1484</v>
      </c>
    </row>
    <row r="10" spans="1:17" s="741" customFormat="1" ht="24.75" customHeight="1">
      <c r="A10" s="737" t="s">
        <v>1485</v>
      </c>
      <c r="B10" s="738">
        <v>0</v>
      </c>
      <c r="C10" s="738">
        <v>0</v>
      </c>
      <c r="D10" s="738">
        <v>0</v>
      </c>
      <c r="E10" s="738">
        <v>0</v>
      </c>
      <c r="F10" s="738">
        <v>0</v>
      </c>
      <c r="G10" s="738">
        <v>0</v>
      </c>
      <c r="H10" s="738">
        <v>0</v>
      </c>
      <c r="I10" s="738">
        <v>0</v>
      </c>
      <c r="J10" s="738">
        <v>39</v>
      </c>
      <c r="K10" s="738">
        <v>31</v>
      </c>
      <c r="L10" s="738">
        <v>32</v>
      </c>
      <c r="M10" s="739">
        <v>13</v>
      </c>
      <c r="N10" s="1021" t="s">
        <v>1486</v>
      </c>
    </row>
    <row r="11" spans="1:17" s="741" customFormat="1" ht="24.75" customHeight="1">
      <c r="A11" s="737" t="s">
        <v>1487</v>
      </c>
      <c r="B11" s="738">
        <v>0</v>
      </c>
      <c r="C11" s="738">
        <v>0</v>
      </c>
      <c r="D11" s="738">
        <v>0</v>
      </c>
      <c r="E11" s="738">
        <v>0</v>
      </c>
      <c r="F11" s="738">
        <v>0</v>
      </c>
      <c r="G11" s="738">
        <v>0</v>
      </c>
      <c r="H11" s="738">
        <v>0</v>
      </c>
      <c r="I11" s="738">
        <v>0</v>
      </c>
      <c r="J11" s="738">
        <v>12</v>
      </c>
      <c r="K11" s="738">
        <v>27</v>
      </c>
      <c r="L11" s="738">
        <v>13</v>
      </c>
      <c r="M11" s="739">
        <v>15</v>
      </c>
      <c r="N11" s="1021" t="s">
        <v>1488</v>
      </c>
    </row>
    <row r="12" spans="1:17" s="741" customFormat="1" ht="39" customHeight="1">
      <c r="A12" s="737" t="s">
        <v>1489</v>
      </c>
      <c r="B12" s="738">
        <v>0</v>
      </c>
      <c r="C12" s="738">
        <v>0</v>
      </c>
      <c r="D12" s="738">
        <v>0</v>
      </c>
      <c r="E12" s="738">
        <v>0</v>
      </c>
      <c r="F12" s="738">
        <v>0</v>
      </c>
      <c r="G12" s="738">
        <v>0</v>
      </c>
      <c r="H12" s="738">
        <v>0</v>
      </c>
      <c r="I12" s="738">
        <v>0</v>
      </c>
      <c r="J12" s="738">
        <v>48</v>
      </c>
      <c r="K12" s="738">
        <v>55</v>
      </c>
      <c r="L12" s="738">
        <v>65</v>
      </c>
      <c r="M12" s="739">
        <v>89</v>
      </c>
      <c r="N12" s="1021" t="s">
        <v>1490</v>
      </c>
    </row>
    <row r="13" spans="1:17" s="741" customFormat="1" ht="39" customHeight="1">
      <c r="A13" s="737" t="s">
        <v>1491</v>
      </c>
      <c r="B13" s="738">
        <v>0</v>
      </c>
      <c r="C13" s="738">
        <v>0</v>
      </c>
      <c r="D13" s="738">
        <v>0</v>
      </c>
      <c r="E13" s="738">
        <v>0</v>
      </c>
      <c r="F13" s="738">
        <v>0</v>
      </c>
      <c r="G13" s="738">
        <v>0</v>
      </c>
      <c r="H13" s="738">
        <v>0</v>
      </c>
      <c r="I13" s="738">
        <v>0</v>
      </c>
      <c r="J13" s="738">
        <v>10</v>
      </c>
      <c r="K13" s="738">
        <v>19</v>
      </c>
      <c r="L13" s="738">
        <v>29</v>
      </c>
      <c r="M13" s="739">
        <v>19</v>
      </c>
      <c r="N13" s="1021" t="s">
        <v>1492</v>
      </c>
    </row>
    <row r="14" spans="1:17" s="741" customFormat="1" ht="24.75" customHeight="1">
      <c r="A14" s="742" t="s">
        <v>5</v>
      </c>
      <c r="B14" s="738">
        <v>0</v>
      </c>
      <c r="C14" s="738">
        <v>0</v>
      </c>
      <c r="D14" s="738">
        <v>0</v>
      </c>
      <c r="E14" s="738">
        <v>0</v>
      </c>
      <c r="F14" s="738">
        <v>0</v>
      </c>
      <c r="G14" s="738">
        <v>0</v>
      </c>
      <c r="H14" s="738">
        <v>0</v>
      </c>
      <c r="I14" s="738">
        <v>0</v>
      </c>
      <c r="J14" s="743">
        <v>52</v>
      </c>
      <c r="K14" s="743">
        <v>39</v>
      </c>
      <c r="L14" s="743">
        <v>23</v>
      </c>
      <c r="M14" s="743">
        <v>20</v>
      </c>
      <c r="N14" s="744" t="s">
        <v>13</v>
      </c>
    </row>
    <row r="15" spans="1:17" ht="24.75" customHeight="1">
      <c r="A15" s="1287" t="s">
        <v>1493</v>
      </c>
      <c r="B15" s="1287"/>
      <c r="C15" s="1287"/>
      <c r="D15" s="1287"/>
      <c r="E15" s="1287"/>
      <c r="F15" s="1287"/>
      <c r="G15" s="1287"/>
      <c r="H15" s="1287"/>
      <c r="I15" s="1287"/>
      <c r="J15" s="1287"/>
      <c r="K15" s="1287"/>
      <c r="L15" s="745"/>
      <c r="M15" s="1286" t="s">
        <v>1494</v>
      </c>
      <c r="N15" s="1286"/>
      <c r="Q15" s="741"/>
    </row>
    <row r="16" spans="1:17" ht="24.75" customHeight="1">
      <c r="A16" s="1285" t="s">
        <v>1495</v>
      </c>
      <c r="B16" s="1285"/>
      <c r="C16" s="1285"/>
      <c r="D16" s="1285"/>
      <c r="E16" s="1285"/>
      <c r="F16" s="1285"/>
      <c r="G16" s="1285"/>
      <c r="H16" s="1285"/>
      <c r="I16" s="1285"/>
      <c r="Q16" s="741"/>
    </row>
    <row r="17" spans="17:17" ht="24.75" customHeight="1">
      <c r="Q17" s="741"/>
    </row>
    <row r="18" spans="17:17" ht="24.75" customHeight="1">
      <c r="Q18" s="741"/>
    </row>
    <row r="19" spans="17:17" ht="24.75" customHeight="1">
      <c r="Q19" s="741"/>
    </row>
  </sheetData>
  <mergeCells count="5">
    <mergeCell ref="A1:N1"/>
    <mergeCell ref="A2:N2"/>
    <mergeCell ref="A16:I16"/>
    <mergeCell ref="M15:N15"/>
    <mergeCell ref="A15:K15"/>
  </mergeCells>
  <pageMargins left="0.7" right="0.7" top="0.75" bottom="0.75" header="0.3" footer="0.3"/>
  <pageSetup paperSize="9" scale="65"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A1:S25"/>
  <sheetViews>
    <sheetView view="pageBreakPreview" zoomScale="60" zoomScaleNormal="100" workbookViewId="0">
      <selection activeCell="A18" sqref="A18"/>
    </sheetView>
  </sheetViews>
  <sheetFormatPr defaultColWidth="9.140625" defaultRowHeight="12.75"/>
  <cols>
    <col min="1" max="1" width="28.42578125" style="76" customWidth="1"/>
    <col min="2" max="13" width="11" style="76" customWidth="1"/>
    <col min="14" max="14" width="38.85546875" style="76" customWidth="1"/>
    <col min="15" max="16384" width="9.140625" style="76"/>
  </cols>
  <sheetData>
    <row r="1" spans="1:14" ht="18.75">
      <c r="A1" s="1284" t="s">
        <v>1496</v>
      </c>
      <c r="B1" s="1284"/>
      <c r="C1" s="1284"/>
      <c r="D1" s="1284"/>
      <c r="E1" s="1284"/>
      <c r="F1" s="1284"/>
      <c r="G1" s="1284"/>
      <c r="H1" s="1284"/>
      <c r="I1" s="1284"/>
      <c r="J1" s="1284"/>
      <c r="K1" s="1284"/>
      <c r="L1" s="1284"/>
      <c r="M1" s="1284"/>
      <c r="N1" s="1284"/>
    </row>
    <row r="2" spans="1:14">
      <c r="A2" s="1090" t="s">
        <v>2123</v>
      </c>
      <c r="B2" s="1090"/>
      <c r="C2" s="1090"/>
      <c r="D2" s="1090"/>
      <c r="E2" s="1090"/>
      <c r="F2" s="1090"/>
      <c r="G2" s="1090"/>
      <c r="H2" s="1090"/>
      <c r="I2" s="1090"/>
      <c r="J2" s="1090"/>
      <c r="K2" s="1090"/>
      <c r="L2" s="1090"/>
      <c r="M2" s="1090"/>
      <c r="N2" s="1090"/>
    </row>
    <row r="3" spans="1:14">
      <c r="A3" s="91"/>
      <c r="B3" s="91"/>
      <c r="C3" s="91"/>
      <c r="D3" s="91"/>
      <c r="E3" s="91"/>
      <c r="F3" s="91"/>
      <c r="G3" s="91"/>
      <c r="H3" s="91"/>
      <c r="I3" s="91"/>
      <c r="J3" s="91"/>
      <c r="K3" s="91"/>
      <c r="L3" s="91"/>
      <c r="M3" s="91"/>
      <c r="N3" s="91"/>
    </row>
    <row r="4" spans="1:14">
      <c r="A4" s="1253" t="s">
        <v>1479</v>
      </c>
      <c r="B4" s="1288">
        <v>2017</v>
      </c>
      <c r="C4" s="1288"/>
      <c r="D4" s="1288"/>
      <c r="E4" s="1288">
        <v>2018</v>
      </c>
      <c r="F4" s="1288"/>
      <c r="G4" s="1288"/>
      <c r="H4" s="1288">
        <v>2019</v>
      </c>
      <c r="I4" s="1288"/>
      <c r="J4" s="1288"/>
      <c r="K4" s="1288">
        <v>2020</v>
      </c>
      <c r="L4" s="1288"/>
      <c r="M4" s="1288"/>
      <c r="N4" s="1289" t="s">
        <v>118</v>
      </c>
    </row>
    <row r="5" spans="1:14">
      <c r="A5" s="1254"/>
      <c r="B5" s="207" t="s">
        <v>119</v>
      </c>
      <c r="C5" s="207" t="s">
        <v>69</v>
      </c>
      <c r="D5" s="207" t="s">
        <v>70</v>
      </c>
      <c r="E5" s="207" t="s">
        <v>119</v>
      </c>
      <c r="F5" s="207" t="s">
        <v>69</v>
      </c>
      <c r="G5" s="207" t="s">
        <v>70</v>
      </c>
      <c r="H5" s="207" t="s">
        <v>119</v>
      </c>
      <c r="I5" s="207" t="s">
        <v>69</v>
      </c>
      <c r="J5" s="207" t="s">
        <v>70</v>
      </c>
      <c r="K5" s="207" t="s">
        <v>119</v>
      </c>
      <c r="L5" s="207" t="s">
        <v>69</v>
      </c>
      <c r="M5" s="207" t="s">
        <v>70</v>
      </c>
      <c r="N5" s="1290"/>
    </row>
    <row r="6" spans="1:14" ht="18.75">
      <c r="A6" s="1088"/>
      <c r="B6" s="746" t="s">
        <v>1497</v>
      </c>
      <c r="C6" s="746" t="s">
        <v>76</v>
      </c>
      <c r="D6" s="747" t="s">
        <v>77</v>
      </c>
      <c r="E6" s="746" t="s">
        <v>1497</v>
      </c>
      <c r="F6" s="746" t="s">
        <v>76</v>
      </c>
      <c r="G6" s="747" t="s">
        <v>77</v>
      </c>
      <c r="H6" s="746" t="s">
        <v>1497</v>
      </c>
      <c r="I6" s="746" t="s">
        <v>76</v>
      </c>
      <c r="J6" s="747" t="s">
        <v>77</v>
      </c>
      <c r="K6" s="746" t="s">
        <v>1497</v>
      </c>
      <c r="L6" s="746" t="s">
        <v>76</v>
      </c>
      <c r="M6" s="747" t="s">
        <v>77</v>
      </c>
      <c r="N6" s="1291"/>
    </row>
    <row r="7" spans="1:14" s="736" customFormat="1" ht="18.75">
      <c r="A7" s="732" t="s">
        <v>1</v>
      </c>
      <c r="B7" s="733">
        <f>SUM(C7:D7)</f>
        <v>1412</v>
      </c>
      <c r="C7" s="733">
        <f>SUM(C8:C16)</f>
        <v>677</v>
      </c>
      <c r="D7" s="733">
        <f>SUM(D8:D16)</f>
        <v>735</v>
      </c>
      <c r="E7" s="733">
        <f>SUM(F7:G7)</f>
        <v>1309</v>
      </c>
      <c r="F7" s="733">
        <f>SUM(F8:F16)</f>
        <v>588</v>
      </c>
      <c r="G7" s="733">
        <f>SUM(G8:G16)</f>
        <v>721</v>
      </c>
      <c r="H7" s="733">
        <f>SUM(I7:J7)</f>
        <v>1375</v>
      </c>
      <c r="I7" s="733">
        <f>SUM(I8:I16)</f>
        <v>600</v>
      </c>
      <c r="J7" s="733">
        <f>SUM(J8:J16)</f>
        <v>775</v>
      </c>
      <c r="K7" s="733">
        <f>SUM(L7:M7)</f>
        <v>1283</v>
      </c>
      <c r="L7" s="733">
        <f>SUM(L8:L16)</f>
        <v>548</v>
      </c>
      <c r="M7" s="733">
        <f>SUM(M8:M16)</f>
        <v>735</v>
      </c>
      <c r="N7" s="735" t="s">
        <v>49</v>
      </c>
    </row>
    <row r="8" spans="1:14" s="741" customFormat="1" ht="18.75">
      <c r="A8" s="737" t="s">
        <v>155</v>
      </c>
      <c r="B8" s="739">
        <f>SUM(C8:D8)</f>
        <v>297</v>
      </c>
      <c r="C8" s="738">
        <v>162</v>
      </c>
      <c r="D8" s="738">
        <v>135</v>
      </c>
      <c r="E8" s="739">
        <f>SUM(F8:G8)</f>
        <v>351</v>
      </c>
      <c r="F8" s="738">
        <v>190</v>
      </c>
      <c r="G8" s="738">
        <v>161</v>
      </c>
      <c r="H8" s="739">
        <f>SUM(I8:J8)</f>
        <v>410</v>
      </c>
      <c r="I8" s="738">
        <v>204</v>
      </c>
      <c r="J8" s="738">
        <v>206</v>
      </c>
      <c r="K8" s="739">
        <f>SUM(L8:M8)</f>
        <v>331</v>
      </c>
      <c r="L8" s="738">
        <v>169</v>
      </c>
      <c r="M8" s="738">
        <v>162</v>
      </c>
      <c r="N8" s="740" t="s">
        <v>1480</v>
      </c>
    </row>
    <row r="9" spans="1:14" s="741" customFormat="1" ht="18.75">
      <c r="A9" s="737" t="s">
        <v>153</v>
      </c>
      <c r="B9" s="739">
        <f t="shared" ref="B9:B16" si="0">SUM(C9:D9)</f>
        <v>354</v>
      </c>
      <c r="C9" s="738">
        <v>216</v>
      </c>
      <c r="D9" s="738">
        <v>138</v>
      </c>
      <c r="E9" s="739">
        <f t="shared" ref="E9:E16" si="1">SUM(F9:G9)</f>
        <v>316</v>
      </c>
      <c r="F9" s="738">
        <v>186</v>
      </c>
      <c r="G9" s="738">
        <v>130</v>
      </c>
      <c r="H9" s="739">
        <f t="shared" ref="H9:H16" si="2">SUM(I9:J9)</f>
        <v>299</v>
      </c>
      <c r="I9" s="738">
        <v>169</v>
      </c>
      <c r="J9" s="738">
        <v>130</v>
      </c>
      <c r="K9" s="739">
        <f t="shared" ref="K9:K16" si="3">SUM(L9:M9)</f>
        <v>252</v>
      </c>
      <c r="L9" s="738">
        <v>146</v>
      </c>
      <c r="M9" s="738">
        <v>106</v>
      </c>
      <c r="N9" s="740" t="s">
        <v>1481</v>
      </c>
    </row>
    <row r="10" spans="1:14" s="741" customFormat="1" ht="18.75">
      <c r="A10" s="737" t="s">
        <v>1482</v>
      </c>
      <c r="B10" s="739">
        <f t="shared" si="0"/>
        <v>182</v>
      </c>
      <c r="C10" s="738">
        <v>92</v>
      </c>
      <c r="D10" s="738">
        <v>90</v>
      </c>
      <c r="E10" s="739">
        <f t="shared" si="1"/>
        <v>113</v>
      </c>
      <c r="F10" s="738">
        <v>56</v>
      </c>
      <c r="G10" s="738">
        <v>57</v>
      </c>
      <c r="H10" s="739">
        <f t="shared" si="2"/>
        <v>144</v>
      </c>
      <c r="I10" s="738">
        <v>82</v>
      </c>
      <c r="J10" s="738">
        <v>62</v>
      </c>
      <c r="K10" s="739">
        <f t="shared" si="3"/>
        <v>83</v>
      </c>
      <c r="L10" s="738">
        <v>47</v>
      </c>
      <c r="M10" s="738">
        <v>36</v>
      </c>
      <c r="N10" s="740" t="s">
        <v>1483</v>
      </c>
    </row>
    <row r="11" spans="1:14" s="741" customFormat="1" ht="18.75">
      <c r="A11" s="737" t="s">
        <v>154</v>
      </c>
      <c r="B11" s="739">
        <f t="shared" si="0"/>
        <v>418</v>
      </c>
      <c r="C11" s="738">
        <v>126</v>
      </c>
      <c r="D11" s="738">
        <v>292</v>
      </c>
      <c r="E11" s="739">
        <f t="shared" si="1"/>
        <v>358</v>
      </c>
      <c r="F11" s="738">
        <v>84</v>
      </c>
      <c r="G11" s="738">
        <v>274</v>
      </c>
      <c r="H11" s="739">
        <f t="shared" si="2"/>
        <v>360</v>
      </c>
      <c r="I11" s="738">
        <v>84</v>
      </c>
      <c r="J11" s="738">
        <v>276</v>
      </c>
      <c r="K11" s="739">
        <f t="shared" si="3"/>
        <v>461</v>
      </c>
      <c r="L11" s="738">
        <v>107</v>
      </c>
      <c r="M11" s="738">
        <v>354</v>
      </c>
      <c r="N11" s="740" t="s">
        <v>1484</v>
      </c>
    </row>
    <row r="12" spans="1:14" s="741" customFormat="1" ht="18.75">
      <c r="A12" s="737" t="s">
        <v>1485</v>
      </c>
      <c r="B12" s="739">
        <f t="shared" si="0"/>
        <v>39</v>
      </c>
      <c r="C12" s="738">
        <v>17</v>
      </c>
      <c r="D12" s="738">
        <v>22</v>
      </c>
      <c r="E12" s="739">
        <f t="shared" si="1"/>
        <v>31</v>
      </c>
      <c r="F12" s="738">
        <v>12</v>
      </c>
      <c r="G12" s="738">
        <v>19</v>
      </c>
      <c r="H12" s="739">
        <f t="shared" si="2"/>
        <v>32</v>
      </c>
      <c r="I12" s="738">
        <v>18</v>
      </c>
      <c r="J12" s="738">
        <v>14</v>
      </c>
      <c r="K12" s="739">
        <f t="shared" si="3"/>
        <v>13</v>
      </c>
      <c r="L12" s="738">
        <v>10</v>
      </c>
      <c r="M12" s="738">
        <v>3</v>
      </c>
      <c r="N12" s="740" t="s">
        <v>1486</v>
      </c>
    </row>
    <row r="13" spans="1:14" s="741" customFormat="1" ht="18.75">
      <c r="A13" s="737" t="s">
        <v>1487</v>
      </c>
      <c r="B13" s="739">
        <f t="shared" si="0"/>
        <v>12</v>
      </c>
      <c r="C13" s="738">
        <v>4</v>
      </c>
      <c r="D13" s="738">
        <v>8</v>
      </c>
      <c r="E13" s="739">
        <f t="shared" si="1"/>
        <v>27</v>
      </c>
      <c r="F13" s="738">
        <v>9</v>
      </c>
      <c r="G13" s="738">
        <v>18</v>
      </c>
      <c r="H13" s="739">
        <f t="shared" si="2"/>
        <v>13</v>
      </c>
      <c r="I13" s="738">
        <v>1</v>
      </c>
      <c r="J13" s="738">
        <v>12</v>
      </c>
      <c r="K13" s="739">
        <f t="shared" si="3"/>
        <v>15</v>
      </c>
      <c r="L13" s="738">
        <v>2</v>
      </c>
      <c r="M13" s="738">
        <v>13</v>
      </c>
      <c r="N13" s="740" t="s">
        <v>1488</v>
      </c>
    </row>
    <row r="14" spans="1:14" s="741" customFormat="1" ht="37.5">
      <c r="A14" s="737" t="s">
        <v>1489</v>
      </c>
      <c r="B14" s="739">
        <f t="shared" si="0"/>
        <v>48</v>
      </c>
      <c r="C14" s="738">
        <v>31</v>
      </c>
      <c r="D14" s="738">
        <v>17</v>
      </c>
      <c r="E14" s="739">
        <f t="shared" si="1"/>
        <v>55</v>
      </c>
      <c r="F14" s="738">
        <v>28</v>
      </c>
      <c r="G14" s="738">
        <v>27</v>
      </c>
      <c r="H14" s="739">
        <f t="shared" si="2"/>
        <v>65</v>
      </c>
      <c r="I14" s="738">
        <v>29</v>
      </c>
      <c r="J14" s="738">
        <v>36</v>
      </c>
      <c r="K14" s="739">
        <f t="shared" si="3"/>
        <v>89</v>
      </c>
      <c r="L14" s="738">
        <v>55</v>
      </c>
      <c r="M14" s="738">
        <v>34</v>
      </c>
      <c r="N14" s="740" t="s">
        <v>1490</v>
      </c>
    </row>
    <row r="15" spans="1:14" s="741" customFormat="1" ht="18.75">
      <c r="A15" s="737" t="s">
        <v>1491</v>
      </c>
      <c r="B15" s="739">
        <f t="shared" si="0"/>
        <v>10</v>
      </c>
      <c r="C15" s="738">
        <v>4</v>
      </c>
      <c r="D15" s="738">
        <v>6</v>
      </c>
      <c r="E15" s="739">
        <f t="shared" si="1"/>
        <v>19</v>
      </c>
      <c r="F15" s="738">
        <v>4</v>
      </c>
      <c r="G15" s="738">
        <v>15</v>
      </c>
      <c r="H15" s="739">
        <f t="shared" si="2"/>
        <v>29</v>
      </c>
      <c r="I15" s="738">
        <v>5</v>
      </c>
      <c r="J15" s="738">
        <v>24</v>
      </c>
      <c r="K15" s="739">
        <f t="shared" si="3"/>
        <v>19</v>
      </c>
      <c r="L15" s="738">
        <v>5</v>
      </c>
      <c r="M15" s="738">
        <v>14</v>
      </c>
      <c r="N15" s="740" t="s">
        <v>1492</v>
      </c>
    </row>
    <row r="16" spans="1:14" s="741" customFormat="1" ht="18.75">
      <c r="A16" s="737" t="s">
        <v>5</v>
      </c>
      <c r="B16" s="739">
        <f t="shared" si="0"/>
        <v>52</v>
      </c>
      <c r="C16" s="738">
        <v>25</v>
      </c>
      <c r="D16" s="738">
        <v>27</v>
      </c>
      <c r="E16" s="739">
        <f t="shared" si="1"/>
        <v>39</v>
      </c>
      <c r="F16" s="738">
        <v>19</v>
      </c>
      <c r="G16" s="738">
        <v>20</v>
      </c>
      <c r="H16" s="739">
        <f t="shared" si="2"/>
        <v>23</v>
      </c>
      <c r="I16" s="738">
        <v>8</v>
      </c>
      <c r="J16" s="738">
        <v>15</v>
      </c>
      <c r="K16" s="739">
        <f t="shared" si="3"/>
        <v>20</v>
      </c>
      <c r="L16" s="738">
        <v>7</v>
      </c>
      <c r="M16" s="738">
        <v>13</v>
      </c>
      <c r="N16" s="744" t="s">
        <v>13</v>
      </c>
    </row>
    <row r="17" spans="1:19" ht="18.75">
      <c r="A17" s="1072" t="s">
        <v>1493</v>
      </c>
      <c r="B17" s="1072"/>
      <c r="C17" s="1072"/>
      <c r="D17" s="1072"/>
      <c r="E17" s="748"/>
      <c r="F17" s="748"/>
      <c r="G17" s="748"/>
      <c r="H17" s="748"/>
      <c r="I17" s="748"/>
      <c r="J17" s="748"/>
      <c r="K17" s="748"/>
      <c r="L17" s="748"/>
      <c r="M17" s="748"/>
      <c r="N17" s="749" t="s">
        <v>1494</v>
      </c>
      <c r="O17" s="741"/>
      <c r="P17" s="741"/>
      <c r="Q17" s="741"/>
      <c r="R17" s="741"/>
      <c r="S17" s="741"/>
    </row>
    <row r="18" spans="1:19" ht="15.75">
      <c r="A18" s="750" t="s">
        <v>1495</v>
      </c>
      <c r="O18" s="741"/>
      <c r="P18" s="741"/>
      <c r="Q18" s="741"/>
      <c r="R18" s="741"/>
      <c r="S18" s="741"/>
    </row>
    <row r="19" spans="1:19" ht="15.75">
      <c r="O19" s="741"/>
      <c r="P19" s="741"/>
      <c r="Q19" s="741"/>
      <c r="R19" s="741"/>
      <c r="S19" s="741"/>
    </row>
    <row r="20" spans="1:19" ht="15.75">
      <c r="O20" s="741"/>
      <c r="P20" s="741"/>
      <c r="Q20" s="741"/>
      <c r="R20" s="741"/>
      <c r="S20" s="741"/>
    </row>
    <row r="21" spans="1:19" ht="15.75">
      <c r="O21" s="741"/>
      <c r="P21" s="741"/>
      <c r="Q21" s="741"/>
      <c r="R21" s="741"/>
      <c r="S21" s="741"/>
    </row>
    <row r="22" spans="1:19" ht="15.75">
      <c r="O22" s="741"/>
      <c r="P22" s="741"/>
      <c r="Q22" s="741"/>
      <c r="R22" s="741"/>
      <c r="S22" s="741"/>
    </row>
    <row r="23" spans="1:19" ht="15.75">
      <c r="O23" s="741"/>
      <c r="P23" s="741"/>
      <c r="Q23" s="741"/>
      <c r="R23" s="741"/>
      <c r="S23" s="741"/>
    </row>
    <row r="24" spans="1:19" ht="15.75">
      <c r="O24" s="741"/>
      <c r="P24" s="741"/>
      <c r="Q24" s="741"/>
      <c r="R24" s="741"/>
      <c r="S24" s="741"/>
    </row>
    <row r="25" spans="1:19" ht="15.75">
      <c r="O25" s="741"/>
      <c r="P25" s="741"/>
      <c r="Q25" s="741"/>
      <c r="R25" s="741"/>
      <c r="S25" s="741"/>
    </row>
  </sheetData>
  <mergeCells count="8">
    <mergeCell ref="A1:N1"/>
    <mergeCell ref="A2:N2"/>
    <mergeCell ref="A4:A6"/>
    <mergeCell ref="B4:D4"/>
    <mergeCell ref="E4:G4"/>
    <mergeCell ref="H4:J4"/>
    <mergeCell ref="K4:M4"/>
    <mergeCell ref="N4:N6"/>
  </mergeCells>
  <pageMargins left="0.7" right="0.7" top="0.75" bottom="0.75" header="0.3" footer="0.3"/>
  <pageSetup paperSize="9" scale="41" orientation="portrait" r:id="rId1"/>
  <colBreaks count="1" manualBreakCount="1">
    <brk id="15" max="1048575" man="1"/>
  </col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0000"/>
  </sheetPr>
  <dimension ref="A1:K76"/>
  <sheetViews>
    <sheetView workbookViewId="0">
      <selection activeCell="M12" sqref="M12"/>
    </sheetView>
  </sheetViews>
  <sheetFormatPr defaultColWidth="6.85546875" defaultRowHeight="15"/>
  <cols>
    <col min="1" max="1" width="23" style="1" customWidth="1"/>
    <col min="2" max="2" width="6.85546875" style="1"/>
    <col min="3" max="3" width="3.28515625" style="1" customWidth="1"/>
    <col min="4" max="4" width="9.7109375" style="1" customWidth="1"/>
    <col min="5" max="10" width="10.85546875" style="1" customWidth="1"/>
    <col min="11" max="11" width="39.7109375" style="1" customWidth="1"/>
    <col min="12" max="16384" width="6.85546875" style="1"/>
  </cols>
  <sheetData>
    <row r="1" spans="1:11" s="196" customFormat="1" ht="18.75">
      <c r="A1" s="750"/>
      <c r="B1" s="76"/>
      <c r="C1" s="76"/>
      <c r="D1" s="76"/>
      <c r="E1" s="81"/>
      <c r="F1" s="81"/>
      <c r="G1" s="81"/>
      <c r="H1" s="81"/>
      <c r="I1" s="81"/>
      <c r="J1" s="81"/>
      <c r="K1" s="871"/>
    </row>
    <row r="2" spans="1:11" s="76" customFormat="1" ht="18.75">
      <c r="A2" s="1284" t="s">
        <v>2100</v>
      </c>
      <c r="B2" s="1284"/>
      <c r="C2" s="1284"/>
      <c r="D2" s="1284"/>
      <c r="E2" s="1284"/>
      <c r="F2" s="1284"/>
      <c r="G2" s="1284"/>
      <c r="H2" s="1284"/>
      <c r="I2" s="1284"/>
      <c r="J2" s="1284"/>
      <c r="K2" s="1284"/>
    </row>
    <row r="3" spans="1:11" s="76" customFormat="1" ht="12.75">
      <c r="A3" s="1090" t="s">
        <v>2101</v>
      </c>
      <c r="B3" s="1090"/>
      <c r="C3" s="1090"/>
      <c r="D3" s="1090"/>
      <c r="E3" s="1090"/>
      <c r="F3" s="1090"/>
      <c r="G3" s="1090"/>
      <c r="H3" s="1090"/>
      <c r="I3" s="1090"/>
      <c r="J3" s="1090"/>
      <c r="K3" s="1090"/>
    </row>
    <row r="4" spans="1:11" s="76" customFormat="1" ht="12.75">
      <c r="A4" s="91"/>
      <c r="B4" s="91"/>
      <c r="C4" s="91"/>
      <c r="D4" s="91"/>
      <c r="E4" s="91"/>
      <c r="F4" s="91"/>
      <c r="G4" s="91"/>
      <c r="H4" s="91"/>
      <c r="I4" s="91"/>
      <c r="J4" s="91"/>
      <c r="K4" s="91"/>
    </row>
    <row r="5" spans="1:11" s="76" customFormat="1" ht="12.75">
      <c r="A5" s="1253" t="s">
        <v>120</v>
      </c>
      <c r="B5" s="1302" t="s">
        <v>1</v>
      </c>
      <c r="C5" s="751"/>
      <c r="D5" s="1095" t="s">
        <v>121</v>
      </c>
      <c r="E5" s="1095"/>
      <c r="F5" s="1095"/>
      <c r="G5" s="1095"/>
      <c r="H5" s="1095"/>
      <c r="I5" s="1095"/>
      <c r="J5" s="1095"/>
      <c r="K5" s="1289" t="s">
        <v>118</v>
      </c>
    </row>
    <row r="6" spans="1:11" s="76" customFormat="1" ht="12.75">
      <c r="A6" s="1088"/>
      <c r="B6" s="1093"/>
      <c r="C6" s="100"/>
      <c r="D6" s="77" t="s">
        <v>122</v>
      </c>
      <c r="E6" s="78" t="s">
        <v>123</v>
      </c>
      <c r="F6" s="78" t="s">
        <v>124</v>
      </c>
      <c r="G6" s="78" t="s">
        <v>125</v>
      </c>
      <c r="H6" s="78" t="s">
        <v>126</v>
      </c>
      <c r="I6" s="78" t="s">
        <v>127</v>
      </c>
      <c r="J6" s="78" t="s">
        <v>128</v>
      </c>
      <c r="K6" s="1291"/>
    </row>
    <row r="7" spans="1:11" s="34" customFormat="1" ht="18.75">
      <c r="A7" s="864" t="s">
        <v>1</v>
      </c>
      <c r="B7" s="865">
        <f>SUM(B8:B16)</f>
        <v>1375</v>
      </c>
      <c r="C7" s="865"/>
      <c r="D7" s="865">
        <f t="shared" ref="D7:J7" si="0">SUM(D8:D16)</f>
        <v>57</v>
      </c>
      <c r="E7" s="865">
        <f t="shared" si="0"/>
        <v>220</v>
      </c>
      <c r="F7" s="865">
        <f t="shared" si="0"/>
        <v>101</v>
      </c>
      <c r="G7" s="865">
        <f t="shared" si="0"/>
        <v>333</v>
      </c>
      <c r="H7" s="865">
        <f t="shared" si="0"/>
        <v>420</v>
      </c>
      <c r="I7" s="865">
        <f t="shared" si="0"/>
        <v>92</v>
      </c>
      <c r="J7" s="865">
        <f t="shared" si="0"/>
        <v>152</v>
      </c>
      <c r="K7" s="735" t="s">
        <v>49</v>
      </c>
    </row>
    <row r="8" spans="1:11" s="196" customFormat="1" ht="18.75">
      <c r="A8" s="866" t="s">
        <v>155</v>
      </c>
      <c r="B8" s="79">
        <f t="shared" ref="B8:B16" si="1">SUM(D8:J8)</f>
        <v>410</v>
      </c>
      <c r="C8" s="79"/>
      <c r="D8" s="872">
        <v>49</v>
      </c>
      <c r="E8" s="872">
        <v>110</v>
      </c>
      <c r="F8" s="872">
        <v>34</v>
      </c>
      <c r="G8" s="872">
        <v>107</v>
      </c>
      <c r="H8" s="872">
        <v>77</v>
      </c>
      <c r="I8" s="872">
        <v>15</v>
      </c>
      <c r="J8" s="872">
        <v>18</v>
      </c>
      <c r="K8" s="867" t="s">
        <v>1480</v>
      </c>
    </row>
    <row r="9" spans="1:11" s="196" customFormat="1" ht="18.75">
      <c r="A9" s="866" t="s">
        <v>153</v>
      </c>
      <c r="B9" s="79">
        <f t="shared" si="1"/>
        <v>299</v>
      </c>
      <c r="C9" s="79"/>
      <c r="D9" s="872">
        <v>2</v>
      </c>
      <c r="E9" s="872">
        <v>47</v>
      </c>
      <c r="F9" s="872">
        <v>33</v>
      </c>
      <c r="G9" s="872">
        <v>84</v>
      </c>
      <c r="H9" s="872">
        <v>90</v>
      </c>
      <c r="I9" s="872">
        <v>20</v>
      </c>
      <c r="J9" s="872">
        <v>23</v>
      </c>
      <c r="K9" s="867" t="s">
        <v>1481</v>
      </c>
    </row>
    <row r="10" spans="1:11" s="196" customFormat="1" ht="18.75">
      <c r="A10" s="866" t="s">
        <v>154</v>
      </c>
      <c r="B10" s="79">
        <f t="shared" si="1"/>
        <v>360</v>
      </c>
      <c r="C10" s="79"/>
      <c r="D10" s="872">
        <v>1</v>
      </c>
      <c r="E10" s="872">
        <v>24</v>
      </c>
      <c r="F10" s="872">
        <v>22</v>
      </c>
      <c r="G10" s="872">
        <v>69</v>
      </c>
      <c r="H10" s="872">
        <v>144</v>
      </c>
      <c r="I10" s="872">
        <v>32</v>
      </c>
      <c r="J10" s="872">
        <v>68</v>
      </c>
      <c r="K10" s="867" t="s">
        <v>1484</v>
      </c>
    </row>
    <row r="11" spans="1:11" s="196" customFormat="1" ht="18.75">
      <c r="A11" s="866" t="s">
        <v>1482</v>
      </c>
      <c r="B11" s="79">
        <f t="shared" si="1"/>
        <v>144</v>
      </c>
      <c r="C11" s="79"/>
      <c r="D11" s="872">
        <v>2</v>
      </c>
      <c r="E11" s="872">
        <v>21</v>
      </c>
      <c r="F11" s="872">
        <v>6</v>
      </c>
      <c r="G11" s="872">
        <v>46</v>
      </c>
      <c r="H11" s="872">
        <v>44</v>
      </c>
      <c r="I11" s="872">
        <v>10</v>
      </c>
      <c r="J11" s="872">
        <v>15</v>
      </c>
      <c r="K11" s="867" t="s">
        <v>1483</v>
      </c>
    </row>
    <row r="12" spans="1:11" s="196" customFormat="1" ht="18.75">
      <c r="A12" s="866" t="s">
        <v>1485</v>
      </c>
      <c r="B12" s="79">
        <f t="shared" si="1"/>
        <v>32</v>
      </c>
      <c r="C12" s="79"/>
      <c r="D12" s="872">
        <v>0</v>
      </c>
      <c r="E12" s="872">
        <v>0</v>
      </c>
      <c r="F12" s="872">
        <v>1</v>
      </c>
      <c r="G12" s="872">
        <v>2</v>
      </c>
      <c r="H12" s="872">
        <v>22</v>
      </c>
      <c r="I12" s="872">
        <v>3</v>
      </c>
      <c r="J12" s="872">
        <v>4</v>
      </c>
      <c r="K12" s="867" t="s">
        <v>1486</v>
      </c>
    </row>
    <row r="13" spans="1:11" s="196" customFormat="1" ht="18.75">
      <c r="A13" s="866" t="s">
        <v>1487</v>
      </c>
      <c r="B13" s="79">
        <f t="shared" si="1"/>
        <v>13</v>
      </c>
      <c r="C13" s="868"/>
      <c r="D13" s="81">
        <v>0</v>
      </c>
      <c r="E13" s="81">
        <v>1</v>
      </c>
      <c r="F13" s="81">
        <v>0</v>
      </c>
      <c r="G13" s="81">
        <v>2</v>
      </c>
      <c r="H13" s="81">
        <v>5</v>
      </c>
      <c r="I13" s="81">
        <v>1</v>
      </c>
      <c r="J13" s="81">
        <v>4</v>
      </c>
      <c r="K13" s="867" t="s">
        <v>1488</v>
      </c>
    </row>
    <row r="14" spans="1:11" s="196" customFormat="1" ht="31.5" customHeight="1">
      <c r="A14" s="866" t="s">
        <v>1489</v>
      </c>
      <c r="B14" s="79">
        <f t="shared" si="1"/>
        <v>65</v>
      </c>
      <c r="C14" s="868"/>
      <c r="D14" s="81">
        <v>1</v>
      </c>
      <c r="E14" s="81">
        <v>15</v>
      </c>
      <c r="F14" s="81">
        <v>5</v>
      </c>
      <c r="G14" s="81">
        <v>21</v>
      </c>
      <c r="H14" s="81">
        <v>19</v>
      </c>
      <c r="I14" s="81">
        <v>3</v>
      </c>
      <c r="J14" s="81">
        <v>1</v>
      </c>
      <c r="K14" s="867" t="s">
        <v>1490</v>
      </c>
    </row>
    <row r="15" spans="1:11" s="196" customFormat="1" ht="18.75" customHeight="1">
      <c r="A15" s="866" t="s">
        <v>1491</v>
      </c>
      <c r="B15" s="79">
        <f t="shared" si="1"/>
        <v>29</v>
      </c>
      <c r="C15" s="868"/>
      <c r="D15" s="81">
        <v>0</v>
      </c>
      <c r="E15" s="81">
        <v>0</v>
      </c>
      <c r="F15" s="81">
        <v>0</v>
      </c>
      <c r="G15" s="81">
        <v>0</v>
      </c>
      <c r="H15" s="81">
        <v>9</v>
      </c>
      <c r="I15" s="81">
        <v>4</v>
      </c>
      <c r="J15" s="81">
        <v>16</v>
      </c>
      <c r="K15" s="867" t="s">
        <v>1492</v>
      </c>
    </row>
    <row r="16" spans="1:11" s="196" customFormat="1" ht="18.75">
      <c r="A16" s="869" t="s">
        <v>5</v>
      </c>
      <c r="B16" s="80">
        <f t="shared" si="1"/>
        <v>23</v>
      </c>
      <c r="C16" s="80"/>
      <c r="D16" s="873">
        <v>2</v>
      </c>
      <c r="E16" s="873">
        <v>2</v>
      </c>
      <c r="F16" s="873">
        <v>0</v>
      </c>
      <c r="G16" s="873">
        <v>2</v>
      </c>
      <c r="H16" s="873">
        <v>10</v>
      </c>
      <c r="I16" s="873">
        <v>4</v>
      </c>
      <c r="J16" s="873">
        <v>3</v>
      </c>
      <c r="K16" s="870" t="s">
        <v>13</v>
      </c>
    </row>
    <row r="17" spans="1:11" s="76" customFormat="1" ht="24" customHeight="1">
      <c r="A17" s="1287" t="s">
        <v>1493</v>
      </c>
      <c r="B17" s="1287"/>
      <c r="C17" s="1287"/>
      <c r="D17" s="1287"/>
      <c r="E17" s="1287"/>
      <c r="F17" s="1287"/>
      <c r="G17" s="1287"/>
      <c r="H17" s="1287"/>
      <c r="I17" s="749"/>
      <c r="J17" s="749"/>
      <c r="K17" s="749" t="s">
        <v>1494</v>
      </c>
    </row>
    <row r="18" spans="1:11" s="196" customFormat="1" ht="18.75">
      <c r="A18" s="750" t="s">
        <v>1495</v>
      </c>
      <c r="B18" s="76"/>
      <c r="C18" s="76"/>
      <c r="D18" s="76"/>
      <c r="E18" s="81"/>
      <c r="F18" s="81"/>
      <c r="G18" s="81"/>
      <c r="H18" s="81"/>
      <c r="I18" s="81"/>
      <c r="J18" s="81"/>
      <c r="K18" s="871"/>
    </row>
    <row r="19" spans="1:11" s="76" customFormat="1" ht="18.75">
      <c r="A19" s="1284" t="s">
        <v>2102</v>
      </c>
      <c r="B19" s="1284"/>
      <c r="C19" s="1284"/>
      <c r="D19" s="1284"/>
      <c r="E19" s="1284"/>
      <c r="F19" s="1284"/>
      <c r="G19" s="1284"/>
      <c r="H19" s="1284"/>
      <c r="I19" s="1284"/>
      <c r="J19" s="1284"/>
      <c r="K19" s="1284"/>
    </row>
    <row r="20" spans="1:11" s="76" customFormat="1" ht="12.75">
      <c r="A20" s="1090" t="s">
        <v>2103</v>
      </c>
      <c r="B20" s="1090"/>
      <c r="C20" s="1090"/>
      <c r="D20" s="1090"/>
      <c r="E20" s="1090"/>
      <c r="F20" s="1090"/>
      <c r="G20" s="1090"/>
      <c r="H20" s="1090"/>
      <c r="I20" s="1090"/>
      <c r="J20" s="1090"/>
      <c r="K20" s="1090"/>
    </row>
    <row r="21" spans="1:11" s="76" customFormat="1" ht="12.75">
      <c r="A21" s="91"/>
      <c r="B21" s="91"/>
      <c r="C21" s="91"/>
      <c r="D21" s="91"/>
      <c r="E21" s="91"/>
      <c r="F21" s="91"/>
      <c r="G21" s="91"/>
      <c r="H21" s="91"/>
      <c r="I21" s="91"/>
      <c r="J21" s="91"/>
      <c r="K21" s="91"/>
    </row>
    <row r="22" spans="1:11" s="76" customFormat="1" ht="12.75">
      <c r="A22" s="1253" t="s">
        <v>120</v>
      </c>
      <c r="B22" s="1302" t="s">
        <v>1</v>
      </c>
      <c r="C22" s="751"/>
      <c r="D22" s="1095" t="s">
        <v>121</v>
      </c>
      <c r="E22" s="1095"/>
      <c r="F22" s="1095"/>
      <c r="G22" s="1095"/>
      <c r="H22" s="1095"/>
      <c r="I22" s="1095"/>
      <c r="J22" s="1095"/>
      <c r="K22" s="1289" t="s">
        <v>118</v>
      </c>
    </row>
    <row r="23" spans="1:11" s="76" customFormat="1" ht="12.75">
      <c r="A23" s="1088"/>
      <c r="B23" s="1093"/>
      <c r="C23" s="100"/>
      <c r="D23" s="77" t="s">
        <v>122</v>
      </c>
      <c r="E23" s="78" t="s">
        <v>123</v>
      </c>
      <c r="F23" s="78" t="s">
        <v>124</v>
      </c>
      <c r="G23" s="78" t="s">
        <v>125</v>
      </c>
      <c r="H23" s="78" t="s">
        <v>126</v>
      </c>
      <c r="I23" s="78" t="s">
        <v>127</v>
      </c>
      <c r="J23" s="78" t="s">
        <v>128</v>
      </c>
      <c r="K23" s="1291"/>
    </row>
    <row r="24" spans="1:11" s="34" customFormat="1" ht="18.75">
      <c r="A24" s="864" t="s">
        <v>1</v>
      </c>
      <c r="B24" s="865">
        <f>SUM(B25:B33)</f>
        <v>1309</v>
      </c>
      <c r="C24" s="865"/>
      <c r="D24" s="865">
        <f t="shared" ref="D24:J24" si="2">SUM(D25:D33)</f>
        <v>54</v>
      </c>
      <c r="E24" s="865">
        <f t="shared" si="2"/>
        <v>223</v>
      </c>
      <c r="F24" s="865">
        <f t="shared" si="2"/>
        <v>95</v>
      </c>
      <c r="G24" s="865">
        <f t="shared" si="2"/>
        <v>269</v>
      </c>
      <c r="H24" s="865">
        <f t="shared" si="2"/>
        <v>402</v>
      </c>
      <c r="I24" s="865">
        <f t="shared" si="2"/>
        <v>102</v>
      </c>
      <c r="J24" s="865">
        <f t="shared" si="2"/>
        <v>164</v>
      </c>
      <c r="K24" s="735" t="s">
        <v>49</v>
      </c>
    </row>
    <row r="25" spans="1:11" s="196" customFormat="1" ht="18.75">
      <c r="A25" s="866" t="s">
        <v>155</v>
      </c>
      <c r="B25" s="79">
        <f t="shared" ref="B25:B33" si="3">SUM(D25:J25)</f>
        <v>351</v>
      </c>
      <c r="C25" s="79"/>
      <c r="D25" s="872">
        <v>47</v>
      </c>
      <c r="E25" s="872">
        <v>85</v>
      </c>
      <c r="F25" s="872">
        <v>32</v>
      </c>
      <c r="G25" s="872">
        <v>87</v>
      </c>
      <c r="H25" s="872">
        <v>74</v>
      </c>
      <c r="I25" s="872">
        <v>6</v>
      </c>
      <c r="J25" s="872">
        <v>20</v>
      </c>
      <c r="K25" s="867" t="s">
        <v>1480</v>
      </c>
    </row>
    <row r="26" spans="1:11" s="196" customFormat="1" ht="18.75">
      <c r="A26" s="866" t="s">
        <v>153</v>
      </c>
      <c r="B26" s="79">
        <f t="shared" si="3"/>
        <v>316</v>
      </c>
      <c r="C26" s="79"/>
      <c r="D26" s="872">
        <v>6</v>
      </c>
      <c r="E26" s="872">
        <v>76</v>
      </c>
      <c r="F26" s="872">
        <v>30</v>
      </c>
      <c r="G26" s="872">
        <v>61</v>
      </c>
      <c r="H26" s="872">
        <v>87</v>
      </c>
      <c r="I26" s="872">
        <v>19</v>
      </c>
      <c r="J26" s="872">
        <v>37</v>
      </c>
      <c r="K26" s="867" t="s">
        <v>1481</v>
      </c>
    </row>
    <row r="27" spans="1:11" s="196" customFormat="1" ht="18.75">
      <c r="A27" s="866" t="s">
        <v>154</v>
      </c>
      <c r="B27" s="79">
        <f t="shared" si="3"/>
        <v>358</v>
      </c>
      <c r="C27" s="79"/>
      <c r="D27" s="872">
        <v>0</v>
      </c>
      <c r="E27" s="872">
        <v>24</v>
      </c>
      <c r="F27" s="872">
        <v>17</v>
      </c>
      <c r="G27" s="872">
        <v>69</v>
      </c>
      <c r="H27" s="872">
        <v>141</v>
      </c>
      <c r="I27" s="872">
        <v>43</v>
      </c>
      <c r="J27" s="872">
        <v>64</v>
      </c>
      <c r="K27" s="867" t="s">
        <v>1484</v>
      </c>
    </row>
    <row r="28" spans="1:11" s="196" customFormat="1" ht="18.75">
      <c r="A28" s="866" t="s">
        <v>1482</v>
      </c>
      <c r="B28" s="79">
        <f t="shared" si="3"/>
        <v>113</v>
      </c>
      <c r="C28" s="79"/>
      <c r="D28" s="872">
        <v>0</v>
      </c>
      <c r="E28" s="872">
        <v>17</v>
      </c>
      <c r="F28" s="872">
        <v>9</v>
      </c>
      <c r="G28" s="872">
        <v>24</v>
      </c>
      <c r="H28" s="872">
        <v>39</v>
      </c>
      <c r="I28" s="872">
        <v>11</v>
      </c>
      <c r="J28" s="872">
        <v>13</v>
      </c>
      <c r="K28" s="867" t="s">
        <v>1483</v>
      </c>
    </row>
    <row r="29" spans="1:11" s="196" customFormat="1" ht="18.75">
      <c r="A29" s="866" t="s">
        <v>1485</v>
      </c>
      <c r="B29" s="79">
        <f t="shared" si="3"/>
        <v>31</v>
      </c>
      <c r="C29" s="79"/>
      <c r="D29" s="872">
        <v>0</v>
      </c>
      <c r="E29" s="872">
        <v>0</v>
      </c>
      <c r="F29" s="872">
        <v>2</v>
      </c>
      <c r="G29" s="872">
        <v>5</v>
      </c>
      <c r="H29" s="872">
        <v>18</v>
      </c>
      <c r="I29" s="872">
        <v>2</v>
      </c>
      <c r="J29" s="872">
        <v>4</v>
      </c>
      <c r="K29" s="867" t="s">
        <v>1486</v>
      </c>
    </row>
    <row r="30" spans="1:11" s="196" customFormat="1" ht="18.75">
      <c r="A30" s="866" t="s">
        <v>1487</v>
      </c>
      <c r="B30" s="79">
        <f t="shared" si="3"/>
        <v>27</v>
      </c>
      <c r="C30" s="868"/>
      <c r="D30" s="81">
        <v>0</v>
      </c>
      <c r="E30" s="81">
        <v>1</v>
      </c>
      <c r="F30" s="81">
        <v>0</v>
      </c>
      <c r="G30" s="81">
        <v>3</v>
      </c>
      <c r="H30" s="81">
        <v>9</v>
      </c>
      <c r="I30" s="81">
        <v>5</v>
      </c>
      <c r="J30" s="81">
        <v>9</v>
      </c>
      <c r="K30" s="867" t="s">
        <v>1488</v>
      </c>
    </row>
    <row r="31" spans="1:11" s="196" customFormat="1" ht="31.5" customHeight="1">
      <c r="A31" s="866" t="s">
        <v>1489</v>
      </c>
      <c r="B31" s="79">
        <f t="shared" si="3"/>
        <v>55</v>
      </c>
      <c r="C31" s="868"/>
      <c r="D31" s="81">
        <v>0</v>
      </c>
      <c r="E31" s="81">
        <v>17</v>
      </c>
      <c r="F31" s="81">
        <v>5</v>
      </c>
      <c r="G31" s="81">
        <v>9</v>
      </c>
      <c r="H31" s="81">
        <v>14</v>
      </c>
      <c r="I31" s="81">
        <v>6</v>
      </c>
      <c r="J31" s="81">
        <v>4</v>
      </c>
      <c r="K31" s="867" t="s">
        <v>1490</v>
      </c>
    </row>
    <row r="32" spans="1:11" s="196" customFormat="1" ht="18.75" customHeight="1">
      <c r="A32" s="866" t="s">
        <v>1491</v>
      </c>
      <c r="B32" s="79">
        <f t="shared" si="3"/>
        <v>19</v>
      </c>
      <c r="C32" s="868"/>
      <c r="D32" s="81">
        <v>0</v>
      </c>
      <c r="E32" s="81">
        <v>0</v>
      </c>
      <c r="F32" s="81">
        <v>0</v>
      </c>
      <c r="G32" s="81">
        <v>0</v>
      </c>
      <c r="H32" s="81">
        <v>5</v>
      </c>
      <c r="I32" s="81">
        <v>6</v>
      </c>
      <c r="J32" s="81">
        <v>8</v>
      </c>
      <c r="K32" s="867" t="s">
        <v>1492</v>
      </c>
    </row>
    <row r="33" spans="1:11" s="196" customFormat="1" ht="18.75">
      <c r="A33" s="869" t="s">
        <v>5</v>
      </c>
      <c r="B33" s="80">
        <f t="shared" si="3"/>
        <v>39</v>
      </c>
      <c r="C33" s="80"/>
      <c r="D33" s="873">
        <v>1</v>
      </c>
      <c r="E33" s="873">
        <v>3</v>
      </c>
      <c r="F33" s="873">
        <v>0</v>
      </c>
      <c r="G33" s="873">
        <v>11</v>
      </c>
      <c r="H33" s="873">
        <v>15</v>
      </c>
      <c r="I33" s="873">
        <v>4</v>
      </c>
      <c r="J33" s="873">
        <v>5</v>
      </c>
      <c r="K33" s="870" t="s">
        <v>13</v>
      </c>
    </row>
    <row r="34" spans="1:11" s="76" customFormat="1" ht="24" customHeight="1">
      <c r="A34" s="1287" t="s">
        <v>1493</v>
      </c>
      <c r="B34" s="1287"/>
      <c r="C34" s="1287"/>
      <c r="D34" s="1287"/>
      <c r="E34" s="1287"/>
      <c r="F34" s="1287"/>
      <c r="G34" s="1287"/>
      <c r="H34" s="1287"/>
      <c r="I34" s="749"/>
      <c r="J34" s="749"/>
      <c r="K34" s="749" t="s">
        <v>1494</v>
      </c>
    </row>
    <row r="35" spans="1:11" s="196" customFormat="1" ht="18.75">
      <c r="A35" s="750" t="s">
        <v>1495</v>
      </c>
      <c r="B35" s="76"/>
      <c r="C35" s="76"/>
      <c r="D35" s="76"/>
      <c r="E35" s="81"/>
      <c r="F35" s="81"/>
      <c r="G35" s="81"/>
      <c r="H35" s="81"/>
      <c r="I35" s="81"/>
      <c r="J35" s="81"/>
      <c r="K35" s="871"/>
    </row>
    <row r="36" spans="1:11" s="196" customFormat="1" ht="18.75">
      <c r="A36" s="750"/>
      <c r="B36" s="76"/>
      <c r="C36" s="76"/>
      <c r="D36" s="76"/>
      <c r="E36" s="81"/>
      <c r="F36" s="81"/>
      <c r="G36" s="81"/>
      <c r="H36" s="81"/>
      <c r="I36" s="81"/>
      <c r="J36" s="81"/>
      <c r="K36" s="871"/>
    </row>
    <row r="37" spans="1:11" s="728" customFormat="1" ht="18.75">
      <c r="A37" s="1292" t="s">
        <v>2104</v>
      </c>
      <c r="B37" s="1292"/>
      <c r="C37" s="1292"/>
      <c r="D37" s="1292"/>
      <c r="E37" s="1292"/>
      <c r="F37" s="1292"/>
      <c r="G37" s="1292"/>
      <c r="H37" s="1292"/>
      <c r="I37" s="1292"/>
      <c r="J37" s="1292"/>
      <c r="K37" s="1292"/>
    </row>
    <row r="38" spans="1:11" s="728" customFormat="1" ht="12.75">
      <c r="A38" s="1293" t="s">
        <v>2105</v>
      </c>
      <c r="B38" s="1293"/>
      <c r="C38" s="1293"/>
      <c r="D38" s="1293"/>
      <c r="E38" s="1293"/>
      <c r="F38" s="1293"/>
      <c r="G38" s="1293"/>
      <c r="H38" s="1293"/>
      <c r="I38" s="1293"/>
      <c r="J38" s="1293"/>
      <c r="K38" s="1293"/>
    </row>
    <row r="39" spans="1:11" s="728" customFormat="1" ht="12.75">
      <c r="A39" s="874"/>
      <c r="B39" s="874"/>
      <c r="C39" s="874"/>
      <c r="D39" s="874"/>
      <c r="E39" s="874"/>
      <c r="F39" s="874"/>
      <c r="G39" s="874"/>
      <c r="H39" s="874"/>
      <c r="I39" s="874"/>
      <c r="J39" s="874"/>
      <c r="K39" s="874"/>
    </row>
    <row r="40" spans="1:11" s="728" customFormat="1" ht="12.75">
      <c r="A40" s="1294" t="s">
        <v>120</v>
      </c>
      <c r="B40" s="1296" t="s">
        <v>1</v>
      </c>
      <c r="C40" s="875"/>
      <c r="D40" s="1298" t="s">
        <v>121</v>
      </c>
      <c r="E40" s="1298"/>
      <c r="F40" s="1298"/>
      <c r="G40" s="1298"/>
      <c r="H40" s="1298"/>
      <c r="I40" s="1298"/>
      <c r="J40" s="1298"/>
      <c r="K40" s="1299" t="s">
        <v>118</v>
      </c>
    </row>
    <row r="41" spans="1:11" s="728" customFormat="1" ht="12.75">
      <c r="A41" s="1295"/>
      <c r="B41" s="1297"/>
      <c r="C41" s="876"/>
      <c r="D41" s="877" t="s">
        <v>122</v>
      </c>
      <c r="E41" s="878" t="s">
        <v>123</v>
      </c>
      <c r="F41" s="878" t="s">
        <v>124</v>
      </c>
      <c r="G41" s="878" t="s">
        <v>125</v>
      </c>
      <c r="H41" s="878" t="s">
        <v>126</v>
      </c>
      <c r="I41" s="878" t="s">
        <v>127</v>
      </c>
      <c r="J41" s="878" t="s">
        <v>128</v>
      </c>
      <c r="K41" s="1300"/>
    </row>
    <row r="42" spans="1:11" s="882" customFormat="1" ht="18.75">
      <c r="A42" s="879" t="s">
        <v>1</v>
      </c>
      <c r="B42" s="880">
        <f>SUM(B43:B51)</f>
        <v>808</v>
      </c>
      <c r="C42" s="880"/>
      <c r="D42" s="880">
        <f t="shared" ref="D42:J42" si="4">SUM(D43:D51)</f>
        <v>56</v>
      </c>
      <c r="E42" s="880">
        <f t="shared" si="4"/>
        <v>120</v>
      </c>
      <c r="F42" s="880">
        <f t="shared" si="4"/>
        <v>60</v>
      </c>
      <c r="G42" s="880">
        <f t="shared" si="4"/>
        <v>176</v>
      </c>
      <c r="H42" s="880">
        <f t="shared" si="4"/>
        <v>229</v>
      </c>
      <c r="I42" s="880">
        <f t="shared" si="4"/>
        <v>40</v>
      </c>
      <c r="J42" s="880">
        <f t="shared" si="4"/>
        <v>127</v>
      </c>
      <c r="K42" s="881" t="s">
        <v>49</v>
      </c>
    </row>
    <row r="43" spans="1:11" s="6" customFormat="1" ht="18.75">
      <c r="A43" s="883" t="s">
        <v>155</v>
      </c>
      <c r="B43" s="884">
        <f t="shared" ref="B43:B51" si="5">SUM(D43:J43)</f>
        <v>201</v>
      </c>
      <c r="C43" s="884"/>
      <c r="D43" s="885">
        <v>37</v>
      </c>
      <c r="E43" s="885">
        <v>53</v>
      </c>
      <c r="F43" s="885">
        <v>22</v>
      </c>
      <c r="G43" s="885">
        <v>53</v>
      </c>
      <c r="H43" s="885">
        <v>26</v>
      </c>
      <c r="I43" s="885">
        <v>3</v>
      </c>
      <c r="J43" s="885">
        <v>7</v>
      </c>
      <c r="K43" s="886" t="s">
        <v>1480</v>
      </c>
    </row>
    <row r="44" spans="1:11" s="6" customFormat="1" ht="18.75">
      <c r="A44" s="883" t="s">
        <v>153</v>
      </c>
      <c r="B44" s="884">
        <f t="shared" si="5"/>
        <v>186</v>
      </c>
      <c r="C44" s="884"/>
      <c r="D44" s="885">
        <v>7</v>
      </c>
      <c r="E44" s="885">
        <v>41</v>
      </c>
      <c r="F44" s="885">
        <v>14</v>
      </c>
      <c r="G44" s="885">
        <v>42</v>
      </c>
      <c r="H44" s="885">
        <v>50</v>
      </c>
      <c r="I44" s="885">
        <v>10</v>
      </c>
      <c r="J44" s="885">
        <v>22</v>
      </c>
      <c r="K44" s="886" t="s">
        <v>1481</v>
      </c>
    </row>
    <row r="45" spans="1:11" s="6" customFormat="1" ht="18.75">
      <c r="A45" s="883" t="s">
        <v>154</v>
      </c>
      <c r="B45" s="884">
        <f t="shared" si="5"/>
        <v>201</v>
      </c>
      <c r="C45" s="884"/>
      <c r="D45" s="885">
        <v>4</v>
      </c>
      <c r="E45" s="885">
        <v>13</v>
      </c>
      <c r="F45" s="885">
        <v>10</v>
      </c>
      <c r="G45" s="885">
        <v>36</v>
      </c>
      <c r="H45" s="885">
        <v>71</v>
      </c>
      <c r="I45" s="885">
        <v>15</v>
      </c>
      <c r="J45" s="885">
        <v>52</v>
      </c>
      <c r="K45" s="886" t="s">
        <v>1484</v>
      </c>
    </row>
    <row r="46" spans="1:11" s="6" customFormat="1" ht="18.75">
      <c r="A46" s="883" t="s">
        <v>1482</v>
      </c>
      <c r="B46" s="884">
        <f t="shared" si="5"/>
        <v>117</v>
      </c>
      <c r="C46" s="884"/>
      <c r="D46" s="885">
        <v>6</v>
      </c>
      <c r="E46" s="885">
        <v>6</v>
      </c>
      <c r="F46" s="885">
        <v>8</v>
      </c>
      <c r="G46" s="885">
        <v>31</v>
      </c>
      <c r="H46" s="885">
        <v>35</v>
      </c>
      <c r="I46" s="885">
        <v>8</v>
      </c>
      <c r="J46" s="885">
        <v>23</v>
      </c>
      <c r="K46" s="886" t="s">
        <v>1483</v>
      </c>
    </row>
    <row r="47" spans="1:11" s="6" customFormat="1" ht="18.75">
      <c r="A47" s="883" t="s">
        <v>1485</v>
      </c>
      <c r="B47" s="884">
        <f t="shared" si="5"/>
        <v>16</v>
      </c>
      <c r="C47" s="884"/>
      <c r="D47" s="885">
        <v>0</v>
      </c>
      <c r="E47" s="885">
        <v>0</v>
      </c>
      <c r="F47" s="885">
        <v>0</v>
      </c>
      <c r="G47" s="885">
        <v>2</v>
      </c>
      <c r="H47" s="885">
        <v>11</v>
      </c>
      <c r="I47" s="885">
        <v>0</v>
      </c>
      <c r="J47" s="885">
        <v>3</v>
      </c>
      <c r="K47" s="886" t="s">
        <v>1486</v>
      </c>
    </row>
    <row r="48" spans="1:11" s="6" customFormat="1" ht="18.75">
      <c r="A48" s="883" t="s">
        <v>1487</v>
      </c>
      <c r="B48" s="884">
        <f t="shared" si="5"/>
        <v>3</v>
      </c>
      <c r="C48" s="887"/>
      <c r="D48" s="888">
        <v>0</v>
      </c>
      <c r="E48" s="888">
        <v>0</v>
      </c>
      <c r="F48" s="888">
        <v>0</v>
      </c>
      <c r="G48" s="888">
        <v>0</v>
      </c>
      <c r="H48" s="888">
        <v>2</v>
      </c>
      <c r="I48" s="888">
        <v>0</v>
      </c>
      <c r="J48" s="888">
        <v>1</v>
      </c>
      <c r="K48" s="886" t="s">
        <v>1488</v>
      </c>
    </row>
    <row r="49" spans="1:11" s="6" customFormat="1" ht="31.5" customHeight="1">
      <c r="A49" s="883" t="s">
        <v>1489</v>
      </c>
      <c r="B49" s="884">
        <f t="shared" si="5"/>
        <v>24</v>
      </c>
      <c r="C49" s="887"/>
      <c r="D49" s="888">
        <v>2</v>
      </c>
      <c r="E49" s="888">
        <v>4</v>
      </c>
      <c r="F49" s="888">
        <v>4</v>
      </c>
      <c r="G49" s="888">
        <v>4</v>
      </c>
      <c r="H49" s="888">
        <v>9</v>
      </c>
      <c r="I49" s="888">
        <v>1</v>
      </c>
      <c r="J49" s="888">
        <v>0</v>
      </c>
      <c r="K49" s="886" t="s">
        <v>1490</v>
      </c>
    </row>
    <row r="50" spans="1:11" s="6" customFormat="1" ht="18.75" customHeight="1">
      <c r="A50" s="883" t="s">
        <v>1491</v>
      </c>
      <c r="B50" s="884">
        <f t="shared" si="5"/>
        <v>8</v>
      </c>
      <c r="C50" s="887"/>
      <c r="D50" s="888">
        <v>0</v>
      </c>
      <c r="E50" s="888">
        <v>0</v>
      </c>
      <c r="F50" s="888">
        <v>0</v>
      </c>
      <c r="G50" s="888">
        <v>1</v>
      </c>
      <c r="H50" s="888">
        <v>2</v>
      </c>
      <c r="I50" s="888">
        <v>0</v>
      </c>
      <c r="J50" s="888">
        <v>5</v>
      </c>
      <c r="K50" s="886" t="s">
        <v>1492</v>
      </c>
    </row>
    <row r="51" spans="1:11" s="6" customFormat="1" ht="18.75">
      <c r="A51" s="889" t="s">
        <v>5</v>
      </c>
      <c r="B51" s="890">
        <f t="shared" si="5"/>
        <v>52</v>
      </c>
      <c r="C51" s="890"/>
      <c r="D51" s="891">
        <v>0</v>
      </c>
      <c r="E51" s="891">
        <v>3</v>
      </c>
      <c r="F51" s="891">
        <v>2</v>
      </c>
      <c r="G51" s="891">
        <v>7</v>
      </c>
      <c r="H51" s="891">
        <v>23</v>
      </c>
      <c r="I51" s="891">
        <v>3</v>
      </c>
      <c r="J51" s="891">
        <v>14</v>
      </c>
      <c r="K51" s="892" t="s">
        <v>13</v>
      </c>
    </row>
    <row r="52" spans="1:11" s="728" customFormat="1" ht="24" customHeight="1">
      <c r="A52" s="1301" t="s">
        <v>1493</v>
      </c>
      <c r="B52" s="1301"/>
      <c r="C52" s="1301"/>
      <c r="D52" s="1301"/>
      <c r="E52" s="1301"/>
      <c r="F52" s="1301"/>
      <c r="G52" s="1301"/>
      <c r="H52" s="1301"/>
      <c r="I52" s="893"/>
      <c r="J52" s="893"/>
      <c r="K52" s="894" t="s">
        <v>2106</v>
      </c>
    </row>
    <row r="53" spans="1:11" s="6" customFormat="1" ht="18.75">
      <c r="A53" s="895" t="s">
        <v>2107</v>
      </c>
      <c r="B53" s="728"/>
      <c r="C53" s="728"/>
      <c r="D53" s="728"/>
      <c r="E53" s="888"/>
      <c r="F53" s="888"/>
      <c r="G53" s="888"/>
      <c r="H53" s="888"/>
      <c r="I53" s="888"/>
      <c r="J53" s="888"/>
      <c r="K53" s="896"/>
    </row>
    <row r="54" spans="1:11" s="728" customFormat="1" ht="18.75">
      <c r="A54" s="1292" t="s">
        <v>2108</v>
      </c>
      <c r="B54" s="1292"/>
      <c r="C54" s="1292"/>
      <c r="D54" s="1292"/>
      <c r="E54" s="1292"/>
      <c r="F54" s="1292"/>
      <c r="G54" s="1292"/>
      <c r="H54" s="1292"/>
      <c r="I54" s="1292"/>
      <c r="J54" s="1292"/>
      <c r="K54" s="1292"/>
    </row>
    <row r="55" spans="1:11" s="728" customFormat="1" ht="12.75">
      <c r="A55" s="1293" t="s">
        <v>2109</v>
      </c>
      <c r="B55" s="1293"/>
      <c r="C55" s="1293"/>
      <c r="D55" s="1293"/>
      <c r="E55" s="1293"/>
      <c r="F55" s="1293"/>
      <c r="G55" s="1293"/>
      <c r="H55" s="1293"/>
      <c r="I55" s="1293"/>
      <c r="J55" s="1293"/>
      <c r="K55" s="1293"/>
    </row>
    <row r="56" spans="1:11" s="728" customFormat="1" ht="12.75">
      <c r="A56" s="874"/>
      <c r="B56" s="874"/>
      <c r="C56" s="874"/>
      <c r="D56" s="874"/>
      <c r="E56" s="874"/>
      <c r="F56" s="874"/>
      <c r="G56" s="874"/>
      <c r="H56" s="874"/>
      <c r="I56" s="874"/>
      <c r="J56" s="874"/>
      <c r="K56" s="874"/>
    </row>
    <row r="57" spans="1:11" s="728" customFormat="1" ht="12.75">
      <c r="A57" s="1294" t="s">
        <v>120</v>
      </c>
      <c r="B57" s="1296" t="s">
        <v>1</v>
      </c>
      <c r="C57" s="875"/>
      <c r="D57" s="1298" t="s">
        <v>121</v>
      </c>
      <c r="E57" s="1298"/>
      <c r="F57" s="1298"/>
      <c r="G57" s="1298"/>
      <c r="H57" s="1298"/>
      <c r="I57" s="1298"/>
      <c r="J57" s="1298"/>
      <c r="K57" s="1299" t="s">
        <v>118</v>
      </c>
    </row>
    <row r="58" spans="1:11" s="728" customFormat="1" ht="12.75">
      <c r="A58" s="1295"/>
      <c r="B58" s="1297"/>
      <c r="C58" s="876"/>
      <c r="D58" s="877" t="s">
        <v>122</v>
      </c>
      <c r="E58" s="878" t="s">
        <v>123</v>
      </c>
      <c r="F58" s="878" t="s">
        <v>124</v>
      </c>
      <c r="G58" s="878" t="s">
        <v>125</v>
      </c>
      <c r="H58" s="878" t="s">
        <v>126</v>
      </c>
      <c r="I58" s="878" t="s">
        <v>127</v>
      </c>
      <c r="J58" s="878" t="s">
        <v>128</v>
      </c>
      <c r="K58" s="1300"/>
    </row>
    <row r="59" spans="1:11" s="882" customFormat="1" ht="18.75">
      <c r="A59" s="879" t="s">
        <v>1</v>
      </c>
      <c r="B59" s="880">
        <f>SUM(B60:B63)</f>
        <v>1076</v>
      </c>
      <c r="C59" s="880"/>
      <c r="D59" s="880">
        <f t="shared" ref="D59:J59" si="6">SUM(D60:D63)</f>
        <v>39</v>
      </c>
      <c r="E59" s="880">
        <f t="shared" si="6"/>
        <v>193</v>
      </c>
      <c r="F59" s="880">
        <f t="shared" si="6"/>
        <v>51</v>
      </c>
      <c r="G59" s="880">
        <f t="shared" si="6"/>
        <v>263</v>
      </c>
      <c r="H59" s="880">
        <f t="shared" si="6"/>
        <v>356</v>
      </c>
      <c r="I59" s="880">
        <f t="shared" si="6"/>
        <v>71</v>
      </c>
      <c r="J59" s="880">
        <f t="shared" si="6"/>
        <v>103</v>
      </c>
      <c r="K59" s="881" t="s">
        <v>49</v>
      </c>
    </row>
    <row r="60" spans="1:11" s="6" customFormat="1" ht="18.75">
      <c r="A60" s="897" t="s">
        <v>155</v>
      </c>
      <c r="B60" s="884">
        <f>SUM(D60:J60)</f>
        <v>284</v>
      </c>
      <c r="C60" s="884"/>
      <c r="D60" s="885">
        <v>30</v>
      </c>
      <c r="E60" s="885">
        <v>83</v>
      </c>
      <c r="F60" s="885">
        <v>17</v>
      </c>
      <c r="G60" s="885">
        <v>79</v>
      </c>
      <c r="H60" s="885">
        <v>56</v>
      </c>
      <c r="I60" s="885">
        <v>12</v>
      </c>
      <c r="J60" s="885">
        <v>7</v>
      </c>
      <c r="K60" s="898" t="s">
        <v>1480</v>
      </c>
    </row>
    <row r="61" spans="1:11" s="6" customFormat="1" ht="18.75">
      <c r="A61" s="897" t="s">
        <v>153</v>
      </c>
      <c r="B61" s="884">
        <f>SUM(D61:J61)</f>
        <v>325</v>
      </c>
      <c r="C61" s="884"/>
      <c r="D61" s="885">
        <v>8</v>
      </c>
      <c r="E61" s="885">
        <v>63</v>
      </c>
      <c r="F61" s="885">
        <v>18</v>
      </c>
      <c r="G61" s="885">
        <v>89</v>
      </c>
      <c r="H61" s="885">
        <v>106</v>
      </c>
      <c r="I61" s="885">
        <v>14</v>
      </c>
      <c r="J61" s="885">
        <v>27</v>
      </c>
      <c r="K61" s="898" t="s">
        <v>1481</v>
      </c>
    </row>
    <row r="62" spans="1:11" s="6" customFormat="1" ht="18.75">
      <c r="A62" s="897" t="s">
        <v>154</v>
      </c>
      <c r="B62" s="887">
        <f>SUM(D62:J62)</f>
        <v>332</v>
      </c>
      <c r="C62" s="887"/>
      <c r="D62" s="888">
        <v>1</v>
      </c>
      <c r="E62" s="888">
        <v>21</v>
      </c>
      <c r="F62" s="888">
        <v>10</v>
      </c>
      <c r="G62" s="888">
        <v>57</v>
      </c>
      <c r="H62" s="888">
        <v>156</v>
      </c>
      <c r="I62" s="885">
        <v>32</v>
      </c>
      <c r="J62" s="885">
        <v>55</v>
      </c>
      <c r="K62" s="898" t="s">
        <v>1484</v>
      </c>
    </row>
    <row r="63" spans="1:11" s="6" customFormat="1" ht="18.75">
      <c r="A63" s="889" t="s">
        <v>1482</v>
      </c>
      <c r="B63" s="890">
        <f>SUM(D63:J63)</f>
        <v>135</v>
      </c>
      <c r="C63" s="890"/>
      <c r="D63" s="891">
        <v>0</v>
      </c>
      <c r="E63" s="891">
        <v>26</v>
      </c>
      <c r="F63" s="891">
        <v>6</v>
      </c>
      <c r="G63" s="891">
        <v>38</v>
      </c>
      <c r="H63" s="891">
        <v>38</v>
      </c>
      <c r="I63" s="891">
        <v>13</v>
      </c>
      <c r="J63" s="891">
        <v>14</v>
      </c>
      <c r="K63" s="899" t="s">
        <v>1483</v>
      </c>
    </row>
    <row r="64" spans="1:11" s="6" customFormat="1" ht="18.75">
      <c r="A64" s="895" t="s">
        <v>2107</v>
      </c>
      <c r="B64" s="728"/>
      <c r="C64" s="728"/>
      <c r="D64" s="728"/>
      <c r="E64" s="888"/>
      <c r="F64" s="888"/>
      <c r="G64" s="888"/>
      <c r="H64" s="888"/>
      <c r="I64" s="888"/>
      <c r="J64" s="888"/>
      <c r="K64" s="894" t="s">
        <v>2106</v>
      </c>
    </row>
    <row r="65" spans="1:11" s="728" customFormat="1" ht="18.75">
      <c r="A65" s="895"/>
      <c r="B65" s="895"/>
      <c r="C65" s="895"/>
      <c r="D65" s="900"/>
      <c r="E65" s="900"/>
      <c r="F65" s="901"/>
      <c r="G65" s="901"/>
      <c r="H65" s="901"/>
      <c r="I65" s="901"/>
      <c r="J65" s="901"/>
      <c r="K65" s="901"/>
    </row>
    <row r="66" spans="1:11" s="728" customFormat="1" ht="18.75">
      <c r="A66" s="1292" t="s">
        <v>2110</v>
      </c>
      <c r="B66" s="1292"/>
      <c r="C66" s="1292"/>
      <c r="D66" s="1292"/>
      <c r="E66" s="1292"/>
      <c r="F66" s="1292"/>
      <c r="G66" s="1292"/>
      <c r="H66" s="1292"/>
      <c r="I66" s="1292"/>
      <c r="J66" s="1292"/>
      <c r="K66" s="1292"/>
    </row>
    <row r="67" spans="1:11" s="728" customFormat="1" ht="12.75">
      <c r="A67" s="1293" t="s">
        <v>2111</v>
      </c>
      <c r="B67" s="1293"/>
      <c r="C67" s="1293"/>
      <c r="D67" s="1293"/>
      <c r="E67" s="1293"/>
      <c r="F67" s="1293"/>
      <c r="G67" s="1293"/>
      <c r="H67" s="1293"/>
      <c r="I67" s="1293"/>
      <c r="J67" s="1293"/>
      <c r="K67" s="1293"/>
    </row>
    <row r="68" spans="1:11" s="728" customFormat="1" ht="12.75">
      <c r="A68" s="874"/>
      <c r="B68" s="874"/>
      <c r="C68" s="874"/>
      <c r="D68" s="874"/>
      <c r="E68" s="874"/>
      <c r="F68" s="874"/>
      <c r="G68" s="874"/>
      <c r="H68" s="874"/>
      <c r="I68" s="874"/>
      <c r="J68" s="874"/>
      <c r="K68" s="874"/>
    </row>
    <row r="69" spans="1:11" s="728" customFormat="1" ht="12.75">
      <c r="A69" s="1294" t="s">
        <v>120</v>
      </c>
      <c r="B69" s="1296" t="s">
        <v>1</v>
      </c>
      <c r="C69" s="875"/>
      <c r="D69" s="1298" t="s">
        <v>121</v>
      </c>
      <c r="E69" s="1298"/>
      <c r="F69" s="1298"/>
      <c r="G69" s="1298"/>
      <c r="H69" s="1298"/>
      <c r="I69" s="1298"/>
      <c r="J69" s="1298"/>
      <c r="K69" s="1299" t="s">
        <v>118</v>
      </c>
    </row>
    <row r="70" spans="1:11" s="728" customFormat="1" ht="12.75">
      <c r="A70" s="1295"/>
      <c r="B70" s="1297"/>
      <c r="C70" s="876"/>
      <c r="D70" s="877" t="s">
        <v>122</v>
      </c>
      <c r="E70" s="878" t="s">
        <v>123</v>
      </c>
      <c r="F70" s="878" t="s">
        <v>124</v>
      </c>
      <c r="G70" s="878" t="s">
        <v>125</v>
      </c>
      <c r="H70" s="878" t="s">
        <v>126</v>
      </c>
      <c r="I70" s="878" t="s">
        <v>127</v>
      </c>
      <c r="J70" s="878" t="s">
        <v>128</v>
      </c>
      <c r="K70" s="1300"/>
    </row>
    <row r="71" spans="1:11" s="882" customFormat="1" ht="18.75">
      <c r="A71" s="879" t="s">
        <v>1</v>
      </c>
      <c r="B71" s="880">
        <f>SUM(B72:B75)</f>
        <v>892</v>
      </c>
      <c r="C71" s="880"/>
      <c r="D71" s="880">
        <f>SUM(D72:D75)</f>
        <v>22</v>
      </c>
      <c r="E71" s="880">
        <f t="shared" ref="E71:J71" si="7">SUM(E72:E75)</f>
        <v>174</v>
      </c>
      <c r="F71" s="880">
        <f t="shared" si="7"/>
        <v>56</v>
      </c>
      <c r="G71" s="880">
        <f t="shared" si="7"/>
        <v>216</v>
      </c>
      <c r="H71" s="880">
        <f t="shared" si="7"/>
        <v>259</v>
      </c>
      <c r="I71" s="880">
        <f t="shared" si="7"/>
        <v>58</v>
      </c>
      <c r="J71" s="880">
        <f t="shared" si="7"/>
        <v>107</v>
      </c>
      <c r="K71" s="881" t="s">
        <v>49</v>
      </c>
    </row>
    <row r="72" spans="1:11" s="6" customFormat="1" ht="18.75">
      <c r="A72" s="897" t="s">
        <v>155</v>
      </c>
      <c r="B72" s="884">
        <f>SUM(D72:J72)</f>
        <v>230</v>
      </c>
      <c r="C72" s="884"/>
      <c r="D72" s="885">
        <v>16</v>
      </c>
      <c r="E72" s="885">
        <v>77</v>
      </c>
      <c r="F72" s="885">
        <v>16</v>
      </c>
      <c r="G72" s="885">
        <v>65</v>
      </c>
      <c r="H72" s="885">
        <v>43</v>
      </c>
      <c r="I72" s="885">
        <v>6</v>
      </c>
      <c r="J72" s="885">
        <v>7</v>
      </c>
      <c r="K72" s="898" t="s">
        <v>1480</v>
      </c>
    </row>
    <row r="73" spans="1:11" s="6" customFormat="1" ht="18.75">
      <c r="A73" s="897" t="s">
        <v>153</v>
      </c>
      <c r="B73" s="884">
        <f>SUM(D73:J73)</f>
        <v>264</v>
      </c>
      <c r="C73" s="884"/>
      <c r="D73" s="885">
        <v>2</v>
      </c>
      <c r="E73" s="885">
        <v>63</v>
      </c>
      <c r="F73" s="885">
        <v>18</v>
      </c>
      <c r="G73" s="885">
        <v>76</v>
      </c>
      <c r="H73" s="885">
        <v>71</v>
      </c>
      <c r="I73" s="885">
        <v>9</v>
      </c>
      <c r="J73" s="885">
        <v>25</v>
      </c>
      <c r="K73" s="898" t="s">
        <v>1481</v>
      </c>
    </row>
    <row r="74" spans="1:11" s="6" customFormat="1" ht="18.75">
      <c r="A74" s="897" t="s">
        <v>154</v>
      </c>
      <c r="B74" s="884">
        <f>SUM(D74:J74)</f>
        <v>327</v>
      </c>
      <c r="C74" s="884"/>
      <c r="D74" s="885">
        <v>1</v>
      </c>
      <c r="E74" s="885">
        <v>23</v>
      </c>
      <c r="F74" s="885">
        <v>15</v>
      </c>
      <c r="G74" s="885">
        <v>55</v>
      </c>
      <c r="H74" s="885">
        <v>121</v>
      </c>
      <c r="I74" s="885">
        <v>40</v>
      </c>
      <c r="J74" s="885">
        <v>72</v>
      </c>
      <c r="K74" s="898" t="s">
        <v>1484</v>
      </c>
    </row>
    <row r="75" spans="1:11" s="6" customFormat="1" ht="18.75">
      <c r="A75" s="889" t="s">
        <v>1482</v>
      </c>
      <c r="B75" s="890">
        <f>SUM(D75:J75)</f>
        <v>71</v>
      </c>
      <c r="C75" s="890"/>
      <c r="D75" s="891">
        <v>3</v>
      </c>
      <c r="E75" s="891">
        <v>11</v>
      </c>
      <c r="F75" s="891">
        <v>7</v>
      </c>
      <c r="G75" s="891">
        <v>20</v>
      </c>
      <c r="H75" s="891">
        <v>24</v>
      </c>
      <c r="I75" s="891">
        <v>3</v>
      </c>
      <c r="J75" s="891">
        <v>3</v>
      </c>
      <c r="K75" s="899" t="s">
        <v>1483</v>
      </c>
    </row>
    <row r="76" spans="1:11" s="6" customFormat="1" ht="18.75">
      <c r="A76" s="895" t="s">
        <v>2107</v>
      </c>
      <c r="B76" s="728"/>
      <c r="C76" s="728"/>
      <c r="D76" s="728"/>
      <c r="E76" s="888"/>
      <c r="F76" s="888"/>
      <c r="G76" s="888"/>
      <c r="H76" s="888"/>
      <c r="I76" s="888"/>
      <c r="J76" s="888"/>
      <c r="K76" s="893" t="s">
        <v>2106</v>
      </c>
    </row>
  </sheetData>
  <mergeCells count="33">
    <mergeCell ref="A2:K2"/>
    <mergeCell ref="A3:K3"/>
    <mergeCell ref="A5:A6"/>
    <mergeCell ref="B5:B6"/>
    <mergeCell ref="D5:J5"/>
    <mergeCell ref="K5:K6"/>
    <mergeCell ref="A17:H17"/>
    <mergeCell ref="A19:K19"/>
    <mergeCell ref="A20:K20"/>
    <mergeCell ref="A22:A23"/>
    <mergeCell ref="B22:B23"/>
    <mergeCell ref="D22:J22"/>
    <mergeCell ref="K22:K23"/>
    <mergeCell ref="A34:H34"/>
    <mergeCell ref="A37:K37"/>
    <mergeCell ref="A38:K38"/>
    <mergeCell ref="A40:A41"/>
    <mergeCell ref="B40:B41"/>
    <mergeCell ref="D40:J40"/>
    <mergeCell ref="K40:K41"/>
    <mergeCell ref="A52:H52"/>
    <mergeCell ref="A54:K54"/>
    <mergeCell ref="A55:K55"/>
    <mergeCell ref="A57:A58"/>
    <mergeCell ref="B57:B58"/>
    <mergeCell ref="D57:J57"/>
    <mergeCell ref="K57:K58"/>
    <mergeCell ref="A66:K66"/>
    <mergeCell ref="A67:K67"/>
    <mergeCell ref="A69:A70"/>
    <mergeCell ref="B69:B70"/>
    <mergeCell ref="D69:J69"/>
    <mergeCell ref="K69:K70"/>
  </mergeCell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A1:E10"/>
  <sheetViews>
    <sheetView view="pageBreakPreview" zoomScale="60" zoomScaleNormal="100" workbookViewId="0">
      <selection activeCell="N8" sqref="N8"/>
    </sheetView>
  </sheetViews>
  <sheetFormatPr defaultRowHeight="15"/>
  <cols>
    <col min="1" max="1" width="27.5703125" style="16" customWidth="1"/>
    <col min="2" max="4" width="11.85546875" style="16" customWidth="1"/>
    <col min="5" max="5" width="33.5703125" style="16" customWidth="1"/>
    <col min="6" max="6" width="7.140625" style="16" customWidth="1"/>
    <col min="7" max="31" width="5.140625" style="16" customWidth="1"/>
    <col min="32" max="16384" width="9.140625" style="16"/>
  </cols>
  <sheetData>
    <row r="1" spans="1:5" ht="21">
      <c r="A1" s="1168" t="s">
        <v>1498</v>
      </c>
      <c r="B1" s="1168"/>
      <c r="C1" s="1168"/>
      <c r="D1" s="1168"/>
      <c r="E1" s="1168"/>
    </row>
    <row r="2" spans="1:5">
      <c r="A2" s="1079" t="s">
        <v>1499</v>
      </c>
      <c r="B2" s="1079"/>
      <c r="C2" s="1079"/>
      <c r="D2" s="1079"/>
      <c r="E2" s="1079"/>
    </row>
    <row r="4" spans="1:5">
      <c r="A4" s="1253" t="s">
        <v>117</v>
      </c>
      <c r="B4" s="751" t="s">
        <v>119</v>
      </c>
      <c r="C4" s="751" t="s">
        <v>69</v>
      </c>
      <c r="D4" s="751" t="s">
        <v>70</v>
      </c>
      <c r="E4" s="1303" t="s">
        <v>67</v>
      </c>
    </row>
    <row r="5" spans="1:5" ht="18.75">
      <c r="A5" s="1088"/>
      <c r="B5" s="747" t="s">
        <v>1497</v>
      </c>
      <c r="C5" s="747" t="s">
        <v>76</v>
      </c>
      <c r="D5" s="747" t="s">
        <v>77</v>
      </c>
      <c r="E5" s="1175"/>
    </row>
    <row r="6" spans="1:5" ht="21">
      <c r="A6" s="52" t="s">
        <v>73</v>
      </c>
      <c r="B6" s="207">
        <f>SUM(C6:D6)</f>
        <v>93</v>
      </c>
      <c r="C6" s="207">
        <f>SUM(C7:C9)</f>
        <v>47</v>
      </c>
      <c r="D6" s="207">
        <f>SUM(D7:D9)</f>
        <v>46</v>
      </c>
      <c r="E6" s="502" t="s">
        <v>49</v>
      </c>
    </row>
    <row r="7" spans="1:5" ht="21">
      <c r="A7" s="649" t="s">
        <v>1500</v>
      </c>
      <c r="B7" s="207">
        <f>SUM(C7:D7)</f>
        <v>20</v>
      </c>
      <c r="C7" s="16">
        <v>12</v>
      </c>
      <c r="D7" s="16">
        <v>8</v>
      </c>
      <c r="E7" s="519" t="s">
        <v>1501</v>
      </c>
    </row>
    <row r="8" spans="1:5" ht="21">
      <c r="A8" s="649" t="s">
        <v>1502</v>
      </c>
      <c r="B8" s="207">
        <f>SUM(C8:D8)</f>
        <v>41</v>
      </c>
      <c r="C8" s="16">
        <v>29</v>
      </c>
      <c r="D8" s="16">
        <v>12</v>
      </c>
      <c r="E8" s="519" t="s">
        <v>1503</v>
      </c>
    </row>
    <row r="9" spans="1:5" ht="21">
      <c r="A9" s="650" t="s">
        <v>1504</v>
      </c>
      <c r="B9" s="100">
        <f>SUM(C9:D9)</f>
        <v>32</v>
      </c>
      <c r="C9" s="43">
        <v>6</v>
      </c>
      <c r="D9" s="43">
        <v>26</v>
      </c>
      <c r="E9" s="752" t="s">
        <v>1505</v>
      </c>
    </row>
    <row r="10" spans="1:5" ht="18.75">
      <c r="A10" s="750" t="s">
        <v>1495</v>
      </c>
      <c r="E10" s="753" t="s">
        <v>1494</v>
      </c>
    </row>
  </sheetData>
  <mergeCells count="4">
    <mergeCell ref="A1:E1"/>
    <mergeCell ref="A2:E2"/>
    <mergeCell ref="A4:A5"/>
    <mergeCell ref="E4:E5"/>
  </mergeCells>
  <pageMargins left="0.7" right="0.7" top="0.75" bottom="0.75" header="0.3" footer="0.3"/>
  <pageSetup paperSize="9" scale="76"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A1:T18"/>
  <sheetViews>
    <sheetView view="pageBreakPreview" zoomScale="60" zoomScaleNormal="100" workbookViewId="0">
      <selection activeCell="L18" sqref="L18"/>
    </sheetView>
  </sheetViews>
  <sheetFormatPr defaultColWidth="9.140625" defaultRowHeight="12.75"/>
  <cols>
    <col min="1" max="1" width="25" style="76" customWidth="1"/>
    <col min="2" max="13" width="9.85546875" style="76" customWidth="1"/>
    <col min="14" max="16384" width="9.140625" style="76"/>
  </cols>
  <sheetData>
    <row r="1" spans="1:20" ht="21.75">
      <c r="A1" s="1308" t="s">
        <v>2112</v>
      </c>
      <c r="B1" s="1308"/>
      <c r="C1" s="1308"/>
      <c r="D1" s="1308"/>
      <c r="E1" s="1308"/>
      <c r="F1" s="1308"/>
      <c r="G1" s="1308"/>
      <c r="H1" s="1308"/>
      <c r="I1" s="1308"/>
      <c r="J1" s="1308"/>
      <c r="K1" s="1308"/>
      <c r="L1" s="1308"/>
      <c r="M1" s="1308"/>
    </row>
    <row r="2" spans="1:20" ht="15.75">
      <c r="A2" s="1309" t="s">
        <v>2113</v>
      </c>
      <c r="B2" s="1309"/>
      <c r="C2" s="1309"/>
      <c r="D2" s="1309"/>
      <c r="E2" s="1309"/>
      <c r="F2" s="1309"/>
      <c r="G2" s="1309"/>
      <c r="H2" s="1309"/>
      <c r="I2" s="1309"/>
      <c r="J2" s="1309"/>
      <c r="K2" s="1309"/>
      <c r="L2" s="1309"/>
      <c r="M2" s="1309"/>
    </row>
    <row r="4" spans="1:20">
      <c r="A4" s="1134" t="s">
        <v>1042</v>
      </c>
      <c r="B4" s="1304">
        <v>2016</v>
      </c>
      <c r="C4" s="1305"/>
      <c r="D4" s="1305"/>
      <c r="E4" s="1304">
        <v>2017</v>
      </c>
      <c r="F4" s="1305"/>
      <c r="G4" s="1305"/>
      <c r="H4" s="1304">
        <v>2018</v>
      </c>
      <c r="I4" s="1305"/>
      <c r="J4" s="1305"/>
      <c r="K4" s="1304">
        <v>2019</v>
      </c>
      <c r="L4" s="1305"/>
      <c r="M4" s="1305"/>
    </row>
    <row r="5" spans="1:20">
      <c r="A5" s="1090"/>
      <c r="B5" s="1306" t="s">
        <v>2114</v>
      </c>
      <c r="C5" s="1307"/>
      <c r="D5" s="1307"/>
      <c r="E5" s="1306" t="s">
        <v>2114</v>
      </c>
      <c r="F5" s="1307"/>
      <c r="G5" s="1307"/>
      <c r="H5" s="1306" t="s">
        <v>2114</v>
      </c>
      <c r="I5" s="1307"/>
      <c r="J5" s="1307"/>
      <c r="K5" s="1306" t="s">
        <v>2114</v>
      </c>
      <c r="L5" s="1307"/>
      <c r="M5" s="1307"/>
    </row>
    <row r="6" spans="1:20" ht="15">
      <c r="A6" s="1089"/>
      <c r="B6" s="904" t="s">
        <v>68</v>
      </c>
      <c r="C6" s="91" t="s">
        <v>69</v>
      </c>
      <c r="D6" s="91" t="s">
        <v>70</v>
      </c>
      <c r="E6" s="904" t="s">
        <v>68</v>
      </c>
      <c r="F6" s="91" t="s">
        <v>69</v>
      </c>
      <c r="G6" s="91" t="s">
        <v>70</v>
      </c>
      <c r="H6" s="904" t="s">
        <v>68</v>
      </c>
      <c r="I6" s="91" t="s">
        <v>69</v>
      </c>
      <c r="J6" s="91" t="s">
        <v>70</v>
      </c>
      <c r="K6" s="904" t="s">
        <v>68</v>
      </c>
      <c r="L6" s="91" t="s">
        <v>69</v>
      </c>
      <c r="M6" s="91" t="s">
        <v>70</v>
      </c>
      <c r="P6" s="16"/>
    </row>
    <row r="7" spans="1:20" ht="15">
      <c r="A7" s="905" t="s">
        <v>1</v>
      </c>
      <c r="B7" s="906">
        <f>C7+D7</f>
        <v>1471</v>
      </c>
      <c r="C7" s="907">
        <f>SUM(C8:C14)</f>
        <v>760</v>
      </c>
      <c r="D7" s="907">
        <f>SUM(D8:D14)</f>
        <v>711</v>
      </c>
      <c r="E7" s="906">
        <f>F7+G7</f>
        <v>1761</v>
      </c>
      <c r="F7" s="907">
        <f>SUM(F8:F14)</f>
        <v>854</v>
      </c>
      <c r="G7" s="907">
        <f>SUM(G8:G14)</f>
        <v>907</v>
      </c>
      <c r="H7" s="906">
        <f>I7+J7</f>
        <v>1737</v>
      </c>
      <c r="I7" s="907">
        <f>SUM(I8:I14)</f>
        <v>831</v>
      </c>
      <c r="J7" s="907">
        <f>SUM(J8:J14)</f>
        <v>906</v>
      </c>
      <c r="K7" s="906">
        <f t="shared" ref="K7:K14" si="0">L7+M7</f>
        <v>1185</v>
      </c>
      <c r="L7" s="907">
        <f>SUM(L8:L14)</f>
        <v>556</v>
      </c>
      <c r="M7" s="907">
        <f>SUM(M8:M14)</f>
        <v>629</v>
      </c>
    </row>
    <row r="8" spans="1:20" ht="15" customHeight="1">
      <c r="A8" s="908" t="s">
        <v>1089</v>
      </c>
      <c r="B8" s="909">
        <f>C8+D8</f>
        <v>40</v>
      </c>
      <c r="C8" s="68">
        <v>24</v>
      </c>
      <c r="D8" s="68">
        <v>16</v>
      </c>
      <c r="E8" s="909">
        <f>F8+G8</f>
        <v>52</v>
      </c>
      <c r="F8" s="68">
        <v>24</v>
      </c>
      <c r="G8" s="68">
        <v>28</v>
      </c>
      <c r="H8" s="909">
        <f t="shared" ref="H8:H14" si="1">I8+J8</f>
        <v>67</v>
      </c>
      <c r="I8" s="68">
        <v>35</v>
      </c>
      <c r="J8" s="68">
        <v>32</v>
      </c>
      <c r="K8" s="909">
        <f t="shared" si="0"/>
        <v>48</v>
      </c>
      <c r="L8" s="68">
        <v>22</v>
      </c>
      <c r="M8" s="68">
        <v>26</v>
      </c>
    </row>
    <row r="9" spans="1:20" ht="15.75">
      <c r="A9" s="910" t="s">
        <v>123</v>
      </c>
      <c r="B9" s="909">
        <f t="shared" ref="B9:B14" si="2">C9+D9</f>
        <v>227</v>
      </c>
      <c r="C9" s="68">
        <v>118</v>
      </c>
      <c r="D9" s="68">
        <v>109</v>
      </c>
      <c r="E9" s="909">
        <f t="shared" ref="E9:E14" si="3">F9+G9</f>
        <v>285</v>
      </c>
      <c r="F9" s="68">
        <v>142</v>
      </c>
      <c r="G9" s="68">
        <v>143</v>
      </c>
      <c r="H9" s="909">
        <f t="shared" si="1"/>
        <v>345</v>
      </c>
      <c r="I9" s="68">
        <v>178</v>
      </c>
      <c r="J9" s="68">
        <v>167</v>
      </c>
      <c r="K9" s="909">
        <f t="shared" si="0"/>
        <v>183</v>
      </c>
      <c r="L9" s="68">
        <v>79</v>
      </c>
      <c r="M9" s="68">
        <v>104</v>
      </c>
      <c r="T9" s="911"/>
    </row>
    <row r="10" spans="1:20" ht="15">
      <c r="A10" s="910" t="s">
        <v>124</v>
      </c>
      <c r="B10" s="909">
        <f t="shared" si="2"/>
        <v>54</v>
      </c>
      <c r="C10" s="68">
        <v>32</v>
      </c>
      <c r="D10" s="68">
        <v>22</v>
      </c>
      <c r="E10" s="909">
        <f t="shared" si="3"/>
        <v>105</v>
      </c>
      <c r="F10" s="68">
        <v>58</v>
      </c>
      <c r="G10" s="68">
        <v>47</v>
      </c>
      <c r="H10" s="909">
        <f t="shared" si="1"/>
        <v>87</v>
      </c>
      <c r="I10" s="68">
        <v>43</v>
      </c>
      <c r="J10" s="68">
        <v>44</v>
      </c>
      <c r="K10" s="909">
        <f t="shared" si="0"/>
        <v>57</v>
      </c>
      <c r="L10" s="68">
        <v>37</v>
      </c>
      <c r="M10" s="68">
        <v>20</v>
      </c>
    </row>
    <row r="11" spans="1:20" ht="15">
      <c r="A11" s="910" t="s">
        <v>125</v>
      </c>
      <c r="B11" s="909">
        <f t="shared" si="2"/>
        <v>335</v>
      </c>
      <c r="C11" s="68">
        <v>184</v>
      </c>
      <c r="D11" s="68">
        <v>151</v>
      </c>
      <c r="E11" s="909">
        <f t="shared" si="3"/>
        <v>374</v>
      </c>
      <c r="F11" s="68">
        <v>217</v>
      </c>
      <c r="G11" s="68">
        <v>157</v>
      </c>
      <c r="H11" s="909">
        <f t="shared" si="1"/>
        <v>379</v>
      </c>
      <c r="I11" s="68">
        <v>198</v>
      </c>
      <c r="J11" s="68">
        <v>181</v>
      </c>
      <c r="K11" s="909">
        <f t="shared" si="0"/>
        <v>244</v>
      </c>
      <c r="L11" s="68">
        <v>116</v>
      </c>
      <c r="M11" s="68">
        <v>128</v>
      </c>
    </row>
    <row r="12" spans="1:20" ht="15">
      <c r="A12" s="910" t="s">
        <v>126</v>
      </c>
      <c r="B12" s="909">
        <f t="shared" si="2"/>
        <v>472</v>
      </c>
      <c r="C12" s="68">
        <v>247</v>
      </c>
      <c r="D12" s="68">
        <v>225</v>
      </c>
      <c r="E12" s="909">
        <f t="shared" si="3"/>
        <v>562</v>
      </c>
      <c r="F12" s="68">
        <v>270</v>
      </c>
      <c r="G12" s="68">
        <v>292</v>
      </c>
      <c r="H12" s="909">
        <f>I12+J12</f>
        <v>574</v>
      </c>
      <c r="I12" s="68">
        <v>269</v>
      </c>
      <c r="J12" s="68">
        <v>305</v>
      </c>
      <c r="K12" s="909">
        <f t="shared" si="0"/>
        <v>404</v>
      </c>
      <c r="L12" s="68">
        <v>216</v>
      </c>
      <c r="M12" s="68">
        <v>188</v>
      </c>
    </row>
    <row r="13" spans="1:20" ht="15">
      <c r="A13" s="910" t="s">
        <v>127</v>
      </c>
      <c r="B13" s="909">
        <f t="shared" si="2"/>
        <v>145</v>
      </c>
      <c r="C13" s="68">
        <v>71</v>
      </c>
      <c r="D13" s="68">
        <v>74</v>
      </c>
      <c r="E13" s="909">
        <f t="shared" si="3"/>
        <v>141</v>
      </c>
      <c r="F13" s="68">
        <v>57</v>
      </c>
      <c r="G13" s="68">
        <v>84</v>
      </c>
      <c r="H13" s="909">
        <f>I13+J13</f>
        <v>119</v>
      </c>
      <c r="I13" s="68">
        <v>45</v>
      </c>
      <c r="J13" s="68">
        <v>74</v>
      </c>
      <c r="K13" s="909">
        <f t="shared" si="0"/>
        <v>105</v>
      </c>
      <c r="L13" s="68">
        <v>55</v>
      </c>
      <c r="M13" s="68">
        <v>50</v>
      </c>
    </row>
    <row r="14" spans="1:20" ht="15">
      <c r="A14" s="912" t="s">
        <v>128</v>
      </c>
      <c r="B14" s="913">
        <f t="shared" si="2"/>
        <v>198</v>
      </c>
      <c r="C14" s="914">
        <v>84</v>
      </c>
      <c r="D14" s="914">
        <v>114</v>
      </c>
      <c r="E14" s="913">
        <f t="shared" si="3"/>
        <v>242</v>
      </c>
      <c r="F14" s="914">
        <v>86</v>
      </c>
      <c r="G14" s="914">
        <v>156</v>
      </c>
      <c r="H14" s="913">
        <f t="shared" si="1"/>
        <v>166</v>
      </c>
      <c r="I14" s="914">
        <v>63</v>
      </c>
      <c r="J14" s="914">
        <v>103</v>
      </c>
      <c r="K14" s="913">
        <f t="shared" si="0"/>
        <v>144</v>
      </c>
      <c r="L14" s="914">
        <v>31</v>
      </c>
      <c r="M14" s="914">
        <v>113</v>
      </c>
    </row>
    <row r="15" spans="1:20" ht="18.75">
      <c r="A15" s="768" t="s">
        <v>1495</v>
      </c>
      <c r="G15" s="749"/>
      <c r="J15" s="753"/>
      <c r="M15" s="753" t="s">
        <v>1494</v>
      </c>
      <c r="Q15" s="16"/>
    </row>
    <row r="16" spans="1:20" ht="15">
      <c r="B16" s="33"/>
    </row>
    <row r="17" spans="2:2" ht="15">
      <c r="B17" s="33"/>
    </row>
    <row r="18" spans="2:2" ht="15.75" customHeight="1">
      <c r="B18" s="33"/>
    </row>
  </sheetData>
  <mergeCells count="11">
    <mergeCell ref="A1:M1"/>
    <mergeCell ref="A2:M2"/>
    <mergeCell ref="A4:A6"/>
    <mergeCell ref="B4:D4"/>
    <mergeCell ref="E4:G4"/>
    <mergeCell ref="H4:J4"/>
    <mergeCell ref="K4:M4"/>
    <mergeCell ref="B5:D5"/>
    <mergeCell ref="E5:G5"/>
    <mergeCell ref="H5:J5"/>
    <mergeCell ref="K5:M5"/>
  </mergeCells>
  <pageMargins left="0.7" right="0.7" top="0.75" bottom="0.75" header="0.3" footer="0.3"/>
  <pageSetup paperSize="9" scale="57"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A1:V16"/>
  <sheetViews>
    <sheetView view="pageBreakPreview" zoomScale="60" zoomScaleNormal="100" workbookViewId="0">
      <selection activeCell="Z30" sqref="Z30"/>
    </sheetView>
  </sheetViews>
  <sheetFormatPr defaultColWidth="9.140625" defaultRowHeight="12.75"/>
  <cols>
    <col min="1" max="1" width="20" style="76" customWidth="1"/>
    <col min="2" max="22" width="9.85546875" style="76" customWidth="1"/>
    <col min="23" max="16384" width="9.140625" style="76"/>
  </cols>
  <sheetData>
    <row r="1" spans="1:22" ht="15">
      <c r="E1" s="33"/>
      <c r="H1" s="33"/>
    </row>
    <row r="2" spans="1:22" ht="21.75">
      <c r="A2" s="1308" t="s">
        <v>2115</v>
      </c>
      <c r="B2" s="1308"/>
      <c r="C2" s="1308"/>
      <c r="D2" s="1308"/>
      <c r="E2" s="1308"/>
      <c r="F2" s="1308"/>
      <c r="G2" s="1308"/>
      <c r="H2" s="1308"/>
      <c r="I2" s="1308"/>
      <c r="J2" s="1308"/>
      <c r="K2" s="1308"/>
      <c r="L2" s="1308"/>
      <c r="M2" s="1308"/>
      <c r="N2" s="1308"/>
      <c r="O2" s="1308"/>
      <c r="P2" s="1308"/>
      <c r="Q2" s="1308"/>
      <c r="R2" s="1308"/>
      <c r="S2" s="1308"/>
      <c r="T2" s="902"/>
      <c r="U2" s="902"/>
      <c r="V2" s="902"/>
    </row>
    <row r="3" spans="1:22" ht="15.75">
      <c r="A3" s="1309" t="s">
        <v>2116</v>
      </c>
      <c r="B3" s="1309"/>
      <c r="C3" s="1309"/>
      <c r="D3" s="1309"/>
      <c r="E3" s="1309"/>
      <c r="F3" s="1309"/>
      <c r="G3" s="1309"/>
      <c r="H3" s="1309"/>
      <c r="I3" s="1309"/>
      <c r="J3" s="1309"/>
      <c r="K3" s="1309"/>
      <c r="L3" s="1309"/>
      <c r="M3" s="1309"/>
      <c r="N3" s="1309"/>
      <c r="O3" s="1309"/>
      <c r="P3" s="1309"/>
      <c r="Q3" s="1309"/>
      <c r="R3" s="1309"/>
      <c r="S3" s="1309"/>
      <c r="T3" s="903"/>
      <c r="U3" s="903"/>
      <c r="V3" s="903"/>
    </row>
    <row r="4" spans="1:22" ht="15.75">
      <c r="A4" s="1310"/>
      <c r="B4" s="1310"/>
      <c r="C4" s="1310"/>
      <c r="D4" s="1310"/>
      <c r="E4" s="1310"/>
      <c r="F4" s="1310"/>
      <c r="G4" s="1310"/>
      <c r="H4" s="1310"/>
      <c r="I4" s="1310"/>
      <c r="J4" s="1310"/>
      <c r="K4" s="1310"/>
      <c r="L4" s="1310"/>
      <c r="M4" s="1310"/>
      <c r="N4" s="1310"/>
      <c r="O4" s="1310"/>
      <c r="P4" s="1310"/>
      <c r="Q4" s="1310"/>
      <c r="R4" s="1310"/>
      <c r="S4" s="1310"/>
      <c r="T4" s="903"/>
      <c r="U4" s="903"/>
      <c r="V4" s="903"/>
    </row>
    <row r="5" spans="1:22">
      <c r="A5" s="1134" t="s">
        <v>1042</v>
      </c>
      <c r="B5" s="1304">
        <v>2014</v>
      </c>
      <c r="C5" s="1305"/>
      <c r="D5" s="1305"/>
      <c r="E5" s="1304">
        <v>2015</v>
      </c>
      <c r="F5" s="1305"/>
      <c r="G5" s="1305"/>
      <c r="H5" s="1304">
        <v>2016</v>
      </c>
      <c r="I5" s="1305"/>
      <c r="J5" s="1305"/>
      <c r="K5" s="1304">
        <v>2017</v>
      </c>
      <c r="L5" s="1305"/>
      <c r="M5" s="1305"/>
      <c r="N5" s="1304">
        <v>2018</v>
      </c>
      <c r="O5" s="1305"/>
      <c r="P5" s="1305"/>
      <c r="Q5" s="1304">
        <v>2019</v>
      </c>
      <c r="R5" s="1305"/>
      <c r="S5" s="1305"/>
      <c r="T5" s="1304">
        <v>2019</v>
      </c>
      <c r="U5" s="1305"/>
      <c r="V5" s="1305"/>
    </row>
    <row r="6" spans="1:22">
      <c r="A6" s="1090"/>
      <c r="B6" s="1306" t="s">
        <v>2114</v>
      </c>
      <c r="C6" s="1307"/>
      <c r="D6" s="1307"/>
      <c r="E6" s="1306" t="s">
        <v>2114</v>
      </c>
      <c r="F6" s="1307"/>
      <c r="G6" s="1307"/>
      <c r="H6" s="1306" t="s">
        <v>2114</v>
      </c>
      <c r="I6" s="1307"/>
      <c r="J6" s="1307"/>
      <c r="K6" s="1306" t="s">
        <v>2114</v>
      </c>
      <c r="L6" s="1307"/>
      <c r="M6" s="1307"/>
      <c r="N6" s="1306" t="s">
        <v>2114</v>
      </c>
      <c r="O6" s="1307"/>
      <c r="P6" s="1307"/>
      <c r="Q6" s="1306" t="s">
        <v>2114</v>
      </c>
      <c r="R6" s="1307"/>
      <c r="S6" s="1307"/>
      <c r="T6" s="1306" t="s">
        <v>2114</v>
      </c>
      <c r="U6" s="1307"/>
      <c r="V6" s="1307"/>
    </row>
    <row r="7" spans="1:22">
      <c r="A7" s="1089"/>
      <c r="B7" s="904" t="s">
        <v>68</v>
      </c>
      <c r="C7" s="91" t="s">
        <v>69</v>
      </c>
      <c r="D7" s="91" t="s">
        <v>70</v>
      </c>
      <c r="E7" s="904" t="s">
        <v>68</v>
      </c>
      <c r="F7" s="91" t="s">
        <v>69</v>
      </c>
      <c r="G7" s="91" t="s">
        <v>70</v>
      </c>
      <c r="H7" s="904" t="s">
        <v>68</v>
      </c>
      <c r="I7" s="91" t="s">
        <v>69</v>
      </c>
      <c r="J7" s="91" t="s">
        <v>70</v>
      </c>
      <c r="K7" s="904" t="s">
        <v>68</v>
      </c>
      <c r="L7" s="91" t="s">
        <v>69</v>
      </c>
      <c r="M7" s="91" t="s">
        <v>70</v>
      </c>
      <c r="N7" s="904" t="s">
        <v>68</v>
      </c>
      <c r="O7" s="91" t="s">
        <v>69</v>
      </c>
      <c r="P7" s="91" t="s">
        <v>70</v>
      </c>
      <c r="Q7" s="904" t="s">
        <v>68</v>
      </c>
      <c r="R7" s="91" t="s">
        <v>69</v>
      </c>
      <c r="S7" s="91" t="s">
        <v>70</v>
      </c>
      <c r="T7" s="904" t="s">
        <v>68</v>
      </c>
      <c r="U7" s="91" t="s">
        <v>69</v>
      </c>
      <c r="V7" s="91" t="s">
        <v>70</v>
      </c>
    </row>
    <row r="8" spans="1:22" ht="15">
      <c r="A8" s="905" t="s">
        <v>1</v>
      </c>
      <c r="B8" s="906">
        <f>C8+D8</f>
        <v>398</v>
      </c>
      <c r="C8" s="907">
        <f>SUM(C9:C15)</f>
        <v>187</v>
      </c>
      <c r="D8" s="907">
        <f>SUM(D9:D15)</f>
        <v>211</v>
      </c>
      <c r="E8" s="906">
        <f>F8+G8</f>
        <v>470</v>
      </c>
      <c r="F8" s="907">
        <f>SUM(F9:F15)</f>
        <v>198</v>
      </c>
      <c r="G8" s="907">
        <f>SUM(G9:G15)</f>
        <v>272</v>
      </c>
      <c r="H8" s="906">
        <f>I8+J8</f>
        <v>405</v>
      </c>
      <c r="I8" s="907">
        <f>SUM(I9:I15)</f>
        <v>171</v>
      </c>
      <c r="J8" s="907">
        <f>SUM(J9:J15)</f>
        <v>234</v>
      </c>
      <c r="K8" s="906">
        <f t="shared" ref="K8:K15" si="0">L8+M8</f>
        <v>714</v>
      </c>
      <c r="L8" s="907">
        <v>344</v>
      </c>
      <c r="M8" s="907">
        <v>370</v>
      </c>
      <c r="N8" s="906">
        <f>SUM(O8:P8)</f>
        <v>898</v>
      </c>
      <c r="O8" s="907">
        <f>SUM(O9:O15)</f>
        <v>455</v>
      </c>
      <c r="P8" s="907">
        <f>SUM(P9:P15)</f>
        <v>443</v>
      </c>
      <c r="Q8" s="906">
        <f>SUM(R8:S8)</f>
        <v>798</v>
      </c>
      <c r="R8" s="907">
        <f>SUM(R9:R15)</f>
        <v>346</v>
      </c>
      <c r="S8" s="907">
        <f>SUM(S9:S15)</f>
        <v>452</v>
      </c>
      <c r="T8" s="906">
        <f>SUM(U8:V8)</f>
        <v>798</v>
      </c>
      <c r="U8" s="907">
        <f>SUM(U9:U15)</f>
        <v>346</v>
      </c>
      <c r="V8" s="907">
        <f>SUM(V9:V15)</f>
        <v>452</v>
      </c>
    </row>
    <row r="9" spans="1:22" ht="15">
      <c r="A9" s="908" t="s">
        <v>1089</v>
      </c>
      <c r="B9" s="909">
        <f>C9+D9</f>
        <v>14</v>
      </c>
      <c r="C9" s="68">
        <v>13</v>
      </c>
      <c r="D9" s="68">
        <v>1</v>
      </c>
      <c r="E9" s="909">
        <f>F9+G9</f>
        <v>20</v>
      </c>
      <c r="F9" s="68">
        <v>7</v>
      </c>
      <c r="G9" s="68">
        <v>13</v>
      </c>
      <c r="H9" s="909">
        <f>I9+J9</f>
        <v>34</v>
      </c>
      <c r="I9" s="68">
        <v>16</v>
      </c>
      <c r="J9" s="68">
        <v>18</v>
      </c>
      <c r="K9" s="909">
        <f t="shared" si="0"/>
        <v>29</v>
      </c>
      <c r="L9" s="68">
        <v>8</v>
      </c>
      <c r="M9" s="68">
        <v>21</v>
      </c>
      <c r="N9" s="909">
        <f t="shared" ref="N9:N15" si="1">O9+P9</f>
        <v>49</v>
      </c>
      <c r="O9" s="68">
        <v>26</v>
      </c>
      <c r="P9" s="68">
        <v>23</v>
      </c>
      <c r="Q9" s="909">
        <f t="shared" ref="Q9:Q15" si="2">R9+S9</f>
        <v>38</v>
      </c>
      <c r="R9" s="68">
        <v>13</v>
      </c>
      <c r="S9" s="68">
        <v>25</v>
      </c>
      <c r="T9" s="909">
        <f t="shared" ref="T9:T15" si="3">U9+V9</f>
        <v>38</v>
      </c>
      <c r="U9" s="68">
        <v>13</v>
      </c>
      <c r="V9" s="68">
        <v>25</v>
      </c>
    </row>
    <row r="10" spans="1:22" ht="15">
      <c r="A10" s="910" t="s">
        <v>123</v>
      </c>
      <c r="B10" s="909">
        <f t="shared" ref="B10:B15" si="4">C10+D10</f>
        <v>85</v>
      </c>
      <c r="C10" s="68">
        <v>50</v>
      </c>
      <c r="D10" s="68">
        <v>35</v>
      </c>
      <c r="E10" s="909">
        <f t="shared" ref="E10:E15" si="5">F10+G10</f>
        <v>82</v>
      </c>
      <c r="F10" s="68">
        <v>32</v>
      </c>
      <c r="G10" s="68">
        <v>50</v>
      </c>
      <c r="H10" s="909">
        <f t="shared" ref="H10:H15" si="6">I10+J10</f>
        <v>52</v>
      </c>
      <c r="I10" s="68">
        <v>25</v>
      </c>
      <c r="J10" s="68">
        <v>27</v>
      </c>
      <c r="K10" s="909">
        <f t="shared" si="0"/>
        <v>142</v>
      </c>
      <c r="L10" s="68">
        <v>83</v>
      </c>
      <c r="M10" s="68">
        <v>59</v>
      </c>
      <c r="N10" s="909">
        <f t="shared" si="1"/>
        <v>150</v>
      </c>
      <c r="O10" s="68">
        <v>96</v>
      </c>
      <c r="P10" s="68">
        <v>54</v>
      </c>
      <c r="Q10" s="909">
        <f t="shared" si="2"/>
        <v>139</v>
      </c>
      <c r="R10" s="68">
        <v>74</v>
      </c>
      <c r="S10" s="68">
        <v>65</v>
      </c>
      <c r="T10" s="909">
        <f t="shared" si="3"/>
        <v>139</v>
      </c>
      <c r="U10" s="68">
        <v>74</v>
      </c>
      <c r="V10" s="68">
        <v>65</v>
      </c>
    </row>
    <row r="11" spans="1:22" ht="15">
      <c r="A11" s="910" t="s">
        <v>124</v>
      </c>
      <c r="B11" s="909">
        <f t="shared" si="4"/>
        <v>37</v>
      </c>
      <c r="C11" s="68">
        <v>12</v>
      </c>
      <c r="D11" s="68">
        <v>25</v>
      </c>
      <c r="E11" s="909">
        <f t="shared" si="5"/>
        <v>32</v>
      </c>
      <c r="F11" s="68">
        <v>20</v>
      </c>
      <c r="G11" s="68">
        <v>12</v>
      </c>
      <c r="H11" s="909">
        <f t="shared" si="6"/>
        <v>7</v>
      </c>
      <c r="I11" s="68">
        <v>5</v>
      </c>
      <c r="J11" s="68">
        <v>2</v>
      </c>
      <c r="K11" s="909">
        <f t="shared" si="0"/>
        <v>43</v>
      </c>
      <c r="L11" s="68">
        <v>24</v>
      </c>
      <c r="M11" s="68">
        <v>19</v>
      </c>
      <c r="N11" s="909">
        <f t="shared" si="1"/>
        <v>75</v>
      </c>
      <c r="O11" s="68">
        <v>32</v>
      </c>
      <c r="P11" s="68">
        <v>43</v>
      </c>
      <c r="Q11" s="909">
        <f t="shared" si="2"/>
        <v>53</v>
      </c>
      <c r="R11" s="68">
        <v>27</v>
      </c>
      <c r="S11" s="68">
        <v>26</v>
      </c>
      <c r="T11" s="909">
        <f t="shared" si="3"/>
        <v>53</v>
      </c>
      <c r="U11" s="68">
        <v>27</v>
      </c>
      <c r="V11" s="68">
        <v>26</v>
      </c>
    </row>
    <row r="12" spans="1:22" ht="15">
      <c r="A12" s="910" t="s">
        <v>125</v>
      </c>
      <c r="B12" s="909">
        <f t="shared" si="4"/>
        <v>71</v>
      </c>
      <c r="C12" s="68">
        <v>53</v>
      </c>
      <c r="D12" s="68">
        <v>18</v>
      </c>
      <c r="E12" s="909">
        <f t="shared" si="5"/>
        <v>103</v>
      </c>
      <c r="F12" s="68">
        <v>50</v>
      </c>
      <c r="G12" s="68">
        <v>53</v>
      </c>
      <c r="H12" s="909">
        <f t="shared" si="6"/>
        <v>83</v>
      </c>
      <c r="I12" s="68">
        <v>39</v>
      </c>
      <c r="J12" s="68">
        <v>44</v>
      </c>
      <c r="K12" s="909">
        <f t="shared" si="0"/>
        <v>137</v>
      </c>
      <c r="L12" s="68">
        <v>76</v>
      </c>
      <c r="M12" s="68">
        <v>61</v>
      </c>
      <c r="N12" s="909">
        <f t="shared" si="1"/>
        <v>157</v>
      </c>
      <c r="O12" s="68">
        <v>85</v>
      </c>
      <c r="P12" s="68">
        <v>72</v>
      </c>
      <c r="Q12" s="909">
        <f t="shared" si="2"/>
        <v>178</v>
      </c>
      <c r="R12" s="68">
        <v>88</v>
      </c>
      <c r="S12" s="68">
        <v>90</v>
      </c>
      <c r="T12" s="909">
        <f t="shared" si="3"/>
        <v>178</v>
      </c>
      <c r="U12" s="68">
        <v>88</v>
      </c>
      <c r="V12" s="68">
        <v>90</v>
      </c>
    </row>
    <row r="13" spans="1:22" ht="15">
      <c r="A13" s="910" t="s">
        <v>126</v>
      </c>
      <c r="B13" s="909">
        <f t="shared" si="4"/>
        <v>121</v>
      </c>
      <c r="C13" s="68">
        <v>41</v>
      </c>
      <c r="D13" s="68">
        <v>80</v>
      </c>
      <c r="E13" s="909">
        <f t="shared" si="5"/>
        <v>131</v>
      </c>
      <c r="F13" s="68">
        <v>55</v>
      </c>
      <c r="G13" s="68">
        <v>76</v>
      </c>
      <c r="H13" s="909">
        <f t="shared" si="6"/>
        <v>133</v>
      </c>
      <c r="I13" s="68">
        <v>56</v>
      </c>
      <c r="J13" s="68">
        <v>77</v>
      </c>
      <c r="K13" s="909">
        <f t="shared" si="0"/>
        <v>176</v>
      </c>
      <c r="L13" s="68">
        <v>86</v>
      </c>
      <c r="M13" s="68">
        <v>90</v>
      </c>
      <c r="N13" s="909">
        <f t="shared" si="1"/>
        <v>232</v>
      </c>
      <c r="O13" s="68">
        <v>102</v>
      </c>
      <c r="P13" s="68">
        <v>130</v>
      </c>
      <c r="Q13" s="909">
        <f t="shared" si="2"/>
        <v>234</v>
      </c>
      <c r="R13" s="68">
        <v>87</v>
      </c>
      <c r="S13" s="68">
        <v>147</v>
      </c>
      <c r="T13" s="909">
        <f t="shared" si="3"/>
        <v>234</v>
      </c>
      <c r="U13" s="68">
        <v>87</v>
      </c>
      <c r="V13" s="68">
        <v>147</v>
      </c>
    </row>
    <row r="14" spans="1:22" ht="15">
      <c r="A14" s="910" t="s">
        <v>127</v>
      </c>
      <c r="B14" s="909">
        <f t="shared" si="4"/>
        <v>56</v>
      </c>
      <c r="C14" s="68">
        <v>15</v>
      </c>
      <c r="D14" s="68">
        <v>41</v>
      </c>
      <c r="E14" s="909">
        <f t="shared" si="5"/>
        <v>30</v>
      </c>
      <c r="F14" s="68">
        <v>10</v>
      </c>
      <c r="G14" s="68">
        <v>20</v>
      </c>
      <c r="H14" s="909">
        <f t="shared" si="6"/>
        <v>39</v>
      </c>
      <c r="I14" s="68">
        <v>14</v>
      </c>
      <c r="J14" s="68">
        <v>25</v>
      </c>
      <c r="K14" s="909">
        <f t="shared" si="0"/>
        <v>45</v>
      </c>
      <c r="L14" s="68">
        <v>16</v>
      </c>
      <c r="M14" s="68">
        <v>29</v>
      </c>
      <c r="N14" s="909">
        <f t="shared" si="1"/>
        <v>66</v>
      </c>
      <c r="O14" s="68">
        <v>38</v>
      </c>
      <c r="P14" s="68">
        <v>28</v>
      </c>
      <c r="Q14" s="909">
        <f t="shared" si="2"/>
        <v>44</v>
      </c>
      <c r="R14" s="68">
        <v>17</v>
      </c>
      <c r="S14" s="68">
        <v>27</v>
      </c>
      <c r="T14" s="909">
        <f t="shared" si="3"/>
        <v>44</v>
      </c>
      <c r="U14" s="68">
        <v>17</v>
      </c>
      <c r="V14" s="68">
        <v>27</v>
      </c>
    </row>
    <row r="15" spans="1:22" ht="15">
      <c r="A15" s="912" t="s">
        <v>128</v>
      </c>
      <c r="B15" s="913">
        <f t="shared" si="4"/>
        <v>14</v>
      </c>
      <c r="C15" s="914">
        <v>3</v>
      </c>
      <c r="D15" s="914">
        <v>11</v>
      </c>
      <c r="E15" s="913">
        <f t="shared" si="5"/>
        <v>72</v>
      </c>
      <c r="F15" s="914">
        <v>24</v>
      </c>
      <c r="G15" s="914">
        <v>48</v>
      </c>
      <c r="H15" s="913">
        <f t="shared" si="6"/>
        <v>57</v>
      </c>
      <c r="I15" s="914">
        <v>16</v>
      </c>
      <c r="J15" s="914">
        <v>41</v>
      </c>
      <c r="K15" s="913">
        <f t="shared" si="0"/>
        <v>137</v>
      </c>
      <c r="L15" s="914">
        <v>51</v>
      </c>
      <c r="M15" s="914">
        <v>86</v>
      </c>
      <c r="N15" s="913">
        <f t="shared" si="1"/>
        <v>169</v>
      </c>
      <c r="O15" s="914">
        <v>76</v>
      </c>
      <c r="P15" s="914">
        <v>93</v>
      </c>
      <c r="Q15" s="913">
        <f t="shared" si="2"/>
        <v>112</v>
      </c>
      <c r="R15" s="914">
        <v>40</v>
      </c>
      <c r="S15" s="914">
        <v>72</v>
      </c>
      <c r="T15" s="913">
        <f t="shared" si="3"/>
        <v>112</v>
      </c>
      <c r="U15" s="914">
        <v>40</v>
      </c>
      <c r="V15" s="914">
        <v>72</v>
      </c>
    </row>
    <row r="16" spans="1:22" ht="18.75">
      <c r="A16" s="768" t="s">
        <v>1495</v>
      </c>
      <c r="M16" s="749"/>
      <c r="P16" s="753"/>
      <c r="S16" s="753"/>
      <c r="V16" s="753" t="s">
        <v>1494</v>
      </c>
    </row>
  </sheetData>
  <mergeCells count="17">
    <mergeCell ref="A2:S2"/>
    <mergeCell ref="A3:S4"/>
    <mergeCell ref="A5:A7"/>
    <mergeCell ref="B5:D5"/>
    <mergeCell ref="E5:G5"/>
    <mergeCell ref="H5:J5"/>
    <mergeCell ref="K5:M5"/>
    <mergeCell ref="N5:P5"/>
    <mergeCell ref="Q5:S5"/>
    <mergeCell ref="T5:V5"/>
    <mergeCell ref="B6:D6"/>
    <mergeCell ref="E6:G6"/>
    <mergeCell ref="H6:J6"/>
    <mergeCell ref="K6:M6"/>
    <mergeCell ref="N6:P6"/>
    <mergeCell ref="Q6:S6"/>
    <mergeCell ref="T6:V6"/>
  </mergeCells>
  <pageMargins left="0.7" right="0.7" top="0.75" bottom="0.75" header="0.3" footer="0.3"/>
  <pageSetup paperSize="9" scale="37"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A1:S27"/>
  <sheetViews>
    <sheetView view="pageBreakPreview" zoomScale="60" zoomScaleNormal="100" workbookViewId="0">
      <selection activeCell="U11" sqref="U11"/>
    </sheetView>
  </sheetViews>
  <sheetFormatPr defaultColWidth="9.140625" defaultRowHeight="12.75"/>
  <cols>
    <col min="1" max="1" width="19.42578125" style="76" customWidth="1"/>
    <col min="2" max="2" width="0.42578125" style="76" customWidth="1"/>
    <col min="3" max="3" width="9.7109375" style="76" customWidth="1"/>
    <col min="4" max="5" width="9.140625" style="76"/>
    <col min="6" max="6" width="9.7109375" style="76" customWidth="1"/>
    <col min="7" max="8" width="9.140625" style="76"/>
    <col min="9" max="9" width="9.7109375" style="76" customWidth="1"/>
    <col min="10" max="11" width="9.140625" style="76"/>
    <col min="12" max="12" width="9.7109375" style="76" customWidth="1"/>
    <col min="13" max="14" width="9.140625" style="76"/>
    <col min="15" max="15" width="9.7109375" style="76" customWidth="1"/>
    <col min="16" max="17" width="9.140625" style="76"/>
    <col min="18" max="18" width="20.85546875" style="76" customWidth="1"/>
    <col min="19" max="16384" width="9.140625" style="76"/>
  </cols>
  <sheetData>
    <row r="1" spans="1:19" ht="21">
      <c r="A1" s="1314" t="s">
        <v>2192</v>
      </c>
      <c r="B1" s="1314"/>
      <c r="C1" s="1314"/>
      <c r="D1" s="1314"/>
      <c r="E1" s="1314"/>
      <c r="F1" s="1314"/>
      <c r="G1" s="1314"/>
      <c r="H1" s="1314"/>
      <c r="I1" s="1314"/>
      <c r="J1" s="1314"/>
      <c r="K1" s="1314"/>
      <c r="L1" s="1314"/>
      <c r="M1" s="1314"/>
      <c r="N1" s="1314"/>
      <c r="O1" s="1314"/>
      <c r="P1" s="1314"/>
      <c r="Q1" s="1314"/>
      <c r="R1" s="1314"/>
    </row>
    <row r="2" spans="1:19" ht="15">
      <c r="A2" s="1075" t="s">
        <v>2193</v>
      </c>
      <c r="B2" s="1075"/>
      <c r="C2" s="1075"/>
      <c r="D2" s="1075"/>
      <c r="E2" s="1075"/>
      <c r="F2" s="1075"/>
      <c r="G2" s="1075"/>
      <c r="H2" s="1075"/>
      <c r="I2" s="1075"/>
      <c r="J2" s="1075"/>
      <c r="K2" s="1075"/>
      <c r="L2" s="1075"/>
      <c r="M2" s="1075"/>
      <c r="N2" s="1075"/>
      <c r="O2" s="1075"/>
      <c r="P2" s="1075"/>
      <c r="Q2" s="1075"/>
      <c r="R2" s="1075"/>
    </row>
    <row r="4" spans="1:19" ht="19.5" customHeight="1">
      <c r="A4" s="1134" t="s">
        <v>1506</v>
      </c>
      <c r="B4" s="754"/>
      <c r="C4" s="1311">
        <v>2016</v>
      </c>
      <c r="D4" s="1305"/>
      <c r="E4" s="1305"/>
      <c r="F4" s="1311">
        <v>2017</v>
      </c>
      <c r="G4" s="1305"/>
      <c r="H4" s="1305"/>
      <c r="I4" s="1311">
        <v>2018</v>
      </c>
      <c r="J4" s="1305"/>
      <c r="K4" s="1305"/>
      <c r="L4" s="1311">
        <v>2019</v>
      </c>
      <c r="M4" s="1305"/>
      <c r="N4" s="1305"/>
      <c r="O4" s="1311">
        <v>2020</v>
      </c>
      <c r="P4" s="1305"/>
      <c r="Q4" s="1305"/>
      <c r="R4" s="1312" t="s">
        <v>1507</v>
      </c>
    </row>
    <row r="5" spans="1:19">
      <c r="A5" s="1089"/>
      <c r="B5" s="91"/>
      <c r="C5" s="755" t="s">
        <v>68</v>
      </c>
      <c r="D5" s="91" t="s">
        <v>69</v>
      </c>
      <c r="E5" s="91" t="s">
        <v>70</v>
      </c>
      <c r="F5" s="755" t="s">
        <v>68</v>
      </c>
      <c r="G5" s="91" t="s">
        <v>69</v>
      </c>
      <c r="H5" s="91" t="s">
        <v>70</v>
      </c>
      <c r="I5" s="755" t="s">
        <v>68</v>
      </c>
      <c r="J5" s="91" t="s">
        <v>69</v>
      </c>
      <c r="K5" s="91" t="s">
        <v>70</v>
      </c>
      <c r="L5" s="755" t="s">
        <v>68</v>
      </c>
      <c r="M5" s="91" t="s">
        <v>69</v>
      </c>
      <c r="N5" s="91" t="s">
        <v>70</v>
      </c>
      <c r="O5" s="755" t="s">
        <v>68</v>
      </c>
      <c r="P5" s="91" t="s">
        <v>69</v>
      </c>
      <c r="Q5" s="91" t="s">
        <v>70</v>
      </c>
      <c r="R5" s="1313"/>
    </row>
    <row r="6" spans="1:19" ht="18.75">
      <c r="A6" s="756" t="s">
        <v>73</v>
      </c>
      <c r="B6" s="207"/>
      <c r="C6" s="758">
        <f t="shared" ref="C6:C24" si="0">SUM(D6:E6)</f>
        <v>2260</v>
      </c>
      <c r="D6" s="757">
        <f>SUM(D7:D26)</f>
        <v>1121</v>
      </c>
      <c r="E6" s="757">
        <f>SUM(E7:E26)</f>
        <v>1139</v>
      </c>
      <c r="F6" s="758">
        <f>SUM(G6:H6)</f>
        <v>2720</v>
      </c>
      <c r="G6" s="757">
        <f>SUM(G7:G26)</f>
        <v>1267</v>
      </c>
      <c r="H6" s="757">
        <f>SUM(H7:H26)</f>
        <v>1453</v>
      </c>
      <c r="I6" s="758">
        <f>SUM(J6:K6)</f>
        <v>2635</v>
      </c>
      <c r="J6" s="757">
        <f>SUM(J7:J26)</f>
        <v>1129</v>
      </c>
      <c r="K6" s="757">
        <f>SUM(K7:K26)</f>
        <v>1506</v>
      </c>
      <c r="L6" s="758">
        <f>SUM(M6:N6)</f>
        <v>2729</v>
      </c>
      <c r="M6" s="757">
        <f>SUM(M7:M26)</f>
        <v>1140</v>
      </c>
      <c r="N6" s="757">
        <f>SUM(N7:N26)</f>
        <v>1589</v>
      </c>
      <c r="O6" s="758">
        <f>SUM(P6:Q6)</f>
        <v>2510</v>
      </c>
      <c r="P6" s="757">
        <f>SUM(P7:P26)</f>
        <v>994</v>
      </c>
      <c r="Q6" s="757">
        <f>SUM(Q7:Q26)</f>
        <v>1516</v>
      </c>
      <c r="R6" s="746" t="s">
        <v>1508</v>
      </c>
    </row>
    <row r="7" spans="1:19" ht="18.75">
      <c r="A7" s="759" t="s">
        <v>1509</v>
      </c>
      <c r="C7" s="761">
        <f t="shared" si="0"/>
        <v>58</v>
      </c>
      <c r="D7" s="760">
        <v>17</v>
      </c>
      <c r="E7" s="760">
        <v>41</v>
      </c>
      <c r="F7" s="761">
        <f>SUM(G7:H7)</f>
        <v>88</v>
      </c>
      <c r="G7" s="760">
        <v>37</v>
      </c>
      <c r="H7" s="760">
        <v>51</v>
      </c>
      <c r="I7" s="761">
        <f t="shared" ref="I7:I26" si="1">SUM(J7:K7)</f>
        <v>91</v>
      </c>
      <c r="J7" s="760">
        <v>41</v>
      </c>
      <c r="K7" s="760">
        <v>50</v>
      </c>
      <c r="L7" s="761">
        <f t="shared" ref="L7:L26" si="2">SUM(M7:N7)</f>
        <v>79</v>
      </c>
      <c r="M7" s="760">
        <v>45</v>
      </c>
      <c r="N7" s="760">
        <v>34</v>
      </c>
      <c r="O7" s="761">
        <f t="shared" ref="O7:O26" si="3">SUM(P7:Q7)</f>
        <v>54</v>
      </c>
      <c r="P7" s="760">
        <v>20</v>
      </c>
      <c r="Q7" s="760">
        <v>34</v>
      </c>
      <c r="R7" s="762" t="s">
        <v>1510</v>
      </c>
    </row>
    <row r="8" spans="1:19" ht="18.75">
      <c r="A8" s="759" t="s">
        <v>1511</v>
      </c>
      <c r="C8" s="761">
        <f>SUM(D8:E8)</f>
        <v>34</v>
      </c>
      <c r="D8" s="760">
        <v>14</v>
      </c>
      <c r="E8" s="760">
        <v>20</v>
      </c>
      <c r="F8" s="761">
        <f>SUM(G8:H8)</f>
        <v>110</v>
      </c>
      <c r="G8" s="760">
        <v>42</v>
      </c>
      <c r="H8" s="760">
        <v>68</v>
      </c>
      <c r="I8" s="761">
        <f t="shared" si="1"/>
        <v>118</v>
      </c>
      <c r="J8" s="760">
        <v>48</v>
      </c>
      <c r="K8" s="760">
        <v>70</v>
      </c>
      <c r="L8" s="761">
        <f t="shared" si="2"/>
        <v>129</v>
      </c>
      <c r="M8" s="760">
        <v>49</v>
      </c>
      <c r="N8" s="760">
        <v>80</v>
      </c>
      <c r="O8" s="761">
        <f t="shared" si="3"/>
        <v>138</v>
      </c>
      <c r="P8" s="760">
        <v>60</v>
      </c>
      <c r="Q8" s="760">
        <v>78</v>
      </c>
      <c r="R8" s="762" t="s">
        <v>1512</v>
      </c>
    </row>
    <row r="9" spans="1:19" ht="18.75">
      <c r="A9" s="759" t="s">
        <v>1513</v>
      </c>
      <c r="C9" s="761">
        <f t="shared" si="0"/>
        <v>35</v>
      </c>
      <c r="D9" s="760">
        <v>20</v>
      </c>
      <c r="E9" s="760">
        <v>15</v>
      </c>
      <c r="F9" s="761">
        <f t="shared" ref="F9:F24" si="4">SUM(G9:H9)</f>
        <v>54</v>
      </c>
      <c r="G9" s="760">
        <v>33</v>
      </c>
      <c r="H9" s="760">
        <v>21</v>
      </c>
      <c r="I9" s="761">
        <f t="shared" si="1"/>
        <v>53</v>
      </c>
      <c r="J9" s="760">
        <v>22</v>
      </c>
      <c r="K9" s="760">
        <v>31</v>
      </c>
      <c r="L9" s="761">
        <f t="shared" si="2"/>
        <v>66</v>
      </c>
      <c r="M9" s="760">
        <v>29</v>
      </c>
      <c r="N9" s="760">
        <v>37</v>
      </c>
      <c r="O9" s="761">
        <f t="shared" si="3"/>
        <v>53</v>
      </c>
      <c r="P9" s="760">
        <v>23</v>
      </c>
      <c r="Q9" s="760">
        <v>30</v>
      </c>
      <c r="R9" s="762" t="s">
        <v>1514</v>
      </c>
    </row>
    <row r="10" spans="1:19" ht="18.75">
      <c r="A10" s="759" t="s">
        <v>1515</v>
      </c>
      <c r="C10" s="761">
        <f t="shared" si="0"/>
        <v>56</v>
      </c>
      <c r="D10" s="760">
        <v>23</v>
      </c>
      <c r="E10" s="760">
        <v>33</v>
      </c>
      <c r="F10" s="761">
        <f t="shared" si="4"/>
        <v>56</v>
      </c>
      <c r="G10" s="760">
        <v>24</v>
      </c>
      <c r="H10" s="760">
        <v>32</v>
      </c>
      <c r="I10" s="761">
        <f t="shared" si="1"/>
        <v>66</v>
      </c>
      <c r="J10" s="760">
        <v>35</v>
      </c>
      <c r="K10" s="760">
        <v>31</v>
      </c>
      <c r="L10" s="761">
        <f t="shared" si="2"/>
        <v>70</v>
      </c>
      <c r="M10" s="760">
        <v>31</v>
      </c>
      <c r="N10" s="760">
        <v>39</v>
      </c>
      <c r="O10" s="761">
        <f t="shared" si="3"/>
        <v>80</v>
      </c>
      <c r="P10" s="760">
        <v>47</v>
      </c>
      <c r="Q10" s="760">
        <v>33</v>
      </c>
      <c r="R10" s="762" t="s">
        <v>1516</v>
      </c>
    </row>
    <row r="11" spans="1:19" ht="18.75">
      <c r="A11" s="759" t="s">
        <v>1517</v>
      </c>
      <c r="C11" s="761">
        <f t="shared" si="0"/>
        <v>91</v>
      </c>
      <c r="D11" s="760">
        <v>33</v>
      </c>
      <c r="E11" s="760">
        <v>58</v>
      </c>
      <c r="F11" s="761">
        <f t="shared" si="4"/>
        <v>73</v>
      </c>
      <c r="G11" s="760">
        <v>41</v>
      </c>
      <c r="H11" s="760">
        <v>32</v>
      </c>
      <c r="I11" s="761">
        <f t="shared" si="1"/>
        <v>58</v>
      </c>
      <c r="J11" s="760">
        <v>23</v>
      </c>
      <c r="K11" s="760">
        <v>35</v>
      </c>
      <c r="L11" s="761">
        <f t="shared" si="2"/>
        <v>83</v>
      </c>
      <c r="M11" s="760">
        <v>36</v>
      </c>
      <c r="N11" s="760">
        <v>47</v>
      </c>
      <c r="O11" s="761">
        <f t="shared" si="3"/>
        <v>66</v>
      </c>
      <c r="P11" s="760">
        <v>15</v>
      </c>
      <c r="Q11" s="760">
        <v>51</v>
      </c>
      <c r="R11" s="762" t="s">
        <v>1518</v>
      </c>
    </row>
    <row r="12" spans="1:19" ht="18.75">
      <c r="A12" s="759" t="s">
        <v>1519</v>
      </c>
      <c r="C12" s="761">
        <f t="shared" si="0"/>
        <v>36</v>
      </c>
      <c r="D12" s="760">
        <v>15</v>
      </c>
      <c r="E12" s="760">
        <v>21</v>
      </c>
      <c r="F12" s="761">
        <f t="shared" si="4"/>
        <v>49</v>
      </c>
      <c r="G12" s="760">
        <v>33</v>
      </c>
      <c r="H12" s="760">
        <v>16</v>
      </c>
      <c r="I12" s="761">
        <f t="shared" si="1"/>
        <v>49</v>
      </c>
      <c r="J12" s="760">
        <v>28</v>
      </c>
      <c r="K12" s="760">
        <v>21</v>
      </c>
      <c r="L12" s="761">
        <f t="shared" si="2"/>
        <v>57</v>
      </c>
      <c r="M12" s="760">
        <v>26</v>
      </c>
      <c r="N12" s="760">
        <v>31</v>
      </c>
      <c r="O12" s="761">
        <f t="shared" si="3"/>
        <v>56</v>
      </c>
      <c r="P12" s="760">
        <v>21</v>
      </c>
      <c r="Q12" s="760">
        <v>35</v>
      </c>
      <c r="R12" s="762" t="s">
        <v>1520</v>
      </c>
    </row>
    <row r="13" spans="1:19" ht="18.75">
      <c r="A13" s="759" t="s">
        <v>1521</v>
      </c>
      <c r="C13" s="761">
        <f t="shared" si="0"/>
        <v>42</v>
      </c>
      <c r="D13" s="760">
        <v>18</v>
      </c>
      <c r="E13" s="760">
        <v>24</v>
      </c>
      <c r="F13" s="761">
        <f t="shared" si="4"/>
        <v>76</v>
      </c>
      <c r="G13" s="760">
        <v>38</v>
      </c>
      <c r="H13" s="760">
        <v>38</v>
      </c>
      <c r="I13" s="761">
        <f t="shared" si="1"/>
        <v>100</v>
      </c>
      <c r="J13" s="760">
        <v>52</v>
      </c>
      <c r="K13" s="760">
        <v>48</v>
      </c>
      <c r="L13" s="761">
        <f t="shared" si="2"/>
        <v>63</v>
      </c>
      <c r="M13" s="760">
        <v>34</v>
      </c>
      <c r="N13" s="760">
        <v>29</v>
      </c>
      <c r="O13" s="761">
        <f t="shared" si="3"/>
        <v>71</v>
      </c>
      <c r="P13" s="760">
        <v>30</v>
      </c>
      <c r="Q13" s="760">
        <v>41</v>
      </c>
      <c r="R13" s="762" t="s">
        <v>1522</v>
      </c>
    </row>
    <row r="14" spans="1:19" ht="18.75">
      <c r="A14" s="759" t="s">
        <v>1523</v>
      </c>
      <c r="C14" s="761">
        <f t="shared" si="0"/>
        <v>348</v>
      </c>
      <c r="D14" s="760">
        <v>197</v>
      </c>
      <c r="E14" s="760">
        <v>151</v>
      </c>
      <c r="F14" s="761">
        <v>959</v>
      </c>
      <c r="G14" s="760">
        <v>413</v>
      </c>
      <c r="H14" s="760">
        <v>546</v>
      </c>
      <c r="I14" s="761">
        <f t="shared" si="1"/>
        <v>898</v>
      </c>
      <c r="J14" s="760">
        <v>369</v>
      </c>
      <c r="K14" s="760">
        <v>529</v>
      </c>
      <c r="L14" s="761">
        <f t="shared" si="2"/>
        <v>1108</v>
      </c>
      <c r="M14" s="760">
        <v>443</v>
      </c>
      <c r="N14" s="760">
        <v>665</v>
      </c>
      <c r="O14" s="761">
        <f t="shared" si="3"/>
        <v>977</v>
      </c>
      <c r="P14" s="760">
        <v>383</v>
      </c>
      <c r="Q14" s="760">
        <v>594</v>
      </c>
      <c r="R14" s="762" t="s">
        <v>1524</v>
      </c>
      <c r="S14" s="728"/>
    </row>
    <row r="15" spans="1:19" ht="18.75">
      <c r="A15" s="759" t="s">
        <v>1525</v>
      </c>
      <c r="C15" s="761">
        <f t="shared" si="0"/>
        <v>81</v>
      </c>
      <c r="D15" s="760">
        <v>40</v>
      </c>
      <c r="E15" s="760">
        <v>41</v>
      </c>
      <c r="F15" s="761">
        <f t="shared" si="4"/>
        <v>131</v>
      </c>
      <c r="G15" s="760">
        <v>48</v>
      </c>
      <c r="H15" s="760">
        <v>83</v>
      </c>
      <c r="I15" s="761">
        <f t="shared" si="1"/>
        <v>86</v>
      </c>
      <c r="J15" s="760">
        <v>34</v>
      </c>
      <c r="K15" s="760">
        <v>52</v>
      </c>
      <c r="L15" s="761">
        <f t="shared" si="2"/>
        <v>47</v>
      </c>
      <c r="M15" s="760">
        <v>20</v>
      </c>
      <c r="N15" s="760">
        <v>27</v>
      </c>
      <c r="O15" s="761">
        <f t="shared" si="3"/>
        <v>36</v>
      </c>
      <c r="P15" s="760">
        <v>3</v>
      </c>
      <c r="Q15" s="760">
        <v>33</v>
      </c>
      <c r="R15" s="762" t="s">
        <v>1526</v>
      </c>
    </row>
    <row r="16" spans="1:19" ht="18.75">
      <c r="A16" s="759" t="s">
        <v>1527</v>
      </c>
      <c r="C16" s="761">
        <f t="shared" si="0"/>
        <v>91</v>
      </c>
      <c r="D16" s="760">
        <v>42</v>
      </c>
      <c r="E16" s="760">
        <v>49</v>
      </c>
      <c r="F16" s="761">
        <f t="shared" si="4"/>
        <v>198</v>
      </c>
      <c r="G16" s="760">
        <v>87</v>
      </c>
      <c r="H16" s="760">
        <v>111</v>
      </c>
      <c r="I16" s="761">
        <f t="shared" si="1"/>
        <v>87</v>
      </c>
      <c r="J16" s="760">
        <v>47</v>
      </c>
      <c r="K16" s="760">
        <v>40</v>
      </c>
      <c r="L16" s="761">
        <f t="shared" si="2"/>
        <v>63</v>
      </c>
      <c r="M16" s="760">
        <v>21</v>
      </c>
      <c r="N16" s="760">
        <v>42</v>
      </c>
      <c r="O16" s="761">
        <f t="shared" si="3"/>
        <v>81</v>
      </c>
      <c r="P16" s="760">
        <v>46</v>
      </c>
      <c r="Q16" s="760">
        <v>35</v>
      </c>
      <c r="R16" s="762" t="s">
        <v>1528</v>
      </c>
    </row>
    <row r="17" spans="1:18" ht="18.75">
      <c r="A17" s="759" t="s">
        <v>1529</v>
      </c>
      <c r="C17" s="761">
        <f t="shared" si="0"/>
        <v>4</v>
      </c>
      <c r="D17" s="760">
        <v>4</v>
      </c>
      <c r="E17" s="760">
        <v>0</v>
      </c>
      <c r="F17" s="761">
        <f t="shared" si="4"/>
        <v>21</v>
      </c>
      <c r="G17" s="760">
        <v>15</v>
      </c>
      <c r="H17" s="760">
        <v>6</v>
      </c>
      <c r="I17" s="761">
        <f t="shared" si="1"/>
        <v>16</v>
      </c>
      <c r="J17" s="760">
        <v>6</v>
      </c>
      <c r="K17" s="760">
        <v>10</v>
      </c>
      <c r="L17" s="761">
        <f t="shared" si="2"/>
        <v>18</v>
      </c>
      <c r="M17" s="760">
        <v>10</v>
      </c>
      <c r="N17" s="760">
        <v>8</v>
      </c>
      <c r="O17" s="761">
        <f t="shared" si="3"/>
        <v>15</v>
      </c>
      <c r="P17" s="760">
        <v>7</v>
      </c>
      <c r="Q17" s="760">
        <v>8</v>
      </c>
      <c r="R17" s="762" t="s">
        <v>1530</v>
      </c>
    </row>
    <row r="18" spans="1:18" ht="18.75">
      <c r="A18" s="759" t="s">
        <v>1531</v>
      </c>
      <c r="C18" s="761">
        <f t="shared" si="0"/>
        <v>6</v>
      </c>
      <c r="D18" s="760">
        <v>2</v>
      </c>
      <c r="E18" s="760">
        <v>4</v>
      </c>
      <c r="F18" s="761">
        <f t="shared" si="4"/>
        <v>18</v>
      </c>
      <c r="G18" s="760">
        <v>10</v>
      </c>
      <c r="H18" s="760">
        <v>8</v>
      </c>
      <c r="I18" s="761">
        <f t="shared" si="1"/>
        <v>17</v>
      </c>
      <c r="J18" s="760">
        <v>4</v>
      </c>
      <c r="K18" s="760">
        <v>13</v>
      </c>
      <c r="L18" s="761">
        <f t="shared" si="2"/>
        <v>12</v>
      </c>
      <c r="M18" s="760">
        <v>8</v>
      </c>
      <c r="N18" s="760">
        <v>4</v>
      </c>
      <c r="O18" s="761">
        <f t="shared" si="3"/>
        <v>12</v>
      </c>
      <c r="P18" s="760">
        <v>4</v>
      </c>
      <c r="Q18" s="760">
        <v>8</v>
      </c>
      <c r="R18" s="762" t="s">
        <v>1532</v>
      </c>
    </row>
    <row r="19" spans="1:18" ht="18.75">
      <c r="A19" s="759" t="s">
        <v>1533</v>
      </c>
      <c r="C19" s="761">
        <f t="shared" si="0"/>
        <v>73</v>
      </c>
      <c r="D19" s="760">
        <v>51</v>
      </c>
      <c r="E19" s="760">
        <v>22</v>
      </c>
      <c r="F19" s="761">
        <f t="shared" si="4"/>
        <v>39</v>
      </c>
      <c r="G19" s="760">
        <v>23</v>
      </c>
      <c r="H19" s="760">
        <v>16</v>
      </c>
      <c r="I19" s="761">
        <f t="shared" si="1"/>
        <v>27</v>
      </c>
      <c r="J19" s="760">
        <v>8</v>
      </c>
      <c r="K19" s="760">
        <v>19</v>
      </c>
      <c r="L19" s="761">
        <f t="shared" si="2"/>
        <v>26</v>
      </c>
      <c r="M19" s="760">
        <v>10</v>
      </c>
      <c r="N19" s="760">
        <v>16</v>
      </c>
      <c r="O19" s="761">
        <f t="shared" si="3"/>
        <v>33</v>
      </c>
      <c r="P19" s="760">
        <v>12</v>
      </c>
      <c r="Q19" s="760">
        <v>21</v>
      </c>
      <c r="R19" s="762" t="s">
        <v>1534</v>
      </c>
    </row>
    <row r="20" spans="1:18" ht="18.75">
      <c r="A20" s="759" t="s">
        <v>1535</v>
      </c>
      <c r="C20" s="761">
        <f t="shared" si="0"/>
        <v>43</v>
      </c>
      <c r="D20" s="760">
        <v>20</v>
      </c>
      <c r="E20" s="760">
        <v>23</v>
      </c>
      <c r="F20" s="761">
        <f t="shared" si="4"/>
        <v>28</v>
      </c>
      <c r="G20" s="760">
        <v>8</v>
      </c>
      <c r="H20" s="760">
        <v>20</v>
      </c>
      <c r="I20" s="761">
        <f t="shared" si="1"/>
        <v>33</v>
      </c>
      <c r="J20" s="760">
        <v>19</v>
      </c>
      <c r="K20" s="760">
        <v>14</v>
      </c>
      <c r="L20" s="761">
        <f t="shared" si="2"/>
        <v>34</v>
      </c>
      <c r="M20" s="760">
        <v>11</v>
      </c>
      <c r="N20" s="760">
        <v>23</v>
      </c>
      <c r="O20" s="761">
        <f t="shared" si="3"/>
        <v>23</v>
      </c>
      <c r="P20" s="760">
        <v>4</v>
      </c>
      <c r="Q20" s="760">
        <v>19</v>
      </c>
      <c r="R20" s="762" t="s">
        <v>1536</v>
      </c>
    </row>
    <row r="21" spans="1:18" ht="18.75">
      <c r="A21" s="759" t="s">
        <v>1537</v>
      </c>
      <c r="C21" s="761">
        <f t="shared" si="0"/>
        <v>55</v>
      </c>
      <c r="D21" s="760">
        <v>32</v>
      </c>
      <c r="E21" s="760">
        <v>23</v>
      </c>
      <c r="F21" s="761">
        <f t="shared" si="4"/>
        <v>79</v>
      </c>
      <c r="G21" s="760">
        <v>46</v>
      </c>
      <c r="H21" s="760">
        <v>33</v>
      </c>
      <c r="I21" s="761">
        <f t="shared" si="1"/>
        <v>43</v>
      </c>
      <c r="J21" s="760">
        <v>17</v>
      </c>
      <c r="K21" s="760">
        <v>26</v>
      </c>
      <c r="L21" s="761">
        <f t="shared" si="2"/>
        <v>52</v>
      </c>
      <c r="M21" s="760">
        <v>13</v>
      </c>
      <c r="N21" s="760">
        <v>39</v>
      </c>
      <c r="O21" s="761">
        <f t="shared" si="3"/>
        <v>47</v>
      </c>
      <c r="P21" s="760">
        <v>20</v>
      </c>
      <c r="Q21" s="760">
        <v>27</v>
      </c>
      <c r="R21" s="762" t="s">
        <v>1538</v>
      </c>
    </row>
    <row r="22" spans="1:18" ht="18.75">
      <c r="A22" s="759" t="s">
        <v>1539</v>
      </c>
      <c r="C22" s="761">
        <f t="shared" si="0"/>
        <v>149</v>
      </c>
      <c r="D22" s="760">
        <v>70</v>
      </c>
      <c r="E22" s="760">
        <v>79</v>
      </c>
      <c r="F22" s="761">
        <f t="shared" si="4"/>
        <v>87</v>
      </c>
      <c r="G22" s="760">
        <v>39</v>
      </c>
      <c r="H22" s="760">
        <v>48</v>
      </c>
      <c r="I22" s="761">
        <f t="shared" si="1"/>
        <v>122</v>
      </c>
      <c r="J22" s="760">
        <v>58</v>
      </c>
      <c r="K22" s="760">
        <v>64</v>
      </c>
      <c r="L22" s="761">
        <f t="shared" si="2"/>
        <v>119</v>
      </c>
      <c r="M22" s="760">
        <v>52</v>
      </c>
      <c r="N22" s="760">
        <v>67</v>
      </c>
      <c r="O22" s="761">
        <f t="shared" si="3"/>
        <v>103</v>
      </c>
      <c r="P22" s="760">
        <v>48</v>
      </c>
      <c r="Q22" s="760">
        <v>55</v>
      </c>
      <c r="R22" s="762" t="s">
        <v>1540</v>
      </c>
    </row>
    <row r="23" spans="1:18" ht="18.75">
      <c r="A23" s="759" t="s">
        <v>1541</v>
      </c>
      <c r="C23" s="761">
        <f t="shared" si="0"/>
        <v>27</v>
      </c>
      <c r="D23" s="760">
        <v>15</v>
      </c>
      <c r="E23" s="760">
        <v>12</v>
      </c>
      <c r="F23" s="761">
        <f t="shared" si="4"/>
        <v>17</v>
      </c>
      <c r="G23" s="760">
        <v>6</v>
      </c>
      <c r="H23" s="760">
        <v>11</v>
      </c>
      <c r="I23" s="761">
        <f t="shared" si="1"/>
        <v>103</v>
      </c>
      <c r="J23" s="760">
        <v>35</v>
      </c>
      <c r="K23" s="760">
        <v>68</v>
      </c>
      <c r="L23" s="761">
        <f t="shared" si="2"/>
        <v>51</v>
      </c>
      <c r="M23" s="760">
        <v>19</v>
      </c>
      <c r="N23" s="760">
        <v>32</v>
      </c>
      <c r="O23" s="761">
        <f t="shared" si="3"/>
        <v>65</v>
      </c>
      <c r="P23" s="760">
        <v>28</v>
      </c>
      <c r="Q23" s="760">
        <v>37</v>
      </c>
      <c r="R23" s="762" t="s">
        <v>1542</v>
      </c>
    </row>
    <row r="24" spans="1:18" ht="18.75">
      <c r="A24" s="759" t="s">
        <v>1543</v>
      </c>
      <c r="C24" s="761">
        <f t="shared" si="0"/>
        <v>274</v>
      </c>
      <c r="D24" s="760">
        <v>118</v>
      </c>
      <c r="E24" s="760">
        <v>156</v>
      </c>
      <c r="F24" s="761">
        <f t="shared" si="4"/>
        <v>189</v>
      </c>
      <c r="G24" s="760">
        <v>94</v>
      </c>
      <c r="H24" s="760">
        <v>95</v>
      </c>
      <c r="I24" s="761">
        <f t="shared" si="1"/>
        <v>171</v>
      </c>
      <c r="J24" s="760">
        <v>69</v>
      </c>
      <c r="K24" s="760">
        <v>102</v>
      </c>
      <c r="L24" s="761">
        <f t="shared" si="2"/>
        <v>196</v>
      </c>
      <c r="M24" s="760">
        <v>86</v>
      </c>
      <c r="N24" s="760">
        <v>110</v>
      </c>
      <c r="O24" s="761">
        <f t="shared" si="3"/>
        <v>173</v>
      </c>
      <c r="P24" s="760">
        <v>56</v>
      </c>
      <c r="Q24" s="760">
        <v>117</v>
      </c>
      <c r="R24" s="762" t="s">
        <v>1544</v>
      </c>
    </row>
    <row r="25" spans="1:18" ht="18.75">
      <c r="A25" s="759" t="s">
        <v>1545</v>
      </c>
      <c r="C25" s="761">
        <f>SUM(D25:E25)</f>
        <v>301</v>
      </c>
      <c r="D25" s="760">
        <v>150</v>
      </c>
      <c r="E25" s="760">
        <v>151</v>
      </c>
      <c r="F25" s="761">
        <f>SUM(G25:H25)</f>
        <v>178</v>
      </c>
      <c r="G25" s="760">
        <v>91</v>
      </c>
      <c r="H25" s="760">
        <v>87</v>
      </c>
      <c r="I25" s="761">
        <f t="shared" si="1"/>
        <v>162</v>
      </c>
      <c r="J25" s="760">
        <v>60</v>
      </c>
      <c r="K25" s="760">
        <v>102</v>
      </c>
      <c r="L25" s="761">
        <f t="shared" si="2"/>
        <v>126</v>
      </c>
      <c r="M25" s="760">
        <v>65</v>
      </c>
      <c r="N25" s="760">
        <v>61</v>
      </c>
      <c r="O25" s="761">
        <f t="shared" si="3"/>
        <v>137</v>
      </c>
      <c r="P25" s="760">
        <v>59</v>
      </c>
      <c r="Q25" s="760">
        <v>78</v>
      </c>
      <c r="R25" s="762" t="s">
        <v>1546</v>
      </c>
    </row>
    <row r="26" spans="1:18" ht="18.75">
      <c r="A26" s="763" t="s">
        <v>1547</v>
      </c>
      <c r="B26" s="764"/>
      <c r="C26" s="766">
        <f>SUM(D26:E26)</f>
        <v>456</v>
      </c>
      <c r="D26" s="765">
        <v>240</v>
      </c>
      <c r="E26" s="765">
        <v>216</v>
      </c>
      <c r="F26" s="766">
        <f>SUM(G26:H26)</f>
        <v>270</v>
      </c>
      <c r="G26" s="765">
        <v>139</v>
      </c>
      <c r="H26" s="765">
        <v>131</v>
      </c>
      <c r="I26" s="761">
        <f t="shared" si="1"/>
        <v>335</v>
      </c>
      <c r="J26" s="765">
        <v>154</v>
      </c>
      <c r="K26" s="765">
        <v>181</v>
      </c>
      <c r="L26" s="761">
        <f t="shared" si="2"/>
        <v>330</v>
      </c>
      <c r="M26" s="765">
        <v>132</v>
      </c>
      <c r="N26" s="765">
        <v>198</v>
      </c>
      <c r="O26" s="761">
        <f t="shared" si="3"/>
        <v>290</v>
      </c>
      <c r="P26" s="765">
        <v>108</v>
      </c>
      <c r="Q26" s="765">
        <v>182</v>
      </c>
      <c r="R26" s="767" t="s">
        <v>1548</v>
      </c>
    </row>
    <row r="27" spans="1:18" ht="24.75" customHeight="1">
      <c r="A27" s="768" t="s">
        <v>1495</v>
      </c>
      <c r="B27" s="769"/>
      <c r="C27" s="770"/>
      <c r="D27" s="770"/>
      <c r="E27" s="770"/>
      <c r="F27" s="770"/>
      <c r="G27" s="770"/>
      <c r="H27" s="770"/>
      <c r="I27" s="770"/>
      <c r="J27" s="770"/>
      <c r="K27" s="770"/>
      <c r="L27" s="770"/>
      <c r="M27" s="770"/>
      <c r="N27" s="770"/>
      <c r="O27" s="770"/>
      <c r="P27" s="770"/>
      <c r="Q27" s="770"/>
      <c r="R27" s="753" t="s">
        <v>1494</v>
      </c>
    </row>
  </sheetData>
  <mergeCells count="9">
    <mergeCell ref="O4:Q4"/>
    <mergeCell ref="R4:R5"/>
    <mergeCell ref="A1:R1"/>
    <mergeCell ref="A2:R2"/>
    <mergeCell ref="A4:A5"/>
    <mergeCell ref="C4:E4"/>
    <mergeCell ref="F4:H4"/>
    <mergeCell ref="I4:K4"/>
    <mergeCell ref="L4:N4"/>
  </mergeCells>
  <pageMargins left="0.7" right="0.7" top="0.75" bottom="0.75" header="0.3" footer="0.3"/>
  <pageSetup paperSize="9" scale="46" orientation="portrait" r:id="rId1"/>
  <colBreaks count="1" manualBreakCount="1">
    <brk id="19" max="1048575" man="1"/>
  </colBreaks>
  <ignoredErrors>
    <ignoredError sqref="C14" formulaRange="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A1:O13"/>
  <sheetViews>
    <sheetView view="pageBreakPreview" zoomScale="60" zoomScaleNormal="100" workbookViewId="0">
      <selection activeCell="U26" sqref="U26"/>
    </sheetView>
  </sheetViews>
  <sheetFormatPr defaultColWidth="9.140625" defaultRowHeight="12.75"/>
  <cols>
    <col min="1" max="1" width="19.42578125" style="76" customWidth="1"/>
    <col min="2" max="5" width="11.5703125" style="76" hidden="1" customWidth="1"/>
    <col min="6" max="11" width="12.28515625" style="76" customWidth="1"/>
    <col min="12" max="12" width="26.140625" style="76" customWidth="1"/>
    <col min="13" max="16384" width="9.140625" style="76"/>
  </cols>
  <sheetData>
    <row r="1" spans="1:15" ht="21">
      <c r="A1" s="1314" t="s">
        <v>1549</v>
      </c>
      <c r="B1" s="1314"/>
      <c r="C1" s="1314"/>
      <c r="D1" s="1314"/>
      <c r="E1" s="1314"/>
      <c r="F1" s="1314"/>
      <c r="G1" s="1314"/>
      <c r="H1" s="1314"/>
      <c r="I1" s="1314"/>
      <c r="J1" s="1314"/>
      <c r="K1" s="1314"/>
      <c r="L1" s="1314"/>
    </row>
    <row r="2" spans="1:15" ht="15">
      <c r="A2" s="1315" t="s">
        <v>1550</v>
      </c>
      <c r="B2" s="1315"/>
      <c r="C2" s="1315"/>
      <c r="D2" s="1315"/>
      <c r="E2" s="1315"/>
      <c r="F2" s="1315"/>
      <c r="G2" s="1315"/>
      <c r="H2" s="1315"/>
      <c r="I2" s="1315"/>
      <c r="J2" s="1315"/>
      <c r="K2" s="1315"/>
      <c r="L2" s="1315"/>
    </row>
    <row r="3" spans="1:15" ht="15">
      <c r="A3" s="771"/>
      <c r="B3" s="771"/>
      <c r="C3" s="771"/>
      <c r="D3" s="771"/>
      <c r="E3" s="771"/>
      <c r="F3" s="771"/>
      <c r="G3" s="771"/>
      <c r="H3" s="771"/>
      <c r="I3" s="771"/>
      <c r="J3" s="771"/>
      <c r="K3" s="771"/>
    </row>
    <row r="4" spans="1:15" s="98" customFormat="1" ht="15" customHeight="1">
      <c r="A4" s="1316" t="s">
        <v>1551</v>
      </c>
      <c r="B4" s="1318" t="s">
        <v>1552</v>
      </c>
      <c r="C4" s="1318"/>
      <c r="D4" s="1318"/>
      <c r="E4" s="1318"/>
      <c r="F4" s="1318"/>
      <c r="G4" s="1318"/>
      <c r="H4" s="1318"/>
      <c r="I4" s="1318"/>
      <c r="J4" s="1318"/>
      <c r="K4" s="1318"/>
      <c r="L4" s="1319" t="s">
        <v>118</v>
      </c>
      <c r="O4" s="76"/>
    </row>
    <row r="5" spans="1:15" s="98" customFormat="1" ht="15">
      <c r="A5" s="1317"/>
      <c r="B5" s="82">
        <v>2011</v>
      </c>
      <c r="C5" s="82">
        <v>2012</v>
      </c>
      <c r="D5" s="82">
        <v>2013</v>
      </c>
      <c r="E5" s="772">
        <v>2014</v>
      </c>
      <c r="F5" s="772">
        <v>2015</v>
      </c>
      <c r="G5" s="772">
        <v>2016</v>
      </c>
      <c r="H5" s="772">
        <v>2017</v>
      </c>
      <c r="I5" s="772">
        <v>2018</v>
      </c>
      <c r="J5" s="772">
        <v>2019</v>
      </c>
      <c r="K5" s="772">
        <v>2020</v>
      </c>
      <c r="L5" s="1320"/>
      <c r="O5" s="76"/>
    </row>
    <row r="6" spans="1:15" s="98" customFormat="1" ht="21">
      <c r="A6" s="773" t="s">
        <v>1</v>
      </c>
      <c r="B6" s="774">
        <f t="shared" ref="B6:K6" si="0">SUM(B7:B9)</f>
        <v>34</v>
      </c>
      <c r="C6" s="774">
        <f t="shared" si="0"/>
        <v>23</v>
      </c>
      <c r="D6" s="774">
        <f t="shared" si="0"/>
        <v>46</v>
      </c>
      <c r="E6" s="774">
        <f t="shared" si="0"/>
        <v>185</v>
      </c>
      <c r="F6" s="774">
        <f t="shared" si="0"/>
        <v>246</v>
      </c>
      <c r="G6" s="774">
        <f t="shared" si="0"/>
        <v>327</v>
      </c>
      <c r="H6" s="774">
        <f t="shared" si="0"/>
        <v>309</v>
      </c>
      <c r="I6" s="774">
        <f t="shared" si="0"/>
        <v>248</v>
      </c>
      <c r="J6" s="774">
        <f t="shared" si="0"/>
        <v>279</v>
      </c>
      <c r="K6" s="774">
        <f t="shared" si="0"/>
        <v>307</v>
      </c>
      <c r="L6" s="775" t="s">
        <v>49</v>
      </c>
      <c r="O6" s="76"/>
    </row>
    <row r="7" spans="1:15" s="196" customFormat="1" ht="18.75">
      <c r="A7" s="53" t="s">
        <v>1553</v>
      </c>
      <c r="B7" s="776">
        <v>29</v>
      </c>
      <c r="C7" s="776">
        <v>8</v>
      </c>
      <c r="D7" s="776">
        <v>29</v>
      </c>
      <c r="E7" s="776">
        <v>65</v>
      </c>
      <c r="F7" s="776">
        <v>116</v>
      </c>
      <c r="G7" s="776">
        <v>168</v>
      </c>
      <c r="H7" s="776">
        <v>182</v>
      </c>
      <c r="I7" s="776">
        <v>166</v>
      </c>
      <c r="J7" s="776">
        <v>160</v>
      </c>
      <c r="K7" s="776">
        <v>179</v>
      </c>
      <c r="L7" s="740" t="s">
        <v>1481</v>
      </c>
      <c r="O7" s="76"/>
    </row>
    <row r="8" spans="1:15" s="196" customFormat="1" ht="18.75">
      <c r="A8" s="53" t="s">
        <v>1554</v>
      </c>
      <c r="B8" s="776">
        <v>2</v>
      </c>
      <c r="C8" s="776">
        <v>14</v>
      </c>
      <c r="D8" s="776">
        <v>8</v>
      </c>
      <c r="E8" s="776">
        <v>86</v>
      </c>
      <c r="F8" s="776">
        <v>46</v>
      </c>
      <c r="G8" s="776">
        <v>57</v>
      </c>
      <c r="H8" s="776">
        <v>24</v>
      </c>
      <c r="I8" s="776">
        <v>20</v>
      </c>
      <c r="J8" s="776">
        <v>39</v>
      </c>
      <c r="K8" s="776">
        <v>36</v>
      </c>
      <c r="L8" s="740" t="s">
        <v>1484</v>
      </c>
      <c r="O8" s="76"/>
    </row>
    <row r="9" spans="1:15" s="196" customFormat="1" ht="18.75">
      <c r="A9" s="709" t="s">
        <v>1555</v>
      </c>
      <c r="B9" s="777">
        <v>3</v>
      </c>
      <c r="C9" s="777">
        <v>1</v>
      </c>
      <c r="D9" s="777">
        <v>9</v>
      </c>
      <c r="E9" s="777">
        <v>34</v>
      </c>
      <c r="F9" s="777">
        <v>84</v>
      </c>
      <c r="G9" s="777">
        <v>102</v>
      </c>
      <c r="H9" s="777">
        <v>103</v>
      </c>
      <c r="I9" s="777">
        <v>62</v>
      </c>
      <c r="J9" s="777">
        <v>80</v>
      </c>
      <c r="K9" s="777">
        <v>92</v>
      </c>
      <c r="L9" s="744" t="s">
        <v>1556</v>
      </c>
      <c r="O9" s="76"/>
    </row>
    <row r="10" spans="1:15" ht="18.75">
      <c r="A10" s="768" t="s">
        <v>1495</v>
      </c>
      <c r="B10" s="769"/>
      <c r="C10" s="769"/>
      <c r="D10" s="1286" t="s">
        <v>1494</v>
      </c>
      <c r="E10" s="1286"/>
      <c r="F10" s="1286"/>
      <c r="G10" s="1286"/>
      <c r="H10" s="1286"/>
      <c r="I10" s="1286"/>
      <c r="J10" s="1286"/>
      <c r="K10" s="1286"/>
      <c r="L10" s="1286"/>
      <c r="M10" s="745"/>
    </row>
    <row r="11" spans="1:15">
      <c r="M11" s="196"/>
    </row>
    <row r="12" spans="1:15">
      <c r="L12" s="196"/>
      <c r="M12" s="196"/>
    </row>
    <row r="13" spans="1:15" ht="15">
      <c r="F13" s="778"/>
      <c r="G13" s="778"/>
      <c r="H13" s="778"/>
      <c r="I13" s="778"/>
      <c r="J13" s="778"/>
      <c r="K13" s="778"/>
      <c r="L13" s="196"/>
      <c r="M13" s="196"/>
    </row>
  </sheetData>
  <mergeCells count="6">
    <mergeCell ref="D10:L10"/>
    <mergeCell ref="A1:L1"/>
    <mergeCell ref="A2:L2"/>
    <mergeCell ref="A4:A5"/>
    <mergeCell ref="B4:K4"/>
    <mergeCell ref="L4:L5"/>
  </mergeCells>
  <pageMargins left="0.7" right="0.7" top="0.75" bottom="0.75" header="0.3" footer="0.3"/>
  <pageSetup paperSize="9" scale="5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A1:O20"/>
  <sheetViews>
    <sheetView view="pageBreakPreview" zoomScale="60" zoomScaleNormal="100" workbookViewId="0">
      <selection activeCell="J25" sqref="J25"/>
    </sheetView>
  </sheetViews>
  <sheetFormatPr defaultRowHeight="15"/>
  <cols>
    <col min="1" max="1" width="35.42578125" style="16" customWidth="1"/>
    <col min="2" max="10" width="15.5703125" style="16" customWidth="1"/>
    <col min="11" max="16384" width="9.140625" style="16"/>
  </cols>
  <sheetData>
    <row r="1" spans="1:15" ht="21">
      <c r="A1" s="1314" t="s">
        <v>1557</v>
      </c>
      <c r="B1" s="1314"/>
      <c r="C1" s="1314"/>
      <c r="D1" s="1314"/>
      <c r="E1" s="1314"/>
      <c r="F1" s="1314"/>
      <c r="G1" s="1314"/>
      <c r="H1" s="1314"/>
      <c r="I1" s="1314"/>
      <c r="J1" s="1314"/>
      <c r="K1" s="779"/>
      <c r="L1" s="779"/>
      <c r="M1" s="779"/>
      <c r="N1" s="779"/>
      <c r="O1" s="779"/>
    </row>
    <row r="2" spans="1:15" ht="15" customHeight="1">
      <c r="A2" s="1074" t="s">
        <v>1558</v>
      </c>
      <c r="B2" s="1074"/>
      <c r="C2" s="1074"/>
      <c r="D2" s="1074"/>
      <c r="E2" s="1074"/>
      <c r="F2" s="1074"/>
      <c r="G2" s="1074"/>
      <c r="H2" s="1074"/>
      <c r="I2" s="1074"/>
      <c r="J2" s="1074"/>
    </row>
    <row r="4" spans="1:15">
      <c r="A4" s="1220" t="s">
        <v>1551</v>
      </c>
      <c r="B4" s="1321">
        <v>2018</v>
      </c>
      <c r="C4" s="1321"/>
      <c r="D4" s="1321"/>
      <c r="E4" s="1321">
        <v>2019</v>
      </c>
      <c r="F4" s="1321"/>
      <c r="G4" s="1077"/>
      <c r="H4" s="1321">
        <v>2020</v>
      </c>
      <c r="I4" s="1321"/>
      <c r="J4" s="1321"/>
    </row>
    <row r="5" spans="1:15">
      <c r="A5" s="1076"/>
      <c r="B5" s="780" t="s">
        <v>119</v>
      </c>
      <c r="C5" s="780" t="s">
        <v>69</v>
      </c>
      <c r="D5" s="781" t="s">
        <v>70</v>
      </c>
      <c r="E5" s="780" t="s">
        <v>119</v>
      </c>
      <c r="F5" s="780" t="s">
        <v>69</v>
      </c>
      <c r="G5" s="782" t="s">
        <v>70</v>
      </c>
      <c r="H5" s="780" t="s">
        <v>119</v>
      </c>
      <c r="I5" s="780" t="s">
        <v>69</v>
      </c>
      <c r="J5" s="780" t="s">
        <v>70</v>
      </c>
    </row>
    <row r="6" spans="1:15" ht="18.75">
      <c r="A6" s="1078"/>
      <c r="B6" s="747" t="s">
        <v>1497</v>
      </c>
      <c r="C6" s="747" t="s">
        <v>76</v>
      </c>
      <c r="D6" s="783" t="s">
        <v>77</v>
      </c>
      <c r="E6" s="747" t="s">
        <v>1497</v>
      </c>
      <c r="F6" s="747" t="s">
        <v>76</v>
      </c>
      <c r="G6" s="784" t="s">
        <v>77</v>
      </c>
      <c r="H6" s="747" t="s">
        <v>1497</v>
      </c>
      <c r="I6" s="747" t="s">
        <v>76</v>
      </c>
      <c r="J6" s="747" t="s">
        <v>77</v>
      </c>
    </row>
    <row r="7" spans="1:15">
      <c r="A7" s="58" t="s">
        <v>73</v>
      </c>
      <c r="B7" s="207">
        <f>SUM(C7:D7)</f>
        <v>352</v>
      </c>
      <c r="C7" s="207">
        <f>SUM(C8:C15)</f>
        <v>35</v>
      </c>
      <c r="D7" s="785">
        <f>SUM(D8:D15)</f>
        <v>317</v>
      </c>
      <c r="E7" s="207">
        <f>SUM(F7:G7)</f>
        <v>396</v>
      </c>
      <c r="F7" s="207">
        <f>SUM(F8:F15)</f>
        <v>52</v>
      </c>
      <c r="G7" s="786">
        <f>SUM(G8:G15)</f>
        <v>344</v>
      </c>
      <c r="H7" s="207">
        <f>SUM(I7:J7)</f>
        <v>387</v>
      </c>
      <c r="I7" s="207">
        <f>SUM(I8:I15)</f>
        <v>43</v>
      </c>
      <c r="J7" s="207">
        <f>SUM(J8:J15)</f>
        <v>344</v>
      </c>
    </row>
    <row r="8" spans="1:15">
      <c r="A8" s="649" t="s">
        <v>155</v>
      </c>
      <c r="B8" s="207">
        <f t="shared" ref="B8:B15" si="0">SUM(C8:D8)</f>
        <v>16</v>
      </c>
      <c r="C8" s="47">
        <v>8</v>
      </c>
      <c r="D8" s="787">
        <v>8</v>
      </c>
      <c r="E8" s="207">
        <f t="shared" ref="E8:E15" si="1">SUM(F8:G8)</f>
        <v>22</v>
      </c>
      <c r="F8" s="47">
        <v>9</v>
      </c>
      <c r="G8" s="788">
        <v>13</v>
      </c>
      <c r="H8" s="207">
        <f t="shared" ref="H8:H15" si="2">SUM(I8:J8)</f>
        <v>13</v>
      </c>
      <c r="I8" s="47">
        <v>5</v>
      </c>
      <c r="J8" s="47">
        <v>8</v>
      </c>
    </row>
    <row r="9" spans="1:15">
      <c r="A9" s="649" t="s">
        <v>1559</v>
      </c>
      <c r="B9" s="207">
        <f t="shared" si="0"/>
        <v>37</v>
      </c>
      <c r="C9" s="47">
        <v>0</v>
      </c>
      <c r="D9" s="787">
        <v>37</v>
      </c>
      <c r="E9" s="207">
        <f t="shared" si="1"/>
        <v>41</v>
      </c>
      <c r="F9" s="47">
        <v>5</v>
      </c>
      <c r="G9" s="788">
        <v>36</v>
      </c>
      <c r="H9" s="207">
        <f t="shared" si="2"/>
        <v>23</v>
      </c>
      <c r="I9" s="47">
        <v>2</v>
      </c>
      <c r="J9" s="47">
        <v>21</v>
      </c>
    </row>
    <row r="10" spans="1:15">
      <c r="A10" s="649" t="s">
        <v>1560</v>
      </c>
      <c r="B10" s="207">
        <f t="shared" si="0"/>
        <v>11</v>
      </c>
      <c r="C10" s="47">
        <v>1</v>
      </c>
      <c r="D10" s="787">
        <v>10</v>
      </c>
      <c r="E10" s="207">
        <f t="shared" si="1"/>
        <v>13</v>
      </c>
      <c r="F10" s="47">
        <v>1</v>
      </c>
      <c r="G10" s="788">
        <v>12</v>
      </c>
      <c r="H10" s="207">
        <f t="shared" si="2"/>
        <v>6</v>
      </c>
      <c r="I10" s="47">
        <v>0</v>
      </c>
      <c r="J10" s="47">
        <v>6</v>
      </c>
    </row>
    <row r="11" spans="1:15">
      <c r="A11" s="649" t="s">
        <v>1561</v>
      </c>
      <c r="B11" s="207">
        <f t="shared" si="0"/>
        <v>21</v>
      </c>
      <c r="C11" s="47">
        <v>1</v>
      </c>
      <c r="D11" s="787">
        <v>20</v>
      </c>
      <c r="E11" s="207">
        <f t="shared" si="1"/>
        <v>41</v>
      </c>
      <c r="F11" s="47">
        <v>2</v>
      </c>
      <c r="G11" s="788">
        <v>39</v>
      </c>
      <c r="H11" s="207">
        <f t="shared" si="2"/>
        <v>38</v>
      </c>
      <c r="I11" s="47">
        <v>2</v>
      </c>
      <c r="J11" s="47">
        <v>36</v>
      </c>
    </row>
    <row r="12" spans="1:15">
      <c r="A12" s="649" t="s">
        <v>1562</v>
      </c>
      <c r="B12" s="207">
        <f t="shared" si="0"/>
        <v>7</v>
      </c>
      <c r="C12" s="47">
        <v>0</v>
      </c>
      <c r="D12" s="787">
        <v>7</v>
      </c>
      <c r="E12" s="207">
        <f t="shared" si="1"/>
        <v>2</v>
      </c>
      <c r="F12" s="47">
        <v>2</v>
      </c>
      <c r="G12" s="788">
        <v>0</v>
      </c>
      <c r="H12" s="207">
        <f t="shared" si="2"/>
        <v>0</v>
      </c>
      <c r="I12" s="47">
        <v>0</v>
      </c>
      <c r="J12" s="47">
        <v>0</v>
      </c>
    </row>
    <row r="13" spans="1:15">
      <c r="A13" s="649" t="s">
        <v>1563</v>
      </c>
      <c r="B13" s="207">
        <f t="shared" si="0"/>
        <v>176</v>
      </c>
      <c r="C13" s="47">
        <v>10</v>
      </c>
      <c r="D13" s="787">
        <v>166</v>
      </c>
      <c r="E13" s="207">
        <f t="shared" si="1"/>
        <v>175</v>
      </c>
      <c r="F13" s="47">
        <v>15</v>
      </c>
      <c r="G13" s="788">
        <v>160</v>
      </c>
      <c r="H13" s="207">
        <f t="shared" si="2"/>
        <v>196</v>
      </c>
      <c r="I13" s="47">
        <v>17</v>
      </c>
      <c r="J13" s="47">
        <v>179</v>
      </c>
    </row>
    <row r="14" spans="1:15">
      <c r="A14" s="649" t="s">
        <v>1564</v>
      </c>
      <c r="B14" s="207">
        <f t="shared" si="0"/>
        <v>76</v>
      </c>
      <c r="C14" s="47">
        <v>14</v>
      </c>
      <c r="D14" s="787">
        <v>62</v>
      </c>
      <c r="E14" s="207">
        <f t="shared" si="1"/>
        <v>95</v>
      </c>
      <c r="F14" s="47">
        <v>15</v>
      </c>
      <c r="G14" s="788">
        <v>80</v>
      </c>
      <c r="H14" s="207">
        <f t="shared" si="2"/>
        <v>109</v>
      </c>
      <c r="I14" s="47">
        <v>17</v>
      </c>
      <c r="J14" s="47">
        <v>92</v>
      </c>
    </row>
    <row r="15" spans="1:15">
      <c r="A15" s="650" t="s">
        <v>1565</v>
      </c>
      <c r="B15" s="100">
        <f t="shared" si="0"/>
        <v>8</v>
      </c>
      <c r="C15" s="630">
        <v>1</v>
      </c>
      <c r="D15" s="789">
        <v>7</v>
      </c>
      <c r="E15" s="100">
        <f t="shared" si="1"/>
        <v>7</v>
      </c>
      <c r="F15" s="630">
        <v>3</v>
      </c>
      <c r="G15" s="790">
        <v>4</v>
      </c>
      <c r="H15" s="100">
        <f t="shared" si="2"/>
        <v>2</v>
      </c>
      <c r="I15" s="630">
        <v>0</v>
      </c>
      <c r="J15" s="630">
        <v>2</v>
      </c>
    </row>
    <row r="16" spans="1:15" ht="16.5">
      <c r="A16" s="750" t="s">
        <v>1495</v>
      </c>
      <c r="D16" s="791"/>
      <c r="G16" s="791"/>
      <c r="J16" s="791" t="s">
        <v>1494</v>
      </c>
    </row>
    <row r="20" spans="1:1" ht="15.75">
      <c r="A20" s="792"/>
    </row>
  </sheetData>
  <mergeCells count="6">
    <mergeCell ref="A1:J1"/>
    <mergeCell ref="A2:J2"/>
    <mergeCell ref="A4:A6"/>
    <mergeCell ref="B4:D4"/>
    <mergeCell ref="E4:G4"/>
    <mergeCell ref="H4:J4"/>
  </mergeCells>
  <pageMargins left="0.7" right="0.7" top="0.75" bottom="0.75" header="0.3" footer="0.3"/>
  <pageSetup paperSize="9" scale="45" orientation="portrait" r:id="rId1"/>
  <colBreaks count="1" manualBreakCount="1">
    <brk id="12" max="1048575"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A3:E36"/>
  <sheetViews>
    <sheetView view="pageBreakPreview" zoomScale="60" zoomScaleNormal="100" workbookViewId="0">
      <selection activeCell="N11" sqref="N11"/>
    </sheetView>
  </sheetViews>
  <sheetFormatPr defaultRowHeight="15"/>
  <cols>
    <col min="1" max="1" width="32" style="16" bestFit="1" customWidth="1"/>
    <col min="2" max="4" width="11.28515625" style="16" customWidth="1"/>
    <col min="5" max="5" width="56.42578125" style="16" customWidth="1"/>
    <col min="6" max="16384" width="9.140625" style="16"/>
  </cols>
  <sheetData>
    <row r="3" spans="1:5" ht="21">
      <c r="A3" s="1314" t="s">
        <v>1566</v>
      </c>
      <c r="B3" s="1314"/>
      <c r="C3" s="1314"/>
      <c r="D3" s="1314"/>
      <c r="E3" s="1314"/>
    </row>
    <row r="4" spans="1:5" ht="15" customHeight="1">
      <c r="A4" s="1315" t="s">
        <v>1567</v>
      </c>
      <c r="B4" s="1315"/>
      <c r="C4" s="1315"/>
      <c r="D4" s="1315"/>
      <c r="E4" s="1315"/>
    </row>
    <row r="6" spans="1:5">
      <c r="A6" s="1182" t="s">
        <v>1568</v>
      </c>
      <c r="B6" s="780" t="s">
        <v>119</v>
      </c>
      <c r="C6" s="780" t="s">
        <v>69</v>
      </c>
      <c r="D6" s="780" t="s">
        <v>70</v>
      </c>
      <c r="E6" s="1303" t="s">
        <v>1569</v>
      </c>
    </row>
    <row r="7" spans="1:5" ht="18.75">
      <c r="A7" s="1073"/>
      <c r="B7" s="747" t="s">
        <v>1497</v>
      </c>
      <c r="C7" s="747" t="s">
        <v>76</v>
      </c>
      <c r="D7" s="747" t="s">
        <v>77</v>
      </c>
      <c r="E7" s="1175"/>
    </row>
    <row r="8" spans="1:5" ht="21">
      <c r="A8" s="58" t="s">
        <v>73</v>
      </c>
      <c r="B8" s="207">
        <f>SUM(C8:D8)</f>
        <v>204</v>
      </c>
      <c r="C8" s="207">
        <f>SUM(C9:C10)</f>
        <v>108</v>
      </c>
      <c r="D8" s="207">
        <f>SUM(D9:D10)</f>
        <v>96</v>
      </c>
      <c r="E8" s="308" t="s">
        <v>49</v>
      </c>
    </row>
    <row r="9" spans="1:5" ht="21">
      <c r="A9" s="47" t="s">
        <v>1570</v>
      </c>
      <c r="B9" s="207">
        <f>SUM(C9:D9)</f>
        <v>62</v>
      </c>
      <c r="C9" s="47">
        <v>30</v>
      </c>
      <c r="D9" s="47">
        <v>32</v>
      </c>
      <c r="E9" s="519" t="s">
        <v>1571</v>
      </c>
    </row>
    <row r="10" spans="1:5" ht="21">
      <c r="A10" s="630" t="s">
        <v>1572</v>
      </c>
      <c r="B10" s="100">
        <f>SUM(C10:D10)</f>
        <v>142</v>
      </c>
      <c r="C10" s="630">
        <v>78</v>
      </c>
      <c r="D10" s="630">
        <v>64</v>
      </c>
      <c r="E10" s="752" t="s">
        <v>1573</v>
      </c>
    </row>
    <row r="11" spans="1:5" ht="18.75">
      <c r="A11" s="750" t="s">
        <v>1495</v>
      </c>
      <c r="E11" s="749" t="s">
        <v>1494</v>
      </c>
    </row>
    <row r="15" spans="1:5" ht="21">
      <c r="A15" s="1314" t="s">
        <v>1574</v>
      </c>
      <c r="B15" s="1314"/>
      <c r="C15" s="1314"/>
      <c r="D15" s="1314"/>
      <c r="E15" s="1314"/>
    </row>
    <row r="16" spans="1:5" ht="15" customHeight="1">
      <c r="A16" s="1315" t="s">
        <v>1575</v>
      </c>
      <c r="B16" s="1315"/>
      <c r="C16" s="1315"/>
      <c r="D16" s="1315"/>
      <c r="E16" s="1315"/>
    </row>
    <row r="18" spans="1:5">
      <c r="A18" s="1182" t="s">
        <v>1568</v>
      </c>
      <c r="B18" s="780" t="s">
        <v>119</v>
      </c>
      <c r="C18" s="780" t="s">
        <v>69</v>
      </c>
      <c r="D18" s="780" t="s">
        <v>70</v>
      </c>
      <c r="E18" s="1303" t="s">
        <v>1569</v>
      </c>
    </row>
    <row r="19" spans="1:5" ht="18.75">
      <c r="A19" s="1073"/>
      <c r="B19" s="747" t="s">
        <v>1497</v>
      </c>
      <c r="C19" s="747" t="s">
        <v>76</v>
      </c>
      <c r="D19" s="747" t="s">
        <v>77</v>
      </c>
      <c r="E19" s="1175"/>
    </row>
    <row r="20" spans="1:5" ht="21">
      <c r="A20" s="58" t="s">
        <v>73</v>
      </c>
      <c r="B20" s="207">
        <f>SUM(C20:D20)</f>
        <v>218</v>
      </c>
      <c r="C20" s="207">
        <f>SUM(C21:C22)</f>
        <v>127</v>
      </c>
      <c r="D20" s="207">
        <f>SUM(D21:D22)</f>
        <v>91</v>
      </c>
      <c r="E20" s="308" t="s">
        <v>49</v>
      </c>
    </row>
    <row r="21" spans="1:5" ht="21">
      <c r="A21" s="47" t="s">
        <v>1570</v>
      </c>
      <c r="B21" s="207">
        <f>SUM(C21:D21)</f>
        <v>83</v>
      </c>
      <c r="C21" s="47">
        <v>52</v>
      </c>
      <c r="D21" s="47">
        <v>31</v>
      </c>
      <c r="E21" s="519" t="s">
        <v>1571</v>
      </c>
    </row>
    <row r="22" spans="1:5" ht="21">
      <c r="A22" s="630" t="s">
        <v>1572</v>
      </c>
      <c r="B22" s="100">
        <f>SUM(C22:D22)</f>
        <v>135</v>
      </c>
      <c r="C22" s="630">
        <v>75</v>
      </c>
      <c r="D22" s="630">
        <v>60</v>
      </c>
      <c r="E22" s="752" t="s">
        <v>1573</v>
      </c>
    </row>
    <row r="23" spans="1:5" ht="18.75">
      <c r="A23" s="750" t="s">
        <v>1495</v>
      </c>
      <c r="E23" s="749" t="s">
        <v>1494</v>
      </c>
    </row>
    <row r="27" spans="1:5">
      <c r="B27" s="631"/>
    </row>
    <row r="28" spans="1:5" ht="21">
      <c r="A28" s="1314" t="s">
        <v>1576</v>
      </c>
      <c r="B28" s="1314"/>
      <c r="C28" s="1314"/>
      <c r="D28" s="1314"/>
      <c r="E28" s="1314"/>
    </row>
    <row r="29" spans="1:5">
      <c r="A29" s="1315" t="s">
        <v>1577</v>
      </c>
      <c r="B29" s="1315"/>
      <c r="C29" s="1315"/>
      <c r="D29" s="1315"/>
      <c r="E29" s="1315"/>
    </row>
    <row r="31" spans="1:5">
      <c r="A31" s="1182" t="s">
        <v>1568</v>
      </c>
      <c r="B31" s="780" t="s">
        <v>119</v>
      </c>
      <c r="C31" s="780" t="s">
        <v>69</v>
      </c>
      <c r="D31" s="780" t="s">
        <v>70</v>
      </c>
      <c r="E31" s="1303" t="s">
        <v>1569</v>
      </c>
    </row>
    <row r="32" spans="1:5" ht="18.75">
      <c r="A32" s="1073"/>
      <c r="B32" s="747" t="s">
        <v>1497</v>
      </c>
      <c r="C32" s="747" t="s">
        <v>76</v>
      </c>
      <c r="D32" s="747" t="s">
        <v>77</v>
      </c>
      <c r="E32" s="1175"/>
    </row>
    <row r="33" spans="1:5" ht="21">
      <c r="A33" s="58" t="s">
        <v>73</v>
      </c>
      <c r="B33" s="207">
        <f>SUM(C33:D33)</f>
        <v>157</v>
      </c>
      <c r="C33" s="207">
        <f>SUM(C34:C35)</f>
        <v>80</v>
      </c>
      <c r="D33" s="207">
        <f>SUM(D34:D35)</f>
        <v>77</v>
      </c>
      <c r="E33" s="308" t="s">
        <v>49</v>
      </c>
    </row>
    <row r="34" spans="1:5" ht="21">
      <c r="A34" s="47" t="s">
        <v>1570</v>
      </c>
      <c r="B34" s="207">
        <f>SUM(C34:D34)</f>
        <v>84</v>
      </c>
      <c r="C34" s="47">
        <v>51</v>
      </c>
      <c r="D34" s="47">
        <v>33</v>
      </c>
      <c r="E34" s="519" t="s">
        <v>1571</v>
      </c>
    </row>
    <row r="35" spans="1:5" ht="21">
      <c r="A35" s="630" t="s">
        <v>1572</v>
      </c>
      <c r="B35" s="100">
        <f>SUM(C35:D35)</f>
        <v>73</v>
      </c>
      <c r="C35" s="630">
        <v>29</v>
      </c>
      <c r="D35" s="630">
        <v>44</v>
      </c>
      <c r="E35" s="752" t="s">
        <v>1573</v>
      </c>
    </row>
    <row r="36" spans="1:5" ht="18.75">
      <c r="A36" s="750" t="s">
        <v>1495</v>
      </c>
      <c r="E36" s="749" t="s">
        <v>1494</v>
      </c>
    </row>
  </sheetData>
  <mergeCells count="12">
    <mergeCell ref="A16:E16"/>
    <mergeCell ref="A3:E3"/>
    <mergeCell ref="A4:E4"/>
    <mergeCell ref="A6:A7"/>
    <mergeCell ref="E6:E7"/>
    <mergeCell ref="A15:E15"/>
    <mergeCell ref="A18:A19"/>
    <mergeCell ref="E18:E19"/>
    <mergeCell ref="A28:E28"/>
    <mergeCell ref="A29:E29"/>
    <mergeCell ref="A31:A32"/>
    <mergeCell ref="E31:E32"/>
  </mergeCells>
  <pageMargins left="0.7" right="0.7" top="0.75" bottom="0.75" header="0.3" footer="0.3"/>
  <pageSetup paperSize="9" scale="7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30</vt:i4>
      </vt:variant>
    </vt:vector>
  </HeadingPairs>
  <TitlesOfParts>
    <vt:vector size="76" baseType="lpstr">
      <vt:lpstr>8.24</vt:lpstr>
      <vt:lpstr>8.25</vt:lpstr>
      <vt:lpstr>8.26</vt:lpstr>
      <vt:lpstr>8.27</vt:lpstr>
      <vt:lpstr>8.28</vt:lpstr>
      <vt:lpstr> 8.29</vt:lpstr>
      <vt:lpstr>8.30</vt:lpstr>
      <vt:lpstr>8.31</vt:lpstr>
      <vt:lpstr>8.32</vt:lpstr>
      <vt:lpstr>8.33</vt:lpstr>
      <vt:lpstr>8.34</vt:lpstr>
      <vt:lpstr>8.35</vt:lpstr>
      <vt:lpstr>8.36</vt:lpstr>
      <vt:lpstr>8.37</vt:lpstr>
      <vt:lpstr>8.38</vt:lpstr>
      <vt:lpstr>8.39</vt:lpstr>
      <vt:lpstr>8.40</vt:lpstr>
      <vt:lpstr>8.41</vt:lpstr>
      <vt:lpstr>8.42</vt:lpstr>
      <vt:lpstr>8.43</vt:lpstr>
      <vt:lpstr>8.44</vt:lpstr>
      <vt:lpstr>8.45</vt:lpstr>
      <vt:lpstr>8.46</vt:lpstr>
      <vt:lpstr>8.47</vt:lpstr>
      <vt:lpstr>8.48</vt:lpstr>
      <vt:lpstr>8.49</vt:lpstr>
      <vt:lpstr>8.50</vt:lpstr>
      <vt:lpstr>8.51</vt:lpstr>
      <vt:lpstr>8.52</vt:lpstr>
      <vt:lpstr>8.53</vt:lpstr>
      <vt:lpstr>8.54</vt:lpstr>
      <vt:lpstr>8.55</vt:lpstr>
      <vt:lpstr>8.56</vt:lpstr>
      <vt:lpstr>8.57</vt:lpstr>
      <vt:lpstr>8.58</vt:lpstr>
      <vt:lpstr>8.59</vt:lpstr>
      <vt:lpstr>8.60</vt:lpstr>
      <vt:lpstr>8.61</vt:lpstr>
      <vt:lpstr>8.62</vt:lpstr>
      <vt:lpstr>8.63</vt:lpstr>
      <vt:lpstr>8.64</vt:lpstr>
      <vt:lpstr>8.65</vt:lpstr>
      <vt:lpstr>8.66</vt:lpstr>
      <vt:lpstr>8.67</vt:lpstr>
      <vt:lpstr>8.68</vt:lpstr>
      <vt:lpstr>8.69</vt:lpstr>
      <vt:lpstr>' 8.29'!Print_Area</vt:lpstr>
      <vt:lpstr>'8.24'!Print_Area</vt:lpstr>
      <vt:lpstr>'8.30'!Print_Area</vt:lpstr>
      <vt:lpstr>'8.31'!Print_Area</vt:lpstr>
      <vt:lpstr>'8.32'!Print_Area</vt:lpstr>
      <vt:lpstr>'8.33'!Print_Area</vt:lpstr>
      <vt:lpstr>'8.36'!Print_Area</vt:lpstr>
      <vt:lpstr>'8.37'!Print_Area</vt:lpstr>
      <vt:lpstr>'8.38'!Print_Area</vt:lpstr>
      <vt:lpstr>'8.39'!Print_Area</vt:lpstr>
      <vt:lpstr>'8.41'!Print_Area</vt:lpstr>
      <vt:lpstr>'8.42'!Print_Area</vt:lpstr>
      <vt:lpstr>'8.44'!Print_Area</vt:lpstr>
      <vt:lpstr>'8.45'!Print_Area</vt:lpstr>
      <vt:lpstr>'8.46'!Print_Area</vt:lpstr>
      <vt:lpstr>'8.48'!Print_Area</vt:lpstr>
      <vt:lpstr>'8.49'!Print_Area</vt:lpstr>
      <vt:lpstr>'8.53'!Print_Area</vt:lpstr>
      <vt:lpstr>'8.55'!Print_Area</vt:lpstr>
      <vt:lpstr>'8.56'!Print_Area</vt:lpstr>
      <vt:lpstr>'8.57'!Print_Area</vt:lpstr>
      <vt:lpstr>'8.58'!Print_Area</vt:lpstr>
      <vt:lpstr>'8.59'!Print_Area</vt:lpstr>
      <vt:lpstr>'8.61'!Print_Area</vt:lpstr>
      <vt:lpstr>'8.64'!Print_Area</vt:lpstr>
      <vt:lpstr>'8.65'!Print_Area</vt:lpstr>
      <vt:lpstr>'8.66'!Print_Area</vt:lpstr>
      <vt:lpstr>'8.68'!Print_Area</vt:lpstr>
      <vt:lpstr>'8.32'!Print_Titles</vt:lpstr>
      <vt:lpstr>'8.38'!Print_Titles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dcterms:created xsi:type="dcterms:W3CDTF">2019-06-30T04:22:49Z</dcterms:created>
  <dcterms:modified xsi:type="dcterms:W3CDTF">2023-05-16T13:28:17Z</dcterms:modified>
</cp:coreProperties>
</file>