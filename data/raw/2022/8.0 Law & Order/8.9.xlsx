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0A66A728-497B-4FC2-A986-F9CB9F1C9542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9" sheetId="9" r:id="rId1"/>
  </sheets>
  <definedNames>
    <definedName name="_xlnm.Print_Area" localSheetId="0">'8.9'!$A$1:$P$32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9" l="1"/>
  <c r="M6" i="9" l="1"/>
  <c r="L6" i="9" l="1"/>
  <c r="K6" i="9" l="1"/>
  <c r="J6" i="9"/>
  <c r="I6" i="9"/>
  <c r="H6" i="9"/>
  <c r="G6" i="9"/>
  <c r="F6" i="9"/>
  <c r="E6" i="9"/>
  <c r="D6" i="9"/>
  <c r="C6" i="9"/>
  <c r="B6" i="9"/>
</calcChain>
</file>

<file path=xl/sharedStrings.xml><?xml version="1.0" encoding="utf-8"?>
<sst xmlns="http://schemas.openxmlformats.org/spreadsheetml/2006/main" count="34" uniqueCount="26">
  <si>
    <t>Total</t>
  </si>
  <si>
    <t>Others</t>
  </si>
  <si>
    <t>އެހެނިހެން</t>
  </si>
  <si>
    <t>Source: Maldives Police Service</t>
  </si>
  <si>
    <t>-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</si>
  <si>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</si>
  <si>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</si>
  <si>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</si>
  <si>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</si>
  <si>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</si>
  <si>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</si>
  <si>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</si>
  <si>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</si>
  <si>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</si>
  <si>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</si>
  <si>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</si>
  <si>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</si>
  <si>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</si>
  <si>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 xml:space="preserve">   Quantity ( grams )                                                                              </t>
  </si>
  <si>
    <t>cocaine</t>
  </si>
  <si>
    <t>ކޮކެއިން</t>
  </si>
  <si>
    <t>Tetrahydrocannabinol</t>
  </si>
  <si>
    <t>DiMaorphine</t>
  </si>
  <si>
    <t>MDMA</t>
  </si>
  <si>
    <t>Table 8.9: DRUG SEIZED  BY MALDIVES POLICE SERVICE, 2014 - 2021</t>
  </si>
  <si>
    <t>ތާވަލު 8.9: މޯލްޑިވްސް ޕޮލިސް ސަރވިސްގެ ފަރާތުން އަތުލައިގަތް މަސްތުވާތަކެތީގެ އަދަދު، 2014 - 2021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</si>
</sst>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/>
    <xf numFmtId="0" fontId="18" fillId="0" borderId="5" applyNumberFormat="0" applyFill="0" applyAlignment="0" applyProtection="0"/>
    <xf numFmtId="0" fontId="17" fillId="0" borderId="0"/>
    <xf numFmtId="0" fontId="17" fillId="0" borderId="0"/>
  </cellStyleXfs>
  <cellXfs count="42">
    <xf numFmtId="0" fontId="0" fillId="0" borderId="0" xfId="0"/>
    <xf numFmtId="164" fontId="0" fillId="2" borderId="0" xfId="0" applyNumberFormat="1" applyFill="1"/>
    <xf numFmtId="164" fontId="0" fillId="2" borderId="2" xfId="0" applyNumberFormat="1" applyFill="1" applyBorder="1"/>
    <xf numFmtId="0" fontId="0" fillId="2" borderId="0" xfId="0" applyFill="1"/>
    <xf numFmtId="0" fontId="11" fillId="2" borderId="0" xfId="0" applyFont="1" applyFill="1" applyAlignment="1">
      <alignment vertical="top"/>
    </xf>
    <xf numFmtId="164" fontId="0" fillId="2" borderId="0" xfId="0" applyNumberForma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0" fillId="2" borderId="3" xfId="0" applyNumberFormat="1" applyFill="1" applyBorder="1"/>
    <xf numFmtId="0" fontId="8" fillId="2" borderId="3" xfId="0" applyFont="1" applyFill="1" applyBorder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3" fontId="3" fillId="2" borderId="0" xfId="0" applyNumberFormat="1" applyFont="1" applyFill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4" fontId="15" fillId="2" borderId="2" xfId="0" applyNumberFormat="1" applyFont="1" applyFill="1" applyBorder="1" applyAlignment="1">
      <alignment horizontal="right" vertical="center" indent="1"/>
    </xf>
    <xf numFmtId="0" fontId="7" fillId="2" borderId="0" xfId="0" applyFont="1" applyFill="1" applyAlignment="1">
      <alignment vertical="top"/>
    </xf>
    <xf numFmtId="0" fontId="16" fillId="2" borderId="0" xfId="0" applyFont="1" applyFill="1" applyAlignment="1">
      <alignment vertical="top"/>
    </xf>
    <xf numFmtId="164" fontId="16" fillId="2" borderId="0" xfId="0" applyNumberFormat="1" applyFont="1" applyFill="1" applyAlignment="1">
      <alignment vertical="top"/>
    </xf>
    <xf numFmtId="164" fontId="16" fillId="2" borderId="0" xfId="0" applyNumberFormat="1" applyFont="1" applyFill="1"/>
    <xf numFmtId="0" fontId="6" fillId="2" borderId="0" xfId="0" applyFont="1" applyFill="1"/>
    <xf numFmtId="0" fontId="11" fillId="2" borderId="0" xfId="0" applyFont="1" applyFill="1" applyAlignment="1">
      <alignment vertical="center"/>
    </xf>
    <xf numFmtId="0" fontId="12" fillId="2" borderId="4" xfId="0" applyFont="1" applyFill="1" applyBorder="1" applyAlignment="1">
      <alignment vertical="center"/>
    </xf>
    <xf numFmtId="166" fontId="4" fillId="2" borderId="0" xfId="2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top"/>
    </xf>
    <xf numFmtId="0" fontId="14" fillId="2" borderId="0" xfId="0" applyFont="1" applyFill="1" applyAlignment="1">
      <alignment horizontal="right" vertical="center"/>
    </xf>
    <xf numFmtId="166" fontId="4" fillId="2" borderId="2" xfId="2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2014 - 2021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'8.9'!$G$5:$N$5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'8.9'!$G$8:$N$8</c:f>
              <c:numCache>
                <c:formatCode>#,##0</c:formatCode>
                <c:ptCount val="8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  <c:pt idx="6">
                  <c:v>132964.03650000022</c:v>
                </c:pt>
                <c:pt idx="7">
                  <c:v>409944.88545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cat>
            <c:numRef>
              <c:f>'8.9'!$G$5:$N$5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'8.9'!$G$9:$N$9</c:f>
              <c:numCache>
                <c:formatCode>#,##0</c:formatCode>
                <c:ptCount val="8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  <c:pt idx="6">
                  <c:v>14409.403600000011</c:v>
                </c:pt>
                <c:pt idx="7">
                  <c:v>13745.461599999995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numRef>
              <c:f>'8.9'!$G$5:$N$5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'8.9'!$G$10:$N$10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  <c:pt idx="6" formatCode="#,##0">
                  <c:v>891.86660000000018</c:v>
                </c:pt>
                <c:pt idx="7" formatCode="#,##0">
                  <c:v>31505.142199999995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'8.9'!$G$5:$N$5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'8.9'!$G$14:$N$14</c:f>
              <c:numCache>
                <c:formatCode>_-* #,##0_-;\-* #,##0_-;_-* "-"??_-;_-@_-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  <c:pt idx="6" formatCode="#,##0">
                  <c:v>0</c:v>
                </c:pt>
                <c:pt idx="7" formatCode="#,##0">
                  <c:v>8161.6353000000008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rgbClr val="FFEFEF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6970244069987"/>
          <c:y val="0.5931707494896471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17</xdr:row>
      <xdr:rowOff>90487</xdr:rowOff>
    </xdr:from>
    <xdr:to>
      <xdr:col>14</xdr:col>
      <xdr:colOff>781049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X32"/>
  <sheetViews>
    <sheetView tabSelected="1" zoomScale="130" zoomScaleNormal="130" workbookViewId="0">
      <selection activeCell="S9" sqref="S9"/>
    </sheetView>
  </sheetViews>
  <sheetFormatPr defaultColWidth="9.140625" defaultRowHeight="15"/>
  <cols>
    <col min="1" max="1" width="13.5703125" style="1" customWidth="1"/>
    <col min="2" max="5" width="10.85546875" style="1" hidden="1" customWidth="1"/>
    <col min="6" max="6" width="13.85546875" style="1" hidden="1" customWidth="1"/>
    <col min="7" max="14" width="11.28515625" style="1" customWidth="1"/>
    <col min="15" max="15" width="15.5703125" style="1" customWidth="1"/>
    <col min="16" max="16" width="6.7109375" style="1" customWidth="1"/>
    <col min="17" max="16384" width="9.140625" style="1"/>
  </cols>
  <sheetData>
    <row r="1" spans="1:16" ht="21">
      <c r="A1" s="34" t="s">
        <v>25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6" ht="17.25" customHeight="1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6"/>
    </row>
    <row r="3" spans="1:16" ht="6" hidden="1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6"/>
    </row>
    <row r="4" spans="1:16" ht="18.75">
      <c r="A4" s="36" t="s">
        <v>7</v>
      </c>
      <c r="B4" s="7"/>
      <c r="C4" s="8"/>
      <c r="D4" s="8"/>
      <c r="E4" s="7"/>
      <c r="F4" s="7"/>
      <c r="G4" s="41" t="s">
        <v>18</v>
      </c>
      <c r="H4" s="41"/>
      <c r="I4" s="41"/>
      <c r="J4" s="41"/>
      <c r="K4" s="40" t="s">
        <v>8</v>
      </c>
      <c r="L4" s="40"/>
      <c r="M4" s="40"/>
      <c r="N4" s="40"/>
      <c r="O4" s="38" t="s">
        <v>9</v>
      </c>
      <c r="P4" s="9"/>
    </row>
    <row r="5" spans="1:16" ht="23.25" customHeight="1">
      <c r="A5" s="37"/>
      <c r="B5" s="10">
        <v>2009</v>
      </c>
      <c r="C5" s="10">
        <v>2010</v>
      </c>
      <c r="D5" s="10">
        <v>2011</v>
      </c>
      <c r="E5" s="10">
        <v>2012</v>
      </c>
      <c r="F5" s="10">
        <v>2013</v>
      </c>
      <c r="G5" s="10">
        <v>2014</v>
      </c>
      <c r="H5" s="10">
        <v>2015</v>
      </c>
      <c r="I5" s="10">
        <v>2016</v>
      </c>
      <c r="J5" s="10">
        <v>2017</v>
      </c>
      <c r="K5" s="10">
        <v>2018</v>
      </c>
      <c r="L5" s="10">
        <v>2019</v>
      </c>
      <c r="M5" s="10">
        <v>2020</v>
      </c>
      <c r="N5" s="10">
        <v>2021</v>
      </c>
      <c r="O5" s="39"/>
    </row>
    <row r="6" spans="1:16" ht="25.5" customHeight="1">
      <c r="A6" s="11" t="s">
        <v>0</v>
      </c>
      <c r="B6" s="12">
        <f t="shared" ref="B6:K6" si="0">SUM(B7:B15)</f>
        <v>5627.6266999999998</v>
      </c>
      <c r="C6" s="12">
        <f t="shared" si="0"/>
        <v>3737.2701000000002</v>
      </c>
      <c r="D6" s="13">
        <f t="shared" si="0"/>
        <v>10180.494439999999</v>
      </c>
      <c r="E6" s="13">
        <f t="shared" si="0"/>
        <v>26936.360290000001</v>
      </c>
      <c r="F6" s="13">
        <f t="shared" si="0"/>
        <v>10288.645349999999</v>
      </c>
      <c r="G6" s="13">
        <f t="shared" si="0"/>
        <v>26925.248299999999</v>
      </c>
      <c r="H6" s="13">
        <f t="shared" si="0"/>
        <v>7901</v>
      </c>
      <c r="I6" s="13">
        <f t="shared" si="0"/>
        <v>114278.9142</v>
      </c>
      <c r="J6" s="13">
        <f t="shared" si="0"/>
        <v>65503.018799999998</v>
      </c>
      <c r="K6" s="13">
        <f t="shared" si="0"/>
        <v>104661.29379999994</v>
      </c>
      <c r="L6" s="13">
        <f>SUM(L7:L14)</f>
        <v>408255.53896000207</v>
      </c>
      <c r="M6" s="13">
        <f>SUM(M7:M14)</f>
        <v>148265.30670000025</v>
      </c>
      <c r="N6" s="13">
        <f>SUM(N7:N14)</f>
        <v>463357.12455000001</v>
      </c>
      <c r="O6" s="32" t="s">
        <v>5</v>
      </c>
    </row>
    <row r="7" spans="1:16" ht="15" hidden="1" customHeight="1">
      <c r="A7" s="14" t="s">
        <v>10</v>
      </c>
      <c r="B7" s="15">
        <v>1350.5146999999999</v>
      </c>
      <c r="C7" s="15">
        <v>1754.8649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4</v>
      </c>
      <c r="K7" s="16" t="s">
        <v>4</v>
      </c>
      <c r="L7" s="16" t="s">
        <v>4</v>
      </c>
      <c r="M7" s="16" t="s">
        <v>4</v>
      </c>
      <c r="N7" s="16"/>
      <c r="O7" s="17" t="s">
        <v>11</v>
      </c>
    </row>
    <row r="8" spans="1:16" ht="15" customHeight="1">
      <c r="A8" s="18" t="s">
        <v>12</v>
      </c>
      <c r="B8" s="15">
        <v>0</v>
      </c>
      <c r="C8" s="15">
        <v>0</v>
      </c>
      <c r="D8" s="16">
        <v>5154.4753999999994</v>
      </c>
      <c r="E8" s="16">
        <v>10107.0682</v>
      </c>
      <c r="F8" s="16">
        <v>8869.9667499999996</v>
      </c>
      <c r="G8" s="16">
        <v>21947.937300000001</v>
      </c>
      <c r="H8" s="16">
        <v>2359</v>
      </c>
      <c r="I8" s="16">
        <v>46885.842600000004</v>
      </c>
      <c r="J8" s="16">
        <v>17064.1921</v>
      </c>
      <c r="K8" s="16">
        <v>75799.18469999994</v>
      </c>
      <c r="L8" s="16">
        <v>221508.68388000206</v>
      </c>
      <c r="M8" s="16">
        <v>132964.03650000022</v>
      </c>
      <c r="N8" s="16">
        <v>409944.88545</v>
      </c>
      <c r="O8" s="17" t="s">
        <v>13</v>
      </c>
    </row>
    <row r="9" spans="1:16" ht="15" customHeight="1">
      <c r="A9" s="18" t="s">
        <v>14</v>
      </c>
      <c r="B9" s="1">
        <v>3739.5270999999998</v>
      </c>
      <c r="C9" s="1">
        <v>1957.8159000000001</v>
      </c>
      <c r="D9" s="1">
        <v>5026.0190400000001</v>
      </c>
      <c r="E9" s="1">
        <v>16821.554290000004</v>
      </c>
      <c r="F9" s="1">
        <v>1418.6786</v>
      </c>
      <c r="G9" s="16">
        <v>4977.3109999999997</v>
      </c>
      <c r="H9" s="16">
        <v>5542</v>
      </c>
      <c r="I9" s="16">
        <v>67393.071599999996</v>
      </c>
      <c r="J9" s="16">
        <v>48438.826699999998</v>
      </c>
      <c r="K9" s="16">
        <v>28862.109100000005</v>
      </c>
      <c r="L9" s="16">
        <v>146538.08030000003</v>
      </c>
      <c r="M9" s="16">
        <v>14409.403600000011</v>
      </c>
      <c r="N9" s="16">
        <v>13745.461599999995</v>
      </c>
      <c r="O9" s="17" t="s">
        <v>15</v>
      </c>
    </row>
    <row r="10" spans="1:16" ht="15" customHeight="1">
      <c r="A10" s="18" t="s">
        <v>19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16">
        <v>31034.909600000014</v>
      </c>
      <c r="M10" s="16">
        <v>891.86660000000018</v>
      </c>
      <c r="N10" s="16">
        <v>31505.142199999995</v>
      </c>
      <c r="O10" s="17" t="s">
        <v>20</v>
      </c>
    </row>
    <row r="11" spans="1:16" ht="15" hidden="1" customHeight="1">
      <c r="A11" s="18" t="s">
        <v>21</v>
      </c>
      <c r="G11" s="30"/>
      <c r="H11" s="30"/>
      <c r="I11" s="30"/>
      <c r="J11" s="30"/>
      <c r="K11" s="30"/>
      <c r="L11" s="16"/>
      <c r="M11" s="16"/>
      <c r="N11" s="16"/>
      <c r="O11" s="17"/>
    </row>
    <row r="12" spans="1:16" ht="15" hidden="1" customHeight="1">
      <c r="A12" s="18" t="s">
        <v>22</v>
      </c>
      <c r="G12" s="30"/>
      <c r="H12" s="30"/>
      <c r="I12" s="30"/>
      <c r="J12" s="30"/>
      <c r="K12" s="30"/>
      <c r="L12" s="16"/>
      <c r="M12" s="16"/>
      <c r="N12" s="16"/>
      <c r="O12" s="17"/>
    </row>
    <row r="13" spans="1:16" ht="15" hidden="1" customHeight="1">
      <c r="A13" s="18" t="s">
        <v>23</v>
      </c>
      <c r="G13" s="30"/>
      <c r="H13" s="30"/>
      <c r="I13" s="30"/>
      <c r="J13" s="30"/>
      <c r="K13" s="30"/>
      <c r="L13" s="16"/>
      <c r="M13" s="16"/>
      <c r="N13" s="16"/>
      <c r="O13" s="17"/>
    </row>
    <row r="14" spans="1:16" ht="15" customHeight="1">
      <c r="A14" s="19" t="s">
        <v>1</v>
      </c>
      <c r="B14" s="2"/>
      <c r="C14" s="2"/>
      <c r="D14" s="2"/>
      <c r="E14" s="2"/>
      <c r="F14" s="2"/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20">
        <v>9173.8651799999898</v>
      </c>
      <c r="M14" s="20" t="s">
        <v>4</v>
      </c>
      <c r="N14" s="20">
        <v>8161.6353000000008</v>
      </c>
      <c r="O14" s="22" t="s">
        <v>2</v>
      </c>
    </row>
    <row r="15" spans="1:16" ht="15" hidden="1" customHeight="1">
      <c r="A15" s="19" t="s">
        <v>16</v>
      </c>
      <c r="B15" s="20">
        <v>537.58489999999995</v>
      </c>
      <c r="C15" s="20">
        <v>24.589300000000001</v>
      </c>
      <c r="D15" s="21">
        <v>0</v>
      </c>
      <c r="E15" s="21">
        <v>7.7378</v>
      </c>
      <c r="F15" s="21">
        <v>0</v>
      </c>
      <c r="G15" s="21">
        <v>0</v>
      </c>
      <c r="H15" s="21">
        <v>0</v>
      </c>
      <c r="I15" s="21">
        <v>0</v>
      </c>
      <c r="J15" s="21" t="s">
        <v>4</v>
      </c>
      <c r="K15" s="21" t="s">
        <v>4</v>
      </c>
      <c r="L15" s="21" t="s">
        <v>4</v>
      </c>
      <c r="M15" s="20" t="s">
        <v>4</v>
      </c>
      <c r="N15" s="21"/>
      <c r="O15" s="22" t="s">
        <v>17</v>
      </c>
    </row>
    <row r="16" spans="1:16" s="26" customFormat="1" ht="17.25">
      <c r="A16" s="28" t="s">
        <v>3</v>
      </c>
      <c r="B16" s="4"/>
      <c r="C16" s="23"/>
      <c r="D16" s="24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9" t="s">
        <v>6</v>
      </c>
    </row>
    <row r="17" spans="1:24">
      <c r="A17" s="27"/>
      <c r="B17" s="2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24">
      <c r="A18" s="27"/>
      <c r="B18" s="2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24">
      <c r="A19" s="27"/>
      <c r="B19" s="2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X19" s="5"/>
    </row>
    <row r="20" spans="1:24">
      <c r="A20" s="27"/>
      <c r="B20" s="2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24">
      <c r="A21" s="27"/>
      <c r="B21" s="2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7" spans="1:24">
      <c r="P27" s="3"/>
    </row>
    <row r="32" spans="1:24">
      <c r="J32" s="3"/>
      <c r="K32" s="3"/>
      <c r="L32" s="3"/>
      <c r="M32" s="3"/>
      <c r="N32" s="3"/>
    </row>
  </sheetData>
  <mergeCells count="6">
    <mergeCell ref="A1:O1"/>
    <mergeCell ref="A2:O2"/>
    <mergeCell ref="A4:A5"/>
    <mergeCell ref="O4:O5"/>
    <mergeCell ref="K4:N4"/>
    <mergeCell ref="G4:J4"/>
  </mergeCells>
  <pageMargins left="0.7" right="0.7" top="0.75" bottom="0.75" header="0.3" footer="0.3"/>
  <pageSetup paperSize="9" scale="69" orientation="portrait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2023-05-16T12:06:41Z</cp:lastPrinted>
  <dcterms:created xsi:type="dcterms:W3CDTF">2019-06-30T04:22:49Z</dcterms:created>
  <dcterms:modified xsi:type="dcterms:W3CDTF">2023-05-16T12:08:18Z</dcterms:modified>
</cp:coreProperties>
</file>