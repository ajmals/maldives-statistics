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BCFF9BCD-F832-4F58-A02E-C9E89DB54D8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17" sheetId="16" r:id="rId1"/>
  </sheets>
  <definedNames>
    <definedName name="_xlnm.Print_Area" localSheetId="0">'8.17'!$A$1:$AM$54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2" i="16" l="1"/>
  <c r="AI31" i="16"/>
  <c r="AI30" i="16"/>
  <c r="AI29" i="16"/>
  <c r="AI28" i="16"/>
  <c r="AI27" i="16"/>
  <c r="AI26" i="16"/>
  <c r="AI25" i="16"/>
  <c r="AI24" i="16"/>
  <c r="AI23" i="16"/>
  <c r="AI22" i="16"/>
  <c r="AI21" i="16"/>
  <c r="AI20" i="16"/>
  <c r="AK7" i="16"/>
  <c r="AI7" i="16" s="1"/>
  <c r="AI19" i="16"/>
  <c r="AI18" i="16"/>
  <c r="AI17" i="16"/>
  <c r="AI16" i="16"/>
  <c r="AI15" i="16"/>
  <c r="AI14" i="16"/>
  <c r="AI13" i="16"/>
  <c r="AI12" i="16"/>
  <c r="AI11" i="16"/>
  <c r="AI10" i="16"/>
  <c r="AI9" i="16"/>
  <c r="AI8" i="16"/>
  <c r="AJ7" i="16"/>
  <c r="AF32" i="16" l="1"/>
  <c r="AF31" i="16"/>
  <c r="AF30" i="16"/>
  <c r="AF29" i="16"/>
  <c r="AF28" i="16"/>
  <c r="AF27" i="16"/>
  <c r="AF26" i="16"/>
  <c r="AF25" i="16"/>
  <c r="AF24" i="16"/>
  <c r="AF23" i="16"/>
  <c r="AF22" i="16"/>
  <c r="AF21" i="16"/>
  <c r="AF20" i="16"/>
  <c r="AH19" i="16"/>
  <c r="AH7" i="16" s="1"/>
  <c r="AG19" i="16"/>
  <c r="AF18" i="16"/>
  <c r="AF17" i="16"/>
  <c r="AF16" i="16"/>
  <c r="AF15" i="16"/>
  <c r="AF14" i="16"/>
  <c r="AF13" i="16"/>
  <c r="AF12" i="16"/>
  <c r="AF11" i="16"/>
  <c r="AF10" i="16"/>
  <c r="AF9" i="16"/>
  <c r="AF8" i="16"/>
  <c r="AF19" i="16" l="1"/>
  <c r="AG7" i="16"/>
  <c r="AF7" i="16" s="1"/>
  <c r="AE19" i="16" l="1"/>
  <c r="AE7" i="16" s="1"/>
  <c r="AD19" i="16"/>
  <c r="AD7" i="16" s="1"/>
  <c r="AC32" i="16"/>
  <c r="AC31" i="16"/>
  <c r="AC30" i="16"/>
  <c r="AC29" i="16"/>
  <c r="AC28" i="16"/>
  <c r="AC27" i="16"/>
  <c r="AC26" i="16"/>
  <c r="AC25" i="16"/>
  <c r="AC24" i="16"/>
  <c r="AC23" i="16"/>
  <c r="AC22" i="16"/>
  <c r="AC21" i="16"/>
  <c r="AC20" i="16"/>
  <c r="AC18" i="16"/>
  <c r="AC17" i="16"/>
  <c r="AC16" i="16"/>
  <c r="AC15" i="16"/>
  <c r="AC14" i="16"/>
  <c r="AC13" i="16"/>
  <c r="AC12" i="16"/>
  <c r="AC11" i="16"/>
  <c r="AC10" i="16"/>
  <c r="AC9" i="16"/>
  <c r="AC8" i="16"/>
  <c r="AC19" i="16" l="1"/>
  <c r="AC7" i="16"/>
  <c r="Z32" i="16" l="1"/>
  <c r="W32" i="16"/>
  <c r="T32" i="16"/>
  <c r="Q32" i="16"/>
  <c r="N32" i="16"/>
  <c r="Z31" i="16"/>
  <c r="W31" i="16"/>
  <c r="T31" i="16"/>
  <c r="Q31" i="16"/>
  <c r="N31" i="16"/>
  <c r="Z30" i="16"/>
  <c r="W30" i="16"/>
  <c r="T30" i="16"/>
  <c r="Q30" i="16"/>
  <c r="N30" i="16"/>
  <c r="Z29" i="16"/>
  <c r="W29" i="16"/>
  <c r="T29" i="16"/>
  <c r="Q29" i="16"/>
  <c r="N29" i="16"/>
  <c r="Z28" i="16"/>
  <c r="W28" i="16"/>
  <c r="T28" i="16"/>
  <c r="Q28" i="16"/>
  <c r="N28" i="16"/>
  <c r="Z27" i="16"/>
  <c r="W27" i="16"/>
  <c r="T27" i="16"/>
  <c r="Q27" i="16"/>
  <c r="N27" i="16"/>
  <c r="Z26" i="16"/>
  <c r="W26" i="16"/>
  <c r="T26" i="16"/>
  <c r="Q26" i="16"/>
  <c r="N26" i="16"/>
  <c r="Z25" i="16"/>
  <c r="W25" i="16"/>
  <c r="T25" i="16"/>
  <c r="Q25" i="16"/>
  <c r="N25" i="16"/>
  <c r="Z24" i="16"/>
  <c r="W24" i="16"/>
  <c r="T24" i="16"/>
  <c r="Q24" i="16"/>
  <c r="N24" i="16"/>
  <c r="Z23" i="16"/>
  <c r="W23" i="16"/>
  <c r="T23" i="16"/>
  <c r="Q23" i="16"/>
  <c r="N23" i="16"/>
  <c r="Z22" i="16"/>
  <c r="W22" i="16"/>
  <c r="T22" i="16"/>
  <c r="Q22" i="16"/>
  <c r="N22" i="16"/>
  <c r="Z21" i="16"/>
  <c r="W21" i="16"/>
  <c r="T21" i="16"/>
  <c r="Q21" i="16"/>
  <c r="N21" i="16"/>
  <c r="Z20" i="16"/>
  <c r="W20" i="16"/>
  <c r="T20" i="16"/>
  <c r="Q20" i="16"/>
  <c r="N20" i="16"/>
  <c r="Z19" i="16"/>
  <c r="W19" i="16"/>
  <c r="T19" i="16"/>
  <c r="Q19" i="16"/>
  <c r="N19" i="16"/>
  <c r="K19" i="16"/>
  <c r="H19" i="16"/>
  <c r="Z18" i="16"/>
  <c r="W18" i="16"/>
  <c r="T18" i="16"/>
  <c r="Q18" i="16"/>
  <c r="N18" i="16"/>
  <c r="K18" i="16"/>
  <c r="H18" i="16"/>
  <c r="Z17" i="16"/>
  <c r="W17" i="16"/>
  <c r="T17" i="16"/>
  <c r="Q17" i="16"/>
  <c r="N17" i="16"/>
  <c r="K17" i="16"/>
  <c r="H17" i="16"/>
  <c r="Z16" i="16"/>
  <c r="W16" i="16"/>
  <c r="T16" i="16"/>
  <c r="Q16" i="16"/>
  <c r="N16" i="16"/>
  <c r="K16" i="16"/>
  <c r="H16" i="16"/>
  <c r="Z15" i="16"/>
  <c r="W15" i="16"/>
  <c r="T15" i="16"/>
  <c r="Q15" i="16"/>
  <c r="N15" i="16"/>
  <c r="K15" i="16"/>
  <c r="H15" i="16"/>
  <c r="Z14" i="16"/>
  <c r="W14" i="16"/>
  <c r="T14" i="16"/>
  <c r="Q14" i="16"/>
  <c r="N14" i="16"/>
  <c r="K14" i="16"/>
  <c r="H14" i="16"/>
  <c r="Z13" i="16"/>
  <c r="W13" i="16"/>
  <c r="T13" i="16"/>
  <c r="K13" i="16"/>
  <c r="H13" i="16"/>
  <c r="Z12" i="16"/>
  <c r="W12" i="16"/>
  <c r="T12" i="16"/>
  <c r="Q12" i="16"/>
  <c r="N12" i="16"/>
  <c r="K12" i="16"/>
  <c r="H12" i="16"/>
  <c r="Z11" i="16"/>
  <c r="W11" i="16"/>
  <c r="T11" i="16"/>
  <c r="Q11" i="16"/>
  <c r="N11" i="16"/>
  <c r="K11" i="16"/>
  <c r="H11" i="16"/>
  <c r="Z10" i="16"/>
  <c r="W10" i="16"/>
  <c r="T10" i="16"/>
  <c r="Q10" i="16"/>
  <c r="N10" i="16"/>
  <c r="K10" i="16"/>
  <c r="H10" i="16"/>
  <c r="Z9" i="16"/>
  <c r="W9" i="16"/>
  <c r="T9" i="16"/>
  <c r="Q9" i="16"/>
  <c r="N9" i="16"/>
  <c r="K9" i="16"/>
  <c r="H9" i="16"/>
  <c r="Z8" i="16"/>
  <c r="W8" i="16"/>
  <c r="T8" i="16"/>
  <c r="Q8" i="16"/>
  <c r="N8" i="16"/>
  <c r="K8" i="16"/>
  <c r="H8" i="16"/>
  <c r="AB7" i="16"/>
  <c r="AA7" i="16"/>
  <c r="Y7" i="16"/>
  <c r="X7" i="16"/>
  <c r="V7" i="16"/>
  <c r="U7" i="16"/>
  <c r="S7" i="16"/>
  <c r="R7" i="16"/>
  <c r="P7" i="16"/>
  <c r="O7" i="16"/>
  <c r="M7" i="16"/>
  <c r="L7" i="16"/>
  <c r="J7" i="16"/>
  <c r="I7" i="16"/>
  <c r="G7" i="16"/>
  <c r="F7" i="16"/>
  <c r="E7" i="16"/>
  <c r="D7" i="16"/>
  <c r="K7" i="16" l="1"/>
  <c r="W7" i="16"/>
  <c r="H7" i="16"/>
  <c r="T7" i="16"/>
  <c r="Q7" i="16"/>
  <c r="N7" i="16"/>
  <c r="Z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Fathimath Shifaza</author>
  </authors>
  <commentList>
    <comment ref="N9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should tally with table 8.13. pls recheck</t>
        </r>
      </text>
    </comment>
  </commentList>
</comments>
</file>

<file path=xl/sharedStrings.xml><?xml version="1.0" encoding="utf-8"?>
<sst xmlns="http://schemas.openxmlformats.org/spreadsheetml/2006/main" count="130" uniqueCount="62">
  <si>
    <t>Theft</t>
  </si>
  <si>
    <t>Total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</si>
  <si>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</si>
  <si>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</si>
  <si>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</si>
  <si>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</si>
  <si>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</si>
  <si>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</si>
  <si>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</si>
  <si>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</si>
  <si>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</si>
  <si>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</si>
  <si>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</si>
  <si>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</si>
  <si>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</si>
  <si>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</si>
  <si>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Traffic Accidents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</si>
  <si>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</si>
  <si>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</si>
  <si>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</si>
  <si>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</si>
  <si>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</si>
  <si>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</si>
  <si>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</si>
  <si>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</si>
  <si>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</si>
  <si>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</si>
  <si>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</si>
  <si>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</si>
  <si>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</si>
  <si>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</si>
  <si>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</si>
  <si>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</si>
  <si>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</si>
  <si>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</si>
  <si>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</si>
  <si>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</si>
  <si>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</si>
  <si>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</si>
  <si>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</si>
  <si>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</si>
  <si>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</si>
  <si>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</si>
  <si>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</si>
  <si>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</si>
  <si>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</si>
  <si>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</si>
  <si>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</si>
  <si>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ޖުމްލަ</t>
  </si>
  <si>
    <t>ވަގުފައިސާ</t>
  </si>
  <si>
    <t>މަޢުލޫމާތު ދެއްވީ: މޯލްޑިވްސް ޕޮލިސް ސަރވިސް</t>
  </si>
  <si>
    <t>ކުށުގެ ބާވަތް</t>
  </si>
  <si>
    <t>ޖިންސީ މައްސަލަ</t>
  </si>
  <si>
    <t>Type of Offence</t>
  </si>
  <si>
    <t>ދިވެހިން</t>
  </si>
  <si>
    <t>ބިދޭސީ</t>
  </si>
  <si>
    <t xml:space="preserve">Total </t>
  </si>
  <si>
    <t xml:space="preserve">Locals </t>
  </si>
  <si>
    <t>Foreign</t>
  </si>
  <si>
    <t>Locals</t>
  </si>
  <si>
    <t>Table: 8.17  NUMBER OF LOCAL AND FOREIGN DETAINEES BY TYPE OF OFFENCES, 2016 - 2021</t>
  </si>
  <si>
    <t xml:space="preserve">ތާވަލް 8.17: ހައްޔަރު ކުރެވުނު ދިވެހިންނާއި ބިދޭސީންގެ އަދަދު، 2016 - 2021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</si>
</sst>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sz val="10"/>
      <name val="Faruma"/>
      <family val="3"/>
    </font>
    <font>
      <sz val="9"/>
      <name val="Courier"/>
      <family val="3"/>
    </font>
    <font>
      <i/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Faruma"/>
      <family val="3"/>
    </font>
    <font>
      <b/>
      <sz val="10"/>
      <color rgb="FF000000"/>
      <name val="Arial"/>
      <family val="2"/>
    </font>
    <font>
      <b/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Faruma"/>
      <family val="3"/>
    </font>
    <font>
      <sz val="10"/>
      <name val="Arial"/>
      <family val="2"/>
    </font>
    <font>
      <i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Faruma"/>
      <family val="3"/>
    </font>
    <font>
      <i/>
      <sz val="9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25" fillId="0" borderId="21" applyNumberFormat="0" applyFill="0" applyAlignment="0" applyProtection="0"/>
    <xf numFmtId="0" fontId="20" fillId="0" borderId="0"/>
    <xf numFmtId="0" fontId="20" fillId="0" borderId="0"/>
  </cellStyleXfs>
  <cellXfs count="72">
    <xf numFmtId="0" fontId="0" fillId="0" borderId="0" xfId="0"/>
    <xf numFmtId="164" fontId="0" fillId="2" borderId="0" xfId="0" applyNumberFormat="1" applyFill="1"/>
    <xf numFmtId="164" fontId="6" fillId="2" borderId="0" xfId="0" applyNumberFormat="1" applyFont="1" applyFill="1" applyAlignment="1">
      <alignment horizontal="right" vertical="center" indent="2"/>
    </xf>
    <xf numFmtId="164" fontId="6" fillId="2" borderId="2" xfId="0" applyNumberFormat="1" applyFont="1" applyFill="1" applyBorder="1" applyAlignment="1">
      <alignment horizontal="right" vertical="center" indent="2"/>
    </xf>
    <xf numFmtId="164" fontId="0" fillId="2" borderId="10" xfId="0" applyNumberFormat="1" applyFill="1" applyBorder="1"/>
    <xf numFmtId="164" fontId="15" fillId="2" borderId="11" xfId="0" applyNumberFormat="1" applyFont="1" applyFill="1" applyBorder="1" applyAlignment="1">
      <alignment horizontal="center"/>
    </xf>
    <xf numFmtId="0" fontId="19" fillId="2" borderId="0" xfId="0" applyFont="1" applyFill="1" applyAlignment="1">
      <alignment vertical="center" wrapText="1"/>
    </xf>
    <xf numFmtId="164" fontId="21" fillId="2" borderId="0" xfId="0" applyNumberFormat="1" applyFont="1" applyFill="1" applyAlignment="1">
      <alignment horizontal="left" vertical="center" indent="2"/>
    </xf>
    <xf numFmtId="164" fontId="21" fillId="2" borderId="0" xfId="0" applyNumberFormat="1" applyFont="1" applyFill="1" applyAlignment="1">
      <alignment horizontal="left" vertical="center" wrapText="1" indent="2"/>
    </xf>
    <xf numFmtId="164" fontId="21" fillId="2" borderId="2" xfId="0" applyNumberFormat="1" applyFont="1" applyFill="1" applyBorder="1" applyAlignment="1">
      <alignment horizontal="left" vertical="center" indent="2"/>
    </xf>
    <xf numFmtId="0" fontId="19" fillId="2" borderId="0" xfId="0" applyFont="1" applyFill="1" applyAlignment="1">
      <alignment vertical="center"/>
    </xf>
    <xf numFmtId="164" fontId="15" fillId="2" borderId="13" xfId="0" applyNumberFormat="1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9" fillId="2" borderId="5" xfId="0" applyNumberFormat="1" applyFont="1" applyFill="1" applyBorder="1" applyAlignment="1">
      <alignment horizontal="right" vertical="center"/>
    </xf>
    <xf numFmtId="164" fontId="5" fillId="2" borderId="18" xfId="0" applyNumberFormat="1" applyFont="1" applyFill="1" applyBorder="1" applyAlignment="1">
      <alignment horizontal="right" vertical="center"/>
    </xf>
    <xf numFmtId="164" fontId="5" fillId="2" borderId="19" xfId="0" applyNumberFormat="1" applyFont="1" applyFill="1" applyBorder="1" applyAlignment="1">
      <alignment horizontal="right" vertical="center"/>
    </xf>
    <xf numFmtId="164" fontId="5" fillId="2" borderId="20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166" fontId="3" fillId="2" borderId="0" xfId="1" applyNumberFormat="1" applyFont="1" applyFill="1" applyBorder="1" applyAlignment="1">
      <alignment horizontal="right" vertical="center"/>
    </xf>
    <xf numFmtId="166" fontId="22" fillId="2" borderId="8" xfId="1" applyNumberFormat="1" applyFont="1" applyFill="1" applyBorder="1" applyAlignment="1">
      <alignment horizontal="right" vertical="center"/>
    </xf>
    <xf numFmtId="3" fontId="22" fillId="2" borderId="0" xfId="1" applyNumberFormat="1" applyFont="1" applyFill="1" applyBorder="1" applyAlignment="1">
      <alignment horizontal="right" vertical="center"/>
    </xf>
    <xf numFmtId="3" fontId="22" fillId="2" borderId="8" xfId="1" applyNumberFormat="1" applyFont="1" applyFill="1" applyBorder="1" applyAlignment="1">
      <alignment horizontal="right" vertical="center"/>
    </xf>
    <xf numFmtId="3" fontId="22" fillId="2" borderId="9" xfId="1" applyNumberFormat="1" applyFont="1" applyFill="1" applyBorder="1" applyAlignment="1">
      <alignment horizontal="right" vertical="center"/>
    </xf>
    <xf numFmtId="3" fontId="22" fillId="2" borderId="0" xfId="1" applyNumberFormat="1" applyFont="1" applyFill="1" applyAlignment="1">
      <alignment horizontal="right" vertical="center"/>
    </xf>
    <xf numFmtId="3" fontId="22" fillId="2" borderId="1" xfId="1" applyNumberFormat="1" applyFont="1" applyFill="1" applyBorder="1" applyAlignment="1">
      <alignment horizontal="right" vertical="center"/>
    </xf>
    <xf numFmtId="3" fontId="22" fillId="2" borderId="4" xfId="1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166" fontId="0" fillId="2" borderId="0" xfId="1" applyNumberFormat="1" applyFont="1" applyFill="1" applyBorder="1" applyAlignment="1">
      <alignment horizontal="right" vertical="center"/>
    </xf>
    <xf numFmtId="166" fontId="18" fillId="2" borderId="8" xfId="1" applyNumberFormat="1" applyFont="1" applyFill="1" applyBorder="1" applyAlignment="1">
      <alignment horizontal="right" vertical="center"/>
    </xf>
    <xf numFmtId="3" fontId="0" fillId="2" borderId="0" xfId="1" applyNumberFormat="1" applyFont="1" applyFill="1" applyBorder="1" applyAlignment="1">
      <alignment horizontal="right" vertical="center"/>
    </xf>
    <xf numFmtId="3" fontId="18" fillId="2" borderId="8" xfId="1" applyNumberFormat="1" applyFont="1" applyFill="1" applyBorder="1" applyAlignment="1">
      <alignment horizontal="right" vertical="center"/>
    </xf>
    <xf numFmtId="3" fontId="18" fillId="2" borderId="9" xfId="1" applyNumberFormat="1" applyFont="1" applyFill="1" applyBorder="1" applyAlignment="1">
      <alignment horizontal="right" vertical="center"/>
    </xf>
    <xf numFmtId="3" fontId="18" fillId="2" borderId="0" xfId="1" applyNumberFormat="1" applyFont="1" applyFill="1" applyBorder="1" applyAlignment="1">
      <alignment horizontal="right" vertical="center"/>
    </xf>
    <xf numFmtId="3" fontId="0" fillId="2" borderId="8" xfId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164" fontId="0" fillId="2" borderId="16" xfId="0" applyNumberFormat="1" applyFill="1" applyBorder="1"/>
    <xf numFmtId="164" fontId="0" fillId="2" borderId="11" xfId="0" applyNumberFormat="1" applyFill="1" applyBorder="1"/>
    <xf numFmtId="0" fontId="17" fillId="2" borderId="0" xfId="0" applyFont="1" applyFill="1"/>
    <xf numFmtId="3" fontId="17" fillId="2" borderId="0" xfId="0" applyNumberFormat="1" applyFont="1" applyFill="1"/>
    <xf numFmtId="0" fontId="23" fillId="2" borderId="0" xfId="0" applyFont="1" applyFill="1" applyAlignment="1">
      <alignment wrapText="1"/>
    </xf>
    <xf numFmtId="164" fontId="0" fillId="2" borderId="2" xfId="0" applyNumberFormat="1" applyFill="1" applyBorder="1" applyAlignment="1">
      <alignment horizontal="center"/>
    </xf>
    <xf numFmtId="3" fontId="18" fillId="2" borderId="7" xfId="1" applyNumberFormat="1" applyFont="1" applyFill="1" applyBorder="1" applyAlignment="1">
      <alignment horizontal="right" vertical="center"/>
    </xf>
    <xf numFmtId="3" fontId="0" fillId="2" borderId="2" xfId="1" applyNumberFormat="1" applyFont="1" applyFill="1" applyBorder="1" applyAlignment="1">
      <alignment horizontal="right" vertical="center"/>
    </xf>
    <xf numFmtId="3" fontId="0" fillId="2" borderId="6" xfId="1" applyNumberFormat="1" applyFont="1" applyFill="1" applyBorder="1" applyAlignment="1">
      <alignment horizontal="right" vertical="center"/>
    </xf>
    <xf numFmtId="3" fontId="18" fillId="2" borderId="2" xfId="1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vertical="center"/>
    </xf>
    <xf numFmtId="164" fontId="24" fillId="2" borderId="3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/>
    </xf>
    <xf numFmtId="164" fontId="7" fillId="2" borderId="15" xfId="0" applyNumberFormat="1" applyFont="1" applyFill="1" applyBorder="1" applyAlignment="1">
      <alignment horizontal="center"/>
    </xf>
    <xf numFmtId="164" fontId="0" fillId="2" borderId="14" xfId="0" applyNumberFormat="1" applyFill="1" applyBorder="1"/>
    <xf numFmtId="3" fontId="2" fillId="2" borderId="9" xfId="1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left" vertical="center"/>
    </xf>
    <xf numFmtId="166" fontId="18" fillId="2" borderId="2" xfId="1" applyNumberFormat="1" applyFont="1" applyFill="1" applyBorder="1" applyAlignment="1">
      <alignment horizontal="right" vertical="center"/>
    </xf>
    <xf numFmtId="166" fontId="0" fillId="2" borderId="2" xfId="1" applyNumberFormat="1" applyFont="1" applyFill="1" applyBorder="1" applyAlignment="1">
      <alignment horizontal="right" vertical="center"/>
    </xf>
    <xf numFmtId="3" fontId="2" fillId="2" borderId="7" xfId="1" applyNumberFormat="1" applyFont="1" applyFill="1" applyBorder="1" applyAlignment="1">
      <alignment horizontal="right" vertical="center"/>
    </xf>
    <xf numFmtId="0" fontId="19" fillId="2" borderId="2" xfId="0" applyFont="1" applyFill="1" applyBorder="1" applyAlignment="1">
      <alignment vertical="center" wrapText="1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164" fontId="4" fillId="2" borderId="12" xfId="0" applyNumberFormat="1" applyFont="1" applyFill="1" applyBorder="1" applyAlignment="1">
      <alignment horizontal="center" vertical="center"/>
    </xf>
    <xf numFmtId="164" fontId="4" fillId="2" borderId="17" xfId="0" applyNumberFormat="1" applyFont="1" applyFill="1" applyBorder="1" applyAlignment="1">
      <alignment horizontal="center" vertical="center"/>
    </xf>
    <xf numFmtId="164" fontId="15" fillId="2" borderId="12" xfId="0" applyNumberFormat="1" applyFont="1" applyFill="1" applyBorder="1" applyAlignment="1">
      <alignment horizontal="center" vertical="center" wrapText="1"/>
    </xf>
    <xf numFmtId="164" fontId="15" fillId="2" borderId="17" xfId="0" applyNumberFormat="1" applyFont="1" applyFill="1" applyBorder="1" applyAlignment="1">
      <alignment horizontal="center" vertical="center" wrapText="1"/>
    </xf>
    <xf numFmtId="164" fontId="15" fillId="2" borderId="17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/>
    </xf>
    <xf numFmtId="164" fontId="5" fillId="2" borderId="0" xfId="0" applyNumberFormat="1" applyFont="1" applyFill="1" applyAlignment="1">
      <alignment horizontal="left" vertical="center"/>
    </xf>
    <xf numFmtId="164" fontId="5" fillId="2" borderId="2" xfId="0" applyNumberFormat="1" applyFont="1" applyFill="1" applyBorder="1" applyAlignment="1">
      <alignment horizontal="left" vertical="center"/>
    </xf>
    <xf numFmtId="164" fontId="14" fillId="2" borderId="1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4" fontId="14" fillId="2" borderId="2" xfId="0" applyNumberFormat="1" applyFont="1" applyFill="1" applyBorder="1" applyAlignment="1">
      <alignment horizontal="right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81633290944668"/>
          <c:y val="0.16210635994709177"/>
          <c:w val="0.44771947147106894"/>
          <c:h val="0.8221824372777341"/>
        </c:manualLayout>
      </c:layout>
      <c:pieChart>
        <c:varyColors val="1"/>
        <c:ser>
          <c:idx val="0"/>
          <c:order val="0"/>
          <c:explosion val="3"/>
          <c:dPt>
            <c:idx val="0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0-C073-478E-A0C3-D0FF9A21E225}"/>
              </c:ext>
            </c:extLst>
          </c:dPt>
          <c:dPt>
            <c:idx val="1"/>
            <c:bubble3D val="0"/>
            <c:spPr>
              <a:solidFill>
                <a:srgbClr val="FFE5E5"/>
              </a:solidFill>
            </c:spPr>
            <c:extLst>
              <c:ext xmlns:c16="http://schemas.microsoft.com/office/drawing/2014/chart" uri="{C3380CC4-5D6E-409C-BE32-E72D297353CC}">
                <c16:uniqueId val="{00000002-C073-478E-A0C3-D0FF9A21E225}"/>
              </c:ext>
            </c:extLst>
          </c:dPt>
          <c:dLbls>
            <c:dLbl>
              <c:idx val="0"/>
              <c:layout>
                <c:manualLayout>
                  <c:x val="0.20164226987377329"/>
                  <c:y val="-0.267050889133337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b="1"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73-478E-A0C3-D0FF9A21E22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'8.17'!$AJ$5:$AK$5</c:f>
              <c:strCache>
                <c:ptCount val="2"/>
                <c:pt idx="0">
                  <c:v>Locals</c:v>
                </c:pt>
                <c:pt idx="1">
                  <c:v>Foreign</c:v>
                </c:pt>
              </c:strCache>
            </c:strRef>
          </c:cat>
          <c:val>
            <c:numRef>
              <c:f>'8.17'!$AJ$7:$AK$7</c:f>
              <c:numCache>
                <c:formatCode>#,##0</c:formatCode>
                <c:ptCount val="2"/>
                <c:pt idx="0">
                  <c:v>2663</c:v>
                </c:pt>
                <c:pt idx="1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3-478E-A0C3-D0FF9A21E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82"/>
      </c:pieChart>
    </c:plotArea>
    <c:plotVisOnly val="1"/>
    <c:dispBlanksAs val="zero"/>
    <c:showDLblsOverMax val="0"/>
  </c:chart>
  <c:spPr>
    <a:noFill/>
  </c:spPr>
  <c:printSettings>
    <c:headerFooter/>
    <c:pageMargins b="0.75000000000000666" l="0.70000000000000062" r="0.70000000000000062" t="0.750000000000006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333784</xdr:colOff>
      <xdr:row>33</xdr:row>
      <xdr:rowOff>122773</xdr:rowOff>
    </xdr:from>
    <xdr:to>
      <xdr:col>31</xdr:col>
      <xdr:colOff>5633</xdr:colOff>
      <xdr:row>51</xdr:row>
      <xdr:rowOff>19971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0.01985</cdr:y>
    </cdr:from>
    <cdr:to>
      <cdr:x>0.97477</cdr:x>
      <cdr:y>0.11623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66106"/>
          <a:ext cx="5653384" cy="320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8.24: Percentage share of detainees by locals and foreigners, 2021</a:t>
          </a:r>
          <a:endParaRPr lang="en-US" sz="10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0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92D050"/>
  </sheetPr>
  <dimension ref="A1:EQ382"/>
  <sheetViews>
    <sheetView tabSelected="1" zoomScale="93" zoomScaleNormal="93" zoomScaleSheetLayoutView="71" workbookViewId="0">
      <selection activeCell="AN50" sqref="AN50"/>
    </sheetView>
  </sheetViews>
  <sheetFormatPr defaultColWidth="21" defaultRowHeight="15"/>
  <cols>
    <col min="1" max="1" width="23.28515625" style="1" customWidth="1"/>
    <col min="2" max="2" width="11.5703125" style="36" hidden="1" customWidth="1"/>
    <col min="3" max="3" width="13.28515625" style="36" hidden="1" customWidth="1"/>
    <col min="4" max="4" width="14" style="36" hidden="1" customWidth="1"/>
    <col min="5" max="19" width="10" style="36" hidden="1" customWidth="1"/>
    <col min="20" max="37" width="10" style="36" customWidth="1"/>
    <col min="38" max="38" width="34.28515625" style="1" customWidth="1"/>
    <col min="39" max="39" width="2.42578125" style="1" customWidth="1"/>
    <col min="40" max="87" width="21" style="1"/>
    <col min="88" max="88" width="21" style="51"/>
    <col min="89" max="147" width="21" style="4"/>
    <col min="148" max="16384" width="21" style="1"/>
  </cols>
  <sheetData>
    <row r="1" spans="1:147" ht="21.75">
      <c r="A1" s="61" t="s">
        <v>61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>
      <c r="A2" s="63" t="s">
        <v>60</v>
      </c>
      <c r="B2" s="64"/>
      <c r="C2" s="64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</row>
    <row r="3" spans="1:147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</row>
    <row r="4" spans="1:147" ht="18.75">
      <c r="A4" s="66" t="s">
        <v>53</v>
      </c>
      <c r="B4" s="12" t="s">
        <v>48</v>
      </c>
      <c r="C4" s="12" t="s">
        <v>54</v>
      </c>
      <c r="D4" s="13" t="s">
        <v>55</v>
      </c>
      <c r="E4" s="12" t="s">
        <v>48</v>
      </c>
      <c r="F4" s="12" t="s">
        <v>54</v>
      </c>
      <c r="G4" s="13" t="s">
        <v>55</v>
      </c>
      <c r="H4" s="14" t="s">
        <v>48</v>
      </c>
      <c r="I4" s="12" t="s">
        <v>54</v>
      </c>
      <c r="J4" s="13" t="s">
        <v>55</v>
      </c>
      <c r="K4" s="12" t="s">
        <v>48</v>
      </c>
      <c r="L4" s="12" t="s">
        <v>54</v>
      </c>
      <c r="M4" s="12" t="s">
        <v>55</v>
      </c>
      <c r="N4" s="14" t="s">
        <v>48</v>
      </c>
      <c r="O4" s="12" t="s">
        <v>54</v>
      </c>
      <c r="P4" s="13" t="s">
        <v>55</v>
      </c>
      <c r="Q4" s="12" t="s">
        <v>48</v>
      </c>
      <c r="R4" s="12" t="s">
        <v>54</v>
      </c>
      <c r="S4" s="12" t="s">
        <v>55</v>
      </c>
      <c r="T4" s="14" t="s">
        <v>48</v>
      </c>
      <c r="U4" s="12" t="s">
        <v>54</v>
      </c>
      <c r="V4" s="13" t="s">
        <v>55</v>
      </c>
      <c r="W4" s="12" t="s">
        <v>48</v>
      </c>
      <c r="X4" s="12" t="s">
        <v>54</v>
      </c>
      <c r="Y4" s="12" t="s">
        <v>55</v>
      </c>
      <c r="Z4" s="14" t="s">
        <v>48</v>
      </c>
      <c r="AA4" s="12" t="s">
        <v>54</v>
      </c>
      <c r="AB4" s="12" t="s">
        <v>55</v>
      </c>
      <c r="AC4" s="14" t="s">
        <v>48</v>
      </c>
      <c r="AD4" s="12" t="s">
        <v>54</v>
      </c>
      <c r="AE4" s="12" t="s">
        <v>55</v>
      </c>
      <c r="AF4" s="14" t="s">
        <v>48</v>
      </c>
      <c r="AG4" s="12" t="s">
        <v>54</v>
      </c>
      <c r="AH4" s="12" t="s">
        <v>55</v>
      </c>
      <c r="AI4" s="14" t="s">
        <v>48</v>
      </c>
      <c r="AJ4" s="12" t="s">
        <v>54</v>
      </c>
      <c r="AK4" s="12" t="s">
        <v>55</v>
      </c>
      <c r="AL4" s="69" t="s">
        <v>51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</row>
    <row r="5" spans="1:147" ht="15" customHeight="1">
      <c r="A5" s="67"/>
      <c r="B5" s="15" t="s">
        <v>56</v>
      </c>
      <c r="C5" s="15" t="s">
        <v>57</v>
      </c>
      <c r="D5" s="16" t="s">
        <v>58</v>
      </c>
      <c r="E5" s="15" t="s">
        <v>56</v>
      </c>
      <c r="F5" s="15" t="s">
        <v>57</v>
      </c>
      <c r="G5" s="16" t="s">
        <v>58</v>
      </c>
      <c r="H5" s="17" t="s">
        <v>56</v>
      </c>
      <c r="I5" s="15" t="s">
        <v>57</v>
      </c>
      <c r="J5" s="16" t="s">
        <v>58</v>
      </c>
      <c r="K5" s="15" t="s">
        <v>56</v>
      </c>
      <c r="L5" s="15" t="s">
        <v>57</v>
      </c>
      <c r="M5" s="15" t="s">
        <v>58</v>
      </c>
      <c r="N5" s="17" t="s">
        <v>1</v>
      </c>
      <c r="O5" s="15" t="s">
        <v>59</v>
      </c>
      <c r="P5" s="16" t="s">
        <v>58</v>
      </c>
      <c r="Q5" s="15" t="s">
        <v>1</v>
      </c>
      <c r="R5" s="15" t="s">
        <v>59</v>
      </c>
      <c r="S5" s="15" t="s">
        <v>58</v>
      </c>
      <c r="T5" s="17" t="s">
        <v>1</v>
      </c>
      <c r="U5" s="15" t="s">
        <v>59</v>
      </c>
      <c r="V5" s="16" t="s">
        <v>58</v>
      </c>
      <c r="W5" s="15" t="s">
        <v>1</v>
      </c>
      <c r="X5" s="15" t="s">
        <v>59</v>
      </c>
      <c r="Y5" s="15" t="s">
        <v>58</v>
      </c>
      <c r="Z5" s="17" t="s">
        <v>1</v>
      </c>
      <c r="AA5" s="15" t="s">
        <v>59</v>
      </c>
      <c r="AB5" s="15" t="s">
        <v>58</v>
      </c>
      <c r="AC5" s="17" t="s">
        <v>1</v>
      </c>
      <c r="AD5" s="15" t="s">
        <v>59</v>
      </c>
      <c r="AE5" s="15" t="s">
        <v>58</v>
      </c>
      <c r="AF5" s="17" t="s">
        <v>1</v>
      </c>
      <c r="AG5" s="15" t="s">
        <v>59</v>
      </c>
      <c r="AH5" s="15" t="s">
        <v>58</v>
      </c>
      <c r="AI5" s="17" t="s">
        <v>1</v>
      </c>
      <c r="AJ5" s="15" t="s">
        <v>59</v>
      </c>
      <c r="AK5" s="15" t="s">
        <v>58</v>
      </c>
      <c r="AL5" s="70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</row>
    <row r="6" spans="1:147" ht="17.25" customHeight="1">
      <c r="A6" s="68"/>
      <c r="B6" s="59">
        <v>2010</v>
      </c>
      <c r="C6" s="59"/>
      <c r="D6" s="60"/>
      <c r="E6" s="59">
        <v>2011</v>
      </c>
      <c r="F6" s="59"/>
      <c r="G6" s="60"/>
      <c r="H6" s="58">
        <v>2012</v>
      </c>
      <c r="I6" s="59"/>
      <c r="J6" s="60"/>
      <c r="K6" s="59">
        <v>2013</v>
      </c>
      <c r="L6" s="59"/>
      <c r="M6" s="59"/>
      <c r="N6" s="58">
        <v>2014</v>
      </c>
      <c r="O6" s="59"/>
      <c r="P6" s="60"/>
      <c r="Q6" s="59">
        <v>2015</v>
      </c>
      <c r="R6" s="59"/>
      <c r="S6" s="59"/>
      <c r="T6" s="58">
        <v>2016</v>
      </c>
      <c r="U6" s="59"/>
      <c r="V6" s="60"/>
      <c r="W6" s="59">
        <v>2017</v>
      </c>
      <c r="X6" s="59"/>
      <c r="Y6" s="59"/>
      <c r="Z6" s="58">
        <v>2018</v>
      </c>
      <c r="AA6" s="59"/>
      <c r="AB6" s="59"/>
      <c r="AC6" s="58">
        <v>2019</v>
      </c>
      <c r="AD6" s="59"/>
      <c r="AE6" s="59"/>
      <c r="AF6" s="58">
        <v>2020</v>
      </c>
      <c r="AG6" s="59"/>
      <c r="AH6" s="59"/>
      <c r="AI6" s="58">
        <v>2021</v>
      </c>
      <c r="AJ6" s="59"/>
      <c r="AK6" s="59"/>
      <c r="AL6" s="7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</row>
    <row r="7" spans="1:147" ht="18.75">
      <c r="A7" s="18" t="s">
        <v>1</v>
      </c>
      <c r="B7" s="19">
        <v>4141</v>
      </c>
      <c r="C7" s="19">
        <v>3533</v>
      </c>
      <c r="D7" s="20">
        <f>SUM(D8:D19)</f>
        <v>608</v>
      </c>
      <c r="E7" s="21">
        <f>SUM(E8:E19)</f>
        <v>5279</v>
      </c>
      <c r="F7" s="21">
        <f>SUM(F8:F19)</f>
        <v>4554</v>
      </c>
      <c r="G7" s="22">
        <f>SUM(G8:G19)</f>
        <v>725</v>
      </c>
      <c r="H7" s="23">
        <f>I7+J7</f>
        <v>6339</v>
      </c>
      <c r="I7" s="21">
        <f>SUM(I8:I19)</f>
        <v>5734</v>
      </c>
      <c r="J7" s="22">
        <f>SUM(J8:J19)</f>
        <v>605</v>
      </c>
      <c r="K7" s="24">
        <f>L7+M7</f>
        <v>6981</v>
      </c>
      <c r="L7" s="24">
        <f>SUM(L8:L19)</f>
        <v>6422</v>
      </c>
      <c r="M7" s="25">
        <f>SUM(M8:M19)</f>
        <v>559</v>
      </c>
      <c r="N7" s="23">
        <f>O7+P7</f>
        <v>6986</v>
      </c>
      <c r="O7" s="21">
        <f>SUM(O8:O19)</f>
        <v>6558</v>
      </c>
      <c r="P7" s="26">
        <f>SUM(P8:P19)</f>
        <v>428</v>
      </c>
      <c r="Q7" s="21">
        <f>R7+S7</f>
        <v>5831</v>
      </c>
      <c r="R7" s="21">
        <f>SUM(R8:R19)</f>
        <v>5450</v>
      </c>
      <c r="S7" s="25">
        <f>SUM(S8:S19)</f>
        <v>381</v>
      </c>
      <c r="T7" s="23">
        <f>U7+V7</f>
        <v>5511</v>
      </c>
      <c r="U7" s="21">
        <f>SUM(U8:U19)</f>
        <v>4914</v>
      </c>
      <c r="V7" s="26">
        <f>SUM(V8:V19)</f>
        <v>597</v>
      </c>
      <c r="W7" s="21">
        <f>X7+Y7</f>
        <v>3961</v>
      </c>
      <c r="X7" s="21">
        <f>SUM(X8:X19)</f>
        <v>3481</v>
      </c>
      <c r="Y7" s="25">
        <f>SUM(Y8:Y19)</f>
        <v>480</v>
      </c>
      <c r="Z7" s="23">
        <f>AA7+AB7</f>
        <v>2878</v>
      </c>
      <c r="AA7" s="21">
        <f>SUM(AA8:AA19)</f>
        <v>2604</v>
      </c>
      <c r="AB7" s="25">
        <f>SUM(AB8:AB19)</f>
        <v>274</v>
      </c>
      <c r="AC7" s="23">
        <f>AD7+AE7</f>
        <v>3316</v>
      </c>
      <c r="AD7" s="21">
        <f>SUM(AD8:AD19)</f>
        <v>2895</v>
      </c>
      <c r="AE7" s="25">
        <f>SUM(AE8:AE19)</f>
        <v>421</v>
      </c>
      <c r="AF7" s="23">
        <f>AG7+AH7</f>
        <v>3819</v>
      </c>
      <c r="AG7" s="21">
        <f>SUM(AG8:AG19)</f>
        <v>3365</v>
      </c>
      <c r="AH7" s="25">
        <f>SUM(AH8:AH19)</f>
        <v>454</v>
      </c>
      <c r="AI7" s="23">
        <f>AJ7+AK7</f>
        <v>2941</v>
      </c>
      <c r="AJ7" s="21">
        <f>SUM(AJ8:AJ19)</f>
        <v>2663</v>
      </c>
      <c r="AK7" s="25">
        <f>SUM(AK8:AK19)</f>
        <v>278</v>
      </c>
      <c r="AL7" s="27" t="s">
        <v>48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</row>
    <row r="8" spans="1:147" ht="18.75">
      <c r="A8" s="28" t="s">
        <v>5</v>
      </c>
      <c r="B8" s="29">
        <v>945</v>
      </c>
      <c r="C8" s="29">
        <v>857</v>
      </c>
      <c r="D8" s="30">
        <v>88</v>
      </c>
      <c r="E8" s="31">
        <v>967</v>
      </c>
      <c r="F8" s="31">
        <v>884</v>
      </c>
      <c r="G8" s="32">
        <v>83</v>
      </c>
      <c r="H8" s="33">
        <f>I8+J8</f>
        <v>677</v>
      </c>
      <c r="I8" s="31">
        <v>624</v>
      </c>
      <c r="J8" s="32">
        <v>53</v>
      </c>
      <c r="K8" s="34">
        <f>L8+M8</f>
        <v>668</v>
      </c>
      <c r="L8" s="31">
        <v>620</v>
      </c>
      <c r="M8" s="34">
        <v>48</v>
      </c>
      <c r="N8" s="33">
        <f>O8+P8</f>
        <v>566</v>
      </c>
      <c r="O8" s="31">
        <v>524</v>
      </c>
      <c r="P8" s="35">
        <v>42</v>
      </c>
      <c r="Q8" s="34">
        <f>R8+S8</f>
        <v>576</v>
      </c>
      <c r="R8" s="31">
        <v>537</v>
      </c>
      <c r="S8" s="31">
        <v>39</v>
      </c>
      <c r="T8" s="33">
        <f>U8+V8</f>
        <v>487</v>
      </c>
      <c r="U8" s="31">
        <v>435</v>
      </c>
      <c r="V8" s="35">
        <v>52</v>
      </c>
      <c r="W8" s="34">
        <f>X8+Y8</f>
        <v>505</v>
      </c>
      <c r="X8" s="31">
        <v>433</v>
      </c>
      <c r="Y8" s="34">
        <v>72</v>
      </c>
      <c r="Z8" s="33">
        <f t="shared" ref="Z8:Z19" si="0">AA8+AB8</f>
        <v>411</v>
      </c>
      <c r="AA8" s="34">
        <v>375</v>
      </c>
      <c r="AB8" s="34">
        <v>36</v>
      </c>
      <c r="AC8" s="33">
        <f t="shared" ref="AC8:AC18" si="1">AD8+AE8</f>
        <v>210</v>
      </c>
      <c r="AD8" s="34">
        <v>188</v>
      </c>
      <c r="AE8" s="34">
        <v>22</v>
      </c>
      <c r="AF8" s="33">
        <f t="shared" ref="AF8:AF18" si="2">AG8+AH8</f>
        <v>324</v>
      </c>
      <c r="AG8" s="34">
        <v>271</v>
      </c>
      <c r="AH8" s="34">
        <v>53</v>
      </c>
      <c r="AI8" s="33">
        <f t="shared" ref="AI8:AI18" si="3">AJ8+AK8</f>
        <v>240</v>
      </c>
      <c r="AJ8" s="34">
        <v>213</v>
      </c>
      <c r="AK8" s="34">
        <v>27</v>
      </c>
      <c r="AL8" s="6" t="s">
        <v>10</v>
      </c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</row>
    <row r="9" spans="1:147" ht="18.75">
      <c r="A9" s="28" t="s">
        <v>0</v>
      </c>
      <c r="B9" s="29">
        <v>774</v>
      </c>
      <c r="C9" s="29">
        <v>663</v>
      </c>
      <c r="D9" s="30">
        <v>111</v>
      </c>
      <c r="E9" s="31">
        <v>1149</v>
      </c>
      <c r="F9" s="31">
        <v>1034</v>
      </c>
      <c r="G9" s="32">
        <v>115</v>
      </c>
      <c r="H9" s="33">
        <f t="shared" ref="H9:H19" si="4">I9+J9</f>
        <v>1474</v>
      </c>
      <c r="I9" s="31">
        <v>1379</v>
      </c>
      <c r="J9" s="32">
        <v>95</v>
      </c>
      <c r="K9" s="34">
        <f t="shared" ref="K9:K19" si="5">L9+M9</f>
        <v>1613</v>
      </c>
      <c r="L9" s="31">
        <v>1523</v>
      </c>
      <c r="M9" s="34">
        <v>90</v>
      </c>
      <c r="N9" s="52">
        <f t="shared" ref="N9:N19" si="6">O9+P9</f>
        <v>1608</v>
      </c>
      <c r="O9" s="31">
        <v>1516</v>
      </c>
      <c r="P9" s="35">
        <v>92</v>
      </c>
      <c r="Q9" s="34">
        <f t="shared" ref="Q9:Q19" si="7">R9+S9</f>
        <v>1194</v>
      </c>
      <c r="R9" s="31">
        <v>1128</v>
      </c>
      <c r="S9" s="31">
        <v>66</v>
      </c>
      <c r="T9" s="33">
        <f t="shared" ref="T9:T19" si="8">U9+V9</f>
        <v>958</v>
      </c>
      <c r="U9" s="31">
        <v>869</v>
      </c>
      <c r="V9" s="35">
        <v>89</v>
      </c>
      <c r="W9" s="34">
        <f t="shared" ref="W9:W19" si="9">X9+Y9</f>
        <v>772</v>
      </c>
      <c r="X9" s="31">
        <v>718</v>
      </c>
      <c r="Y9" s="34">
        <v>54</v>
      </c>
      <c r="Z9" s="33">
        <f t="shared" si="0"/>
        <v>707</v>
      </c>
      <c r="AA9" s="34">
        <v>668</v>
      </c>
      <c r="AB9" s="34">
        <v>39</v>
      </c>
      <c r="AC9" s="33">
        <f t="shared" si="1"/>
        <v>914</v>
      </c>
      <c r="AD9" s="34">
        <v>864</v>
      </c>
      <c r="AE9" s="34">
        <v>50</v>
      </c>
      <c r="AF9" s="33">
        <f t="shared" si="2"/>
        <v>770</v>
      </c>
      <c r="AG9" s="34">
        <v>718</v>
      </c>
      <c r="AH9" s="34">
        <v>52</v>
      </c>
      <c r="AI9" s="33">
        <f t="shared" si="3"/>
        <v>962</v>
      </c>
      <c r="AJ9" s="34">
        <v>872</v>
      </c>
      <c r="AK9" s="34">
        <v>90</v>
      </c>
      <c r="AL9" s="6" t="s">
        <v>2</v>
      </c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</row>
    <row r="10" spans="1:147" ht="18.75">
      <c r="A10" s="28" t="s">
        <v>9</v>
      </c>
      <c r="B10" s="29">
        <v>199</v>
      </c>
      <c r="C10" s="29">
        <v>186</v>
      </c>
      <c r="D10" s="30">
        <v>13</v>
      </c>
      <c r="E10" s="31">
        <v>292</v>
      </c>
      <c r="F10" s="31">
        <v>263</v>
      </c>
      <c r="G10" s="32">
        <v>29</v>
      </c>
      <c r="H10" s="33">
        <f t="shared" si="4"/>
        <v>277</v>
      </c>
      <c r="I10" s="31">
        <v>272</v>
      </c>
      <c r="J10" s="32">
        <v>5</v>
      </c>
      <c r="K10" s="34">
        <f t="shared" si="5"/>
        <v>268</v>
      </c>
      <c r="L10" s="31">
        <v>258</v>
      </c>
      <c r="M10" s="34">
        <v>10</v>
      </c>
      <c r="N10" s="33">
        <f t="shared" si="6"/>
        <v>243</v>
      </c>
      <c r="O10" s="31">
        <v>240</v>
      </c>
      <c r="P10" s="35">
        <v>3</v>
      </c>
      <c r="Q10" s="34">
        <f t="shared" si="7"/>
        <v>143</v>
      </c>
      <c r="R10" s="31">
        <v>141</v>
      </c>
      <c r="S10" s="31">
        <v>2</v>
      </c>
      <c r="T10" s="33">
        <f t="shared" si="8"/>
        <v>165</v>
      </c>
      <c r="U10" s="31">
        <v>161</v>
      </c>
      <c r="V10" s="35">
        <v>4</v>
      </c>
      <c r="W10" s="34">
        <f t="shared" si="9"/>
        <v>167</v>
      </c>
      <c r="X10" s="31">
        <v>162</v>
      </c>
      <c r="Y10" s="34">
        <v>5</v>
      </c>
      <c r="Z10" s="33">
        <f t="shared" si="0"/>
        <v>98</v>
      </c>
      <c r="AA10" s="34">
        <v>96</v>
      </c>
      <c r="AB10" s="34">
        <v>2</v>
      </c>
      <c r="AC10" s="33">
        <f t="shared" si="1"/>
        <v>137</v>
      </c>
      <c r="AD10" s="34">
        <v>133</v>
      </c>
      <c r="AE10" s="34">
        <v>4</v>
      </c>
      <c r="AF10" s="33">
        <f t="shared" si="2"/>
        <v>100</v>
      </c>
      <c r="AG10" s="34">
        <v>98</v>
      </c>
      <c r="AH10" s="34">
        <v>2</v>
      </c>
      <c r="AI10" s="33">
        <f t="shared" si="3"/>
        <v>106</v>
      </c>
      <c r="AJ10" s="34">
        <v>105</v>
      </c>
      <c r="AK10" s="34">
        <v>1</v>
      </c>
      <c r="AL10" s="6" t="s">
        <v>15</v>
      </c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</row>
    <row r="11" spans="1:147" ht="18.75">
      <c r="A11" s="28" t="s">
        <v>3</v>
      </c>
      <c r="B11" s="29">
        <v>1160</v>
      </c>
      <c r="C11" s="29">
        <v>1104</v>
      </c>
      <c r="D11" s="30">
        <v>56</v>
      </c>
      <c r="E11" s="31">
        <v>1453</v>
      </c>
      <c r="F11" s="31">
        <v>1394</v>
      </c>
      <c r="G11" s="32">
        <v>59</v>
      </c>
      <c r="H11" s="33">
        <f t="shared" si="4"/>
        <v>2073</v>
      </c>
      <c r="I11" s="31">
        <v>1969</v>
      </c>
      <c r="J11" s="32">
        <v>104</v>
      </c>
      <c r="K11" s="34">
        <f t="shared" si="5"/>
        <v>2906</v>
      </c>
      <c r="L11" s="31">
        <v>2799</v>
      </c>
      <c r="M11" s="34">
        <v>107</v>
      </c>
      <c r="N11" s="52">
        <f t="shared" si="6"/>
        <v>3315</v>
      </c>
      <c r="O11" s="31">
        <v>3208</v>
      </c>
      <c r="P11" s="35">
        <v>107</v>
      </c>
      <c r="Q11" s="34">
        <f t="shared" si="7"/>
        <v>2352</v>
      </c>
      <c r="R11" s="31">
        <v>2265</v>
      </c>
      <c r="S11" s="31">
        <v>87</v>
      </c>
      <c r="T11" s="33">
        <f t="shared" si="8"/>
        <v>2732</v>
      </c>
      <c r="U11" s="31">
        <v>2579</v>
      </c>
      <c r="V11" s="35">
        <v>153</v>
      </c>
      <c r="W11" s="34">
        <f t="shared" si="9"/>
        <v>1690</v>
      </c>
      <c r="X11" s="31">
        <v>1547</v>
      </c>
      <c r="Y11" s="34">
        <v>143</v>
      </c>
      <c r="Z11" s="33">
        <f t="shared" si="0"/>
        <v>1043</v>
      </c>
      <c r="AA11" s="34">
        <v>940</v>
      </c>
      <c r="AB11" s="34">
        <v>103</v>
      </c>
      <c r="AC11" s="33">
        <f t="shared" si="1"/>
        <v>1490</v>
      </c>
      <c r="AD11" s="34">
        <v>1314</v>
      </c>
      <c r="AE11" s="34">
        <v>176</v>
      </c>
      <c r="AF11" s="33">
        <f t="shared" si="2"/>
        <v>1219</v>
      </c>
      <c r="AG11" s="34">
        <v>1097</v>
      </c>
      <c r="AH11" s="34">
        <v>122</v>
      </c>
      <c r="AI11" s="33">
        <f t="shared" si="3"/>
        <v>1119</v>
      </c>
      <c r="AJ11" s="34">
        <v>1026</v>
      </c>
      <c r="AK11" s="34">
        <v>93</v>
      </c>
      <c r="AL11" s="6" t="s">
        <v>7</v>
      </c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</row>
    <row r="12" spans="1:147" ht="18.75">
      <c r="A12" s="28" t="s">
        <v>13</v>
      </c>
      <c r="B12" s="29">
        <v>299</v>
      </c>
      <c r="C12" s="29">
        <v>221</v>
      </c>
      <c r="D12" s="30">
        <v>78</v>
      </c>
      <c r="E12" s="31">
        <v>447</v>
      </c>
      <c r="F12" s="31">
        <v>328</v>
      </c>
      <c r="G12" s="32">
        <v>119</v>
      </c>
      <c r="H12" s="33">
        <f t="shared" si="4"/>
        <v>423</v>
      </c>
      <c r="I12" s="31">
        <v>290</v>
      </c>
      <c r="J12" s="32">
        <v>133</v>
      </c>
      <c r="K12" s="34">
        <f t="shared" si="5"/>
        <v>404</v>
      </c>
      <c r="L12" s="31">
        <v>302</v>
      </c>
      <c r="M12" s="34">
        <v>102</v>
      </c>
      <c r="N12" s="52">
        <f t="shared" si="6"/>
        <v>318</v>
      </c>
      <c r="O12" s="31">
        <v>243</v>
      </c>
      <c r="P12" s="35">
        <v>75</v>
      </c>
      <c r="Q12" s="34">
        <f t="shared" si="7"/>
        <v>326</v>
      </c>
      <c r="R12" s="31">
        <v>259</v>
      </c>
      <c r="S12" s="31">
        <v>67</v>
      </c>
      <c r="T12" s="33">
        <f t="shared" si="8"/>
        <v>309</v>
      </c>
      <c r="U12" s="31">
        <v>205</v>
      </c>
      <c r="V12" s="35">
        <v>104</v>
      </c>
      <c r="W12" s="34">
        <f t="shared" si="9"/>
        <v>190</v>
      </c>
      <c r="X12" s="31">
        <v>129</v>
      </c>
      <c r="Y12" s="34">
        <v>61</v>
      </c>
      <c r="Z12" s="33">
        <f t="shared" si="0"/>
        <v>137</v>
      </c>
      <c r="AA12" s="34">
        <v>92</v>
      </c>
      <c r="AB12" s="34">
        <v>45</v>
      </c>
      <c r="AC12" s="33">
        <f t="shared" si="1"/>
        <v>172</v>
      </c>
      <c r="AD12" s="34">
        <v>67</v>
      </c>
      <c r="AE12" s="34">
        <v>105</v>
      </c>
      <c r="AF12" s="33">
        <f t="shared" si="2"/>
        <v>202</v>
      </c>
      <c r="AG12" s="34">
        <v>150</v>
      </c>
      <c r="AH12" s="34">
        <v>52</v>
      </c>
      <c r="AI12" s="33">
        <f t="shared" si="3"/>
        <v>88</v>
      </c>
      <c r="AJ12" s="34">
        <v>64</v>
      </c>
      <c r="AK12" s="34">
        <v>24</v>
      </c>
      <c r="AL12" s="6" t="s">
        <v>52</v>
      </c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</row>
    <row r="13" spans="1:147" ht="18.75">
      <c r="A13" s="28" t="s">
        <v>16</v>
      </c>
      <c r="B13" s="29">
        <v>9</v>
      </c>
      <c r="C13" s="29">
        <v>9</v>
      </c>
      <c r="D13" s="32">
        <v>0</v>
      </c>
      <c r="E13" s="31">
        <v>9</v>
      </c>
      <c r="F13" s="31">
        <v>8</v>
      </c>
      <c r="G13" s="32">
        <v>1</v>
      </c>
      <c r="H13" s="33">
        <f t="shared" si="4"/>
        <v>12</v>
      </c>
      <c r="I13" s="31">
        <v>12</v>
      </c>
      <c r="J13" s="32">
        <v>0</v>
      </c>
      <c r="K13" s="34">
        <f t="shared" si="5"/>
        <v>6</v>
      </c>
      <c r="L13" s="31">
        <v>6</v>
      </c>
      <c r="M13" s="34">
        <v>0</v>
      </c>
      <c r="N13" s="33">
        <v>11</v>
      </c>
      <c r="O13" s="31">
        <v>11</v>
      </c>
      <c r="P13" s="35">
        <v>0</v>
      </c>
      <c r="Q13" s="34">
        <v>8</v>
      </c>
      <c r="R13" s="31">
        <v>8</v>
      </c>
      <c r="S13" s="31">
        <v>0</v>
      </c>
      <c r="T13" s="33">
        <f t="shared" si="8"/>
        <v>14</v>
      </c>
      <c r="U13" s="31">
        <v>13</v>
      </c>
      <c r="V13" s="35">
        <v>1</v>
      </c>
      <c r="W13" s="34">
        <f t="shared" si="9"/>
        <v>3</v>
      </c>
      <c r="X13" s="31">
        <v>2</v>
      </c>
      <c r="Y13" s="34">
        <v>1</v>
      </c>
      <c r="Z13" s="33">
        <f t="shared" si="0"/>
        <v>3</v>
      </c>
      <c r="AA13" s="34">
        <v>3</v>
      </c>
      <c r="AB13" s="34">
        <v>0</v>
      </c>
      <c r="AC13" s="33">
        <f t="shared" si="1"/>
        <v>4</v>
      </c>
      <c r="AD13" s="34">
        <v>3</v>
      </c>
      <c r="AE13" s="34">
        <v>1</v>
      </c>
      <c r="AF13" s="33">
        <f t="shared" si="2"/>
        <v>1</v>
      </c>
      <c r="AG13" s="34">
        <v>1</v>
      </c>
      <c r="AH13" s="34">
        <v>0</v>
      </c>
      <c r="AI13" s="33">
        <f t="shared" si="3"/>
        <v>0</v>
      </c>
      <c r="AJ13" s="34">
        <v>0</v>
      </c>
      <c r="AK13" s="34">
        <v>0</v>
      </c>
      <c r="AL13" s="6" t="s">
        <v>4</v>
      </c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</row>
    <row r="14" spans="1:147" ht="18.75">
      <c r="A14" s="28" t="s">
        <v>18</v>
      </c>
      <c r="B14" s="29">
        <v>11</v>
      </c>
      <c r="C14" s="29">
        <v>11</v>
      </c>
      <c r="D14" s="32">
        <v>0</v>
      </c>
      <c r="E14" s="31">
        <v>34</v>
      </c>
      <c r="F14" s="31">
        <v>30</v>
      </c>
      <c r="G14" s="32">
        <v>4</v>
      </c>
      <c r="H14" s="33">
        <f t="shared" si="4"/>
        <v>36</v>
      </c>
      <c r="I14" s="31">
        <v>35</v>
      </c>
      <c r="J14" s="32">
        <v>1</v>
      </c>
      <c r="K14" s="34">
        <f t="shared" si="5"/>
        <v>33</v>
      </c>
      <c r="L14" s="31">
        <v>33</v>
      </c>
      <c r="M14" s="34">
        <v>0</v>
      </c>
      <c r="N14" s="33">
        <f t="shared" si="6"/>
        <v>38</v>
      </c>
      <c r="O14" s="31">
        <v>37</v>
      </c>
      <c r="P14" s="35">
        <v>1</v>
      </c>
      <c r="Q14" s="34">
        <f t="shared" si="7"/>
        <v>57</v>
      </c>
      <c r="R14" s="31">
        <v>54</v>
      </c>
      <c r="S14" s="31">
        <v>3</v>
      </c>
      <c r="T14" s="33">
        <f t="shared" si="8"/>
        <v>42</v>
      </c>
      <c r="U14" s="31">
        <v>39</v>
      </c>
      <c r="V14" s="35">
        <v>3</v>
      </c>
      <c r="W14" s="34">
        <f t="shared" si="9"/>
        <v>23</v>
      </c>
      <c r="X14" s="31">
        <v>21</v>
      </c>
      <c r="Y14" s="34">
        <v>2</v>
      </c>
      <c r="Z14" s="33">
        <f t="shared" si="0"/>
        <v>12</v>
      </c>
      <c r="AA14" s="34">
        <v>11</v>
      </c>
      <c r="AB14" s="34">
        <v>1</v>
      </c>
      <c r="AC14" s="33">
        <f t="shared" si="1"/>
        <v>16</v>
      </c>
      <c r="AD14" s="34">
        <v>15</v>
      </c>
      <c r="AE14" s="34">
        <v>1</v>
      </c>
      <c r="AF14" s="33">
        <f t="shared" si="2"/>
        <v>24</v>
      </c>
      <c r="AG14" s="34">
        <v>22</v>
      </c>
      <c r="AH14" s="34">
        <v>2</v>
      </c>
      <c r="AI14" s="33">
        <f t="shared" si="3"/>
        <v>24</v>
      </c>
      <c r="AJ14" s="34">
        <v>24</v>
      </c>
      <c r="AK14" s="34">
        <v>0</v>
      </c>
      <c r="AL14" s="6" t="s">
        <v>21</v>
      </c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</row>
    <row r="15" spans="1:147" ht="18.75">
      <c r="A15" s="28" t="s">
        <v>20</v>
      </c>
      <c r="B15" s="29">
        <v>31</v>
      </c>
      <c r="C15" s="29">
        <v>19</v>
      </c>
      <c r="D15" s="30">
        <v>12</v>
      </c>
      <c r="E15" s="31">
        <v>52</v>
      </c>
      <c r="F15" s="31">
        <v>25</v>
      </c>
      <c r="G15" s="32">
        <v>27</v>
      </c>
      <c r="H15" s="33">
        <f t="shared" si="4"/>
        <v>24</v>
      </c>
      <c r="I15" s="31">
        <v>16</v>
      </c>
      <c r="J15" s="32">
        <v>8</v>
      </c>
      <c r="K15" s="34">
        <f t="shared" si="5"/>
        <v>30</v>
      </c>
      <c r="L15" s="31">
        <v>23</v>
      </c>
      <c r="M15" s="34">
        <v>7</v>
      </c>
      <c r="N15" s="33">
        <f t="shared" si="6"/>
        <v>10</v>
      </c>
      <c r="O15" s="31">
        <v>9</v>
      </c>
      <c r="P15" s="35">
        <v>1</v>
      </c>
      <c r="Q15" s="34">
        <f t="shared" si="7"/>
        <v>12</v>
      </c>
      <c r="R15" s="31">
        <v>8</v>
      </c>
      <c r="S15" s="31">
        <v>4</v>
      </c>
      <c r="T15" s="33">
        <f t="shared" si="8"/>
        <v>24</v>
      </c>
      <c r="U15" s="31">
        <v>16</v>
      </c>
      <c r="V15" s="35">
        <v>8</v>
      </c>
      <c r="W15" s="34">
        <f t="shared" si="9"/>
        <v>7</v>
      </c>
      <c r="X15" s="31">
        <v>2</v>
      </c>
      <c r="Y15" s="34">
        <v>5</v>
      </c>
      <c r="Z15" s="33">
        <f t="shared" si="0"/>
        <v>1</v>
      </c>
      <c r="AA15" s="34">
        <v>1</v>
      </c>
      <c r="AB15" s="34">
        <v>0</v>
      </c>
      <c r="AC15" s="33">
        <f t="shared" si="1"/>
        <v>0</v>
      </c>
      <c r="AD15" s="34">
        <v>0</v>
      </c>
      <c r="AE15" s="34">
        <v>0</v>
      </c>
      <c r="AF15" s="33">
        <f t="shared" si="2"/>
        <v>3</v>
      </c>
      <c r="AG15" s="34">
        <v>1</v>
      </c>
      <c r="AH15" s="34">
        <v>2</v>
      </c>
      <c r="AI15" s="33">
        <f t="shared" si="3"/>
        <v>5</v>
      </c>
      <c r="AJ15" s="34">
        <v>3</v>
      </c>
      <c r="AK15" s="34">
        <v>2</v>
      </c>
      <c r="AL15" s="6" t="s">
        <v>49</v>
      </c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</row>
    <row r="16" spans="1:147" ht="18.75">
      <c r="A16" s="28" t="s">
        <v>11</v>
      </c>
      <c r="B16" s="29">
        <v>79</v>
      </c>
      <c r="C16" s="29">
        <v>78</v>
      </c>
      <c r="D16" s="30">
        <v>1</v>
      </c>
      <c r="E16" s="31">
        <v>106</v>
      </c>
      <c r="F16" s="31">
        <v>104</v>
      </c>
      <c r="G16" s="32">
        <v>2</v>
      </c>
      <c r="H16" s="33">
        <f t="shared" si="4"/>
        <v>149</v>
      </c>
      <c r="I16" s="31">
        <v>135</v>
      </c>
      <c r="J16" s="32">
        <v>14</v>
      </c>
      <c r="K16" s="34">
        <f t="shared" si="5"/>
        <v>122</v>
      </c>
      <c r="L16" s="31">
        <v>121</v>
      </c>
      <c r="M16" s="34">
        <v>1</v>
      </c>
      <c r="N16" s="52">
        <f t="shared" si="6"/>
        <v>146</v>
      </c>
      <c r="O16" s="31">
        <v>144</v>
      </c>
      <c r="P16" s="35">
        <v>2</v>
      </c>
      <c r="Q16" s="34">
        <f t="shared" si="7"/>
        <v>127</v>
      </c>
      <c r="R16" s="31">
        <v>124</v>
      </c>
      <c r="S16" s="31">
        <v>3</v>
      </c>
      <c r="T16" s="33">
        <f t="shared" si="8"/>
        <v>73</v>
      </c>
      <c r="U16" s="31">
        <v>71</v>
      </c>
      <c r="V16" s="35">
        <v>2</v>
      </c>
      <c r="W16" s="34">
        <f t="shared" si="9"/>
        <v>73</v>
      </c>
      <c r="X16" s="31">
        <v>68</v>
      </c>
      <c r="Y16" s="34">
        <v>5</v>
      </c>
      <c r="Z16" s="33">
        <f t="shared" si="0"/>
        <v>62</v>
      </c>
      <c r="AA16" s="34">
        <v>62</v>
      </c>
      <c r="AB16" s="34">
        <v>0</v>
      </c>
      <c r="AC16" s="33">
        <f t="shared" si="1"/>
        <v>57</v>
      </c>
      <c r="AD16" s="34">
        <v>48</v>
      </c>
      <c r="AE16" s="34">
        <v>9</v>
      </c>
      <c r="AF16" s="33">
        <f t="shared" si="2"/>
        <v>59</v>
      </c>
      <c r="AG16" s="34">
        <v>56</v>
      </c>
      <c r="AH16" s="34">
        <v>3</v>
      </c>
      <c r="AI16" s="33">
        <f t="shared" si="3"/>
        <v>51</v>
      </c>
      <c r="AJ16" s="34">
        <v>49</v>
      </c>
      <c r="AK16" s="34">
        <v>2</v>
      </c>
      <c r="AL16" s="6" t="s">
        <v>12</v>
      </c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</row>
    <row r="17" spans="1:147" ht="18.75">
      <c r="A17" s="28" t="s">
        <v>17</v>
      </c>
      <c r="B17" s="29">
        <v>52</v>
      </c>
      <c r="C17" s="29">
        <v>29</v>
      </c>
      <c r="D17" s="30">
        <v>23</v>
      </c>
      <c r="E17" s="31">
        <v>60</v>
      </c>
      <c r="F17" s="31">
        <v>39</v>
      </c>
      <c r="G17" s="32">
        <v>21</v>
      </c>
      <c r="H17" s="33">
        <f t="shared" si="4"/>
        <v>40</v>
      </c>
      <c r="I17" s="31">
        <v>29</v>
      </c>
      <c r="J17" s="32">
        <v>11</v>
      </c>
      <c r="K17" s="34">
        <f t="shared" si="5"/>
        <v>59</v>
      </c>
      <c r="L17" s="31">
        <v>51</v>
      </c>
      <c r="M17" s="34">
        <v>8</v>
      </c>
      <c r="N17" s="33">
        <f t="shared" si="6"/>
        <v>80</v>
      </c>
      <c r="O17" s="31">
        <v>60</v>
      </c>
      <c r="P17" s="35">
        <v>20</v>
      </c>
      <c r="Q17" s="34">
        <f t="shared" si="7"/>
        <v>64</v>
      </c>
      <c r="R17" s="31">
        <v>45</v>
      </c>
      <c r="S17" s="31">
        <v>19</v>
      </c>
      <c r="T17" s="33">
        <f t="shared" si="8"/>
        <v>75</v>
      </c>
      <c r="U17" s="31">
        <v>54</v>
      </c>
      <c r="V17" s="35">
        <v>21</v>
      </c>
      <c r="W17" s="34">
        <f t="shared" si="9"/>
        <v>29</v>
      </c>
      <c r="X17" s="31">
        <v>17</v>
      </c>
      <c r="Y17" s="34">
        <v>12</v>
      </c>
      <c r="Z17" s="33">
        <f t="shared" si="0"/>
        <v>19</v>
      </c>
      <c r="AA17" s="34">
        <v>14</v>
      </c>
      <c r="AB17" s="34">
        <v>5</v>
      </c>
      <c r="AC17" s="33">
        <f t="shared" si="1"/>
        <v>12</v>
      </c>
      <c r="AD17" s="34">
        <v>9</v>
      </c>
      <c r="AE17" s="34">
        <v>3</v>
      </c>
      <c r="AF17" s="33">
        <f t="shared" si="2"/>
        <v>31</v>
      </c>
      <c r="AG17" s="34">
        <v>26</v>
      </c>
      <c r="AH17" s="34">
        <v>5</v>
      </c>
      <c r="AI17" s="33">
        <f t="shared" si="3"/>
        <v>29</v>
      </c>
      <c r="AJ17" s="34">
        <v>27</v>
      </c>
      <c r="AK17" s="34">
        <v>2</v>
      </c>
      <c r="AL17" s="6" t="s">
        <v>19</v>
      </c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</row>
    <row r="18" spans="1:147" ht="18.75">
      <c r="A18" s="28" t="s">
        <v>27</v>
      </c>
      <c r="B18" s="29">
        <v>12</v>
      </c>
      <c r="C18" s="29">
        <v>10</v>
      </c>
      <c r="D18" s="30">
        <v>2</v>
      </c>
      <c r="E18" s="31">
        <v>7</v>
      </c>
      <c r="F18" s="31">
        <v>5</v>
      </c>
      <c r="G18" s="32">
        <v>2</v>
      </c>
      <c r="H18" s="33">
        <f t="shared" si="4"/>
        <v>7</v>
      </c>
      <c r="I18" s="31">
        <v>4</v>
      </c>
      <c r="J18" s="32">
        <v>3</v>
      </c>
      <c r="K18" s="34">
        <f t="shared" si="5"/>
        <v>3</v>
      </c>
      <c r="L18" s="31">
        <v>3</v>
      </c>
      <c r="M18" s="34">
        <v>0</v>
      </c>
      <c r="N18" s="52">
        <f t="shared" si="6"/>
        <v>0</v>
      </c>
      <c r="O18" s="31">
        <v>0</v>
      </c>
      <c r="P18" s="35">
        <v>0</v>
      </c>
      <c r="Q18" s="34">
        <f t="shared" si="7"/>
        <v>0</v>
      </c>
      <c r="R18" s="31">
        <v>0</v>
      </c>
      <c r="S18" s="31">
        <v>0</v>
      </c>
      <c r="T18" s="33">
        <f t="shared" si="8"/>
        <v>0</v>
      </c>
      <c r="U18" s="31">
        <v>0</v>
      </c>
      <c r="V18" s="35">
        <v>0</v>
      </c>
      <c r="W18" s="34">
        <f t="shared" si="9"/>
        <v>0</v>
      </c>
      <c r="X18" s="31">
        <v>0</v>
      </c>
      <c r="Y18" s="34">
        <v>0</v>
      </c>
      <c r="Z18" s="33">
        <f t="shared" si="0"/>
        <v>0</v>
      </c>
      <c r="AA18" s="34">
        <v>0</v>
      </c>
      <c r="AB18" s="34">
        <v>0</v>
      </c>
      <c r="AC18" s="33">
        <f t="shared" si="1"/>
        <v>1</v>
      </c>
      <c r="AD18" s="34">
        <v>1</v>
      </c>
      <c r="AE18" s="34">
        <v>0</v>
      </c>
      <c r="AF18" s="33">
        <f t="shared" si="2"/>
        <v>0</v>
      </c>
      <c r="AG18" s="34">
        <v>0</v>
      </c>
      <c r="AH18" s="34">
        <v>0</v>
      </c>
      <c r="AI18" s="33">
        <f t="shared" si="3"/>
        <v>1</v>
      </c>
      <c r="AJ18" s="34">
        <v>0</v>
      </c>
      <c r="AK18" s="34">
        <v>1</v>
      </c>
      <c r="AL18" s="6" t="s">
        <v>8</v>
      </c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</row>
    <row r="19" spans="1:147" ht="18.75">
      <c r="A19" s="53" t="s">
        <v>6</v>
      </c>
      <c r="B19" s="55">
        <v>570</v>
      </c>
      <c r="C19" s="55">
        <v>346</v>
      </c>
      <c r="D19" s="54">
        <v>224</v>
      </c>
      <c r="E19" s="44">
        <v>703</v>
      </c>
      <c r="F19" s="44">
        <v>440</v>
      </c>
      <c r="G19" s="46">
        <v>263</v>
      </c>
      <c r="H19" s="46">
        <f t="shared" si="4"/>
        <v>1147</v>
      </c>
      <c r="I19" s="44">
        <v>969</v>
      </c>
      <c r="J19" s="46">
        <v>178</v>
      </c>
      <c r="K19" s="46">
        <f t="shared" si="5"/>
        <v>869</v>
      </c>
      <c r="L19" s="44">
        <v>683</v>
      </c>
      <c r="M19" s="46">
        <v>186</v>
      </c>
      <c r="N19" s="56">
        <f t="shared" si="6"/>
        <v>651</v>
      </c>
      <c r="O19" s="44">
        <v>566</v>
      </c>
      <c r="P19" s="45">
        <v>85</v>
      </c>
      <c r="Q19" s="46">
        <f t="shared" si="7"/>
        <v>972</v>
      </c>
      <c r="R19" s="44">
        <v>881</v>
      </c>
      <c r="S19" s="44">
        <v>91</v>
      </c>
      <c r="T19" s="43">
        <f t="shared" si="8"/>
        <v>632</v>
      </c>
      <c r="U19" s="44">
        <v>472</v>
      </c>
      <c r="V19" s="45">
        <v>160</v>
      </c>
      <c r="W19" s="46">
        <f t="shared" si="9"/>
        <v>502</v>
      </c>
      <c r="X19" s="44">
        <v>382</v>
      </c>
      <c r="Y19" s="46">
        <v>120</v>
      </c>
      <c r="Z19" s="43">
        <f t="shared" si="0"/>
        <v>385</v>
      </c>
      <c r="AA19" s="44">
        <v>342</v>
      </c>
      <c r="AB19" s="44">
        <v>43</v>
      </c>
      <c r="AC19" s="43">
        <f>AD19+AE19</f>
        <v>303</v>
      </c>
      <c r="AD19" s="44">
        <f>SUM(AD20:AD32)</f>
        <v>253</v>
      </c>
      <c r="AE19" s="44">
        <f>SUM(AE20:AE32)</f>
        <v>50</v>
      </c>
      <c r="AF19" s="43">
        <f>AG19+AH19</f>
        <v>1086</v>
      </c>
      <c r="AG19" s="44">
        <f>SUM(AG20:AG32)</f>
        <v>925</v>
      </c>
      <c r="AH19" s="44">
        <f>SUM(AH20:AH32)</f>
        <v>161</v>
      </c>
      <c r="AI19" s="43">
        <f>AJ19+AK19</f>
        <v>316</v>
      </c>
      <c r="AJ19" s="46">
        <v>280</v>
      </c>
      <c r="AK19" s="46">
        <v>36</v>
      </c>
      <c r="AL19" s="57" t="s">
        <v>24</v>
      </c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</row>
    <row r="20" spans="1:147" ht="18" hidden="1" customHeight="1">
      <c r="A20" s="7" t="s">
        <v>25</v>
      </c>
      <c r="N20" s="33">
        <f>P20+O20</f>
        <v>13</v>
      </c>
      <c r="O20" s="31">
        <v>13</v>
      </c>
      <c r="P20" s="35">
        <v>0</v>
      </c>
      <c r="Q20" s="34">
        <f>S20+R20</f>
        <v>23</v>
      </c>
      <c r="R20" s="31">
        <v>21</v>
      </c>
      <c r="S20" s="31">
        <v>2</v>
      </c>
      <c r="T20" s="33">
        <f>V20+U20</f>
        <v>16</v>
      </c>
      <c r="U20" s="31">
        <v>16</v>
      </c>
      <c r="V20" s="35">
        <v>0</v>
      </c>
      <c r="W20" s="34">
        <f>Y20+X20</f>
        <v>11</v>
      </c>
      <c r="X20" s="31">
        <v>11</v>
      </c>
      <c r="Y20" s="34">
        <v>0</v>
      </c>
      <c r="Z20" s="33">
        <f>AB20+AA20</f>
        <v>7</v>
      </c>
      <c r="AA20" s="34">
        <v>7</v>
      </c>
      <c r="AB20" s="34">
        <v>0</v>
      </c>
      <c r="AC20" s="33">
        <f>AE20+AD20</f>
        <v>8</v>
      </c>
      <c r="AD20" s="34">
        <v>8</v>
      </c>
      <c r="AE20" s="34">
        <v>0</v>
      </c>
      <c r="AF20" s="33">
        <f>AH20+AG20</f>
        <v>4</v>
      </c>
      <c r="AG20" s="34">
        <v>4</v>
      </c>
      <c r="AH20" s="34">
        <v>0</v>
      </c>
      <c r="AI20" s="33">
        <f>AK20+AJ20</f>
        <v>0</v>
      </c>
      <c r="AJ20" s="34"/>
      <c r="AK20" s="34"/>
      <c r="AL20" s="2" t="s">
        <v>26</v>
      </c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</row>
    <row r="21" spans="1:147" ht="18" hidden="1" customHeight="1">
      <c r="A21" s="7" t="s">
        <v>28</v>
      </c>
      <c r="N21" s="33">
        <f t="shared" ref="N21:N32" si="10">P21+O21</f>
        <v>13</v>
      </c>
      <c r="O21" s="31">
        <v>13</v>
      </c>
      <c r="P21" s="35">
        <v>0</v>
      </c>
      <c r="Q21" s="34">
        <f t="shared" ref="Q21:Q32" si="11">S21+R21</f>
        <v>17</v>
      </c>
      <c r="R21" s="31">
        <v>15</v>
      </c>
      <c r="S21" s="31">
        <v>2</v>
      </c>
      <c r="T21" s="33">
        <f t="shared" ref="T21:T32" si="12">V21+U21</f>
        <v>12</v>
      </c>
      <c r="U21" s="31">
        <v>12</v>
      </c>
      <c r="V21" s="35">
        <v>0</v>
      </c>
      <c r="W21" s="34">
        <f t="shared" ref="W21:W32" si="13">Y21+X21</f>
        <v>15</v>
      </c>
      <c r="X21" s="31">
        <v>11</v>
      </c>
      <c r="Y21" s="34">
        <v>4</v>
      </c>
      <c r="Z21" s="33">
        <f t="shared" ref="Z21:Z32" si="14">AB21+AA21</f>
        <v>3</v>
      </c>
      <c r="AA21" s="34">
        <v>2</v>
      </c>
      <c r="AB21" s="34">
        <v>1</v>
      </c>
      <c r="AC21" s="33">
        <f t="shared" ref="AC21:AC32" si="15">AE21+AD21</f>
        <v>4</v>
      </c>
      <c r="AD21" s="34">
        <v>3</v>
      </c>
      <c r="AE21" s="34">
        <v>1</v>
      </c>
      <c r="AF21" s="33">
        <f t="shared" ref="AF21:AF32" si="16">AH21+AG21</f>
        <v>7</v>
      </c>
      <c r="AG21" s="34">
        <v>6</v>
      </c>
      <c r="AH21" s="34">
        <v>1</v>
      </c>
      <c r="AI21" s="33">
        <f t="shared" ref="AI21:AI32" si="17">AK21+AJ21</f>
        <v>0</v>
      </c>
      <c r="AJ21" s="34"/>
      <c r="AK21" s="34"/>
      <c r="AL21" s="2" t="s">
        <v>29</v>
      </c>
      <c r="CJ21" s="37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</row>
    <row r="22" spans="1:147" s="39" customFormat="1" ht="18" hidden="1" customHeight="1">
      <c r="A22" s="7" t="s">
        <v>31</v>
      </c>
      <c r="H22" s="40"/>
      <c r="I22" s="41"/>
      <c r="N22" s="33">
        <f t="shared" si="10"/>
        <v>0</v>
      </c>
      <c r="O22" s="31">
        <v>0</v>
      </c>
      <c r="P22" s="35">
        <v>0</v>
      </c>
      <c r="Q22" s="34">
        <f t="shared" si="11"/>
        <v>0</v>
      </c>
      <c r="R22" s="31">
        <v>0</v>
      </c>
      <c r="S22" s="31">
        <v>0</v>
      </c>
      <c r="T22" s="33">
        <f t="shared" si="12"/>
        <v>6</v>
      </c>
      <c r="U22" s="31">
        <v>6</v>
      </c>
      <c r="V22" s="35">
        <v>0</v>
      </c>
      <c r="W22" s="34">
        <f t="shared" si="13"/>
        <v>0</v>
      </c>
      <c r="X22" s="31">
        <v>0</v>
      </c>
      <c r="Y22" s="34">
        <v>0</v>
      </c>
      <c r="Z22" s="33">
        <f t="shared" si="14"/>
        <v>0</v>
      </c>
      <c r="AA22" s="34">
        <v>0</v>
      </c>
      <c r="AB22" s="34">
        <v>0</v>
      </c>
      <c r="AC22" s="33">
        <f t="shared" si="15"/>
        <v>0</v>
      </c>
      <c r="AD22" s="34">
        <v>0</v>
      </c>
      <c r="AE22" s="34">
        <v>0</v>
      </c>
      <c r="AF22" s="33">
        <f t="shared" si="16"/>
        <v>0</v>
      </c>
      <c r="AG22" s="34">
        <v>0</v>
      </c>
      <c r="AH22" s="34">
        <v>0</v>
      </c>
      <c r="AI22" s="33">
        <f t="shared" si="17"/>
        <v>0</v>
      </c>
      <c r="AJ22" s="34"/>
      <c r="AK22" s="34"/>
      <c r="AL22" s="2" t="s">
        <v>32</v>
      </c>
    </row>
    <row r="23" spans="1:147" ht="18" hidden="1" customHeight="1">
      <c r="A23" s="7" t="s">
        <v>33</v>
      </c>
      <c r="N23" s="33">
        <f t="shared" si="10"/>
        <v>1</v>
      </c>
      <c r="O23" s="31">
        <v>1</v>
      </c>
      <c r="P23" s="35">
        <v>0</v>
      </c>
      <c r="Q23" s="34">
        <f t="shared" si="11"/>
        <v>7</v>
      </c>
      <c r="R23" s="31">
        <v>7</v>
      </c>
      <c r="S23" s="31">
        <v>0</v>
      </c>
      <c r="T23" s="33">
        <f t="shared" si="12"/>
        <v>1</v>
      </c>
      <c r="U23" s="31">
        <v>1</v>
      </c>
      <c r="V23" s="35">
        <v>0</v>
      </c>
      <c r="W23" s="34">
        <f t="shared" si="13"/>
        <v>3</v>
      </c>
      <c r="X23" s="31">
        <v>3</v>
      </c>
      <c r="Y23" s="34">
        <v>0</v>
      </c>
      <c r="Z23" s="33">
        <f t="shared" si="14"/>
        <v>4</v>
      </c>
      <c r="AA23" s="34">
        <v>4</v>
      </c>
      <c r="AB23" s="34">
        <v>0</v>
      </c>
      <c r="AC23" s="33">
        <f t="shared" si="15"/>
        <v>0</v>
      </c>
      <c r="AD23" s="34">
        <v>0</v>
      </c>
      <c r="AE23" s="34">
        <v>0</v>
      </c>
      <c r="AF23" s="33">
        <f t="shared" si="16"/>
        <v>4</v>
      </c>
      <c r="AG23" s="34">
        <v>4</v>
      </c>
      <c r="AH23" s="34">
        <v>0</v>
      </c>
      <c r="AI23" s="33">
        <f t="shared" si="17"/>
        <v>0</v>
      </c>
      <c r="AJ23" s="34"/>
      <c r="AK23" s="34"/>
      <c r="AL23" s="2" t="s">
        <v>34</v>
      </c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</row>
    <row r="24" spans="1:147" ht="18" hidden="1" customHeight="1">
      <c r="A24" s="7" t="s">
        <v>23</v>
      </c>
      <c r="N24" s="33">
        <f t="shared" si="10"/>
        <v>1</v>
      </c>
      <c r="O24" s="31">
        <v>1</v>
      </c>
      <c r="P24" s="35">
        <v>0</v>
      </c>
      <c r="Q24" s="34">
        <f t="shared" si="11"/>
        <v>3</v>
      </c>
      <c r="R24" s="31">
        <v>2</v>
      </c>
      <c r="S24" s="31">
        <v>1</v>
      </c>
      <c r="T24" s="33">
        <f t="shared" si="12"/>
        <v>4</v>
      </c>
      <c r="U24" s="31">
        <v>3</v>
      </c>
      <c r="V24" s="35">
        <v>1</v>
      </c>
      <c r="W24" s="34">
        <f t="shared" si="13"/>
        <v>3</v>
      </c>
      <c r="X24" s="31">
        <v>0</v>
      </c>
      <c r="Y24" s="34">
        <v>3</v>
      </c>
      <c r="Z24" s="33">
        <f t="shared" si="14"/>
        <v>0</v>
      </c>
      <c r="AA24" s="34">
        <v>0</v>
      </c>
      <c r="AB24" s="34">
        <v>0</v>
      </c>
      <c r="AC24" s="33">
        <f t="shared" si="15"/>
        <v>1</v>
      </c>
      <c r="AD24" s="34">
        <v>1</v>
      </c>
      <c r="AE24" s="34">
        <v>0</v>
      </c>
      <c r="AF24" s="33">
        <f t="shared" si="16"/>
        <v>1</v>
      </c>
      <c r="AG24" s="34">
        <v>0</v>
      </c>
      <c r="AH24" s="34">
        <v>1</v>
      </c>
      <c r="AI24" s="33">
        <f t="shared" si="17"/>
        <v>0</v>
      </c>
      <c r="AJ24" s="34"/>
      <c r="AK24" s="34"/>
      <c r="AL24" s="2" t="s">
        <v>35</v>
      </c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</row>
    <row r="25" spans="1:147" ht="18" hidden="1" customHeight="1">
      <c r="A25" s="7" t="s">
        <v>22</v>
      </c>
      <c r="N25" s="33">
        <f t="shared" si="10"/>
        <v>5</v>
      </c>
      <c r="O25" s="31">
        <v>4</v>
      </c>
      <c r="P25" s="35">
        <v>1</v>
      </c>
      <c r="Q25" s="34">
        <f t="shared" si="11"/>
        <v>21</v>
      </c>
      <c r="R25" s="31">
        <v>20</v>
      </c>
      <c r="S25" s="31">
        <v>1</v>
      </c>
      <c r="T25" s="33">
        <f t="shared" si="12"/>
        <v>19</v>
      </c>
      <c r="U25" s="31">
        <v>15</v>
      </c>
      <c r="V25" s="35">
        <v>4</v>
      </c>
      <c r="W25" s="34">
        <f t="shared" si="13"/>
        <v>9</v>
      </c>
      <c r="X25" s="31">
        <v>8</v>
      </c>
      <c r="Y25" s="34">
        <v>1</v>
      </c>
      <c r="Z25" s="33">
        <f t="shared" si="14"/>
        <v>13</v>
      </c>
      <c r="AA25" s="34">
        <v>10</v>
      </c>
      <c r="AB25" s="34">
        <v>3</v>
      </c>
      <c r="AC25" s="33">
        <f t="shared" si="15"/>
        <v>7</v>
      </c>
      <c r="AD25" s="34">
        <v>5</v>
      </c>
      <c r="AE25" s="34">
        <v>2</v>
      </c>
      <c r="AF25" s="33">
        <f t="shared" si="16"/>
        <v>7</v>
      </c>
      <c r="AG25" s="34">
        <v>6</v>
      </c>
      <c r="AH25" s="34">
        <v>1</v>
      </c>
      <c r="AI25" s="33">
        <f t="shared" si="17"/>
        <v>0</v>
      </c>
      <c r="AJ25" s="34"/>
      <c r="AK25" s="34"/>
      <c r="AL25" s="2" t="s">
        <v>36</v>
      </c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</row>
    <row r="26" spans="1:147" ht="18" hidden="1" customHeight="1">
      <c r="A26" s="7" t="s">
        <v>30</v>
      </c>
      <c r="N26" s="33">
        <f t="shared" si="10"/>
        <v>73</v>
      </c>
      <c r="O26" s="31">
        <v>71</v>
      </c>
      <c r="P26" s="35">
        <v>2</v>
      </c>
      <c r="Q26" s="34">
        <f t="shared" si="11"/>
        <v>123</v>
      </c>
      <c r="R26" s="31">
        <v>120</v>
      </c>
      <c r="S26" s="31">
        <v>3</v>
      </c>
      <c r="T26" s="33">
        <f t="shared" si="12"/>
        <v>95</v>
      </c>
      <c r="U26" s="31">
        <v>87</v>
      </c>
      <c r="V26" s="35">
        <v>8</v>
      </c>
      <c r="W26" s="34">
        <f t="shared" si="13"/>
        <v>54</v>
      </c>
      <c r="X26" s="31">
        <v>52</v>
      </c>
      <c r="Y26" s="34">
        <v>2</v>
      </c>
      <c r="Z26" s="33">
        <f t="shared" si="14"/>
        <v>39</v>
      </c>
      <c r="AA26" s="34">
        <v>36</v>
      </c>
      <c r="AB26" s="34">
        <v>3</v>
      </c>
      <c r="AC26" s="33">
        <f t="shared" si="15"/>
        <v>39</v>
      </c>
      <c r="AD26" s="34">
        <v>37</v>
      </c>
      <c r="AE26" s="34">
        <v>2</v>
      </c>
      <c r="AF26" s="33">
        <f t="shared" si="16"/>
        <v>48</v>
      </c>
      <c r="AG26" s="34">
        <v>45</v>
      </c>
      <c r="AH26" s="34">
        <v>3</v>
      </c>
      <c r="AI26" s="33">
        <f t="shared" si="17"/>
        <v>0</v>
      </c>
      <c r="AJ26" s="34"/>
      <c r="AK26" s="34"/>
      <c r="AL26" s="2" t="s">
        <v>37</v>
      </c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</row>
    <row r="27" spans="1:147" ht="18" hidden="1" customHeight="1">
      <c r="A27" s="7" t="s">
        <v>38</v>
      </c>
      <c r="N27" s="33">
        <f t="shared" si="10"/>
        <v>33</v>
      </c>
      <c r="O27" s="31">
        <v>28</v>
      </c>
      <c r="P27" s="35">
        <v>5</v>
      </c>
      <c r="Q27" s="34">
        <f t="shared" si="11"/>
        <v>30</v>
      </c>
      <c r="R27" s="31">
        <v>26</v>
      </c>
      <c r="S27" s="31">
        <v>4</v>
      </c>
      <c r="T27" s="33">
        <f t="shared" si="12"/>
        <v>13</v>
      </c>
      <c r="U27" s="31">
        <v>9</v>
      </c>
      <c r="V27" s="35">
        <v>4</v>
      </c>
      <c r="W27" s="34">
        <f t="shared" si="13"/>
        <v>7</v>
      </c>
      <c r="X27" s="31">
        <v>7</v>
      </c>
      <c r="Y27" s="34">
        <v>0</v>
      </c>
      <c r="Z27" s="33">
        <f t="shared" si="14"/>
        <v>15</v>
      </c>
      <c r="AA27" s="34">
        <v>9</v>
      </c>
      <c r="AB27" s="34">
        <v>6</v>
      </c>
      <c r="AC27" s="33">
        <f t="shared" si="15"/>
        <v>8</v>
      </c>
      <c r="AD27" s="34">
        <v>5</v>
      </c>
      <c r="AE27" s="34">
        <v>3</v>
      </c>
      <c r="AF27" s="33">
        <f t="shared" si="16"/>
        <v>5</v>
      </c>
      <c r="AG27" s="34">
        <v>5</v>
      </c>
      <c r="AH27" s="34">
        <v>0</v>
      </c>
      <c r="AI27" s="33">
        <f t="shared" si="17"/>
        <v>0</v>
      </c>
      <c r="AJ27" s="34"/>
      <c r="AK27" s="34"/>
      <c r="AL27" s="2" t="s">
        <v>39</v>
      </c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</row>
    <row r="28" spans="1:147" ht="18" hidden="1" customHeight="1">
      <c r="A28" s="7" t="s">
        <v>40</v>
      </c>
      <c r="N28" s="33">
        <f t="shared" si="10"/>
        <v>17</v>
      </c>
      <c r="O28" s="31">
        <v>17</v>
      </c>
      <c r="P28" s="35">
        <v>0</v>
      </c>
      <c r="Q28" s="34">
        <f t="shared" si="11"/>
        <v>4</v>
      </c>
      <c r="R28" s="31">
        <v>4</v>
      </c>
      <c r="S28" s="31">
        <v>0</v>
      </c>
      <c r="T28" s="33">
        <f t="shared" si="12"/>
        <v>13</v>
      </c>
      <c r="U28" s="31">
        <v>9</v>
      </c>
      <c r="V28" s="35">
        <v>4</v>
      </c>
      <c r="W28" s="34">
        <f t="shared" si="13"/>
        <v>5</v>
      </c>
      <c r="X28" s="31">
        <v>5</v>
      </c>
      <c r="Y28" s="34">
        <v>0</v>
      </c>
      <c r="Z28" s="33">
        <f t="shared" si="14"/>
        <v>1</v>
      </c>
      <c r="AA28" s="34">
        <v>1</v>
      </c>
      <c r="AB28" s="34">
        <v>0</v>
      </c>
      <c r="AC28" s="33">
        <f t="shared" si="15"/>
        <v>3</v>
      </c>
      <c r="AD28" s="34">
        <v>3</v>
      </c>
      <c r="AE28" s="34">
        <v>0</v>
      </c>
      <c r="AF28" s="33">
        <f t="shared" si="16"/>
        <v>6</v>
      </c>
      <c r="AG28" s="34">
        <v>6</v>
      </c>
      <c r="AH28" s="34">
        <v>0</v>
      </c>
      <c r="AI28" s="33">
        <f t="shared" si="17"/>
        <v>0</v>
      </c>
      <c r="AJ28" s="34"/>
      <c r="AK28" s="34"/>
      <c r="AL28" s="2" t="s">
        <v>41</v>
      </c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</row>
    <row r="29" spans="1:147" ht="18" hidden="1" customHeight="1">
      <c r="A29" s="7" t="s">
        <v>14</v>
      </c>
      <c r="N29" s="33">
        <f t="shared" si="10"/>
        <v>154</v>
      </c>
      <c r="O29" s="31">
        <v>150</v>
      </c>
      <c r="P29" s="35">
        <v>4</v>
      </c>
      <c r="Q29" s="34">
        <f t="shared" si="11"/>
        <v>132</v>
      </c>
      <c r="R29" s="31">
        <v>131</v>
      </c>
      <c r="S29" s="31">
        <v>1</v>
      </c>
      <c r="T29" s="33">
        <f t="shared" si="12"/>
        <v>108</v>
      </c>
      <c r="U29" s="31">
        <v>104</v>
      </c>
      <c r="V29" s="35">
        <v>4</v>
      </c>
      <c r="W29" s="34">
        <f t="shared" si="13"/>
        <v>65</v>
      </c>
      <c r="X29" s="31">
        <v>63</v>
      </c>
      <c r="Y29" s="34">
        <v>2</v>
      </c>
      <c r="Z29" s="33">
        <f t="shared" si="14"/>
        <v>61</v>
      </c>
      <c r="AA29" s="34">
        <v>58</v>
      </c>
      <c r="AB29" s="34">
        <v>3</v>
      </c>
      <c r="AC29" s="33">
        <f t="shared" si="15"/>
        <v>46</v>
      </c>
      <c r="AD29" s="34">
        <v>46</v>
      </c>
      <c r="AE29" s="34">
        <v>0</v>
      </c>
      <c r="AF29" s="33">
        <f t="shared" si="16"/>
        <v>79</v>
      </c>
      <c r="AG29" s="34">
        <v>54</v>
      </c>
      <c r="AH29" s="34">
        <v>25</v>
      </c>
      <c r="AI29" s="33">
        <f t="shared" si="17"/>
        <v>0</v>
      </c>
      <c r="AJ29" s="34"/>
      <c r="AK29" s="34"/>
      <c r="AL29" s="2" t="s">
        <v>42</v>
      </c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</row>
    <row r="30" spans="1:147" ht="30" hidden="1" customHeight="1">
      <c r="A30" s="8" t="s">
        <v>43</v>
      </c>
      <c r="N30" s="33">
        <f t="shared" si="10"/>
        <v>62</v>
      </c>
      <c r="O30" s="31">
        <v>61</v>
      </c>
      <c r="P30" s="35">
        <v>1</v>
      </c>
      <c r="Q30" s="34">
        <f t="shared" si="11"/>
        <v>53</v>
      </c>
      <c r="R30" s="31">
        <v>53</v>
      </c>
      <c r="S30" s="31">
        <v>0</v>
      </c>
      <c r="T30" s="33">
        <f t="shared" si="12"/>
        <v>34</v>
      </c>
      <c r="U30" s="31">
        <v>33</v>
      </c>
      <c r="V30" s="35">
        <v>1</v>
      </c>
      <c r="W30" s="34">
        <f t="shared" si="13"/>
        <v>38</v>
      </c>
      <c r="X30" s="31">
        <v>38</v>
      </c>
      <c r="Y30" s="34">
        <v>0</v>
      </c>
      <c r="Z30" s="33">
        <f t="shared" si="14"/>
        <v>31</v>
      </c>
      <c r="AA30" s="34">
        <v>31</v>
      </c>
      <c r="AB30" s="34">
        <v>0</v>
      </c>
      <c r="AC30" s="33">
        <f t="shared" si="15"/>
        <v>10</v>
      </c>
      <c r="AD30" s="34">
        <v>10</v>
      </c>
      <c r="AE30" s="34">
        <v>0</v>
      </c>
      <c r="AF30" s="33">
        <f t="shared" si="16"/>
        <v>1</v>
      </c>
      <c r="AG30" s="34">
        <v>1</v>
      </c>
      <c r="AH30" s="34">
        <v>0</v>
      </c>
      <c r="AI30" s="33">
        <f t="shared" si="17"/>
        <v>0</v>
      </c>
      <c r="AJ30" s="34"/>
      <c r="AK30" s="34"/>
      <c r="AL30" s="2" t="s">
        <v>44</v>
      </c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</row>
    <row r="31" spans="1:147" ht="18" hidden="1" customHeight="1">
      <c r="A31" s="7" t="s">
        <v>45</v>
      </c>
      <c r="N31" s="33">
        <f t="shared" si="10"/>
        <v>33</v>
      </c>
      <c r="O31" s="31">
        <v>31</v>
      </c>
      <c r="P31" s="35">
        <v>2</v>
      </c>
      <c r="Q31" s="34">
        <f t="shared" si="11"/>
        <v>21</v>
      </c>
      <c r="R31" s="31">
        <v>19</v>
      </c>
      <c r="S31" s="31">
        <v>2</v>
      </c>
      <c r="T31" s="33">
        <f t="shared" si="12"/>
        <v>11</v>
      </c>
      <c r="U31" s="31">
        <v>11</v>
      </c>
      <c r="V31" s="35">
        <v>0</v>
      </c>
      <c r="W31" s="34">
        <f t="shared" si="13"/>
        <v>9</v>
      </c>
      <c r="X31" s="31">
        <v>9</v>
      </c>
      <c r="Y31" s="34">
        <v>0</v>
      </c>
      <c r="Z31" s="33">
        <f t="shared" si="14"/>
        <v>12</v>
      </c>
      <c r="AA31" s="34">
        <v>12</v>
      </c>
      <c r="AB31" s="34">
        <v>0</v>
      </c>
      <c r="AC31" s="33">
        <f t="shared" si="15"/>
        <v>8</v>
      </c>
      <c r="AD31" s="34">
        <v>7</v>
      </c>
      <c r="AE31" s="34">
        <v>1</v>
      </c>
      <c r="AF31" s="33">
        <f t="shared" si="16"/>
        <v>7</v>
      </c>
      <c r="AG31" s="34">
        <v>7</v>
      </c>
      <c r="AH31" s="34">
        <v>0</v>
      </c>
      <c r="AI31" s="33">
        <f t="shared" si="17"/>
        <v>0</v>
      </c>
      <c r="AJ31" s="34"/>
      <c r="AK31" s="34"/>
      <c r="AL31" s="2" t="s">
        <v>46</v>
      </c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</row>
    <row r="32" spans="1:147" ht="18" hidden="1" customHeight="1">
      <c r="A32" s="9" t="s">
        <v>6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3">
        <f t="shared" si="10"/>
        <v>246</v>
      </c>
      <c r="O32" s="44">
        <v>176</v>
      </c>
      <c r="P32" s="45">
        <v>70</v>
      </c>
      <c r="Q32" s="46">
        <f t="shared" si="11"/>
        <v>538</v>
      </c>
      <c r="R32" s="44">
        <v>463</v>
      </c>
      <c r="S32" s="44">
        <v>75</v>
      </c>
      <c r="T32" s="43">
        <f t="shared" si="12"/>
        <v>300</v>
      </c>
      <c r="U32" s="44">
        <v>166</v>
      </c>
      <c r="V32" s="45">
        <v>134</v>
      </c>
      <c r="W32" s="46">
        <f t="shared" si="13"/>
        <v>283</v>
      </c>
      <c r="X32" s="44">
        <v>175</v>
      </c>
      <c r="Y32" s="46">
        <v>108</v>
      </c>
      <c r="Z32" s="43">
        <f t="shared" si="14"/>
        <v>199</v>
      </c>
      <c r="AA32" s="46">
        <v>172</v>
      </c>
      <c r="AB32" s="46">
        <v>27</v>
      </c>
      <c r="AC32" s="43">
        <f t="shared" si="15"/>
        <v>169</v>
      </c>
      <c r="AD32" s="46">
        <v>128</v>
      </c>
      <c r="AE32" s="46">
        <v>41</v>
      </c>
      <c r="AF32" s="43">
        <f t="shared" si="16"/>
        <v>917</v>
      </c>
      <c r="AG32" s="46">
        <v>787</v>
      </c>
      <c r="AH32" s="46">
        <v>130</v>
      </c>
      <c r="AI32" s="43">
        <f t="shared" si="17"/>
        <v>0</v>
      </c>
      <c r="AJ32" s="46"/>
      <c r="AK32" s="46"/>
      <c r="AL32" s="3" t="s">
        <v>24</v>
      </c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</row>
    <row r="33" spans="1:147" ht="18" customHeight="1">
      <c r="A33" s="47" t="s">
        <v>47</v>
      </c>
      <c r="AL33" s="10" t="s">
        <v>50</v>
      </c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</row>
    <row r="34" spans="1:147"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</row>
    <row r="35" spans="1:147"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</row>
    <row r="36" spans="1:147"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</row>
    <row r="37" spans="1:147">
      <c r="B37" s="48"/>
      <c r="C37" s="48"/>
      <c r="D37" s="49"/>
      <c r="E37" s="48"/>
      <c r="F37" s="48"/>
      <c r="G37" s="49"/>
      <c r="H37" s="48"/>
      <c r="I37" s="48"/>
      <c r="J37" s="49"/>
      <c r="K37" s="48"/>
      <c r="L37" s="48"/>
      <c r="M37" s="50"/>
      <c r="N37" s="48"/>
      <c r="O37" s="48"/>
      <c r="P37" s="50"/>
      <c r="Q37" s="48"/>
      <c r="R37" s="48"/>
      <c r="S37" s="50"/>
      <c r="T37" s="48"/>
      <c r="U37" s="48"/>
      <c r="V37" s="50"/>
      <c r="W37" s="48"/>
      <c r="X37" s="48"/>
      <c r="Y37" s="50"/>
      <c r="Z37" s="48"/>
      <c r="AA37" s="48"/>
      <c r="AB37" s="50"/>
      <c r="AC37" s="48"/>
      <c r="AD37" s="48"/>
      <c r="AE37" s="50"/>
      <c r="AF37" s="48"/>
      <c r="AG37" s="48"/>
      <c r="AH37" s="50"/>
      <c r="AI37" s="48"/>
      <c r="AJ37" s="48"/>
      <c r="AK37" s="50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</row>
    <row r="38" spans="1:147"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</row>
    <row r="39" spans="1:147"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</row>
    <row r="40" spans="1:147"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</row>
    <row r="41" spans="1:147"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</row>
    <row r="42" spans="1:147"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</row>
    <row r="43" spans="1:147"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</row>
    <row r="44" spans="1:147"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</row>
    <row r="45" spans="1:147"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</row>
    <row r="46" spans="1:147"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</row>
    <row r="47" spans="1:147"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</row>
    <row r="48" spans="1:147"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</row>
    <row r="49" spans="88:147"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</row>
    <row r="50" spans="88:147"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</row>
    <row r="51" spans="88:147"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</row>
    <row r="52" spans="88:147"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</row>
    <row r="53" spans="88:147"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</row>
    <row r="54" spans="88:147"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</row>
    <row r="55" spans="88:147"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</row>
    <row r="56" spans="88:147"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</row>
    <row r="57" spans="88:147"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</row>
    <row r="58" spans="88:147"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</row>
    <row r="59" spans="88:147"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</row>
    <row r="60" spans="88:147"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</row>
    <row r="61" spans="88:147"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</row>
    <row r="62" spans="88:147"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</row>
    <row r="63" spans="88:147"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</row>
    <row r="64" spans="88:147"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</row>
    <row r="65" spans="88:147"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</row>
    <row r="66" spans="88:147"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</row>
    <row r="67" spans="88:147"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</row>
    <row r="68" spans="88:147"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</row>
    <row r="69" spans="88:147"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</row>
    <row r="70" spans="88:147"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</row>
    <row r="71" spans="88:147"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</row>
    <row r="72" spans="88:147"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</row>
    <row r="73" spans="88:147"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</row>
    <row r="74" spans="88:147"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</row>
    <row r="75" spans="88:147"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</row>
    <row r="76" spans="88:147"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</row>
    <row r="77" spans="88:147"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</row>
    <row r="78" spans="88:147"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</row>
    <row r="79" spans="88:147"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</row>
    <row r="80" spans="88:147"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</row>
    <row r="81" spans="88:147"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</row>
    <row r="82" spans="88:147"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</row>
    <row r="83" spans="88:147"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</row>
    <row r="84" spans="88:147"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</row>
    <row r="85" spans="88:147"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</row>
    <row r="86" spans="88:147"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</row>
    <row r="87" spans="88:147"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</row>
    <row r="88" spans="88:147"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</row>
    <row r="89" spans="88:147"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</row>
    <row r="90" spans="88:147"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</row>
    <row r="91" spans="88:147"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</row>
    <row r="92" spans="88:147"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</row>
    <row r="93" spans="88:147"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</row>
    <row r="94" spans="88:147"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</row>
    <row r="95" spans="88:147"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</row>
    <row r="96" spans="88:147"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</row>
    <row r="97" spans="88:147"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</row>
    <row r="98" spans="88:147"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</row>
    <row r="99" spans="88:147"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</row>
    <row r="100" spans="88:147"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</row>
    <row r="101" spans="88:147"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</row>
    <row r="102" spans="88:147"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</row>
    <row r="103" spans="88:147"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</row>
    <row r="104" spans="88:147"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</row>
    <row r="105" spans="88:147"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</row>
    <row r="106" spans="88:147"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</row>
    <row r="107" spans="88:147"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</row>
    <row r="108" spans="88:147"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</row>
    <row r="109" spans="88:147"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</row>
    <row r="110" spans="88:147"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</row>
    <row r="111" spans="88:147"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</row>
    <row r="112" spans="88:147"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</row>
    <row r="113" spans="88:147"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</row>
    <row r="114" spans="88:147"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</row>
    <row r="115" spans="88:147"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</row>
    <row r="116" spans="88:147"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</row>
    <row r="117" spans="88:147"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</row>
    <row r="118" spans="88:147"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</row>
    <row r="119" spans="88:147"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</row>
    <row r="120" spans="88:147"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</row>
    <row r="121" spans="88:147"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</row>
    <row r="122" spans="88:147"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</row>
    <row r="123" spans="88:147"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</row>
    <row r="124" spans="88:147"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</row>
    <row r="125" spans="88:147"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</row>
    <row r="126" spans="88:147"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</row>
    <row r="127" spans="88:147"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</row>
    <row r="128" spans="88:147"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</row>
    <row r="129" spans="88:147"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</row>
    <row r="130" spans="88:147"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</row>
    <row r="131" spans="88:147"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</row>
    <row r="132" spans="88:147"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</row>
    <row r="133" spans="88:147"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</row>
    <row r="134" spans="88:147"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</row>
    <row r="135" spans="88:147"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</row>
    <row r="136" spans="88:147"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</row>
    <row r="137" spans="88:147"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</row>
    <row r="138" spans="88:147"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</row>
    <row r="139" spans="88:147"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</row>
    <row r="140" spans="88:147"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</row>
    <row r="141" spans="88:147"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</row>
    <row r="142" spans="88:147"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</row>
    <row r="143" spans="88:147"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</row>
    <row r="144" spans="88:147"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</row>
    <row r="145" spans="88:147"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</row>
    <row r="146" spans="88:147"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</row>
    <row r="147" spans="88:147"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</row>
    <row r="148" spans="88:147"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</row>
    <row r="149" spans="88:147"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</row>
    <row r="150" spans="88:147"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</row>
    <row r="151" spans="88:147"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</row>
    <row r="152" spans="88:147"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</row>
    <row r="153" spans="88:147"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</row>
    <row r="154" spans="88:147"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</row>
    <row r="155" spans="88:147"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</row>
    <row r="156" spans="88:147"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</row>
    <row r="157" spans="88:147"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</row>
    <row r="158" spans="88:147"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</row>
    <row r="159" spans="88:147"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</row>
    <row r="160" spans="88:147"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</row>
    <row r="161" spans="88:147"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</row>
    <row r="162" spans="88:147"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</row>
    <row r="163" spans="88:147"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</row>
    <row r="164" spans="88:147"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</row>
    <row r="165" spans="88:147"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</row>
    <row r="166" spans="88:147"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</row>
    <row r="167" spans="88:147"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</row>
    <row r="168" spans="88:147"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</row>
    <row r="169" spans="88:147"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</row>
    <row r="170" spans="88:147"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</row>
    <row r="171" spans="88:147"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</row>
    <row r="172" spans="88:147"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</row>
    <row r="173" spans="88:147"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</row>
    <row r="174" spans="88:147"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</row>
    <row r="175" spans="88:147"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</row>
    <row r="176" spans="88:147"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</row>
    <row r="177" spans="88:147"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</row>
    <row r="178" spans="88:147"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</row>
    <row r="179" spans="88:147"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</row>
    <row r="180" spans="88:147"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</row>
    <row r="181" spans="88:147"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</row>
    <row r="182" spans="88:147"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</row>
    <row r="183" spans="88:147"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</row>
    <row r="184" spans="88:147"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</row>
    <row r="185" spans="88:147"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</row>
    <row r="186" spans="88:147"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</row>
    <row r="187" spans="88:147"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</row>
    <row r="188" spans="88:147"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</row>
    <row r="189" spans="88:147"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</row>
    <row r="190" spans="88:147"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</row>
    <row r="191" spans="88:147"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</row>
    <row r="192" spans="88:147"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</row>
    <row r="193" spans="88:147"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</row>
    <row r="194" spans="88:147"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</row>
    <row r="195" spans="88:147"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</row>
    <row r="196" spans="88:147"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</row>
    <row r="197" spans="88:147"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</row>
    <row r="198" spans="88:147"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</row>
    <row r="199" spans="88:147"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</row>
    <row r="200" spans="88:147"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</row>
    <row r="201" spans="88:147"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</row>
    <row r="202" spans="88:147"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</row>
    <row r="203" spans="88:147"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</row>
    <row r="204" spans="88:147"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</row>
    <row r="205" spans="88:147"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</row>
    <row r="206" spans="88:147"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</row>
    <row r="207" spans="88:147"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</row>
    <row r="208" spans="88:147"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</row>
    <row r="209" spans="88:147"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</row>
    <row r="210" spans="88:147"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</row>
    <row r="211" spans="88:147"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</row>
    <row r="212" spans="88:147"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</row>
    <row r="213" spans="88:147"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</row>
    <row r="214" spans="88:147"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</row>
    <row r="215" spans="88:147"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</row>
    <row r="216" spans="88:147"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</row>
    <row r="217" spans="88:147"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</row>
    <row r="218" spans="88:147"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</row>
    <row r="219" spans="88:147"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</row>
    <row r="220" spans="88:147"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</row>
    <row r="221" spans="88:147"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</row>
    <row r="222" spans="88:147"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</row>
    <row r="223" spans="88:147"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</row>
    <row r="224" spans="88:147"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</row>
    <row r="225" spans="88:147"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</row>
    <row r="226" spans="88:147"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</row>
    <row r="227" spans="88:147"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</row>
    <row r="228" spans="88:147"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</row>
    <row r="229" spans="88:147"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</row>
    <row r="230" spans="88:147"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</row>
    <row r="231" spans="88:147"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</row>
    <row r="232" spans="88:147"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</row>
    <row r="233" spans="88:147"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</row>
    <row r="234" spans="88:147"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</row>
    <row r="235" spans="88:147"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</row>
    <row r="236" spans="88:147"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</row>
    <row r="237" spans="88:147"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</row>
    <row r="238" spans="88:147"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</row>
    <row r="239" spans="88:147"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</row>
    <row r="240" spans="88:147"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</row>
    <row r="241" spans="88:147"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</row>
    <row r="242" spans="88:147"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</row>
    <row r="243" spans="88:147"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</row>
    <row r="244" spans="88:147"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</row>
    <row r="245" spans="88:147"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</row>
    <row r="246" spans="88:147"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</row>
    <row r="247" spans="88:147"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</row>
    <row r="248" spans="88:147"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</row>
    <row r="249" spans="88:147"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</row>
    <row r="250" spans="88:147"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</row>
    <row r="251" spans="88:147"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</row>
    <row r="252" spans="88:147"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</row>
    <row r="253" spans="88:147"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</row>
    <row r="254" spans="88:147"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</row>
    <row r="255" spans="88:147"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</row>
    <row r="256" spans="88:147"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</row>
    <row r="257" spans="88:147"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</row>
    <row r="258" spans="88:147"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</row>
    <row r="259" spans="88:147"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</row>
    <row r="260" spans="88:147"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</row>
    <row r="261" spans="88:147"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</row>
    <row r="262" spans="88:147"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</row>
    <row r="263" spans="88:147"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</row>
    <row r="264" spans="88:147"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</row>
    <row r="265" spans="88:147"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</row>
    <row r="266" spans="88:147"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</row>
    <row r="267" spans="88:147"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</row>
    <row r="268" spans="88:147"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</row>
    <row r="269" spans="88:147"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</row>
    <row r="270" spans="88:147"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</row>
    <row r="271" spans="88:147"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</row>
    <row r="272" spans="88:147"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</row>
    <row r="273" spans="88:147"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</row>
    <row r="274" spans="88:147"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</row>
    <row r="275" spans="88:147"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</row>
    <row r="276" spans="88:147"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</row>
    <row r="277" spans="88:147"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</row>
    <row r="278" spans="88:147"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</row>
    <row r="279" spans="88:147"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</row>
    <row r="280" spans="88:147"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</row>
    <row r="281" spans="88:147"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</row>
    <row r="282" spans="88:147"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</row>
    <row r="283" spans="88:147"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</row>
    <row r="284" spans="88:147"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</row>
    <row r="285" spans="88:147"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</row>
    <row r="286" spans="88:147"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</row>
    <row r="287" spans="88:147"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</row>
    <row r="288" spans="88:147"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</row>
    <row r="289" spans="88:147"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</row>
    <row r="290" spans="88:147"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</row>
    <row r="291" spans="88:147"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</row>
    <row r="292" spans="88:147"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</row>
    <row r="293" spans="88:147"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</row>
    <row r="294" spans="88:147"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</row>
    <row r="295" spans="88:147"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</row>
    <row r="296" spans="88:147"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</row>
    <row r="297" spans="88:147"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</row>
    <row r="298" spans="88:147"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</row>
    <row r="299" spans="88:147"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</row>
    <row r="300" spans="88:147"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</row>
    <row r="301" spans="88:147"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</row>
    <row r="302" spans="88:147"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</row>
    <row r="303" spans="88:147"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</row>
    <row r="304" spans="88:147"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</row>
    <row r="305" spans="88:147"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</row>
    <row r="306" spans="88:147"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</row>
    <row r="307" spans="88:147"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</row>
    <row r="308" spans="88:147"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</row>
    <row r="309" spans="88:147"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</row>
    <row r="310" spans="88:147"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</row>
    <row r="311" spans="88:147"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</row>
    <row r="312" spans="88:147"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</row>
    <row r="313" spans="88:147"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</row>
    <row r="314" spans="88:147"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</row>
    <row r="315" spans="88:147"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</row>
    <row r="316" spans="88:147"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</row>
    <row r="317" spans="88:147"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</row>
    <row r="318" spans="88:147"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</row>
    <row r="319" spans="88:147"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</row>
    <row r="320" spans="88:147"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</row>
    <row r="321" spans="88:147"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</row>
    <row r="322" spans="88:147"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</row>
    <row r="323" spans="88:147"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</row>
    <row r="324" spans="88:147"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</row>
    <row r="325" spans="88:147"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</row>
    <row r="326" spans="88:147"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</row>
    <row r="327" spans="88:147"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</row>
    <row r="328" spans="88:147"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</row>
    <row r="329" spans="88:147"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</row>
    <row r="330" spans="88:147"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</row>
    <row r="331" spans="88:147"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</row>
    <row r="332" spans="88:147"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</row>
    <row r="333" spans="88:147"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</row>
    <row r="334" spans="88:147"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</row>
    <row r="335" spans="88:147"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</row>
    <row r="336" spans="88:147"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</row>
    <row r="337" spans="88:147"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</row>
    <row r="338" spans="88:147"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</row>
    <row r="339" spans="88:147"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</row>
    <row r="340" spans="88:147"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</row>
    <row r="341" spans="88:147"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</row>
    <row r="342" spans="88:147"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</row>
    <row r="343" spans="88:147"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</row>
    <row r="344" spans="88:147"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</row>
    <row r="345" spans="88:147"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</row>
    <row r="346" spans="88:147"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</row>
    <row r="347" spans="88:147"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</row>
    <row r="348" spans="88:147"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</row>
    <row r="349" spans="88:147"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</row>
    <row r="350" spans="88:147"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</row>
    <row r="351" spans="88:147"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</row>
    <row r="352" spans="88:147"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</row>
    <row r="353" spans="88:147"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</row>
    <row r="354" spans="88:147"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</row>
    <row r="355" spans="88:147"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</row>
    <row r="356" spans="88:147"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</row>
    <row r="357" spans="88:147"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</row>
    <row r="358" spans="88:147"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</row>
    <row r="359" spans="88:147"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</row>
    <row r="360" spans="88:147"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</row>
    <row r="361" spans="88:147"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</row>
    <row r="362" spans="88:147"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</row>
    <row r="363" spans="88:147"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</row>
    <row r="364" spans="88:147"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</row>
    <row r="365" spans="88:147"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</row>
    <row r="366" spans="88:147"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</row>
    <row r="367" spans="88:147"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</row>
    <row r="368" spans="88:147"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</row>
    <row r="369" spans="88:147"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</row>
    <row r="370" spans="88:147"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</row>
    <row r="371" spans="88:147"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</row>
    <row r="372" spans="88:147"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</row>
    <row r="373" spans="88:147"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</row>
    <row r="374" spans="88:147"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</row>
    <row r="375" spans="88:147"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</row>
    <row r="376" spans="88:147"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</row>
    <row r="377" spans="88:147"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</row>
    <row r="378" spans="88:147"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</row>
    <row r="379" spans="88:147"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</row>
    <row r="380" spans="88:147"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</row>
    <row r="381" spans="88:147"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</row>
    <row r="382" spans="88:147"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</row>
  </sheetData>
  <mergeCells count="16">
    <mergeCell ref="T6:V6"/>
    <mergeCell ref="W6:Y6"/>
    <mergeCell ref="Z6:AB6"/>
    <mergeCell ref="A1:AL1"/>
    <mergeCell ref="A2:AL2"/>
    <mergeCell ref="A4:A6"/>
    <mergeCell ref="AL4:AL6"/>
    <mergeCell ref="B6:D6"/>
    <mergeCell ref="E6:G6"/>
    <mergeCell ref="H6:J6"/>
    <mergeCell ref="K6:M6"/>
    <mergeCell ref="N6:P6"/>
    <mergeCell ref="Q6:S6"/>
    <mergeCell ref="AC6:AE6"/>
    <mergeCell ref="AF6:AH6"/>
    <mergeCell ref="AI6:AK6"/>
  </mergeCells>
  <pageMargins left="0.7" right="0.7" top="0.75" bottom="0.75" header="0.3" footer="0.3"/>
  <pageSetup paperSize="9" scale="36" orientation="portrait" r:id="rId1"/>
  <colBreaks count="1" manualBreakCount="1">
    <brk id="39" max="53" man="1"/>
  </colBreaks>
  <ignoredErrors>
    <ignoredError sqref="AA7:AB7" formulaRange="1"/>
    <ignoredError sqref="N7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8.17</vt:lpstr>
      <vt:lpstr>'8.17'!Print_Area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2023-05-16T12:19:03Z</cp:lastPrinted>
  <dcterms:created xsi:type="dcterms:W3CDTF">2019-06-30T04:22:49Z</dcterms:created>
  <dcterms:modified xsi:type="dcterms:W3CDTF">2023-05-16T12:19:15Z</dcterms:modified>
</cp:coreProperties>
</file>