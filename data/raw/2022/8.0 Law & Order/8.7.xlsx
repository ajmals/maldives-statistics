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BB8C218D-A484-4867-801D-920C7E29C0A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7" sheetId="7" r:id="rId1"/>
  </sheets>
  <definedNames>
    <definedName name="_xlnm.Print_Area" localSheetId="0">'8.7'!$A$1:$Q$32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7" l="1"/>
  <c r="N6" i="7"/>
  <c r="L6" i="7"/>
  <c r="N7" i="7" l="1"/>
  <c r="N8" i="7"/>
  <c r="N9" i="7"/>
  <c r="N10" i="7"/>
  <c r="N11" i="7"/>
  <c r="N12" i="7"/>
  <c r="N13" i="7"/>
  <c r="O13" i="7"/>
  <c r="O7" i="7" l="1"/>
  <c r="O11" i="7"/>
  <c r="O10" i="7"/>
  <c r="O9" i="7"/>
  <c r="O12" i="7"/>
  <c r="O8" i="7"/>
  <c r="K6" i="7" l="1"/>
  <c r="J6" i="7" l="1"/>
  <c r="I6" i="7" l="1"/>
  <c r="H6" i="7" l="1"/>
  <c r="G6" i="7"/>
  <c r="F6" i="7"/>
  <c r="E6" i="7"/>
  <c r="D6" i="7"/>
  <c r="C6" i="7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<sst xmlns="http://schemas.openxmlformats.org/spreadsheetml/2006/main" count="27" uniqueCount="27">
  <si>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</si>
  <si>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</si>
  <si>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</si>
  <si>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</si>
  <si>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</si>
  <si>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</si>
  <si>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</si>
  <si>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</si>
  <si>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</si>
  <si>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</si>
  <si>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</si>
  <si>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</si>
  <si>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</si>
  <si>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</si>
  <si>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</si>
  <si>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</si>
  <si>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</si>
  <si>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</si>
  <si>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</si>
  <si>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</si>
  <si>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</si>
  <si>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</si>
  <si>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</si>
  <si>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</si>
  <si>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Table 8.7:  THEFT CASES LOGGED BY TYPE, 2016 - 2021</t>
  </si>
  <si>
    <t>ތާވަލު 8.7: ހުށަހެޅިފައިވާ ވައްކަމުގެ މައްސަލަތަކުގެ ބާވަތް، 2016- 2021</t>
  </si>
  <si>
    <t>%change over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</si>
</sst>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7" fillId="0" borderId="7" applyNumberFormat="0" applyFill="0" applyAlignment="0" applyProtection="0"/>
    <xf numFmtId="0" fontId="26" fillId="0" borderId="0"/>
    <xf numFmtId="0" fontId="26" fillId="0" borderId="0"/>
  </cellStyleXfs>
  <cellXfs count="49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7" fontId="15" fillId="2" borderId="0" xfId="1" applyNumberFormat="1" applyFont="1" applyFill="1" applyBorder="1" applyAlignment="1">
      <alignment horizontal="right"/>
    </xf>
    <xf numFmtId="164" fontId="9" fillId="2" borderId="0" xfId="0" applyNumberFormat="1" applyFont="1" applyFill="1" applyAlignment="1">
      <alignment horizontal="right" vertical="center" indent="1"/>
    </xf>
    <xf numFmtId="164" fontId="9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16" fillId="2" borderId="6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top" wrapText="1"/>
    </xf>
    <xf numFmtId="164" fontId="6" fillId="2" borderId="0" xfId="0" applyNumberFormat="1" applyFont="1" applyFill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164" fontId="25" fillId="2" borderId="5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Alignment="1">
      <alignment horizontal="center" vertical="center"/>
    </xf>
    <xf numFmtId="3" fontId="13" fillId="2" borderId="4" xfId="0" applyNumberFormat="1" applyFont="1" applyFill="1" applyBorder="1" applyAlignment="1">
      <alignment horizontal="center" vertical="center"/>
    </xf>
    <xf numFmtId="164" fontId="28" fillId="2" borderId="6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3" fontId="10" fillId="2" borderId="9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17" fillId="2" borderId="1" xfId="0" applyNumberFormat="1" applyFont="1" applyFill="1" applyBorder="1" applyAlignment="1">
      <alignment horizontal="center" vertical="center"/>
    </xf>
    <xf numFmtId="164" fontId="22" fillId="2" borderId="3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</cellXfs>
  <cellStyles count="9">
    <cellStyle name="1" xfId="8" xr:uid="{00000000-0005-0000-0000-000000000000}"/>
    <cellStyle name="Comma" xfId="1" builtinId="3"/>
    <cellStyle name="Comma 2" xfId="3" xr:uid="{00000000-0005-0000-0000-000002000000}"/>
    <cellStyle name="Heading 1 2" xfId="6" xr:uid="{00000000-0005-0000-0000-000003000000}"/>
    <cellStyle name="Hyperlink" xfId="2" builtinId="8"/>
    <cellStyle name="Normal" xfId="0" builtinId="0"/>
    <cellStyle name="Normal 2" xfId="7" xr:uid="{00000000-0005-0000-0000-000006000000}"/>
    <cellStyle name="Normal 3" xfId="5" xr:uid="{00000000-0005-0000-0000-000007000000}"/>
    <cellStyle name="Percent 2" xfId="4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'8.7'!$J$3:$J$5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'8.7'!$J$7:$J$13</c:f>
              <c:numCache>
                <c:formatCode>#,##0</c:formatCode>
                <c:ptCount val="7"/>
                <c:pt idx="0">
                  <c:v>1777</c:v>
                </c:pt>
                <c:pt idx="1">
                  <c:v>777</c:v>
                </c:pt>
                <c:pt idx="2">
                  <c:v>757</c:v>
                </c:pt>
                <c:pt idx="3">
                  <c:v>232</c:v>
                </c:pt>
                <c:pt idx="4">
                  <c:v>94</c:v>
                </c:pt>
                <c:pt idx="5">
                  <c:v>306</c:v>
                </c:pt>
                <c:pt idx="6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'8.7'!$K$3:$K$5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'8.7'!$K$7:$K$13</c:f>
              <c:numCache>
                <c:formatCode>#,##0</c:formatCode>
                <c:ptCount val="7"/>
                <c:pt idx="0">
                  <c:v>1609</c:v>
                </c:pt>
                <c:pt idx="1">
                  <c:v>479</c:v>
                </c:pt>
                <c:pt idx="2">
                  <c:v>583</c:v>
                </c:pt>
                <c:pt idx="3">
                  <c:v>129</c:v>
                </c:pt>
                <c:pt idx="4">
                  <c:v>73</c:v>
                </c:pt>
                <c:pt idx="5">
                  <c:v>190</c:v>
                </c:pt>
                <c:pt idx="6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'8.7'!$L$3:$L$5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'8.7'!$L$7:$L$13</c:f>
              <c:numCache>
                <c:formatCode>#,##0</c:formatCode>
                <c:ptCount val="7"/>
                <c:pt idx="0">
                  <c:v>2251</c:v>
                </c:pt>
                <c:pt idx="1">
                  <c:v>685</c:v>
                </c:pt>
                <c:pt idx="2">
                  <c:v>705</c:v>
                </c:pt>
                <c:pt idx="3">
                  <c:v>105</c:v>
                </c:pt>
                <c:pt idx="4">
                  <c:v>53</c:v>
                </c:pt>
                <c:pt idx="5">
                  <c:v>236</c:v>
                </c:pt>
                <c:pt idx="6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1680"/>
        <c:axId val="43833216"/>
      </c:barChart>
      <c:catAx>
        <c:axId val="438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3216"/>
        <c:crosses val="autoZero"/>
        <c:auto val="1"/>
        <c:lblAlgn val="ctr"/>
        <c:lblOffset val="100"/>
        <c:noMultiLvlLbl val="0"/>
      </c:catAx>
      <c:valAx>
        <c:axId val="438332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1680"/>
        <c:crosses val="autoZero"/>
        <c:crossBetween val="between"/>
      </c:valAx>
      <c:spPr>
        <a:solidFill>
          <a:srgbClr val="FFEFEF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74567069360232408"/>
          <c:y val="0.2739347952256852"/>
          <c:w val="0.20154383141131749"/>
          <c:h val="7.581704050323501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15</xdr:row>
      <xdr:rowOff>76108</xdr:rowOff>
    </xdr:from>
    <xdr:to>
      <xdr:col>15</xdr:col>
      <xdr:colOff>809625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0.34213</cdr:x>
      <cdr:y>0.04276</cdr:y>
    </cdr:from>
    <cdr:to>
      <cdr:x>0.76074</cdr:x>
      <cdr:y>0.12895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05825" y="129536"/>
          <a:ext cx="3433050" cy="26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2019 - 2021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X23"/>
  <sheetViews>
    <sheetView tabSelected="1" zoomScaleNormal="100" workbookViewId="0">
      <selection activeCell="N6" sqref="N6:N13"/>
    </sheetView>
  </sheetViews>
  <sheetFormatPr defaultColWidth="9.140625" defaultRowHeight="15"/>
  <cols>
    <col min="1" max="1" width="33" style="1" customWidth="1"/>
    <col min="2" max="6" width="9.7109375" style="1" hidden="1" customWidth="1"/>
    <col min="7" max="12" width="9.7109375" style="1" customWidth="1"/>
    <col min="13" max="13" width="2.7109375" style="1" customWidth="1"/>
    <col min="14" max="14" width="15.5703125" style="1" customWidth="1"/>
    <col min="15" max="15" width="14.28515625" style="1" customWidth="1"/>
    <col min="16" max="16" width="34.5703125" style="1" customWidth="1"/>
    <col min="17" max="17" width="5.42578125" style="1" customWidth="1"/>
    <col min="18" max="18" width="22.140625" style="1" bestFit="1" customWidth="1"/>
    <col min="19" max="16384" width="9.140625" style="1"/>
  </cols>
  <sheetData>
    <row r="1" spans="1:24" ht="21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24" ht="15.75" customHeight="1">
      <c r="A2" s="37" t="s">
        <v>24</v>
      </c>
      <c r="B2" s="37"/>
      <c r="C2" s="37"/>
      <c r="D2" s="37"/>
      <c r="E2" s="37"/>
      <c r="F2" s="37"/>
      <c r="G2" s="37"/>
      <c r="H2" s="37"/>
      <c r="I2" s="37"/>
      <c r="J2" s="38"/>
      <c r="K2" s="38"/>
      <c r="L2" s="39"/>
      <c r="M2" s="37"/>
      <c r="N2" s="38"/>
      <c r="O2" s="38"/>
      <c r="P2" s="37"/>
      <c r="R2" s="2"/>
    </row>
    <row r="3" spans="1:24" ht="17.25">
      <c r="A3" s="46" t="s">
        <v>6</v>
      </c>
      <c r="B3" s="43">
        <v>2011</v>
      </c>
      <c r="C3" s="43">
        <v>2012</v>
      </c>
      <c r="D3" s="43">
        <v>2013</v>
      </c>
      <c r="E3" s="43">
        <v>2014</v>
      </c>
      <c r="F3" s="43">
        <v>2015</v>
      </c>
      <c r="G3" s="43">
        <v>2016</v>
      </c>
      <c r="H3" s="43">
        <v>2017</v>
      </c>
      <c r="I3" s="43">
        <v>2018</v>
      </c>
      <c r="J3" s="43">
        <v>2019</v>
      </c>
      <c r="K3" s="43">
        <v>2020</v>
      </c>
      <c r="L3" s="43">
        <v>2021</v>
      </c>
      <c r="M3" s="32"/>
      <c r="N3" s="31" t="s">
        <v>3</v>
      </c>
      <c r="O3" s="20" t="s">
        <v>7</v>
      </c>
      <c r="P3" s="41" t="s">
        <v>8</v>
      </c>
      <c r="S3" s="3"/>
      <c r="T3" s="3"/>
      <c r="U3" s="3"/>
      <c r="V3" s="3"/>
      <c r="W3" s="3"/>
      <c r="X3" s="3"/>
    </row>
    <row r="4" spans="1:24" ht="34.5">
      <c r="A4" s="47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33"/>
      <c r="N4" s="21" t="s">
        <v>4</v>
      </c>
      <c r="O4" s="22" t="s">
        <v>9</v>
      </c>
      <c r="P4" s="42"/>
      <c r="S4" s="3"/>
      <c r="T4" s="3"/>
      <c r="U4" s="3"/>
      <c r="V4" s="3"/>
      <c r="W4" s="3"/>
      <c r="X4" s="3"/>
    </row>
    <row r="5" spans="1:24" ht="17.25">
      <c r="A5" s="48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34"/>
      <c r="N5" s="23" t="s">
        <v>26</v>
      </c>
      <c r="O5" s="23">
        <v>2021</v>
      </c>
      <c r="P5" s="36"/>
      <c r="S5" s="3"/>
      <c r="T5" s="3"/>
      <c r="U5" s="3"/>
      <c r="V5" s="3"/>
      <c r="W5" s="3"/>
      <c r="X5" s="3"/>
    </row>
    <row r="6" spans="1:24" s="13" customFormat="1" ht="17.25">
      <c r="A6" s="4" t="s">
        <v>0</v>
      </c>
      <c r="B6" s="24">
        <f t="shared" ref="B6:K6" si="0">SUM(B7:B13)</f>
        <v>4734</v>
      </c>
      <c r="C6" s="24">
        <f t="shared" si="0"/>
        <v>6571</v>
      </c>
      <c r="D6" s="24">
        <f t="shared" si="0"/>
        <v>6683</v>
      </c>
      <c r="E6" s="24">
        <f t="shared" si="0"/>
        <v>5080</v>
      </c>
      <c r="F6" s="24">
        <f t="shared" si="0"/>
        <v>4008</v>
      </c>
      <c r="G6" s="24">
        <f t="shared" si="0"/>
        <v>3616</v>
      </c>
      <c r="H6" s="24">
        <f t="shared" si="0"/>
        <v>3503</v>
      </c>
      <c r="I6" s="24">
        <f t="shared" si="0"/>
        <v>3270</v>
      </c>
      <c r="J6" s="24">
        <f t="shared" si="0"/>
        <v>4554</v>
      </c>
      <c r="K6" s="24">
        <f t="shared" si="0"/>
        <v>3581</v>
      </c>
      <c r="L6" s="24">
        <f>SUM(L7:L13)</f>
        <v>4662</v>
      </c>
      <c r="M6" s="24"/>
      <c r="N6" s="35">
        <f>((L6-K6)/K6*100)</f>
        <v>30.187098575816812</v>
      </c>
      <c r="O6" s="35">
        <f>L6/$L$6*100</f>
        <v>100</v>
      </c>
      <c r="P6" s="27" t="s">
        <v>5</v>
      </c>
      <c r="R6" s="24"/>
      <c r="S6" s="14"/>
      <c r="T6" s="14"/>
      <c r="U6" s="14"/>
      <c r="V6" s="14"/>
      <c r="W6" s="14"/>
      <c r="X6" s="14"/>
    </row>
    <row r="7" spans="1:24" s="19" customFormat="1" ht="18.75">
      <c r="A7" s="15" t="s">
        <v>10</v>
      </c>
      <c r="B7" s="25">
        <v>2194</v>
      </c>
      <c r="C7" s="25">
        <v>3099</v>
      </c>
      <c r="D7" s="25">
        <v>3285</v>
      </c>
      <c r="E7" s="25">
        <v>2275</v>
      </c>
      <c r="F7" s="25">
        <v>1393</v>
      </c>
      <c r="G7" s="25">
        <v>1054</v>
      </c>
      <c r="H7" s="25">
        <v>1217</v>
      </c>
      <c r="I7" s="25">
        <v>1290</v>
      </c>
      <c r="J7" s="25">
        <v>1777</v>
      </c>
      <c r="K7" s="25">
        <v>1609</v>
      </c>
      <c r="L7" s="25">
        <v>2251</v>
      </c>
      <c r="M7" s="25"/>
      <c r="N7" s="28">
        <f t="shared" ref="N7:N13" si="1">((L7-K7)/K7*100)</f>
        <v>39.900559353635799</v>
      </c>
      <c r="O7" s="28">
        <f t="shared" ref="O7:O13" si="2">L7/$L$6*100</f>
        <v>48.283998283998287</v>
      </c>
      <c r="P7" s="7" t="s">
        <v>11</v>
      </c>
      <c r="R7" s="24"/>
      <c r="S7" s="14"/>
      <c r="T7" s="14"/>
      <c r="U7" s="16"/>
      <c r="V7" s="16"/>
      <c r="W7" s="16"/>
      <c r="X7" s="16"/>
    </row>
    <row r="8" spans="1:24" s="19" customFormat="1" ht="18.75">
      <c r="A8" s="15" t="s">
        <v>12</v>
      </c>
      <c r="B8" s="25">
        <v>913</v>
      </c>
      <c r="C8" s="25">
        <v>1379</v>
      </c>
      <c r="D8" s="25">
        <v>1017</v>
      </c>
      <c r="E8" s="25">
        <v>602</v>
      </c>
      <c r="F8" s="25">
        <v>657</v>
      </c>
      <c r="G8" s="25">
        <v>650</v>
      </c>
      <c r="H8" s="25">
        <v>666</v>
      </c>
      <c r="I8" s="25">
        <v>494</v>
      </c>
      <c r="J8" s="25">
        <v>777</v>
      </c>
      <c r="K8" s="25">
        <v>479</v>
      </c>
      <c r="L8" s="25">
        <v>685</v>
      </c>
      <c r="M8" s="25"/>
      <c r="N8" s="28">
        <f t="shared" si="1"/>
        <v>43.006263048016699</v>
      </c>
      <c r="O8" s="28">
        <f t="shared" si="2"/>
        <v>14.693264693264693</v>
      </c>
      <c r="P8" s="7" t="s">
        <v>13</v>
      </c>
      <c r="R8" s="24"/>
      <c r="S8" s="25"/>
      <c r="T8" s="14"/>
      <c r="U8" s="16"/>
      <c r="V8" s="16"/>
      <c r="W8" s="16"/>
      <c r="X8" s="16"/>
    </row>
    <row r="9" spans="1:24" s="19" customFormat="1" ht="18.75">
      <c r="A9" s="15" t="s">
        <v>14</v>
      </c>
      <c r="B9" s="25">
        <v>643</v>
      </c>
      <c r="C9" s="25">
        <v>865</v>
      </c>
      <c r="D9" s="25">
        <v>1022</v>
      </c>
      <c r="E9" s="25">
        <v>817</v>
      </c>
      <c r="F9" s="25">
        <v>811</v>
      </c>
      <c r="G9" s="25">
        <v>778</v>
      </c>
      <c r="H9" s="25">
        <v>606</v>
      </c>
      <c r="I9" s="25">
        <v>523</v>
      </c>
      <c r="J9" s="25">
        <v>757</v>
      </c>
      <c r="K9" s="25">
        <v>583</v>
      </c>
      <c r="L9" s="25">
        <v>705</v>
      </c>
      <c r="M9" s="25"/>
      <c r="N9" s="28">
        <f t="shared" si="1"/>
        <v>20.926243567753001</v>
      </c>
      <c r="O9" s="28">
        <f t="shared" si="2"/>
        <v>15.122265122265121</v>
      </c>
      <c r="P9" s="7" t="s">
        <v>15</v>
      </c>
      <c r="R9" s="24"/>
      <c r="S9" s="25"/>
      <c r="T9" s="14"/>
      <c r="U9" s="16"/>
      <c r="V9" s="16"/>
      <c r="W9" s="16"/>
      <c r="X9" s="16"/>
    </row>
    <row r="10" spans="1:24" s="19" customFormat="1" ht="18.75">
      <c r="A10" s="15" t="s">
        <v>16</v>
      </c>
      <c r="B10" s="25">
        <v>200</v>
      </c>
      <c r="C10" s="25">
        <v>278</v>
      </c>
      <c r="D10" s="25">
        <v>324</v>
      </c>
      <c r="E10" s="25">
        <v>258</v>
      </c>
      <c r="F10" s="25">
        <v>286</v>
      </c>
      <c r="G10" s="25">
        <v>278</v>
      </c>
      <c r="H10" s="25">
        <v>237</v>
      </c>
      <c r="I10" s="25">
        <v>223</v>
      </c>
      <c r="J10" s="25">
        <v>232</v>
      </c>
      <c r="K10" s="25">
        <v>129</v>
      </c>
      <c r="L10" s="25">
        <v>105</v>
      </c>
      <c r="M10" s="25"/>
      <c r="N10" s="28">
        <f t="shared" si="1"/>
        <v>-18.604651162790699</v>
      </c>
      <c r="O10" s="28">
        <f t="shared" si="2"/>
        <v>2.2522522522522523</v>
      </c>
      <c r="P10" s="7" t="s">
        <v>17</v>
      </c>
      <c r="S10" s="25"/>
      <c r="T10" s="14"/>
      <c r="U10" s="16"/>
      <c r="V10" s="16"/>
      <c r="W10" s="16"/>
      <c r="X10" s="16"/>
    </row>
    <row r="11" spans="1:24" s="19" customFormat="1" ht="18.75">
      <c r="A11" s="15" t="s">
        <v>18</v>
      </c>
      <c r="B11" s="25">
        <v>174</v>
      </c>
      <c r="C11" s="25">
        <v>235</v>
      </c>
      <c r="D11" s="25">
        <v>218</v>
      </c>
      <c r="E11" s="25">
        <v>238</v>
      </c>
      <c r="F11" s="25">
        <v>167</v>
      </c>
      <c r="G11" s="25">
        <v>181</v>
      </c>
      <c r="H11" s="25">
        <v>135</v>
      </c>
      <c r="I11" s="25">
        <v>92</v>
      </c>
      <c r="J11" s="25">
        <v>94</v>
      </c>
      <c r="K11" s="25">
        <v>73</v>
      </c>
      <c r="L11" s="25">
        <v>53</v>
      </c>
      <c r="M11" s="25"/>
      <c r="N11" s="28">
        <f t="shared" si="1"/>
        <v>-27.397260273972602</v>
      </c>
      <c r="O11" s="28">
        <f t="shared" si="2"/>
        <v>1.1368511368511369</v>
      </c>
      <c r="P11" s="7" t="s">
        <v>19</v>
      </c>
      <c r="R11" s="24"/>
      <c r="S11" s="25"/>
      <c r="T11" s="14"/>
      <c r="U11" s="25"/>
      <c r="V11" s="16"/>
      <c r="W11" s="16"/>
      <c r="X11" s="16"/>
    </row>
    <row r="12" spans="1:24" s="19" customFormat="1" ht="18.75">
      <c r="A12" s="15" t="s">
        <v>20</v>
      </c>
      <c r="B12" s="25">
        <v>111</v>
      </c>
      <c r="C12" s="25">
        <v>73</v>
      </c>
      <c r="D12" s="25">
        <v>130</v>
      </c>
      <c r="E12" s="25">
        <v>237</v>
      </c>
      <c r="F12" s="25">
        <v>220</v>
      </c>
      <c r="G12" s="25">
        <v>258</v>
      </c>
      <c r="H12" s="25">
        <v>174</v>
      </c>
      <c r="I12" s="25">
        <v>227</v>
      </c>
      <c r="J12" s="25">
        <v>306</v>
      </c>
      <c r="K12" s="25">
        <v>190</v>
      </c>
      <c r="L12" s="25">
        <v>236</v>
      </c>
      <c r="M12" s="25"/>
      <c r="N12" s="28">
        <f t="shared" si="1"/>
        <v>24.210526315789473</v>
      </c>
      <c r="O12" s="28">
        <f t="shared" si="2"/>
        <v>5.0622050622050621</v>
      </c>
      <c r="P12" s="7" t="s">
        <v>21</v>
      </c>
      <c r="R12" s="24"/>
      <c r="S12" s="25"/>
      <c r="T12" s="14"/>
      <c r="U12" s="25"/>
      <c r="V12" s="16"/>
      <c r="W12" s="16"/>
      <c r="X12" s="16"/>
    </row>
    <row r="13" spans="1:24" s="19" customFormat="1" ht="18.75">
      <c r="A13" s="17" t="s">
        <v>22</v>
      </c>
      <c r="B13" s="26">
        <v>499</v>
      </c>
      <c r="C13" s="26">
        <v>642</v>
      </c>
      <c r="D13" s="26">
        <v>687</v>
      </c>
      <c r="E13" s="26">
        <v>653</v>
      </c>
      <c r="F13" s="26">
        <v>474</v>
      </c>
      <c r="G13" s="26">
        <v>417</v>
      </c>
      <c r="H13" s="26">
        <v>468</v>
      </c>
      <c r="I13" s="26">
        <v>421</v>
      </c>
      <c r="J13" s="26">
        <v>611</v>
      </c>
      <c r="K13" s="26">
        <v>518</v>
      </c>
      <c r="L13" s="26">
        <v>627</v>
      </c>
      <c r="M13" s="26"/>
      <c r="N13" s="29">
        <f t="shared" si="1"/>
        <v>21.042471042471043</v>
      </c>
      <c r="O13" s="29">
        <f t="shared" si="2"/>
        <v>13.449163449163448</v>
      </c>
      <c r="P13" s="8" t="s">
        <v>23</v>
      </c>
      <c r="R13" s="24"/>
      <c r="S13" s="25"/>
      <c r="T13" s="14"/>
      <c r="U13" s="25"/>
      <c r="V13" s="16"/>
      <c r="W13" s="16"/>
      <c r="X13" s="16"/>
    </row>
    <row r="14" spans="1:24">
      <c r="A14" s="10" t="s">
        <v>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30" t="s">
        <v>2</v>
      </c>
      <c r="R14" s="24"/>
      <c r="S14" s="25"/>
      <c r="T14" s="14"/>
      <c r="U14" s="25"/>
      <c r="V14" s="3"/>
      <c r="W14" s="3"/>
      <c r="X14" s="3"/>
    </row>
    <row r="15" spans="1:24">
      <c r="R15" s="24"/>
      <c r="S15" s="14"/>
      <c r="T15" s="14"/>
      <c r="U15" s="25"/>
      <c r="V15" s="3"/>
      <c r="W15" s="3"/>
      <c r="X15" s="3"/>
    </row>
    <row r="16" spans="1:24">
      <c r="A16" s="18"/>
      <c r="R16" s="24"/>
      <c r="S16" s="14"/>
      <c r="T16" s="14"/>
      <c r="U16" s="25"/>
      <c r="V16" s="3"/>
      <c r="W16" s="3"/>
      <c r="X16" s="3"/>
    </row>
    <row r="17" spans="1:24">
      <c r="R17" s="24"/>
      <c r="S17" s="14"/>
      <c r="T17" s="14"/>
      <c r="U17" s="25"/>
      <c r="V17" s="3"/>
      <c r="W17" s="3"/>
      <c r="X17" s="3"/>
    </row>
    <row r="18" spans="1:24">
      <c r="R18" s="24"/>
      <c r="S18" s="14"/>
      <c r="T18" s="14"/>
      <c r="U18" s="3"/>
      <c r="V18" s="3"/>
      <c r="W18" s="3"/>
      <c r="X18" s="3"/>
    </row>
    <row r="19" spans="1:24">
      <c r="S19" s="3"/>
      <c r="T19" s="3"/>
      <c r="U19" s="3"/>
      <c r="V19" s="3"/>
      <c r="W19" s="3"/>
      <c r="X19" s="3"/>
    </row>
    <row r="20" spans="1:24">
      <c r="S20" s="3"/>
      <c r="T20" s="3"/>
      <c r="U20" s="3"/>
      <c r="V20" s="3"/>
      <c r="W20" s="3"/>
      <c r="X20" s="3"/>
    </row>
    <row r="21" spans="1:24" ht="17.25">
      <c r="A21" s="11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2"/>
      <c r="S21" s="3"/>
      <c r="T21" s="3"/>
      <c r="U21" s="3"/>
      <c r="V21" s="3"/>
      <c r="W21" s="3"/>
      <c r="X21" s="3"/>
    </row>
    <row r="22" spans="1:24">
      <c r="S22" s="3"/>
      <c r="T22" s="3"/>
      <c r="U22" s="3"/>
      <c r="V22" s="3"/>
      <c r="W22" s="3"/>
      <c r="X22" s="3"/>
    </row>
    <row r="23" spans="1:24">
      <c r="S23" s="3"/>
      <c r="T23" s="3"/>
      <c r="U23" s="3"/>
      <c r="V23" s="3"/>
      <c r="W23" s="3"/>
      <c r="X23" s="3"/>
    </row>
  </sheetData>
  <mergeCells count="15">
    <mergeCell ref="I3:I5"/>
    <mergeCell ref="P3:P5"/>
    <mergeCell ref="A1:P1"/>
    <mergeCell ref="A2:P2"/>
    <mergeCell ref="A3:A5"/>
    <mergeCell ref="B3:B5"/>
    <mergeCell ref="C3:C5"/>
    <mergeCell ref="D3:D5"/>
    <mergeCell ref="E3:E5"/>
    <mergeCell ref="F3:F5"/>
    <mergeCell ref="G3:G5"/>
    <mergeCell ref="H3:H5"/>
    <mergeCell ref="J3:J5"/>
    <mergeCell ref="K3:K5"/>
    <mergeCell ref="L3:L5"/>
  </mergeCells>
  <pageMargins left="0.7" right="0.7" top="0.75" bottom="0.75" header="0.3" footer="0.3"/>
  <pageSetup paperSize="9" scale="53" orientation="portrait" horizontalDpi="4294967295" verticalDpi="4294967295" r:id="rId1"/>
  <colBreaks count="1" manualBreakCount="1">
    <brk id="17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2023-05-16T12:02:49Z</cp:lastPrinted>
  <dcterms:created xsi:type="dcterms:W3CDTF">2019-06-30T04:22:49Z</dcterms:created>
  <dcterms:modified xsi:type="dcterms:W3CDTF">2023-05-16T12:02:53Z</dcterms:modified>
</cp:coreProperties>
</file>