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C053667C-6F56-4815-9D71-811D8C1328B2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53" sheetId="86" r:id="rId1"/>
  </sheets>
  <externalReferences>
    <externalReference r:id="rId2"/>
    <externalReference r:id="rId3"/>
    <externalReference r:id="rId4"/>
  </externalReferences>
  <definedNames>
    <definedName name="_xlnm.Print_Area" localSheetId="0">'8.53'!$A$1:$M$31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86" l="1"/>
  <c r="I8" i="86"/>
  <c r="H8" i="86"/>
  <c r="G8" i="86"/>
  <c r="G6" i="86" s="1"/>
  <c r="F8" i="86"/>
  <c r="F6" i="86" s="1"/>
  <c r="E8" i="86"/>
  <c r="E6" i="86" s="1"/>
  <c r="D8" i="86"/>
  <c r="D6" i="86" s="1"/>
  <c r="C8" i="86"/>
  <c r="C6" i="86" s="1"/>
  <c r="B8" i="86"/>
  <c r="B6" i="86" s="1"/>
  <c r="I6" i="86"/>
  <c r="H6" i="86"/>
</calcChain>
</file>

<file path=xl/sharedStrings.xml><?xml version="1.0" encoding="utf-8"?>
<sst xmlns="http://schemas.openxmlformats.org/spreadsheetml/2006/main" count="55" uniqueCount="55">
  <si>
    <t>މާލެ</t>
  </si>
  <si>
    <t>އަތޮޅުތައް</t>
  </si>
  <si>
    <t>Republic</t>
  </si>
  <si>
    <t>Male'</t>
  </si>
  <si>
    <t>Atolls</t>
  </si>
  <si>
    <t>Locality</t>
  </si>
  <si>
    <t>ތަން</t>
  </si>
  <si>
    <t>North Thiladhunmathi (HA)</t>
  </si>
  <si>
    <t>South Thiladhunmathi (HDh)</t>
  </si>
  <si>
    <t>North Miladhunmadulu (Sh)</t>
  </si>
  <si>
    <t>South Miladhunmadulu (N)</t>
  </si>
  <si>
    <t>North Maalhosmadulu (R)</t>
  </si>
  <si>
    <t>North Ari Atoll (AA)</t>
  </si>
  <si>
    <t>South Ari Atoll (ADh)</t>
  </si>
  <si>
    <t>Felidhu Atoll (V)</t>
  </si>
  <si>
    <t>Mulakatholhu (M)</t>
  </si>
  <si>
    <t>South Nilandhe Atoll (Dh)</t>
  </si>
  <si>
    <t>Kolhumadulu (Th)</t>
  </si>
  <si>
    <t>Hadhdhunmathi (L)</t>
  </si>
  <si>
    <t>North Huvadhu Atoll (GA)</t>
  </si>
  <si>
    <t>South Huvadhu Atoll (GDh)</t>
  </si>
  <si>
    <t>Fuvahmulah (Gn)</t>
  </si>
  <si>
    <r>
      <t xml:space="preserve">Cases Reported         </t>
    </r>
    <r>
      <rPr>
        <b/>
        <sz val="11"/>
        <rFont val="Faruma"/>
        <family val="3"/>
      </rPr>
      <t xml:space="preserve"> ހުށައެޅުނު މައްސަލަތައް</t>
    </r>
  </si>
  <si>
    <t>މުޅި ރާއްޖެ</t>
  </si>
  <si>
    <t>ތިލަދުންމަތި އުތުރުބުރި (ހއ)</t>
  </si>
  <si>
    <t>ތިލަދުންމަތި ދެކުނުބުރި (ހދ)</t>
  </si>
  <si>
    <t>މިލަދުންމަޑޫލު އުތުރުބުރި (ށ)</t>
  </si>
  <si>
    <t>މިލަދުންމަޑޫލު ދެކުނުބުރި (ނ)</t>
  </si>
  <si>
    <t>މާޅޮސްމަޑުލު އުތުރުބުރި (ރ)</t>
  </si>
  <si>
    <t>South Maalhosamadulu (B)</t>
  </si>
  <si>
    <t>މާޅޮސްމަޑުލު ދެކުނުބުރި (ބ)</t>
  </si>
  <si>
    <t>Faadhhippolhu (Lh)</t>
  </si>
  <si>
    <t>ފާދިއްޕޮޅު (ޅ)</t>
  </si>
  <si>
    <t>Kaafu Atoll (K)</t>
  </si>
  <si>
    <t>މާލެ އަތޮޅު (ކ)</t>
  </si>
  <si>
    <t>އަރިއަތޮޅު އުތުރުބުރި (އއ)</t>
  </si>
  <si>
    <t>އަރިއަތޮޅު ދެކުނުބުރި (އދ)</t>
  </si>
  <si>
    <t>ފެލިދެ އަތޮޅު (ވ)</t>
  </si>
  <si>
    <t>މުލަކަތޮޅު (މ)</t>
  </si>
  <si>
    <t xml:space="preserve">North Nilandhe Atoll (F) </t>
  </si>
  <si>
    <t>ނިލަންދެ އަތޮޅު އުތުރުބުރި (ފ)</t>
  </si>
  <si>
    <t>ނިލަންދެ އަތޮޅު ދެކުނުބުރި (ދ)</t>
  </si>
  <si>
    <t>ކޮޅުމަޑުލު (ތ)</t>
  </si>
  <si>
    <t>ހައްދުންމަތި (ލ)</t>
  </si>
  <si>
    <t>ހުވަދު އަތޮޅު އުތުރުބުރި (ގއ)</t>
  </si>
  <si>
    <t>ހުވަދު އަތޮޅު ދެކުނުބުރި (ގދ)</t>
  </si>
  <si>
    <t>ފުވައްމުލައް (ޏ)</t>
  </si>
  <si>
    <t>Addu Atoll (S)</t>
  </si>
  <si>
    <t>އައްޑު އަތޮޅު (ސ)</t>
  </si>
  <si>
    <t>Not Stated</t>
  </si>
  <si>
    <t>ވަކި އަތޮޅަކަށް ރައްދުނުވާ</t>
  </si>
  <si>
    <t>Source: Aniti Corruption Commision</t>
  </si>
  <si>
    <t xml:space="preserve">މަޢުލޫމާތު ދެއްވި ފަރާތް: އެންޓި ކޮރަޕްޝަން ކޮމިޝަން </t>
  </si>
  <si>
    <t>TABLE 8.53: NUMBER OF CASES REPORTED ON CORRUPTION BY LOCALITY,  2013 - 2020</t>
  </si>
  <si>
    <t>ތާވަލު 8.53: އެންޓިކޮރަޕްޝަން ކޮމިޝަނަށް ހުށަހެޅިފައިވާ ކޮރަޕްޝަންގެ މައްސަލަތައް، 2013 - 2020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</si>
</sst>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6" formatCode="_-* #,##0_-;\-* #,##0_-;_-* &quot;-&quot;??_-;_-@_-"/>
    <numFmt numFmtId="167" formatCode="#,##0.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Faruma"/>
      <family val="3"/>
    </font>
    <font>
      <sz val="10"/>
      <color theme="1"/>
      <name val="Calibri"/>
      <family val="2"/>
      <scheme val="minor"/>
    </font>
    <font>
      <b/>
      <sz val="11"/>
      <name val="Faruma"/>
      <family val="3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b/>
      <sz val="11"/>
      <color theme="1"/>
      <name val="Faruma"/>
      <family val="3"/>
    </font>
    <font>
      <b/>
      <sz val="10"/>
      <color theme="1"/>
      <name val="Faruma"/>
      <family val="3"/>
    </font>
    <font>
      <sz val="10"/>
      <color theme="1"/>
      <name val="Faruma"/>
      <family val="3"/>
    </font>
    <font>
      <b/>
      <sz val="12"/>
      <color theme="1"/>
      <name val="Faruma"/>
      <family val="3"/>
    </font>
    <font>
      <sz val="11"/>
      <color theme="1"/>
      <name val="Faruma"/>
      <family val="3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b/>
      <sz val="11"/>
      <color rgb="FFFF0000"/>
      <name val="Calibri"/>
      <family val="2"/>
      <scheme val="minor"/>
    </font>
    <font>
      <sz val="10"/>
      <name val="MS Sans Serif"/>
      <family val="2"/>
    </font>
    <font>
      <sz val="12"/>
      <color theme="1"/>
      <name val="Faruma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166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7" fontId="8" fillId="0" borderId="0"/>
    <xf numFmtId="0" fontId="15" fillId="0" borderId="0"/>
    <xf numFmtId="0" fontId="17" fillId="0" borderId="6" applyNumberFormat="0" applyFill="0" applyAlignment="0" applyProtection="0"/>
    <xf numFmtId="0" fontId="15" fillId="0" borderId="0"/>
    <xf numFmtId="0" fontId="15" fillId="0" borderId="0"/>
    <xf numFmtId="0" fontId="19" fillId="0" borderId="0"/>
  </cellStyleXfs>
  <cellXfs count="42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2" borderId="1" xfId="0" applyFill="1" applyBorder="1"/>
    <xf numFmtId="0" fontId="0" fillId="2" borderId="0" xfId="0" applyFill="1" applyAlignment="1">
      <alignment vertical="center"/>
    </xf>
    <xf numFmtId="0" fontId="11" fillId="2" borderId="0" xfId="0" applyFont="1" applyFill="1" applyAlignment="1">
      <alignment horizontal="right" vertical="center"/>
    </xf>
    <xf numFmtId="0" fontId="1" fillId="2" borderId="0" xfId="0" applyFont="1" applyFill="1"/>
    <xf numFmtId="0" fontId="16" fillId="2" borderId="0" xfId="6" applyFont="1" applyFill="1" applyBorder="1" applyAlignment="1">
      <alignment horizontal="left"/>
    </xf>
    <xf numFmtId="0" fontId="16" fillId="2" borderId="8" xfId="9" applyFont="1" applyFill="1" applyBorder="1" applyAlignment="1">
      <alignment horizontal="center" vertical="center"/>
    </xf>
    <xf numFmtId="0" fontId="16" fillId="2" borderId="0" xfId="9" applyFont="1" applyFill="1" applyAlignment="1">
      <alignment horizontal="right" vertical="center"/>
    </xf>
    <xf numFmtId="0" fontId="16" fillId="2" borderId="9" xfId="9" applyFont="1" applyFill="1" applyBorder="1" applyAlignment="1">
      <alignment horizontal="right" vertical="center"/>
    </xf>
    <xf numFmtId="49" fontId="6" fillId="2" borderId="8" xfId="0" applyNumberFormat="1" applyFont="1" applyFill="1" applyBorder="1" applyAlignment="1">
      <alignment horizontal="left" vertical="center"/>
    </xf>
    <xf numFmtId="37" fontId="2" fillId="2" borderId="8" xfId="1" applyNumberFormat="1" applyFont="1" applyFill="1" applyBorder="1" applyAlignment="1">
      <alignment horizontal="right" vertical="center"/>
    </xf>
    <xf numFmtId="0" fontId="11" fillId="2" borderId="8" xfId="0" applyFont="1" applyFill="1" applyBorder="1" applyAlignment="1">
      <alignment horizontal="right" vertical="center"/>
    </xf>
    <xf numFmtId="49" fontId="6" fillId="2" borderId="0" xfId="0" applyNumberFormat="1" applyFont="1" applyFill="1" applyAlignment="1">
      <alignment horizontal="left" vertical="center"/>
    </xf>
    <xf numFmtId="37" fontId="2" fillId="2" borderId="0" xfId="1" applyNumberFormat="1" applyFont="1" applyFill="1" applyBorder="1" applyAlignment="1">
      <alignment horizontal="right" vertical="center"/>
    </xf>
    <xf numFmtId="0" fontId="13" fillId="2" borderId="0" xfId="0" applyFont="1" applyFill="1" applyAlignment="1">
      <alignment vertical="center" wrapText="1" readingOrder="2"/>
    </xf>
    <xf numFmtId="49" fontId="4" fillId="2" borderId="0" xfId="0" applyNumberFormat="1" applyFont="1" applyFill="1" applyAlignment="1">
      <alignment horizontal="left" vertical="center" indent="1"/>
    </xf>
    <xf numFmtId="37" fontId="1" fillId="2" borderId="0" xfId="1" applyNumberFormat="1" applyFont="1" applyFill="1" applyBorder="1" applyAlignment="1">
      <alignment horizontal="right" vertical="center"/>
    </xf>
    <xf numFmtId="0" fontId="0" fillId="2" borderId="0" xfId="0" applyFill="1" applyAlignment="1">
      <alignment vertical="center" wrapText="1" readingOrder="2"/>
    </xf>
    <xf numFmtId="0" fontId="12" fillId="2" borderId="3" xfId="7" applyFont="1" applyFill="1" applyBorder="1" applyAlignment="1">
      <alignment horizontal="right" vertical="center" indent="1"/>
    </xf>
    <xf numFmtId="0" fontId="13" fillId="2" borderId="0" xfId="0" applyFont="1" applyFill="1" applyAlignment="1">
      <alignment horizontal="right" vertical="center" wrapText="1" readingOrder="2"/>
    </xf>
    <xf numFmtId="0" fontId="0" fillId="2" borderId="0" xfId="0" applyFill="1" applyAlignment="1">
      <alignment horizontal="right" vertical="center" wrapText="1" readingOrder="2"/>
    </xf>
    <xf numFmtId="0" fontId="20" fillId="2" borderId="0" xfId="0" applyFont="1" applyFill="1" applyAlignment="1">
      <alignment horizontal="right" vertical="center" wrapText="1" readingOrder="2"/>
    </xf>
    <xf numFmtId="0" fontId="18" fillId="2" borderId="0" xfId="0" applyFont="1" applyFill="1" applyAlignment="1">
      <alignment vertical="center"/>
    </xf>
    <xf numFmtId="0" fontId="12" fillId="2" borderId="4" xfId="7" applyFont="1" applyFill="1" applyBorder="1" applyAlignment="1">
      <alignment horizontal="right" vertical="center" indent="1"/>
    </xf>
    <xf numFmtId="0" fontId="12" fillId="2" borderId="2" xfId="7" applyFont="1" applyFill="1" applyBorder="1" applyAlignment="1">
      <alignment horizontal="right" vertical="center" indent="1"/>
    </xf>
    <xf numFmtId="0" fontId="12" fillId="2" borderId="0" xfId="7" applyFont="1" applyFill="1" applyAlignment="1">
      <alignment horizontal="right" vertical="center" indent="1"/>
    </xf>
    <xf numFmtId="0" fontId="12" fillId="2" borderId="5" xfId="7" applyFont="1" applyFill="1" applyBorder="1" applyAlignment="1">
      <alignment horizontal="right" vertical="center" indent="1"/>
    </xf>
    <xf numFmtId="49" fontId="4" fillId="2" borderId="1" xfId="0" applyNumberFormat="1" applyFont="1" applyFill="1" applyBorder="1" applyAlignment="1">
      <alignment horizontal="left" vertical="center" indent="1"/>
    </xf>
    <xf numFmtId="37" fontId="1" fillId="2" borderId="1" xfId="1" applyNumberFormat="1" applyFont="1" applyFill="1" applyBorder="1" applyAlignment="1">
      <alignment horizontal="right" vertical="center"/>
    </xf>
    <xf numFmtId="3" fontId="3" fillId="2" borderId="1" xfId="5" applyNumberFormat="1" applyFont="1" applyFill="1" applyBorder="1" applyAlignment="1" applyProtection="1">
      <alignment horizontal="right" vertical="center" indent="1"/>
      <protection hidden="1"/>
    </xf>
    <xf numFmtId="0" fontId="9" fillId="2" borderId="0" xfId="0" applyFont="1" applyFill="1"/>
    <xf numFmtId="0" fontId="12" fillId="2" borderId="0" xfId="0" applyFont="1" applyFill="1"/>
    <xf numFmtId="0" fontId="2" fillId="2" borderId="0" xfId="0" applyFont="1" applyFill="1" applyAlignment="1">
      <alignment vertical="center" wrapText="1" readingOrder="2"/>
    </xf>
    <xf numFmtId="0" fontId="2" fillId="2" borderId="0" xfId="0" applyFont="1" applyFill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center"/>
    </xf>
    <xf numFmtId="0" fontId="16" fillId="2" borderId="0" xfId="6" applyFont="1" applyFill="1" applyBorder="1" applyAlignment="1">
      <alignment horizontal="center" vertical="center"/>
    </xf>
    <xf numFmtId="0" fontId="16" fillId="2" borderId="7" xfId="9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right" vertical="center" wrapText="1"/>
    </xf>
    <xf numFmtId="0" fontId="14" fillId="2" borderId="0" xfId="0" applyFont="1" applyFill="1" applyAlignment="1">
      <alignment horizontal="right" vertical="center" wrapText="1"/>
    </xf>
  </cellXfs>
  <cellStyles count="10">
    <cellStyle name="1" xfId="8" xr:uid="{00000000-0005-0000-0000-000000000000}"/>
    <cellStyle name="Comma" xfId="1" builtinId="3"/>
    <cellStyle name="Comma 2" xfId="2" xr:uid="{00000000-0005-0000-0000-000002000000}"/>
    <cellStyle name="Heading 1 2" xfId="6" xr:uid="{00000000-0005-0000-0000-000003000000}"/>
    <cellStyle name="Normal" xfId="0" builtinId="0"/>
    <cellStyle name="Normal 2" xfId="7" xr:uid="{00000000-0005-0000-0000-000006000000}"/>
    <cellStyle name="Normal 3" xfId="4" xr:uid="{00000000-0005-0000-0000-000007000000}"/>
    <cellStyle name="Normal_final_pull_anzt" xfId="9" xr:uid="{00000000-0005-0000-0000-000009000000}"/>
    <cellStyle name="Normal_II-15(Population) 2" xfId="5" xr:uid="{00000000-0005-0000-0000-00000B000000}"/>
    <cellStyle name="Percent 2" xfId="3" xr:uid="{00000000-0005-0000-0000-00000E000000}"/>
  </cellStyles>
  <dxfs count="0"/>
  <tableStyles count="0" defaultTableStyle="TableStyleMedium2" defaultPivotStyle="PivotStyleLight16"/>
  <colors>
    <mruColors>
      <color rgb="FFFFC5C5"/>
      <color rgb="FFFFEFEF"/>
      <color rgb="FFFF6969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22\YEARBOOK%202022\Blank%20Tables\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RECEIVED\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,  8.22 8.23_ New_ traffic"/>
      <sheetName val="8.24, 8.25 _ Domestic violannce"/>
      <sheetName val="8.26, 8.27, 28, 8.29_ child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, 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  <sheetName val="8.62"/>
      <sheetName val="8.63"/>
      <sheetName val="8.64"/>
      <sheetName val="8.65"/>
      <sheetName val="8.66"/>
      <sheetName val="8.67"/>
      <sheetName val="8.68"/>
      <sheetName val="8.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1">
          <cell r="W91" t="str">
            <v>Number  of majistrates</v>
          </cell>
          <cell r="X91" t="str">
            <v>Number of islands with majistrate courts</v>
          </cell>
        </row>
        <row r="92">
          <cell r="V92" t="str">
            <v>HA</v>
          </cell>
          <cell r="W92">
            <v>8</v>
          </cell>
          <cell r="X92">
            <v>14</v>
          </cell>
        </row>
        <row r="93">
          <cell r="V93" t="str">
            <v>HDh</v>
          </cell>
          <cell r="W93">
            <v>8</v>
          </cell>
          <cell r="X93">
            <v>13</v>
          </cell>
        </row>
        <row r="94">
          <cell r="V94" t="str">
            <v>Sh</v>
          </cell>
          <cell r="W94">
            <v>5</v>
          </cell>
          <cell r="X94">
            <v>13</v>
          </cell>
        </row>
        <row r="95">
          <cell r="V95" t="str">
            <v>N</v>
          </cell>
          <cell r="W95">
            <v>7</v>
          </cell>
          <cell r="X95">
            <v>13</v>
          </cell>
        </row>
        <row r="96">
          <cell r="V96" t="str">
            <v>R</v>
          </cell>
          <cell r="W96">
            <v>12</v>
          </cell>
          <cell r="X96">
            <v>14</v>
          </cell>
        </row>
        <row r="97">
          <cell r="V97" t="str">
            <v>B</v>
          </cell>
          <cell r="W97">
            <v>7</v>
          </cell>
          <cell r="X97">
            <v>13</v>
          </cell>
        </row>
        <row r="98">
          <cell r="V98" t="str">
            <v>Lh</v>
          </cell>
          <cell r="W98">
            <v>4</v>
          </cell>
          <cell r="X98">
            <v>4</v>
          </cell>
        </row>
        <row r="99">
          <cell r="V99" t="str">
            <v>K</v>
          </cell>
          <cell r="W99">
            <v>8</v>
          </cell>
          <cell r="X99">
            <v>9</v>
          </cell>
        </row>
        <row r="100">
          <cell r="V100" t="str">
            <v>AA</v>
          </cell>
          <cell r="W100">
            <v>4</v>
          </cell>
          <cell r="X100">
            <v>8</v>
          </cell>
        </row>
        <row r="101">
          <cell r="V101" t="str">
            <v>ADh</v>
          </cell>
          <cell r="W101">
            <v>6</v>
          </cell>
          <cell r="X101">
            <v>10</v>
          </cell>
        </row>
        <row r="102">
          <cell r="V102" t="str">
            <v>V</v>
          </cell>
          <cell r="W102">
            <v>1</v>
          </cell>
          <cell r="X102">
            <v>5</v>
          </cell>
        </row>
        <row r="103">
          <cell r="V103" t="str">
            <v>M</v>
          </cell>
          <cell r="W103">
            <v>4</v>
          </cell>
          <cell r="X103">
            <v>8</v>
          </cell>
        </row>
        <row r="104">
          <cell r="V104" t="str">
            <v>F</v>
          </cell>
          <cell r="W104">
            <v>4</v>
          </cell>
          <cell r="X104">
            <v>5</v>
          </cell>
        </row>
        <row r="105">
          <cell r="V105" t="str">
            <v>Dh</v>
          </cell>
          <cell r="W105">
            <v>4</v>
          </cell>
          <cell r="X105">
            <v>6</v>
          </cell>
        </row>
        <row r="106">
          <cell r="V106" t="str">
            <v>Th</v>
          </cell>
          <cell r="W106">
            <v>9</v>
          </cell>
          <cell r="X106">
            <v>13</v>
          </cell>
        </row>
        <row r="107">
          <cell r="V107" t="str">
            <v>L</v>
          </cell>
          <cell r="W107">
            <v>12</v>
          </cell>
          <cell r="X107">
            <v>11</v>
          </cell>
        </row>
        <row r="108">
          <cell r="V108" t="str">
            <v>GA</v>
          </cell>
          <cell r="W108">
            <v>6</v>
          </cell>
          <cell r="X108">
            <v>9</v>
          </cell>
        </row>
        <row r="109">
          <cell r="V109" t="str">
            <v>GDh</v>
          </cell>
          <cell r="W109">
            <v>8</v>
          </cell>
          <cell r="X109">
            <v>9</v>
          </cell>
        </row>
        <row r="110">
          <cell r="V110" t="str">
            <v>Gn</v>
          </cell>
          <cell r="W110">
            <v>2</v>
          </cell>
          <cell r="X110">
            <v>1</v>
          </cell>
        </row>
        <row r="111">
          <cell r="V111" t="str">
            <v>S</v>
          </cell>
          <cell r="W111">
            <v>7</v>
          </cell>
          <cell r="X111">
            <v>6</v>
          </cell>
        </row>
      </sheetData>
      <sheetData sheetId="32">
        <row r="7">
          <cell r="A7" t="str">
            <v>Male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92D050"/>
  </sheetPr>
  <dimension ref="A1:U56"/>
  <sheetViews>
    <sheetView tabSelected="1" topLeftCell="G1" zoomScaleNormal="100" workbookViewId="0">
      <selection activeCell="V1" sqref="V1:AC1048576"/>
    </sheetView>
  </sheetViews>
  <sheetFormatPr defaultColWidth="9.140625" defaultRowHeight="15"/>
  <cols>
    <col min="1" max="1" width="28.42578125" style="6" customWidth="1"/>
    <col min="2" max="12" width="9.7109375" style="6" customWidth="1"/>
    <col min="13" max="13" width="27.85546875" style="1" customWidth="1"/>
    <col min="14" max="14" width="13.140625" style="1" bestFit="1" customWidth="1"/>
    <col min="15" max="21" width="13.140625" style="1" customWidth="1"/>
    <col min="22" max="16384" width="9.140625" style="1"/>
  </cols>
  <sheetData>
    <row r="1" spans="1:21" ht="21" customHeight="1">
      <c r="A1" s="37" t="s">
        <v>54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21" s="4" customFormat="1" ht="18.75" customHeight="1">
      <c r="A2" s="38" t="s">
        <v>53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1:21" ht="2.25" customHeight="1"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21" ht="16.5" customHeight="1">
      <c r="A4" s="36" t="s">
        <v>5</v>
      </c>
      <c r="B4" s="39" t="s">
        <v>22</v>
      </c>
      <c r="C4" s="39"/>
      <c r="D4" s="39"/>
      <c r="E4" s="39"/>
      <c r="F4" s="39"/>
      <c r="G4" s="39"/>
      <c r="H4" s="39"/>
      <c r="I4" s="39"/>
      <c r="J4" s="39"/>
      <c r="K4" s="8"/>
      <c r="L4" s="8"/>
      <c r="M4" s="40" t="s">
        <v>6</v>
      </c>
    </row>
    <row r="5" spans="1:21" ht="13.5" customHeight="1">
      <c r="A5" s="35"/>
      <c r="B5" s="9">
        <v>2010</v>
      </c>
      <c r="C5" s="9">
        <v>2011</v>
      </c>
      <c r="D5" s="9">
        <v>2012</v>
      </c>
      <c r="E5" s="9">
        <v>2013</v>
      </c>
      <c r="F5" s="9">
        <v>2014</v>
      </c>
      <c r="G5" s="9">
        <v>2015</v>
      </c>
      <c r="H5" s="9">
        <v>2016</v>
      </c>
      <c r="I5" s="9">
        <v>2017</v>
      </c>
      <c r="J5" s="10">
        <v>2018</v>
      </c>
      <c r="K5" s="10">
        <v>2019</v>
      </c>
      <c r="L5" s="10">
        <v>2020</v>
      </c>
      <c r="M5" s="41"/>
    </row>
    <row r="6" spans="1:21" s="2" customFormat="1" ht="18" customHeight="1">
      <c r="A6" s="11" t="s">
        <v>2</v>
      </c>
      <c r="B6" s="12">
        <f>B8+B7</f>
        <v>932</v>
      </c>
      <c r="C6" s="12">
        <f t="shared" ref="C6:H6" si="0">C8+C7</f>
        <v>1002</v>
      </c>
      <c r="D6" s="12">
        <f t="shared" si="0"/>
        <v>1294</v>
      </c>
      <c r="E6" s="12">
        <f t="shared" si="0"/>
        <v>1318</v>
      </c>
      <c r="F6" s="12">
        <f>F8+F7</f>
        <v>932</v>
      </c>
      <c r="G6" s="12">
        <f>G8+G7</f>
        <v>833</v>
      </c>
      <c r="H6" s="12">
        <f t="shared" si="0"/>
        <v>958</v>
      </c>
      <c r="I6" s="12">
        <f>SUM(I7:I8)</f>
        <v>750</v>
      </c>
      <c r="J6" s="2">
        <v>930</v>
      </c>
      <c r="K6" s="2">
        <v>1397</v>
      </c>
      <c r="L6" s="2">
        <v>938</v>
      </c>
      <c r="M6" s="13" t="s">
        <v>23</v>
      </c>
    </row>
    <row r="7" spans="1:21" s="2" customFormat="1" ht="18" customHeight="1">
      <c r="A7" s="14" t="s">
        <v>3</v>
      </c>
      <c r="B7" s="15">
        <v>437</v>
      </c>
      <c r="C7" s="15">
        <v>356</v>
      </c>
      <c r="D7" s="15">
        <v>512</v>
      </c>
      <c r="E7" s="15">
        <v>646</v>
      </c>
      <c r="F7" s="15">
        <v>520</v>
      </c>
      <c r="G7" s="15">
        <v>301</v>
      </c>
      <c r="H7" s="15">
        <v>357</v>
      </c>
      <c r="I7" s="15">
        <v>285</v>
      </c>
      <c r="J7" s="2">
        <v>455</v>
      </c>
      <c r="K7" s="2">
        <v>592</v>
      </c>
      <c r="L7" s="2">
        <v>485</v>
      </c>
      <c r="M7" s="5" t="s">
        <v>0</v>
      </c>
    </row>
    <row r="8" spans="1:21" s="2" customFormat="1" ht="18" customHeight="1">
      <c r="A8" s="14" t="s">
        <v>4</v>
      </c>
      <c r="B8" s="15">
        <f>SUM(B9:B29)</f>
        <v>495</v>
      </c>
      <c r="C8" s="15">
        <f t="shared" ref="C8:I8" si="1">SUM(C9:C29)</f>
        <v>646</v>
      </c>
      <c r="D8" s="15">
        <f t="shared" si="1"/>
        <v>782</v>
      </c>
      <c r="E8" s="15">
        <f t="shared" si="1"/>
        <v>672</v>
      </c>
      <c r="F8" s="15">
        <f t="shared" si="1"/>
        <v>412</v>
      </c>
      <c r="G8" s="15">
        <f t="shared" si="1"/>
        <v>532</v>
      </c>
      <c r="H8" s="15">
        <f t="shared" si="1"/>
        <v>601</v>
      </c>
      <c r="I8" s="15">
        <f t="shared" si="1"/>
        <v>465</v>
      </c>
      <c r="J8" s="2">
        <v>475</v>
      </c>
      <c r="K8" s="2">
        <f>SUM(K9:K29)</f>
        <v>805</v>
      </c>
      <c r="L8" s="34">
        <v>453</v>
      </c>
      <c r="M8" s="5" t="s">
        <v>1</v>
      </c>
      <c r="N8" s="16"/>
      <c r="Q8" s="16"/>
      <c r="R8" s="16"/>
      <c r="S8" s="16"/>
      <c r="T8" s="16"/>
      <c r="U8" s="16"/>
    </row>
    <row r="9" spans="1:21" ht="18" customHeight="1">
      <c r="A9" s="17" t="s">
        <v>7</v>
      </c>
      <c r="B9" s="18">
        <v>52</v>
      </c>
      <c r="C9" s="18">
        <v>50</v>
      </c>
      <c r="D9" s="18">
        <v>61</v>
      </c>
      <c r="E9" s="18">
        <v>69</v>
      </c>
      <c r="F9" s="18">
        <v>32</v>
      </c>
      <c r="G9" s="18">
        <v>25</v>
      </c>
      <c r="H9" s="18">
        <v>46</v>
      </c>
      <c r="I9" s="18">
        <v>34</v>
      </c>
      <c r="J9" s="19">
        <v>39</v>
      </c>
      <c r="K9" s="19">
        <v>56</v>
      </c>
      <c r="L9" s="22">
        <v>32</v>
      </c>
      <c r="M9" s="20" t="s">
        <v>24</v>
      </c>
      <c r="N9" s="21"/>
      <c r="Q9" s="21"/>
      <c r="R9" s="21"/>
      <c r="S9" s="21"/>
      <c r="T9" s="21"/>
      <c r="U9" s="21"/>
    </row>
    <row r="10" spans="1:21" ht="18" customHeight="1">
      <c r="A10" s="17" t="s">
        <v>8</v>
      </c>
      <c r="B10" s="18">
        <v>40</v>
      </c>
      <c r="C10" s="18">
        <v>43</v>
      </c>
      <c r="D10" s="18">
        <v>40</v>
      </c>
      <c r="E10" s="18">
        <v>33</v>
      </c>
      <c r="F10" s="18">
        <v>23</v>
      </c>
      <c r="G10" s="18">
        <v>40</v>
      </c>
      <c r="H10" s="18">
        <v>77</v>
      </c>
      <c r="I10" s="18">
        <v>43</v>
      </c>
      <c r="J10" s="22">
        <v>17</v>
      </c>
      <c r="K10" s="22">
        <v>44</v>
      </c>
      <c r="L10" s="22">
        <v>23</v>
      </c>
      <c r="M10" s="20" t="s">
        <v>25</v>
      </c>
      <c r="N10" s="23"/>
      <c r="Q10" s="23"/>
      <c r="R10" s="23"/>
      <c r="S10" s="23"/>
      <c r="T10" s="23"/>
      <c r="U10" s="23"/>
    </row>
    <row r="11" spans="1:21" ht="18" customHeight="1">
      <c r="A11" s="17" t="s">
        <v>9</v>
      </c>
      <c r="B11" s="18">
        <v>24</v>
      </c>
      <c r="C11" s="18">
        <v>16</v>
      </c>
      <c r="D11" s="18">
        <v>18</v>
      </c>
      <c r="E11" s="18">
        <v>9</v>
      </c>
      <c r="F11" s="18">
        <v>18</v>
      </c>
      <c r="G11" s="18">
        <v>22</v>
      </c>
      <c r="H11" s="18">
        <v>39</v>
      </c>
      <c r="I11" s="18">
        <v>27</v>
      </c>
      <c r="J11" s="22">
        <v>31</v>
      </c>
      <c r="K11" s="22">
        <v>37</v>
      </c>
      <c r="L11" s="22">
        <v>23</v>
      </c>
      <c r="M11" s="20" t="s">
        <v>26</v>
      </c>
      <c r="N11" s="23"/>
      <c r="Q11" s="23"/>
      <c r="R11" s="23"/>
      <c r="S11" s="23"/>
      <c r="T11" s="23"/>
      <c r="U11" s="23"/>
    </row>
    <row r="12" spans="1:21" ht="18" customHeight="1">
      <c r="A12" s="17" t="s">
        <v>10</v>
      </c>
      <c r="B12" s="18">
        <v>24</v>
      </c>
      <c r="C12" s="18">
        <v>42</v>
      </c>
      <c r="D12" s="18">
        <v>23</v>
      </c>
      <c r="E12" s="18">
        <v>33</v>
      </c>
      <c r="F12" s="18">
        <v>16</v>
      </c>
      <c r="G12" s="18">
        <v>35</v>
      </c>
      <c r="H12" s="18">
        <v>28</v>
      </c>
      <c r="I12" s="18">
        <v>12</v>
      </c>
      <c r="J12" s="22">
        <v>21</v>
      </c>
      <c r="K12" s="22">
        <v>35</v>
      </c>
      <c r="L12" s="1">
        <v>20</v>
      </c>
      <c r="M12" s="20" t="s">
        <v>27</v>
      </c>
    </row>
    <row r="13" spans="1:21" ht="18" customHeight="1">
      <c r="A13" s="17" t="s">
        <v>11</v>
      </c>
      <c r="B13" s="18">
        <v>16</v>
      </c>
      <c r="C13" s="18">
        <v>21</v>
      </c>
      <c r="D13" s="18">
        <v>41</v>
      </c>
      <c r="E13" s="18">
        <v>28</v>
      </c>
      <c r="F13" s="18">
        <v>16</v>
      </c>
      <c r="G13" s="18">
        <v>37</v>
      </c>
      <c r="H13" s="18">
        <v>17</v>
      </c>
      <c r="I13" s="18">
        <v>27</v>
      </c>
      <c r="J13" s="1">
        <v>46</v>
      </c>
      <c r="K13" s="1">
        <v>40</v>
      </c>
      <c r="L13" s="1">
        <v>31</v>
      </c>
      <c r="M13" s="20" t="s">
        <v>28</v>
      </c>
      <c r="N13" s="24"/>
    </row>
    <row r="14" spans="1:21" ht="18" customHeight="1">
      <c r="A14" s="17" t="s">
        <v>29</v>
      </c>
      <c r="B14" s="18">
        <v>10</v>
      </c>
      <c r="C14" s="18">
        <v>21</v>
      </c>
      <c r="D14" s="18">
        <v>22</v>
      </c>
      <c r="E14" s="18">
        <v>46</v>
      </c>
      <c r="F14" s="18">
        <v>12</v>
      </c>
      <c r="G14" s="18">
        <v>12</v>
      </c>
      <c r="H14" s="18">
        <v>12</v>
      </c>
      <c r="I14" s="18">
        <v>17</v>
      </c>
      <c r="J14" s="1">
        <v>26</v>
      </c>
      <c r="K14" s="1">
        <v>39</v>
      </c>
      <c r="L14" s="1">
        <v>10</v>
      </c>
      <c r="M14" s="20" t="s">
        <v>30</v>
      </c>
      <c r="N14" s="24"/>
    </row>
    <row r="15" spans="1:21" ht="18" customHeight="1">
      <c r="A15" s="17" t="s">
        <v>31</v>
      </c>
      <c r="B15" s="18">
        <v>31</v>
      </c>
      <c r="C15" s="18">
        <v>28</v>
      </c>
      <c r="D15" s="18">
        <v>16</v>
      </c>
      <c r="E15" s="18">
        <v>25</v>
      </c>
      <c r="F15" s="18">
        <v>5</v>
      </c>
      <c r="G15" s="18">
        <v>11</v>
      </c>
      <c r="H15" s="18">
        <v>15</v>
      </c>
      <c r="I15" s="18">
        <v>9</v>
      </c>
      <c r="J15" s="1">
        <v>26</v>
      </c>
      <c r="K15" s="1">
        <v>24</v>
      </c>
      <c r="L15" s="1">
        <v>20</v>
      </c>
      <c r="M15" s="20" t="s">
        <v>32</v>
      </c>
      <c r="N15" s="24"/>
    </row>
    <row r="16" spans="1:21" ht="18" customHeight="1">
      <c r="A16" s="17" t="s">
        <v>33</v>
      </c>
      <c r="B16" s="18">
        <v>18</v>
      </c>
      <c r="C16" s="18">
        <v>14</v>
      </c>
      <c r="D16" s="18">
        <v>32</v>
      </c>
      <c r="E16" s="18">
        <v>18</v>
      </c>
      <c r="F16" s="18">
        <v>23</v>
      </c>
      <c r="G16" s="18">
        <v>16</v>
      </c>
      <c r="H16" s="18">
        <v>21</v>
      </c>
      <c r="I16" s="18">
        <v>16</v>
      </c>
      <c r="J16" s="1">
        <v>24</v>
      </c>
      <c r="K16" s="1">
        <v>58</v>
      </c>
      <c r="L16" s="1">
        <v>18</v>
      </c>
      <c r="M16" s="20" t="s">
        <v>34</v>
      </c>
      <c r="N16" s="24"/>
    </row>
    <row r="17" spans="1:14" ht="18.75">
      <c r="A17" s="17" t="s">
        <v>12</v>
      </c>
      <c r="B17" s="18">
        <v>24</v>
      </c>
      <c r="C17" s="18">
        <v>9</v>
      </c>
      <c r="D17" s="18">
        <v>22</v>
      </c>
      <c r="E17" s="18">
        <v>23</v>
      </c>
      <c r="F17" s="18">
        <v>25</v>
      </c>
      <c r="G17" s="18">
        <v>22</v>
      </c>
      <c r="H17" s="18">
        <v>13</v>
      </c>
      <c r="I17" s="18">
        <v>18</v>
      </c>
      <c r="J17" s="1">
        <v>5</v>
      </c>
      <c r="K17" s="1">
        <v>16</v>
      </c>
      <c r="L17" s="1">
        <v>13</v>
      </c>
      <c r="M17" s="20" t="s">
        <v>35</v>
      </c>
      <c r="N17" s="24"/>
    </row>
    <row r="18" spans="1:14" ht="18.75">
      <c r="A18" s="17" t="s">
        <v>13</v>
      </c>
      <c r="B18" s="18">
        <v>16</v>
      </c>
      <c r="C18" s="18">
        <v>13</v>
      </c>
      <c r="D18" s="18">
        <v>17</v>
      </c>
      <c r="E18" s="18">
        <v>31</v>
      </c>
      <c r="F18" s="18">
        <v>6</v>
      </c>
      <c r="G18" s="18">
        <v>29</v>
      </c>
      <c r="H18" s="18">
        <v>39</v>
      </c>
      <c r="I18" s="18">
        <v>35</v>
      </c>
      <c r="J18" s="1">
        <v>28</v>
      </c>
      <c r="K18" s="1">
        <v>79</v>
      </c>
      <c r="L18" s="1">
        <v>18</v>
      </c>
      <c r="M18" s="20" t="s">
        <v>36</v>
      </c>
      <c r="N18" s="24"/>
    </row>
    <row r="19" spans="1:14" ht="18.75">
      <c r="A19" s="17" t="s">
        <v>14</v>
      </c>
      <c r="B19" s="18">
        <v>10</v>
      </c>
      <c r="C19" s="18">
        <v>1</v>
      </c>
      <c r="D19" s="18">
        <v>5</v>
      </c>
      <c r="E19" s="18">
        <v>9</v>
      </c>
      <c r="F19" s="18">
        <v>7</v>
      </c>
      <c r="G19" s="18">
        <v>8</v>
      </c>
      <c r="H19" s="18">
        <v>2</v>
      </c>
      <c r="I19" s="18">
        <v>1</v>
      </c>
      <c r="J19" s="1">
        <v>2</v>
      </c>
      <c r="K19" s="1">
        <v>26</v>
      </c>
      <c r="L19" s="1">
        <v>6</v>
      </c>
      <c r="M19" s="20" t="s">
        <v>37</v>
      </c>
    </row>
    <row r="20" spans="1:14" ht="18.75">
      <c r="A20" s="17" t="s">
        <v>15</v>
      </c>
      <c r="B20" s="18">
        <v>16</v>
      </c>
      <c r="C20" s="18">
        <v>15</v>
      </c>
      <c r="D20" s="18">
        <v>23</v>
      </c>
      <c r="E20" s="18">
        <v>11</v>
      </c>
      <c r="F20" s="18">
        <v>2</v>
      </c>
      <c r="G20" s="18">
        <v>5</v>
      </c>
      <c r="H20" s="18">
        <v>2</v>
      </c>
      <c r="I20" s="18">
        <v>11</v>
      </c>
      <c r="J20" s="1">
        <v>5</v>
      </c>
      <c r="K20" s="1">
        <v>11</v>
      </c>
      <c r="L20" s="1">
        <v>7</v>
      </c>
      <c r="M20" s="20" t="s">
        <v>38</v>
      </c>
    </row>
    <row r="21" spans="1:14" ht="18.75">
      <c r="A21" s="17" t="s">
        <v>39</v>
      </c>
      <c r="B21" s="18">
        <v>6</v>
      </c>
      <c r="C21" s="18">
        <v>24</v>
      </c>
      <c r="D21" s="18">
        <v>36</v>
      </c>
      <c r="E21" s="18">
        <v>23</v>
      </c>
      <c r="F21" s="18">
        <v>20</v>
      </c>
      <c r="G21" s="18">
        <v>23</v>
      </c>
      <c r="H21" s="18">
        <v>26</v>
      </c>
      <c r="I21" s="18">
        <v>39</v>
      </c>
      <c r="J21" s="1">
        <v>5</v>
      </c>
      <c r="K21" s="1">
        <v>15</v>
      </c>
      <c r="L21" s="1">
        <v>8</v>
      </c>
      <c r="M21" s="20" t="s">
        <v>40</v>
      </c>
    </row>
    <row r="22" spans="1:14" ht="18.75">
      <c r="A22" s="17" t="s">
        <v>16</v>
      </c>
      <c r="B22" s="18">
        <v>13</v>
      </c>
      <c r="C22" s="18">
        <v>16</v>
      </c>
      <c r="D22" s="18">
        <v>32</v>
      </c>
      <c r="E22" s="18">
        <v>27</v>
      </c>
      <c r="F22" s="18">
        <v>5</v>
      </c>
      <c r="G22" s="18">
        <v>7</v>
      </c>
      <c r="H22" s="18">
        <v>2</v>
      </c>
      <c r="I22" s="18">
        <v>9</v>
      </c>
      <c r="J22" s="1">
        <v>6</v>
      </c>
      <c r="K22" s="1">
        <v>13</v>
      </c>
      <c r="L22" s="1">
        <v>13</v>
      </c>
      <c r="M22" s="25" t="s">
        <v>41</v>
      </c>
    </row>
    <row r="23" spans="1:14" ht="18.75">
      <c r="A23" s="17" t="s">
        <v>17</v>
      </c>
      <c r="B23" s="18">
        <v>22</v>
      </c>
      <c r="C23" s="18">
        <v>59</v>
      </c>
      <c r="D23" s="18">
        <v>35</v>
      </c>
      <c r="E23" s="18">
        <v>38</v>
      </c>
      <c r="F23" s="18">
        <v>13</v>
      </c>
      <c r="G23" s="18">
        <v>29</v>
      </c>
      <c r="H23" s="18">
        <v>28</v>
      </c>
      <c r="I23" s="18">
        <v>16</v>
      </c>
      <c r="J23" s="1">
        <v>20</v>
      </c>
      <c r="K23" s="1">
        <v>34</v>
      </c>
      <c r="L23" s="1">
        <v>20</v>
      </c>
      <c r="M23" s="26" t="s">
        <v>42</v>
      </c>
    </row>
    <row r="24" spans="1:14" ht="18.75">
      <c r="A24" s="17" t="s">
        <v>18</v>
      </c>
      <c r="B24" s="18">
        <v>32</v>
      </c>
      <c r="C24" s="18">
        <v>56</v>
      </c>
      <c r="D24" s="18">
        <v>81</v>
      </c>
      <c r="E24" s="18">
        <v>75</v>
      </c>
      <c r="F24" s="18">
        <v>46</v>
      </c>
      <c r="G24" s="18">
        <v>49</v>
      </c>
      <c r="H24" s="18">
        <v>35</v>
      </c>
      <c r="I24" s="18">
        <v>27</v>
      </c>
      <c r="J24" s="1">
        <v>24</v>
      </c>
      <c r="K24" s="1">
        <v>65</v>
      </c>
      <c r="L24" s="1">
        <v>45</v>
      </c>
      <c r="M24" s="27" t="s">
        <v>43</v>
      </c>
    </row>
    <row r="25" spans="1:14" ht="18.75">
      <c r="A25" s="17" t="s">
        <v>19</v>
      </c>
      <c r="B25" s="18">
        <v>48</v>
      </c>
      <c r="C25" s="18">
        <v>43</v>
      </c>
      <c r="D25" s="18">
        <v>82</v>
      </c>
      <c r="E25" s="18">
        <v>41</v>
      </c>
      <c r="F25" s="18">
        <v>26</v>
      </c>
      <c r="G25" s="18">
        <v>55</v>
      </c>
      <c r="H25" s="18">
        <v>52</v>
      </c>
      <c r="I25" s="18">
        <v>49</v>
      </c>
      <c r="J25" s="1">
        <v>42</v>
      </c>
      <c r="K25" s="1">
        <v>53</v>
      </c>
      <c r="L25" s="1">
        <v>38</v>
      </c>
      <c r="M25" s="26" t="s">
        <v>44</v>
      </c>
    </row>
    <row r="26" spans="1:14" ht="18.75">
      <c r="A26" s="17" t="s">
        <v>20</v>
      </c>
      <c r="B26" s="18">
        <v>52</v>
      </c>
      <c r="C26" s="18">
        <v>111</v>
      </c>
      <c r="D26" s="18">
        <v>127</v>
      </c>
      <c r="E26" s="18">
        <v>60</v>
      </c>
      <c r="F26" s="18">
        <v>57</v>
      </c>
      <c r="G26" s="18">
        <v>60</v>
      </c>
      <c r="H26" s="18">
        <v>98</v>
      </c>
      <c r="I26" s="18">
        <v>35</v>
      </c>
      <c r="J26" s="1">
        <v>58</v>
      </c>
      <c r="K26" s="1">
        <v>61</v>
      </c>
      <c r="L26" s="1">
        <v>51</v>
      </c>
      <c r="M26" s="26" t="s">
        <v>45</v>
      </c>
    </row>
    <row r="27" spans="1:14" ht="18.75">
      <c r="A27" s="17" t="s">
        <v>21</v>
      </c>
      <c r="B27" s="18">
        <v>13</v>
      </c>
      <c r="C27" s="18">
        <v>17</v>
      </c>
      <c r="D27" s="18">
        <v>12</v>
      </c>
      <c r="E27" s="18">
        <v>24</v>
      </c>
      <c r="F27" s="18">
        <v>17</v>
      </c>
      <c r="G27" s="18">
        <v>23</v>
      </c>
      <c r="H27" s="18">
        <v>18</v>
      </c>
      <c r="I27" s="18">
        <v>11</v>
      </c>
      <c r="J27" s="1">
        <v>5</v>
      </c>
      <c r="K27" s="1">
        <v>38</v>
      </c>
      <c r="L27" s="1">
        <v>13</v>
      </c>
      <c r="M27" s="28" t="s">
        <v>46</v>
      </c>
    </row>
    <row r="28" spans="1:14" ht="18.75">
      <c r="A28" s="17" t="s">
        <v>47</v>
      </c>
      <c r="B28" s="18">
        <v>28</v>
      </c>
      <c r="C28" s="18">
        <v>47</v>
      </c>
      <c r="D28" s="18">
        <v>57</v>
      </c>
      <c r="E28" s="18">
        <v>47</v>
      </c>
      <c r="F28" s="18">
        <v>38</v>
      </c>
      <c r="G28" s="18">
        <v>23</v>
      </c>
      <c r="H28" s="18">
        <v>31</v>
      </c>
      <c r="I28" s="18">
        <v>29</v>
      </c>
      <c r="J28" s="1">
        <v>45</v>
      </c>
      <c r="K28" s="1">
        <v>60</v>
      </c>
      <c r="L28" s="1">
        <v>44</v>
      </c>
      <c r="M28" s="27" t="s">
        <v>48</v>
      </c>
    </row>
    <row r="29" spans="1:14" ht="18.75">
      <c r="A29" s="29" t="s">
        <v>49</v>
      </c>
      <c r="B29" s="30">
        <v>0</v>
      </c>
      <c r="C29" s="30">
        <v>0</v>
      </c>
      <c r="D29" s="30">
        <v>0</v>
      </c>
      <c r="E29" s="30">
        <v>2</v>
      </c>
      <c r="F29" s="30">
        <v>5</v>
      </c>
      <c r="G29" s="30">
        <v>1</v>
      </c>
      <c r="H29" s="30">
        <v>0</v>
      </c>
      <c r="I29" s="30">
        <v>0</v>
      </c>
      <c r="J29" s="3">
        <v>0</v>
      </c>
      <c r="K29" s="3">
        <v>1</v>
      </c>
      <c r="L29" s="3">
        <v>0</v>
      </c>
      <c r="M29" s="31" t="s">
        <v>50</v>
      </c>
    </row>
    <row r="30" spans="1:14" ht="18.75">
      <c r="A30" s="32" t="s">
        <v>51</v>
      </c>
      <c r="M30" s="33" t="s">
        <v>52</v>
      </c>
    </row>
    <row r="31" spans="1:14" ht="19.5" customHeight="1"/>
    <row r="49" spans="5:5" s="1" customFormat="1"/>
    <row r="56" spans="5:5" s="1" customFormat="1">
      <c r="E56" s="6"/>
    </row>
  </sheetData>
  <mergeCells count="5">
    <mergeCell ref="A1:M1"/>
    <mergeCell ref="A2:M2"/>
    <mergeCell ref="A4:A5"/>
    <mergeCell ref="B4:J4"/>
    <mergeCell ref="M4:M5"/>
  </mergeCells>
  <pageMargins left="0.7" right="0.7" top="0.75" bottom="0.75" header="0.3" footer="0.3"/>
  <pageSetup paperSize="9" scale="53" orientation="portrait" r:id="rId1"/>
  <colBreaks count="1" manualBreakCount="1">
    <brk id="13" max="3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8.53</vt:lpstr>
      <vt:lpstr>'8.53'!Print_Area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2023-05-16T14:06:35Z</cp:lastPrinted>
  <dcterms:created xsi:type="dcterms:W3CDTF">2019-06-30T04:22:49Z</dcterms:created>
  <dcterms:modified xsi:type="dcterms:W3CDTF">2023-05-16T14:06:46Z</dcterms:modified>
</cp:coreProperties>
</file>