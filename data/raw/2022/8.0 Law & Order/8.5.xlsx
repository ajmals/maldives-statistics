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7305C67E-64BB-4C6C-8044-916711D8D96F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5" sheetId="5" r:id="rId1"/>
  </sheets>
  <definedNames>
    <definedName name="_xlnm.Print_Area" localSheetId="0">'8.5'!$A$1:$P$33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5" l="1"/>
  <c r="M5" i="5" l="1"/>
  <c r="L5" i="5" l="1"/>
  <c r="K5" i="5" l="1"/>
  <c r="J5" i="5"/>
  <c r="I5" i="5"/>
  <c r="H5" i="5"/>
  <c r="G5" i="5"/>
  <c r="F5" i="5"/>
  <c r="E5" i="5"/>
  <c r="D5" i="5"/>
  <c r="C5" i="5"/>
  <c r="B5" i="5"/>
</calcChain>
</file>

<file path=xl/sharedStrings.xml><?xml version="1.0" encoding="utf-8"?>
<sst xmlns="http://schemas.openxmlformats.org/spreadsheetml/2006/main" count="32" uniqueCount="32">
  <si>
    <t>Total</t>
  </si>
  <si>
    <t>wlcmuj</t>
  </si>
  <si>
    <t>Source: Maldives Police Service</t>
  </si>
  <si>
    <t>csivrws csilop cscviDclOm :Ivcaed utWmUluAwm</t>
  </si>
  <si>
    <t>Number of cases logged</t>
  </si>
  <si>
    <t>cawtwlwscawm WviwފiLehwSuh</t>
  </si>
  <si>
    <t>January</t>
  </si>
  <si>
    <t>ޖެނުއަރީ</t>
  </si>
  <si>
    <t>February</t>
  </si>
  <si>
    <t>ފެބްރުއަރީ</t>
  </si>
  <si>
    <t>March</t>
  </si>
  <si>
    <t>މާރޗް</t>
  </si>
  <si>
    <t>April</t>
  </si>
  <si>
    <t>އޭޕްރިލް</t>
  </si>
  <si>
    <t>May</t>
  </si>
  <si>
    <t>މެއި</t>
  </si>
  <si>
    <t>June</t>
  </si>
  <si>
    <t>ޖޫން</t>
  </si>
  <si>
    <t>July</t>
  </si>
  <si>
    <t>ޖުލައި</t>
  </si>
  <si>
    <t>August</t>
  </si>
  <si>
    <t>އޯގަސްޓް</t>
  </si>
  <si>
    <t>September</t>
  </si>
  <si>
    <t>ސެޕްޓެމްބަރ</t>
  </si>
  <si>
    <t>October</t>
  </si>
  <si>
    <t>އޮކްޓޯބަރ</t>
  </si>
  <si>
    <t>November</t>
  </si>
  <si>
    <t>ނޮވެމްބަރ</t>
  </si>
  <si>
    <t>December</t>
  </si>
  <si>
    <t>ޑިސެމްބަރ</t>
  </si>
  <si>
    <t>Table 8.5: LOGGED CASES  2016 - 2021</t>
  </si>
  <si>
    <t>2021 - 2016 ,cawtwlwscawm WviawfiLehwSuh : 8.5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</si>
</sst>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2"/>
      <color rgb="FF000000"/>
      <name val="Calibri"/>
      <family val="2"/>
      <scheme val="minor"/>
    </font>
    <font>
      <b/>
      <sz val="10"/>
      <color rgb="FF000000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b/>
      <sz val="10"/>
      <name val="A_Faseyha"/>
    </font>
    <font>
      <sz val="10"/>
      <color indexed="8"/>
      <name val="Faruma"/>
      <family val="3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6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12" fillId="0" borderId="0"/>
    <xf numFmtId="0" fontId="17" fillId="0" borderId="7" applyNumberFormat="0" applyFill="0" applyAlignment="0" applyProtection="0"/>
    <xf numFmtId="0" fontId="16" fillId="0" borderId="0"/>
    <xf numFmtId="0" fontId="16" fillId="0" borderId="0"/>
  </cellStyleXfs>
  <cellXfs count="27">
    <xf numFmtId="0" fontId="0" fillId="0" borderId="0" xfId="0"/>
    <xf numFmtId="164" fontId="2" fillId="2" borderId="0" xfId="2" applyNumberFormat="1" applyFont="1" applyFill="1" applyAlignment="1">
      <alignment vertical="center"/>
    </xf>
    <xf numFmtId="164" fontId="0" fillId="2" borderId="3" xfId="0" applyNumberFormat="1" applyFill="1" applyBorder="1"/>
    <xf numFmtId="164" fontId="14" fillId="2" borderId="4" xfId="0" applyNumberFormat="1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vertical="center"/>
    </xf>
    <xf numFmtId="164" fontId="3" fillId="2" borderId="5" xfId="0" applyNumberFormat="1" applyFont="1" applyFill="1" applyBorder="1" applyAlignment="1">
      <alignment horizontal="right" vertical="center"/>
    </xf>
    <xf numFmtId="164" fontId="6" fillId="2" borderId="3" xfId="0" applyNumberFormat="1" applyFont="1" applyFill="1" applyBorder="1"/>
    <xf numFmtId="164" fontId="5" fillId="2" borderId="1" xfId="0" applyNumberFormat="1" applyFont="1" applyFill="1" applyBorder="1"/>
    <xf numFmtId="166" fontId="5" fillId="2" borderId="1" xfId="1" applyNumberFormat="1" applyFont="1" applyFill="1" applyBorder="1" applyAlignment="1">
      <alignment horizontal="right" vertical="center"/>
    </xf>
    <xf numFmtId="166" fontId="10" fillId="2" borderId="1" xfId="1" applyNumberFormat="1" applyFont="1" applyFill="1" applyBorder="1" applyAlignment="1">
      <alignment horizontal="right" vertical="center"/>
    </xf>
    <xf numFmtId="166" fontId="7" fillId="2" borderId="3" xfId="1" applyNumberFormat="1" applyFont="1" applyFill="1" applyBorder="1" applyAlignment="1">
      <alignment horizontal="right" vertical="center"/>
    </xf>
    <xf numFmtId="166" fontId="7" fillId="2" borderId="3" xfId="1" applyNumberFormat="1" applyFont="1" applyFill="1" applyBorder="1" applyAlignment="1" applyProtection="1">
      <alignment horizontal="right" vertical="center"/>
      <protection locked="0"/>
    </xf>
    <xf numFmtId="166" fontId="7" fillId="2" borderId="6" xfId="1" applyNumberFormat="1" applyFont="1" applyFill="1" applyBorder="1" applyAlignment="1">
      <alignment horizontal="right" vertical="center"/>
    </xf>
    <xf numFmtId="166" fontId="7" fillId="2" borderId="6" xfId="1" applyNumberFormat="1" applyFont="1" applyFill="1" applyBorder="1" applyAlignment="1" applyProtection="1">
      <alignment horizontal="right" vertical="center"/>
      <protection locked="0"/>
    </xf>
    <xf numFmtId="164" fontId="15" fillId="2" borderId="1" xfId="0" applyNumberFormat="1" applyFont="1" applyFill="1" applyBorder="1" applyAlignment="1">
      <alignment vertical="top"/>
    </xf>
    <xf numFmtId="164" fontId="0" fillId="2" borderId="3" xfId="0" applyNumberFormat="1" applyFill="1" applyBorder="1" applyAlignment="1">
      <alignment vertical="top"/>
    </xf>
    <xf numFmtId="164" fontId="9" fillId="2" borderId="0" xfId="0" applyNumberFormat="1" applyFont="1" applyFill="1" applyAlignment="1">
      <alignment horizontal="right" vertical="top"/>
    </xf>
    <xf numFmtId="164" fontId="19" fillId="2" borderId="1" xfId="0" applyNumberFormat="1" applyFont="1" applyFill="1" applyBorder="1" applyAlignment="1">
      <alignment horizontal="right" vertical="center"/>
    </xf>
    <xf numFmtId="164" fontId="19" fillId="2" borderId="5" xfId="0" applyNumberFormat="1" applyFont="1" applyFill="1" applyBorder="1" applyAlignment="1">
      <alignment horizontal="right" vertical="center"/>
    </xf>
    <xf numFmtId="164" fontId="18" fillId="2" borderId="2" xfId="0" applyNumberFormat="1" applyFont="1" applyFill="1" applyBorder="1" applyAlignment="1">
      <alignment horizontal="right" vertical="top"/>
    </xf>
    <xf numFmtId="0" fontId="8" fillId="2" borderId="3" xfId="5" applyNumberFormat="1" applyFont="1" applyFill="1" applyBorder="1" applyAlignment="1">
      <alignment horizontal="left" vertical="center" indent="1"/>
    </xf>
    <xf numFmtId="0" fontId="8" fillId="2" borderId="6" xfId="5" applyNumberFormat="1" applyFont="1" applyFill="1" applyBorder="1" applyAlignment="1">
      <alignment horizontal="left" vertical="center" indent="1"/>
    </xf>
    <xf numFmtId="0" fontId="20" fillId="2" borderId="3" xfId="5" applyNumberFormat="1" applyFont="1" applyFill="1" applyBorder="1" applyAlignment="1">
      <alignment horizontal="right" vertical="center" indent="1"/>
    </xf>
    <xf numFmtId="0" fontId="20" fillId="2" borderId="6" xfId="5" applyNumberFormat="1" applyFont="1" applyFill="1" applyBorder="1" applyAlignment="1">
      <alignment horizontal="right" vertical="center" indent="1"/>
    </xf>
    <xf numFmtId="164" fontId="0" fillId="2" borderId="0" xfId="0" applyNumberFormat="1" applyFill="1" applyAlignment="1">
      <alignment vertical="top"/>
    </xf>
    <xf numFmtId="164" fontId="21" fillId="2" borderId="3" xfId="0" applyNumberFormat="1" applyFont="1" applyFill="1" applyBorder="1" applyAlignment="1">
      <alignment horizontal="center" vertical="center"/>
    </xf>
    <xf numFmtId="164" fontId="13" fillId="2" borderId="4" xfId="0" applyNumberFormat="1" applyFont="1" applyFill="1" applyBorder="1" applyAlignment="1">
      <alignment horizontal="center"/>
    </xf>
  </cellXfs>
  <cellStyles count="9">
    <cellStyle name="1" xfId="8" xr:uid="{00000000-0005-0000-0000-000000000000}"/>
    <cellStyle name="Comma" xfId="1" builtinId="3"/>
    <cellStyle name="Comma 2" xfId="3" xr:uid="{00000000-0005-0000-0000-000002000000}"/>
    <cellStyle name="Heading 1 2" xfId="6" xr:uid="{00000000-0005-0000-0000-000003000000}"/>
    <cellStyle name="Hyperlink" xfId="2" builtinId="8"/>
    <cellStyle name="Normal" xfId="0" builtinId="0"/>
    <cellStyle name="Normal 2" xfId="7" xr:uid="{00000000-0005-0000-0000-000006000000}"/>
    <cellStyle name="Normal 3" xfId="5" xr:uid="{00000000-0005-0000-0000-000007000000}"/>
    <cellStyle name="Percent 2" xfId="4" xr:uid="{00000000-0005-0000-0000-00000E000000}"/>
  </cellStyles>
  <dxfs count="0"/>
  <tableStyles count="0" defaultTableStyle="TableStyleMedium2" defaultPivotStyle="PivotStyleLight16"/>
  <colors>
    <mruColors>
      <color rgb="FFFFEFEF"/>
      <color rgb="FFFFC5C5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3"/>
    </mc:Choice>
    <mc:Fallback>
      <c:style val="33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432598586093656E-2"/>
          <c:y val="0.20326181930660464"/>
          <c:w val="0.88947812785602642"/>
          <c:h val="0.701915427959031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'8.5'!$L$4</c:f>
              <c:strCache>
                <c:ptCount val="1"/>
                <c:pt idx="0">
                  <c:v>2019 </c:v>
                </c:pt>
              </c:strCache>
            </c:strRef>
          </c:tx>
          <c:spPr>
            <a:solidFill>
              <a:srgbClr val="FF8B8B"/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'8.5'!$L$6:$L$17</c:f>
              <c:numCache>
                <c:formatCode>_-* #,##0_-;\-* #,##0_-;_-* "-"??_-;_-@_-</c:formatCode>
                <c:ptCount val="12"/>
                <c:pt idx="0">
                  <c:v>1313</c:v>
                </c:pt>
                <c:pt idx="1">
                  <c:v>1282</c:v>
                </c:pt>
                <c:pt idx="2">
                  <c:v>1298</c:v>
                </c:pt>
                <c:pt idx="3">
                  <c:v>1411</c:v>
                </c:pt>
                <c:pt idx="4">
                  <c:v>1393</c:v>
                </c:pt>
                <c:pt idx="5">
                  <c:v>1450</c:v>
                </c:pt>
                <c:pt idx="6">
                  <c:v>1432</c:v>
                </c:pt>
                <c:pt idx="7">
                  <c:v>1300</c:v>
                </c:pt>
                <c:pt idx="8">
                  <c:v>1409</c:v>
                </c:pt>
                <c:pt idx="9">
                  <c:v>1505</c:v>
                </c:pt>
                <c:pt idx="10">
                  <c:v>1244</c:v>
                </c:pt>
                <c:pt idx="11">
                  <c:v>1443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E-41B7-B9CC-86E27FFB2E6B}"/>
            </c:ext>
          </c:extLst>
        </c:ser>
        <c:ser>
          <c:idx val="1"/>
          <c:order val="1"/>
          <c:tx>
            <c:strRef>
              <c:f>'8.5'!$M$4</c:f>
              <c:strCache>
                <c:ptCount val="1"/>
                <c:pt idx="0">
                  <c:v>2020 </c:v>
                </c:pt>
              </c:strCache>
            </c:strRef>
          </c:tx>
          <c:spPr>
            <a:solidFill>
              <a:srgbClr val="FFEFEF"/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'8.5'!$M$6:$M$17</c:f>
              <c:numCache>
                <c:formatCode>_-* #,##0_-;\-* #,##0_-;_-* "-"??_-;_-@_-</c:formatCode>
                <c:ptCount val="12"/>
                <c:pt idx="0">
                  <c:v>1403</c:v>
                </c:pt>
                <c:pt idx="1">
                  <c:v>1210</c:v>
                </c:pt>
                <c:pt idx="2">
                  <c:v>1294</c:v>
                </c:pt>
                <c:pt idx="3">
                  <c:v>748</c:v>
                </c:pt>
                <c:pt idx="4">
                  <c:v>680</c:v>
                </c:pt>
                <c:pt idx="5">
                  <c:v>780</c:v>
                </c:pt>
                <c:pt idx="6">
                  <c:v>990</c:v>
                </c:pt>
                <c:pt idx="7">
                  <c:v>1109</c:v>
                </c:pt>
                <c:pt idx="8">
                  <c:v>1174</c:v>
                </c:pt>
                <c:pt idx="9">
                  <c:v>1107</c:v>
                </c:pt>
                <c:pt idx="10">
                  <c:v>1116</c:v>
                </c:pt>
                <c:pt idx="11">
                  <c:v>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EE-41B7-B9CC-86E27FFB2E6B}"/>
            </c:ext>
          </c:extLst>
        </c:ser>
        <c:ser>
          <c:idx val="2"/>
          <c:order val="2"/>
          <c:tx>
            <c:strRef>
              <c:f>'8.5'!$N$4</c:f>
              <c:strCache>
                <c:ptCount val="1"/>
                <c:pt idx="0">
                  <c:v>2021 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'8.5'!$N$6:$N$17</c:f>
              <c:numCache>
                <c:formatCode>_-* #,##0_-;\-* #,##0_-;_-* "-"??_-;_-@_-</c:formatCode>
                <c:ptCount val="12"/>
                <c:pt idx="0">
                  <c:v>1387</c:v>
                </c:pt>
                <c:pt idx="1">
                  <c:v>1100</c:v>
                </c:pt>
                <c:pt idx="2">
                  <c:v>1261</c:v>
                </c:pt>
                <c:pt idx="3">
                  <c:v>1173</c:v>
                </c:pt>
                <c:pt idx="4">
                  <c:v>1085</c:v>
                </c:pt>
                <c:pt idx="5">
                  <c:v>1077</c:v>
                </c:pt>
                <c:pt idx="6">
                  <c:v>1044</c:v>
                </c:pt>
                <c:pt idx="7">
                  <c:v>1205</c:v>
                </c:pt>
                <c:pt idx="8">
                  <c:v>1206</c:v>
                </c:pt>
                <c:pt idx="9">
                  <c:v>1189</c:v>
                </c:pt>
                <c:pt idx="10">
                  <c:v>1161</c:v>
                </c:pt>
                <c:pt idx="11">
                  <c:v>1255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F-42F1-93F4-80E793F88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43674624"/>
        <c:axId val="43684608"/>
      </c:barChart>
      <c:catAx>
        <c:axId val="436746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3684608"/>
        <c:crosses val="autoZero"/>
        <c:auto val="1"/>
        <c:lblAlgn val="ctr"/>
        <c:lblOffset val="100"/>
        <c:noMultiLvlLbl val="0"/>
      </c:catAx>
      <c:valAx>
        <c:axId val="4368460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Number</a:t>
                </a:r>
              </a:p>
            </c:rich>
          </c:tx>
          <c:layout>
            <c:manualLayout>
              <c:xMode val="edge"/>
              <c:yMode val="edge"/>
              <c:x val="8.4043946323533528E-3"/>
              <c:y val="0.3689431604433756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3674624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16745296376720101"/>
          <c:y val="0.21027487004576526"/>
          <c:w val="0.23914017510054314"/>
          <c:h val="8.6417778687580757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0921" l="0.70000000000000062" r="0.70000000000000062" t="0.75000000000000921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160018</xdr:colOff>
      <xdr:row>18</xdr:row>
      <xdr:rowOff>87631</xdr:rowOff>
    </xdr:from>
    <xdr:to>
      <xdr:col>15</xdr:col>
      <xdr:colOff>104776</xdr:colOff>
      <xdr:row>32</xdr:row>
      <xdr:rowOff>78105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0.30259</cdr:x>
      <cdr:y>0.04588</cdr:y>
    </cdr:from>
    <cdr:to>
      <cdr:x>0.72024</cdr:x>
      <cdr:y>0.15699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585898" y="121921"/>
          <a:ext cx="3569159" cy="2952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8.8: Number of logged cases by month, 2019- 2021</a:t>
          </a:r>
          <a:endParaRPr lang="en-US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92D050"/>
  </sheetPr>
  <dimension ref="A1:S19"/>
  <sheetViews>
    <sheetView tabSelected="1" zoomScaleNormal="100" workbookViewId="0">
      <selection activeCell="W17" sqref="W17"/>
    </sheetView>
  </sheetViews>
  <sheetFormatPr defaultColWidth="9.140625" defaultRowHeight="15"/>
  <cols>
    <col min="1" max="1" width="25.5703125" style="2" customWidth="1"/>
    <col min="2" max="2" width="7.5703125" style="2" hidden="1" customWidth="1"/>
    <col min="3" max="7" width="12.7109375" style="2" hidden="1" customWidth="1"/>
    <col min="8" max="8" width="0.5703125" style="2" hidden="1" customWidth="1"/>
    <col min="9" max="14" width="12.7109375" style="2" customWidth="1"/>
    <col min="15" max="15" width="27.140625" style="2" customWidth="1"/>
    <col min="16" max="16" width="9.140625" style="2"/>
    <col min="17" max="17" width="22.140625" style="2" bestFit="1" customWidth="1"/>
    <col min="18" max="18" width="6.7109375" style="2" bestFit="1" customWidth="1"/>
    <col min="19" max="21" width="3.28515625" style="2" customWidth="1"/>
    <col min="22" max="22" width="7.5703125" style="2" customWidth="1"/>
    <col min="23" max="23" width="7.28515625" style="2" customWidth="1"/>
    <col min="24" max="29" width="3.28515625" style="2" customWidth="1"/>
    <col min="30" max="30" width="9.140625" style="2"/>
    <col min="31" max="35" width="9.85546875" style="2" customWidth="1"/>
    <col min="36" max="16384" width="9.140625" style="2"/>
  </cols>
  <sheetData>
    <row r="1" spans="1:19" ht="18.75">
      <c r="A1" s="25" t="s">
        <v>31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9" ht="15.75">
      <c r="A2" s="26" t="s">
        <v>30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9" ht="5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Q3" s="1"/>
    </row>
    <row r="4" spans="1:19" s="6" customFormat="1" ht="15.75">
      <c r="A4" s="4" t="s">
        <v>4</v>
      </c>
      <c r="B4" s="5">
        <v>2009</v>
      </c>
      <c r="C4" s="5">
        <v>2010</v>
      </c>
      <c r="D4" s="5">
        <v>2011</v>
      </c>
      <c r="E4" s="5">
        <v>2012</v>
      </c>
      <c r="F4" s="5">
        <v>2013</v>
      </c>
      <c r="G4" s="5">
        <v>2014</v>
      </c>
      <c r="H4" s="5">
        <v>2015</v>
      </c>
      <c r="I4" s="5">
        <v>2016</v>
      </c>
      <c r="J4" s="5">
        <v>2017</v>
      </c>
      <c r="K4" s="5">
        <v>2018</v>
      </c>
      <c r="L4" s="5">
        <v>2019</v>
      </c>
      <c r="M4" s="5">
        <v>2020</v>
      </c>
      <c r="N4" s="5">
        <v>2021</v>
      </c>
      <c r="O4" s="18" t="s">
        <v>5</v>
      </c>
      <c r="P4" s="2"/>
      <c r="Q4" s="2"/>
      <c r="R4" s="2"/>
      <c r="S4" s="2"/>
    </row>
    <row r="5" spans="1:19" ht="15.75">
      <c r="A5" s="7" t="s">
        <v>0</v>
      </c>
      <c r="B5" s="8">
        <f t="shared" ref="B5:G5" si="0">SUM(B6:B17)</f>
        <v>19259</v>
      </c>
      <c r="C5" s="9">
        <f t="shared" si="0"/>
        <v>16994</v>
      </c>
      <c r="D5" s="8">
        <f t="shared" si="0"/>
        <v>17803</v>
      </c>
      <c r="E5" s="8">
        <f t="shared" si="0"/>
        <v>20512</v>
      </c>
      <c r="F5" s="8">
        <f t="shared" si="0"/>
        <v>21885</v>
      </c>
      <c r="G5" s="8">
        <f t="shared" si="0"/>
        <v>18193</v>
      </c>
      <c r="H5" s="8">
        <f t="shared" ref="H5:N5" si="1">SUM(H6:H17)</f>
        <v>16362</v>
      </c>
      <c r="I5" s="8">
        <f t="shared" si="1"/>
        <v>16287</v>
      </c>
      <c r="J5" s="8">
        <f t="shared" si="1"/>
        <v>15535</v>
      </c>
      <c r="K5" s="8">
        <f t="shared" si="1"/>
        <v>14811</v>
      </c>
      <c r="L5" s="8">
        <f t="shared" si="1"/>
        <v>16480</v>
      </c>
      <c r="M5" s="8">
        <f t="shared" si="1"/>
        <v>12787</v>
      </c>
      <c r="N5" s="8">
        <f t="shared" si="1"/>
        <v>14143</v>
      </c>
      <c r="O5" s="17" t="s">
        <v>1</v>
      </c>
      <c r="P5" s="6"/>
      <c r="Q5" s="6"/>
      <c r="R5" s="6"/>
      <c r="S5" s="6"/>
    </row>
    <row r="6" spans="1:19" ht="18.75">
      <c r="A6" s="20" t="s">
        <v>6</v>
      </c>
      <c r="B6" s="10">
        <v>1834</v>
      </c>
      <c r="C6" s="10">
        <v>1495</v>
      </c>
      <c r="D6" s="10">
        <v>1490</v>
      </c>
      <c r="E6" s="11">
        <v>1688</v>
      </c>
      <c r="F6" s="11">
        <v>1676</v>
      </c>
      <c r="G6" s="11">
        <v>2011</v>
      </c>
      <c r="H6" s="11">
        <v>1371</v>
      </c>
      <c r="I6" s="11">
        <v>1467</v>
      </c>
      <c r="J6" s="11">
        <v>1362</v>
      </c>
      <c r="K6" s="11">
        <v>1427</v>
      </c>
      <c r="L6" s="11">
        <v>1313</v>
      </c>
      <c r="M6" s="11">
        <v>1403</v>
      </c>
      <c r="N6" s="11">
        <v>1387</v>
      </c>
      <c r="O6" s="22" t="s">
        <v>7</v>
      </c>
      <c r="Q6" s="6"/>
    </row>
    <row r="7" spans="1:19" ht="18.75">
      <c r="A7" s="20" t="s">
        <v>8</v>
      </c>
      <c r="B7" s="10">
        <v>1601</v>
      </c>
      <c r="C7" s="10">
        <v>1327</v>
      </c>
      <c r="D7" s="10">
        <v>1404</v>
      </c>
      <c r="E7" s="11">
        <v>1423</v>
      </c>
      <c r="F7" s="11">
        <v>1597</v>
      </c>
      <c r="G7" s="11">
        <v>1552</v>
      </c>
      <c r="H7" s="11">
        <v>1414</v>
      </c>
      <c r="I7" s="11">
        <v>1420</v>
      </c>
      <c r="J7" s="11">
        <v>1112</v>
      </c>
      <c r="K7" s="11">
        <v>1100</v>
      </c>
      <c r="L7" s="11">
        <v>1282</v>
      </c>
      <c r="M7" s="11">
        <v>1210</v>
      </c>
      <c r="N7" s="11">
        <v>1100</v>
      </c>
      <c r="O7" s="22" t="s">
        <v>9</v>
      </c>
      <c r="Q7" s="6"/>
    </row>
    <row r="8" spans="1:19" ht="18.75">
      <c r="A8" s="20" t="s">
        <v>10</v>
      </c>
      <c r="B8" s="10">
        <v>1877</v>
      </c>
      <c r="C8" s="10">
        <v>1516</v>
      </c>
      <c r="D8" s="10">
        <v>1735</v>
      </c>
      <c r="E8" s="11">
        <v>1578</v>
      </c>
      <c r="F8" s="11">
        <v>1952</v>
      </c>
      <c r="G8" s="11">
        <v>1798</v>
      </c>
      <c r="H8" s="11">
        <v>1441</v>
      </c>
      <c r="I8" s="11">
        <v>1598</v>
      </c>
      <c r="J8" s="11">
        <v>1278</v>
      </c>
      <c r="K8" s="11">
        <v>1374</v>
      </c>
      <c r="L8" s="11">
        <v>1298</v>
      </c>
      <c r="M8" s="11">
        <v>1294</v>
      </c>
      <c r="N8" s="11">
        <v>1261</v>
      </c>
      <c r="O8" s="22" t="s">
        <v>11</v>
      </c>
      <c r="Q8" s="6"/>
    </row>
    <row r="9" spans="1:19" ht="18.75">
      <c r="A9" s="20" t="s">
        <v>12</v>
      </c>
      <c r="B9" s="10">
        <v>1701</v>
      </c>
      <c r="C9" s="10">
        <v>1621</v>
      </c>
      <c r="D9" s="10">
        <v>1477</v>
      </c>
      <c r="E9" s="11">
        <v>1959</v>
      </c>
      <c r="F9" s="11">
        <v>1796</v>
      </c>
      <c r="G9" s="11">
        <v>1650</v>
      </c>
      <c r="H9" s="11">
        <v>1271</v>
      </c>
      <c r="I9" s="11">
        <v>1251</v>
      </c>
      <c r="J9" s="11">
        <v>1406</v>
      </c>
      <c r="K9" s="11">
        <v>1278</v>
      </c>
      <c r="L9" s="11">
        <v>1411</v>
      </c>
      <c r="M9" s="11">
        <v>748</v>
      </c>
      <c r="N9" s="11">
        <v>1173</v>
      </c>
      <c r="O9" s="22" t="s">
        <v>13</v>
      </c>
      <c r="Q9" s="6"/>
    </row>
    <row r="10" spans="1:19" ht="18.75">
      <c r="A10" s="20" t="s">
        <v>14</v>
      </c>
      <c r="B10" s="10">
        <v>1556</v>
      </c>
      <c r="C10" s="10">
        <v>1493</v>
      </c>
      <c r="D10" s="10">
        <v>1473</v>
      </c>
      <c r="E10" s="11">
        <v>1621</v>
      </c>
      <c r="F10" s="11">
        <v>1740</v>
      </c>
      <c r="G10" s="11">
        <v>1640</v>
      </c>
      <c r="H10" s="11">
        <v>1332</v>
      </c>
      <c r="I10" s="11">
        <v>1539</v>
      </c>
      <c r="J10" s="11">
        <v>1270</v>
      </c>
      <c r="K10" s="11">
        <v>1156</v>
      </c>
      <c r="L10" s="11">
        <v>1393</v>
      </c>
      <c r="M10" s="11">
        <v>680</v>
      </c>
      <c r="N10" s="11">
        <v>1085</v>
      </c>
      <c r="O10" s="22" t="s">
        <v>15</v>
      </c>
      <c r="Q10" s="6"/>
    </row>
    <row r="11" spans="1:19" ht="18.75">
      <c r="A11" s="20" t="s">
        <v>16</v>
      </c>
      <c r="B11" s="10">
        <v>1663</v>
      </c>
      <c r="C11" s="10">
        <v>1366</v>
      </c>
      <c r="D11" s="10">
        <v>1505</v>
      </c>
      <c r="E11" s="11">
        <v>1668</v>
      </c>
      <c r="F11" s="11">
        <v>1942</v>
      </c>
      <c r="G11" s="11">
        <v>1489</v>
      </c>
      <c r="H11" s="11">
        <v>1262</v>
      </c>
      <c r="I11" s="11">
        <v>1334</v>
      </c>
      <c r="J11" s="11">
        <v>1216</v>
      </c>
      <c r="K11" s="11">
        <v>1175</v>
      </c>
      <c r="L11" s="11">
        <v>1450</v>
      </c>
      <c r="M11" s="11">
        <v>780</v>
      </c>
      <c r="N11" s="11">
        <v>1077</v>
      </c>
      <c r="O11" s="22" t="s">
        <v>17</v>
      </c>
    </row>
    <row r="12" spans="1:19" ht="18.75">
      <c r="A12" s="20" t="s">
        <v>18</v>
      </c>
      <c r="B12" s="10">
        <v>1597</v>
      </c>
      <c r="C12" s="10">
        <v>1253</v>
      </c>
      <c r="D12" s="10">
        <v>1300</v>
      </c>
      <c r="E12" s="11">
        <v>1773</v>
      </c>
      <c r="F12" s="11">
        <v>2005</v>
      </c>
      <c r="G12" s="11">
        <v>1412</v>
      </c>
      <c r="H12" s="11">
        <v>1326</v>
      </c>
      <c r="I12" s="11">
        <v>1301</v>
      </c>
      <c r="J12" s="11">
        <v>1309</v>
      </c>
      <c r="K12" s="11">
        <v>1165</v>
      </c>
      <c r="L12" s="11">
        <v>1432</v>
      </c>
      <c r="M12" s="11">
        <v>990</v>
      </c>
      <c r="N12" s="11">
        <v>1044</v>
      </c>
      <c r="O12" s="22" t="s">
        <v>19</v>
      </c>
      <c r="Q12" s="6"/>
    </row>
    <row r="13" spans="1:19" ht="18.75">
      <c r="A13" s="20" t="s">
        <v>20</v>
      </c>
      <c r="B13" s="10">
        <v>1433</v>
      </c>
      <c r="C13" s="10">
        <v>1510</v>
      </c>
      <c r="D13" s="10">
        <v>1464</v>
      </c>
      <c r="E13" s="11">
        <v>2001</v>
      </c>
      <c r="F13" s="11">
        <v>2007</v>
      </c>
      <c r="G13" s="11">
        <v>1380</v>
      </c>
      <c r="H13" s="11">
        <v>1609</v>
      </c>
      <c r="I13" s="11">
        <v>1267</v>
      </c>
      <c r="J13" s="11">
        <v>1308</v>
      </c>
      <c r="K13" s="11">
        <v>1296</v>
      </c>
      <c r="L13" s="11">
        <v>1300</v>
      </c>
      <c r="M13" s="11">
        <v>1109</v>
      </c>
      <c r="N13" s="11">
        <v>1205</v>
      </c>
      <c r="O13" s="22" t="s">
        <v>21</v>
      </c>
      <c r="Q13" s="6"/>
    </row>
    <row r="14" spans="1:19" ht="18.75">
      <c r="A14" s="20" t="s">
        <v>22</v>
      </c>
      <c r="B14" s="10">
        <v>1699</v>
      </c>
      <c r="C14" s="10">
        <v>1395</v>
      </c>
      <c r="D14" s="10">
        <v>1460</v>
      </c>
      <c r="E14" s="11">
        <v>1732</v>
      </c>
      <c r="F14" s="11">
        <v>1833</v>
      </c>
      <c r="G14" s="11">
        <v>1245</v>
      </c>
      <c r="H14" s="11">
        <v>1428</v>
      </c>
      <c r="I14" s="11">
        <v>1189</v>
      </c>
      <c r="J14" s="11">
        <v>1223</v>
      </c>
      <c r="K14" s="11">
        <v>1278</v>
      </c>
      <c r="L14" s="11">
        <v>1409</v>
      </c>
      <c r="M14" s="11">
        <v>1174</v>
      </c>
      <c r="N14" s="11">
        <v>1206</v>
      </c>
      <c r="O14" s="22" t="s">
        <v>23</v>
      </c>
      <c r="Q14" s="6"/>
    </row>
    <row r="15" spans="1:19" ht="18.75">
      <c r="A15" s="20" t="s">
        <v>24</v>
      </c>
      <c r="B15" s="10">
        <v>1574</v>
      </c>
      <c r="C15" s="10">
        <v>1517</v>
      </c>
      <c r="D15" s="10">
        <v>1712</v>
      </c>
      <c r="E15" s="11">
        <v>1704</v>
      </c>
      <c r="F15" s="11">
        <v>1727</v>
      </c>
      <c r="G15" s="11">
        <v>1497</v>
      </c>
      <c r="H15" s="11">
        <v>1369</v>
      </c>
      <c r="I15" s="11">
        <v>1252</v>
      </c>
      <c r="J15" s="11">
        <v>1482</v>
      </c>
      <c r="K15" s="11">
        <v>1300</v>
      </c>
      <c r="L15" s="11">
        <v>1505</v>
      </c>
      <c r="M15" s="11">
        <v>1107</v>
      </c>
      <c r="N15" s="11">
        <v>1189</v>
      </c>
      <c r="O15" s="22" t="s">
        <v>25</v>
      </c>
      <c r="Q15" s="6"/>
    </row>
    <row r="16" spans="1:19" ht="18.75">
      <c r="A16" s="20" t="s">
        <v>26</v>
      </c>
      <c r="B16" s="10">
        <v>1387</v>
      </c>
      <c r="C16" s="10">
        <v>1252</v>
      </c>
      <c r="D16" s="10">
        <v>1374</v>
      </c>
      <c r="E16" s="11">
        <v>1724</v>
      </c>
      <c r="F16" s="11">
        <v>1706</v>
      </c>
      <c r="G16" s="11">
        <v>1349</v>
      </c>
      <c r="H16" s="11">
        <v>1285</v>
      </c>
      <c r="I16" s="11">
        <v>1300</v>
      </c>
      <c r="J16" s="11">
        <v>1296</v>
      </c>
      <c r="K16" s="11">
        <v>1096</v>
      </c>
      <c r="L16" s="11">
        <v>1244</v>
      </c>
      <c r="M16" s="11">
        <v>1116</v>
      </c>
      <c r="N16" s="11">
        <v>1161</v>
      </c>
      <c r="O16" s="22" t="s">
        <v>27</v>
      </c>
      <c r="Q16" s="6"/>
    </row>
    <row r="17" spans="1:17" ht="18.75">
      <c r="A17" s="21" t="s">
        <v>28</v>
      </c>
      <c r="B17" s="12">
        <v>1337</v>
      </c>
      <c r="C17" s="12">
        <v>1249</v>
      </c>
      <c r="D17" s="12">
        <v>1409</v>
      </c>
      <c r="E17" s="13">
        <v>1641</v>
      </c>
      <c r="F17" s="13">
        <v>1904</v>
      </c>
      <c r="G17" s="13">
        <v>1170</v>
      </c>
      <c r="H17" s="13">
        <v>1254</v>
      </c>
      <c r="I17" s="13">
        <v>1369</v>
      </c>
      <c r="J17" s="13">
        <v>1273</v>
      </c>
      <c r="K17" s="13">
        <v>1166</v>
      </c>
      <c r="L17" s="13">
        <v>1443</v>
      </c>
      <c r="M17" s="13">
        <v>1176</v>
      </c>
      <c r="N17" s="13">
        <v>1255</v>
      </c>
      <c r="O17" s="23" t="s">
        <v>29</v>
      </c>
      <c r="Q17" s="6"/>
    </row>
    <row r="18" spans="1:17">
      <c r="A18" s="14" t="s">
        <v>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24"/>
      <c r="O18" s="19" t="s">
        <v>3</v>
      </c>
    </row>
    <row r="19" spans="1:17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24"/>
      <c r="O19" s="16"/>
    </row>
  </sheetData>
  <mergeCells count="2">
    <mergeCell ref="A1:O1"/>
    <mergeCell ref="A2:O2"/>
  </mergeCells>
  <pageMargins left="0.7" right="0.7" top="0.75" bottom="0.75" header="0.3" footer="0.3"/>
  <pageSetup paperSize="9" scale="63" orientation="portrait" r:id="rId1"/>
  <colBreaks count="1" manualBreakCount="1"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8.5</vt:lpstr>
      <vt:lpstr>'8.5'!Print_Area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2023-05-16T11:56:00Z</cp:lastPrinted>
  <dcterms:created xsi:type="dcterms:W3CDTF">2019-06-30T04:22:49Z</dcterms:created>
  <dcterms:modified xsi:type="dcterms:W3CDTF">2023-05-16T11:56:05Z</dcterms:modified>
</cp:coreProperties>
</file>