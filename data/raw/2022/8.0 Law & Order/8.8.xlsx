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F5E27B7B-8F12-45E1-A894-B27E8690F981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8" sheetId="8" r:id="rId1"/>
  </sheets>
  <definedNames>
    <definedName name="_xlnm.Print_Area" localSheetId="0">'8.8'!$A$1:$Q$51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0" i="8" l="1"/>
  <c r="BB9" i="8"/>
  <c r="BB8" i="8"/>
  <c r="N8" i="8" l="1"/>
  <c r="N9" i="8"/>
  <c r="N10" i="8"/>
  <c r="N11" i="8"/>
  <c r="N12" i="8"/>
  <c r="N13" i="8"/>
  <c r="N15" i="8"/>
  <c r="N16" i="8"/>
  <c r="N17" i="8"/>
  <c r="N18" i="8"/>
  <c r="N19" i="8"/>
  <c r="N20" i="8"/>
  <c r="N21" i="8"/>
  <c r="L14" i="8"/>
  <c r="L7" i="8"/>
  <c r="L6" i="8" l="1"/>
  <c r="O6" i="8"/>
  <c r="O13" i="8"/>
  <c r="O21" i="8"/>
  <c r="O20" i="8"/>
  <c r="O12" i="8"/>
  <c r="O19" i="8"/>
  <c r="O11" i="8"/>
  <c r="O18" i="8"/>
  <c r="O10" i="8"/>
  <c r="O16" i="8"/>
  <c r="O8" i="8"/>
  <c r="O7" i="8"/>
  <c r="O15" i="8" l="1"/>
  <c r="O14" i="8"/>
  <c r="O17" i="8"/>
  <c r="O9" i="8"/>
  <c r="K14" i="8" l="1"/>
  <c r="N14" i="8" s="1"/>
  <c r="K7" i="8"/>
  <c r="N7" i="8" s="1"/>
  <c r="K6" i="8" l="1"/>
  <c r="N6" i="8" s="1"/>
  <c r="H14" i="8" l="1"/>
  <c r="I14" i="8"/>
  <c r="J14" i="8"/>
  <c r="H7" i="8"/>
  <c r="I7" i="8"/>
  <c r="J7" i="8"/>
  <c r="J6" i="8" l="1"/>
  <c r="H6" i="8" l="1"/>
  <c r="G14" i="8"/>
  <c r="F14" i="8"/>
  <c r="E14" i="8"/>
  <c r="D14" i="8"/>
  <c r="C14" i="8"/>
  <c r="B14" i="8"/>
  <c r="G7" i="8"/>
  <c r="F7" i="8"/>
  <c r="E7" i="8"/>
  <c r="D7" i="8"/>
  <c r="C7" i="8"/>
  <c r="B7" i="8"/>
  <c r="I6" i="8"/>
  <c r="B6" i="8" l="1"/>
  <c r="F6" i="8"/>
  <c r="D6" i="8"/>
  <c r="E6" i="8"/>
  <c r="G6" i="8"/>
  <c r="C6" i="8"/>
</calcChain>
</file>

<file path=xl/sharedStrings.xml><?xml version="1.0" encoding="utf-8"?>
<sst xmlns="http://schemas.openxmlformats.org/spreadsheetml/2006/main" count="51" uniqueCount="33">
  <si>
    <t>Total</t>
  </si>
  <si>
    <t>Drugs</t>
  </si>
  <si>
    <t>Others</t>
  </si>
  <si>
    <t>އެހެނިހެން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</si>
  <si>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</si>
  <si>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</si>
  <si>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</si>
  <si>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</si>
  <si>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-</t>
  </si>
  <si>
    <t>ޖުމްލަ</t>
  </si>
  <si>
    <t xml:space="preserve">Type </t>
  </si>
  <si>
    <t>އިންސައްތަ</t>
  </si>
  <si>
    <t>Percentage share</t>
  </si>
  <si>
    <t>މައްސަލައިގެ ބާވަތް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</si>
  <si>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</si>
  <si>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</si>
  <si>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</si>
  <si>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</si>
  <si>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</si>
  <si>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>Production</t>
  </si>
  <si>
    <t xml:space="preserve">   އުފެއްދުން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</si>
  <si>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</si>
  <si>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</si>
  <si>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</si>
  <si>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</si>
  <si>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others</t>
  </si>
  <si>
    <t>Alcohol</t>
  </si>
  <si>
    <t>ރަލުގެ މައްސަލަތައް</t>
  </si>
  <si>
    <t>Other cases related to drug offences</t>
  </si>
  <si>
    <t>ޑްރަގްސް އާއި ގުޅުން ހުރި އެހެނިހެން މައްސަލަތައް</t>
  </si>
  <si>
    <t>% change over 2020</t>
  </si>
  <si>
    <t>Table 8.8:  DRUG CASES LOGGED BY TYPE, 2016 - 2021</t>
  </si>
  <si>
    <t>ތާވަލު 8.8: ހުށަހެޅިފައިވާ މަސްތުވާތަކެތީގެ މައްސަލަތަކާއި އަދި ބާވަތް، 2016- 2021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</si>
</sst>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Faruma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167" fontId="21" fillId="0" borderId="0"/>
    <xf numFmtId="0" fontId="28" fillId="0" borderId="6" applyNumberFormat="0" applyFill="0" applyAlignment="0" applyProtection="0"/>
    <xf numFmtId="0" fontId="27" fillId="0" borderId="0"/>
    <xf numFmtId="0" fontId="27" fillId="0" borderId="0"/>
  </cellStyleXfs>
  <cellXfs count="55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164" fontId="4" fillId="2" borderId="0" xfId="0" applyNumberFormat="1" applyFont="1" applyFill="1" applyAlignment="1">
      <alignment vertical="center"/>
    </xf>
    <xf numFmtId="166" fontId="12" fillId="2" borderId="0" xfId="1" applyNumberFormat="1" applyFont="1" applyFill="1" applyBorder="1" applyAlignment="1">
      <alignment horizontal="center"/>
    </xf>
    <xf numFmtId="164" fontId="9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 indent="2"/>
    </xf>
    <xf numFmtId="167" fontId="15" fillId="2" borderId="0" xfId="1" applyNumberFormat="1" applyFont="1" applyFill="1" applyBorder="1" applyAlignment="1">
      <alignment horizontal="right"/>
    </xf>
    <xf numFmtId="164" fontId="22" fillId="2" borderId="0" xfId="0" applyNumberFormat="1" applyFont="1" applyFill="1"/>
    <xf numFmtId="164" fontId="14" fillId="2" borderId="0" xfId="0" applyNumberFormat="1" applyFont="1" applyFill="1"/>
    <xf numFmtId="164" fontId="16" fillId="2" borderId="5" xfId="0" applyNumberFormat="1" applyFont="1" applyFill="1" applyBorder="1" applyAlignment="1">
      <alignment vertical="center"/>
    </xf>
    <xf numFmtId="164" fontId="12" fillId="2" borderId="0" xfId="0" applyNumberFormat="1" applyFont="1" applyFill="1"/>
    <xf numFmtId="164" fontId="23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left" vertical="center" indent="1"/>
    </xf>
    <xf numFmtId="164" fontId="26" fillId="2" borderId="0" xfId="0" applyNumberFormat="1" applyFont="1" applyFill="1"/>
    <xf numFmtId="164" fontId="6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17" fillId="2" borderId="5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center" vertical="top"/>
    </xf>
    <xf numFmtId="164" fontId="19" fillId="2" borderId="3" xfId="0" applyNumberFormat="1" applyFont="1" applyFill="1" applyBorder="1" applyAlignment="1">
      <alignment horizontal="center" vertical="center"/>
    </xf>
    <xf numFmtId="166" fontId="19" fillId="2" borderId="0" xfId="1" applyNumberFormat="1" applyFont="1" applyFill="1" applyBorder="1" applyAlignment="1">
      <alignment horizontal="right" vertical="center"/>
    </xf>
    <xf numFmtId="166" fontId="10" fillId="2" borderId="0" xfId="1" applyNumberFormat="1" applyFont="1" applyFill="1" applyBorder="1" applyAlignment="1">
      <alignment horizontal="right" vertical="center"/>
    </xf>
    <xf numFmtId="166" fontId="4" fillId="2" borderId="0" xfId="1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/>
    <xf numFmtId="164" fontId="25" fillId="2" borderId="0" xfId="0" applyNumberFormat="1" applyFont="1" applyFill="1"/>
    <xf numFmtId="166" fontId="11" fillId="2" borderId="0" xfId="1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vertical="center" wrapText="1"/>
    </xf>
    <xf numFmtId="166" fontId="4" fillId="2" borderId="4" xfId="1" applyNumberFormat="1" applyFont="1" applyFill="1" applyBorder="1" applyAlignment="1">
      <alignment horizontal="right" vertical="center"/>
    </xf>
    <xf numFmtId="164" fontId="2" fillId="2" borderId="4" xfId="0" applyNumberFormat="1" applyFont="1" applyFill="1" applyBorder="1"/>
    <xf numFmtId="3" fontId="10" fillId="2" borderId="4" xfId="0" applyNumberFormat="1" applyFont="1" applyFill="1" applyBorder="1" applyAlignment="1">
      <alignment horizontal="right" vertical="center" indent="5"/>
    </xf>
    <xf numFmtId="1" fontId="0" fillId="2" borderId="0" xfId="0" applyNumberFormat="1" applyFill="1"/>
    <xf numFmtId="3" fontId="13" fillId="2" borderId="0" xfId="0" applyNumberFormat="1" applyFont="1" applyFill="1" applyAlignment="1">
      <alignment horizontal="right" vertical="center" indent="5"/>
    </xf>
    <xf numFmtId="3" fontId="10" fillId="2" borderId="0" xfId="0" applyNumberFormat="1" applyFont="1" applyFill="1" applyAlignment="1">
      <alignment horizontal="right" vertical="center" indent="5"/>
    </xf>
    <xf numFmtId="164" fontId="29" fillId="2" borderId="5" xfId="0" applyNumberFormat="1" applyFont="1" applyFill="1" applyBorder="1" applyAlignment="1">
      <alignment horizontal="right" vertical="center"/>
    </xf>
    <xf numFmtId="1" fontId="13" fillId="2" borderId="0" xfId="2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right" vertical="center" wrapText="1"/>
    </xf>
    <xf numFmtId="1" fontId="10" fillId="2" borderId="0" xfId="2" applyNumberFormat="1" applyFont="1" applyFill="1" applyBorder="1" applyAlignment="1">
      <alignment horizontal="center" vertical="center"/>
    </xf>
    <xf numFmtId="1" fontId="10" fillId="2" borderId="4" xfId="2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7" xfId="0" applyNumberFormat="1" applyFont="1" applyFill="1" applyBorder="1" applyAlignment="1">
      <alignment horizontal="center" vertical="top"/>
    </xf>
    <xf numFmtId="164" fontId="3" fillId="2" borderId="9" xfId="0" applyNumberFormat="1" applyFont="1" applyFill="1" applyBorder="1" applyAlignment="1">
      <alignment horizontal="center" vertical="top"/>
    </xf>
    <xf numFmtId="164" fontId="18" fillId="2" borderId="1" xfId="0" applyNumberFormat="1" applyFont="1" applyFill="1" applyBorder="1" applyAlignment="1">
      <alignment horizontal="center" vertical="center"/>
    </xf>
    <xf numFmtId="164" fontId="24" fillId="2" borderId="3" xfId="0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0" xfId="0" applyNumberFormat="1" applyFont="1" applyFill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24" fillId="2" borderId="4" xfId="0" applyNumberFormat="1" applyFont="1" applyFill="1" applyBorder="1" applyAlignment="1">
      <alignment horizontal="right" vertical="center" wrapText="1"/>
    </xf>
    <xf numFmtId="164" fontId="3" fillId="2" borderId="8" xfId="0" applyNumberFormat="1" applyFont="1" applyFill="1" applyBorder="1" applyAlignment="1">
      <alignment horizontal="center" vertical="top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Heading 1 2" xfId="6" xr:uid="{00000000-0005-0000-0000-000003000000}"/>
    <cellStyle name="Normal" xfId="0" builtinId="0"/>
    <cellStyle name="Normal 2" xfId="7" xr:uid="{00000000-0005-0000-0000-000006000000}"/>
    <cellStyle name="Normal 3" xfId="5" xr:uid="{00000000-0005-0000-0000-000007000000}"/>
    <cellStyle name="Percent" xfId="2" builtinId="5"/>
    <cellStyle name="Percent 2" xfId="4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spPr>
            <a:solidFill>
              <a:srgbClr val="33CCCC"/>
            </a:solidFill>
          </c:spPr>
          <c:explosion val="3"/>
          <c:dPt>
            <c:idx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B1-4759-89FB-17FE9121C893}"/>
              </c:ext>
            </c:extLst>
          </c:dPt>
          <c:dPt>
            <c:idx val="1"/>
            <c:bubble3D val="0"/>
            <c:spPr>
              <a:solidFill>
                <a:srgbClr val="FFC5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B1-4759-89FB-17FE9121C893}"/>
              </c:ext>
            </c:extLst>
          </c:dPt>
          <c:dLbls>
            <c:dLbl>
              <c:idx val="0"/>
              <c:layout>
                <c:manualLayout>
                  <c:x val="9.5348029521647837E-2"/>
                  <c:y val="-0.288862273519664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B1-4759-89FB-17FE9121C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'8.8'!$BA$8:$BA$10</c15:sqref>
                  </c15:fullRef>
                </c:ext>
              </c:extLst>
              <c:f>'8.8'!$BA$8:$BA$9</c:f>
              <c:strCache>
                <c:ptCount val="2"/>
                <c:pt idx="0">
                  <c:v>Drugs</c:v>
                </c:pt>
                <c:pt idx="1">
                  <c:v>Alcohol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'8.8'!$BB$8:$BB$10</c15:sqref>
                  </c15:fullRef>
                </c:ext>
              </c:extLst>
              <c:f>'8.8'!$BB$8:$BB$9</c:f>
              <c:numCache>
                <c:formatCode>_-* #,##0_-;\-* #,##0_-;_-* "-"??_-;_-@_-</c:formatCode>
                <c:ptCount val="2"/>
                <c:pt idx="0" formatCode="General_)">
                  <c:v>1296</c:v>
                </c:pt>
                <c:pt idx="1">
                  <c:v>143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'8.8'!$BB$10</c15:sqref>
                  <c15:dLbl>
                    <c:idx val="1"/>
                    <c:delete val="1"/>
                    <c:extLst xmlns:c16="http://schemas.microsoft.com/office/drawing/2014/chart">
                      <c:ext uri="{CE6537A1-D6FC-4f65-9D91-7224C49458BB}"/>
                      <c:ext xmlns:c16="http://schemas.microsoft.com/office/drawing/2014/chart" uri="{C3380CC4-5D6E-409C-BE32-E72D297353CC}">
                        <c16:uniqueId val="{00000004-79A8-40FF-BA89-72409F4EA19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76B1-4759-89FB-17FE9121C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4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08167971070746E-2"/>
          <c:y val="0.16217493386411694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'8.8'!$J$3:$J$5</c:f>
              <c:strCache>
                <c:ptCount val="3"/>
                <c:pt idx="0">
                  <c:v>2019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'8.8'!$J$8:$J$13</c:f>
              <c:numCache>
                <c:formatCode>_-* #,##0_-;\-* #,##0_-;_-* "-"??_-;_-@_-</c:formatCode>
                <c:ptCount val="6"/>
                <c:pt idx="0">
                  <c:v>561</c:v>
                </c:pt>
                <c:pt idx="1">
                  <c:v>878</c:v>
                </c:pt>
                <c:pt idx="2">
                  <c:v>1</c:v>
                </c:pt>
                <c:pt idx="3">
                  <c:v>175</c:v>
                </c:pt>
                <c:pt idx="4">
                  <c:v>305</c:v>
                </c:pt>
                <c:pt idx="5">
                  <c:v>46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832-426D-BAEF-F06F4B391A89}"/>
            </c:ext>
          </c:extLst>
        </c:ser>
        <c:ser>
          <c:idx val="1"/>
          <c:order val="1"/>
          <c:tx>
            <c:strRef>
              <c:f>'8.8'!$K$3:$K$5</c:f>
              <c:strCache>
                <c:ptCount val="3"/>
                <c:pt idx="0">
                  <c:v>2020 </c:v>
                </c:pt>
              </c:strCache>
            </c:strRef>
          </c:tx>
          <c:spPr>
            <a:solidFill>
              <a:srgbClr val="FFC5C5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'8.8'!$K$8:$K$13</c:f>
              <c:numCache>
                <c:formatCode>_-* #,##0_-;\-* #,##0_-;_-* "-"??_-;_-@_-</c:formatCode>
                <c:ptCount val="6"/>
                <c:pt idx="0">
                  <c:v>174</c:v>
                </c:pt>
                <c:pt idx="1">
                  <c:v>590</c:v>
                </c:pt>
                <c:pt idx="2">
                  <c:v>1</c:v>
                </c:pt>
                <c:pt idx="3">
                  <c:v>132</c:v>
                </c:pt>
                <c:pt idx="4">
                  <c:v>334</c:v>
                </c:pt>
                <c:pt idx="5">
                  <c:v>49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832-426D-BAEF-F06F4B391A89}"/>
            </c:ext>
          </c:extLst>
        </c:ser>
        <c:ser>
          <c:idx val="2"/>
          <c:order val="2"/>
          <c:tx>
            <c:strRef>
              <c:f>'8.8'!$L$3:$L$5</c:f>
              <c:strCache>
                <c:ptCount val="3"/>
                <c:pt idx="0">
                  <c:v>2021 </c:v>
                </c:pt>
              </c:strCache>
            </c:strRef>
          </c:tx>
          <c:spPr>
            <a:solidFill>
              <a:srgbClr val="FFEFEF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'8.8'!$L$8:$L$13</c:f>
              <c:numCache>
                <c:formatCode>_-* #,##0_-;\-* #,##0_-;_-* "-"??_-;_-@_-</c:formatCode>
                <c:ptCount val="6"/>
                <c:pt idx="0">
                  <c:v>344</c:v>
                </c:pt>
                <c:pt idx="1">
                  <c:v>543</c:v>
                </c:pt>
                <c:pt idx="2">
                  <c:v>0</c:v>
                </c:pt>
                <c:pt idx="3">
                  <c:v>102</c:v>
                </c:pt>
                <c:pt idx="4">
                  <c:v>277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2-426D-BAEF-F06F4B391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77888"/>
        <c:axId val="43879424"/>
        <c:extLst/>
      </c:barChart>
      <c:catAx>
        <c:axId val="43877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43879424"/>
        <c:crosses val="autoZero"/>
        <c:auto val="1"/>
        <c:lblAlgn val="ctr"/>
        <c:lblOffset val="100"/>
        <c:noMultiLvlLbl val="0"/>
      </c:catAx>
      <c:valAx>
        <c:axId val="43879424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387788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60790028836376531"/>
          <c:y val="0.24146129536577463"/>
          <c:w val="0.20398491771739671"/>
          <c:h val="8.958446458329431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927653</xdr:colOff>
      <xdr:row>36</xdr:row>
      <xdr:rowOff>37810</xdr:rowOff>
    </xdr:from>
    <xdr:to>
      <xdr:col>15</xdr:col>
      <xdr:colOff>381001</xdr:colOff>
      <xdr:row>50</xdr:row>
      <xdr:rowOff>92163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962025</xdr:colOff>
      <xdr:row>22</xdr:row>
      <xdr:rowOff>166681</xdr:rowOff>
    </xdr:from>
    <xdr:to>
      <xdr:col>15</xdr:col>
      <xdr:colOff>379757</xdr:colOff>
      <xdr:row>35</xdr:row>
      <xdr:rowOff>91792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0.1539</cdr:x>
      <cdr:y>0.03051</cdr:y>
    </cdr:from>
    <cdr:to>
      <cdr:x>0.7413</cdr:x>
      <cdr:y>0.16111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5643" y="82711"/>
          <a:ext cx="3990992" cy="354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8.12: Percentage share of drugs and alcohol related cases, </a:t>
          </a:r>
          <a:r>
            <a:rPr lang="en-US" sz="105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2021</a:t>
          </a:r>
          <a:endParaRPr lang="en-US" sz="1000" b="1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0.2627</cdr:x>
      <cdr:y>0.03119</cdr:y>
    </cdr:from>
    <cdr:to>
      <cdr:x>0.78694</cdr:x>
      <cdr:y>0.15289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75627" y="79219"/>
          <a:ext cx="3543456" cy="30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8.11: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cases, 2019 - 2021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2D050"/>
  </sheetPr>
  <dimension ref="A1:BB31"/>
  <sheetViews>
    <sheetView tabSelected="1" zoomScaleNormal="100" workbookViewId="0">
      <selection activeCell="S14" sqref="S14"/>
    </sheetView>
  </sheetViews>
  <sheetFormatPr defaultColWidth="9.140625" defaultRowHeight="15"/>
  <cols>
    <col min="1" max="1" width="14.5703125" style="1" customWidth="1"/>
    <col min="2" max="6" width="11.42578125" style="1" hidden="1" customWidth="1"/>
    <col min="7" max="12" width="11.42578125" style="1" customWidth="1"/>
    <col min="13" max="13" width="2.7109375" style="1" customWidth="1"/>
    <col min="14" max="14" width="20.5703125" style="1" customWidth="1"/>
    <col min="15" max="15" width="15" style="1" customWidth="1"/>
    <col min="16" max="16" width="20.28515625" style="1" customWidth="1"/>
    <col min="17" max="17" width="7.5703125" style="1" customWidth="1"/>
    <col min="18" max="18" width="9.140625" style="1"/>
    <col min="19" max="24" width="9.28515625" style="1" customWidth="1"/>
    <col min="25" max="25" width="11.140625" style="1" customWidth="1"/>
    <col min="26" max="16384" width="9.140625" style="1"/>
  </cols>
  <sheetData>
    <row r="1" spans="1:54" ht="21">
      <c r="A1" s="44" t="s">
        <v>32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54" ht="21.75" customHeight="1">
      <c r="A2" s="41" t="s">
        <v>31</v>
      </c>
      <c r="B2" s="41"/>
      <c r="C2" s="41"/>
      <c r="D2" s="41"/>
      <c r="E2" s="41"/>
      <c r="F2" s="41"/>
      <c r="G2" s="41"/>
      <c r="H2" s="41"/>
      <c r="I2" s="41"/>
      <c r="J2" s="42"/>
      <c r="K2" s="42"/>
      <c r="L2" s="43"/>
      <c r="M2" s="41"/>
      <c r="N2" s="54"/>
      <c r="O2" s="54"/>
      <c r="P2" s="41"/>
    </row>
    <row r="3" spans="1:54" ht="17.25">
      <c r="A3" s="47" t="s">
        <v>10</v>
      </c>
      <c r="B3" s="50">
        <v>2011</v>
      </c>
      <c r="C3" s="50">
        <v>2012</v>
      </c>
      <c r="D3" s="50">
        <v>2013</v>
      </c>
      <c r="E3" s="50">
        <v>2014</v>
      </c>
      <c r="F3" s="50">
        <v>2015</v>
      </c>
      <c r="G3" s="50">
        <v>2016</v>
      </c>
      <c r="H3" s="50">
        <v>2017</v>
      </c>
      <c r="I3" s="50">
        <v>2018</v>
      </c>
      <c r="J3" s="50">
        <v>2019</v>
      </c>
      <c r="K3" s="50">
        <v>2020</v>
      </c>
      <c r="L3" s="50">
        <v>2021</v>
      </c>
      <c r="M3" s="19"/>
      <c r="N3" s="37" t="s">
        <v>6</v>
      </c>
      <c r="O3" s="20">
        <v>2021</v>
      </c>
      <c r="P3" s="45" t="s">
        <v>13</v>
      </c>
    </row>
    <row r="4" spans="1:54" ht="27" customHeight="1">
      <c r="A4" s="48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15"/>
      <c r="N4" s="16" t="s">
        <v>7</v>
      </c>
      <c r="O4" s="15" t="s">
        <v>11</v>
      </c>
      <c r="P4" s="46"/>
      <c r="R4" s="2"/>
      <c r="S4" s="2"/>
      <c r="T4" s="2"/>
      <c r="U4" s="2"/>
    </row>
    <row r="5" spans="1:54" ht="25.5" customHeight="1">
      <c r="A5" s="49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17"/>
      <c r="N5" s="17" t="s">
        <v>30</v>
      </c>
      <c r="O5" s="17" t="s">
        <v>12</v>
      </c>
      <c r="P5" s="53"/>
      <c r="R5" s="2"/>
      <c r="S5" s="2"/>
      <c r="T5" s="2"/>
      <c r="U5" s="2"/>
    </row>
    <row r="6" spans="1:54" s="25" customFormat="1" ht="18.75">
      <c r="A6" s="3" t="s">
        <v>0</v>
      </c>
      <c r="B6" s="21">
        <f t="shared" ref="B6:G6" si="0">B7+B14+B21</f>
        <v>1823</v>
      </c>
      <c r="C6" s="21">
        <f t="shared" si="0"/>
        <v>2534</v>
      </c>
      <c r="D6" s="22">
        <f t="shared" si="0"/>
        <v>3965</v>
      </c>
      <c r="E6" s="22">
        <f>E7+E14+E21</f>
        <v>3140</v>
      </c>
      <c r="F6" s="22">
        <f t="shared" si="0"/>
        <v>2079</v>
      </c>
      <c r="G6" s="22">
        <f t="shared" si="0"/>
        <v>2375</v>
      </c>
      <c r="H6" s="22">
        <f>H7+H14+H21</f>
        <v>2038</v>
      </c>
      <c r="I6" s="22">
        <f>I7+I14+I21</f>
        <v>2230</v>
      </c>
      <c r="J6" s="22">
        <f>J7+J14+J21</f>
        <v>2188</v>
      </c>
      <c r="K6" s="22">
        <f>K7+K14+K21</f>
        <v>1425</v>
      </c>
      <c r="L6" s="22">
        <f>L7+L14+L21</f>
        <v>1440</v>
      </c>
      <c r="M6" s="23"/>
      <c r="N6" s="39">
        <f>IFERROR(((L6-K6)/K6)*100,"-")</f>
        <v>1.0526315789473684</v>
      </c>
      <c r="O6" s="34">
        <f>IFERROR((L6/$L$6*100),"-")</f>
        <v>100</v>
      </c>
      <c r="P6" s="24" t="s">
        <v>9</v>
      </c>
      <c r="R6" s="26"/>
      <c r="S6" s="26"/>
      <c r="T6" s="26"/>
      <c r="U6" s="26"/>
    </row>
    <row r="7" spans="1:54" s="8" customFormat="1" ht="18.75">
      <c r="A7" s="3" t="s">
        <v>1</v>
      </c>
      <c r="B7" s="23">
        <f t="shared" ref="B7:L7" si="1">SUM(B8:B13)</f>
        <v>1618</v>
      </c>
      <c r="C7" s="23">
        <f t="shared" si="1"/>
        <v>2349</v>
      </c>
      <c r="D7" s="23">
        <f t="shared" si="1"/>
        <v>3444</v>
      </c>
      <c r="E7" s="23">
        <f t="shared" si="1"/>
        <v>2868</v>
      </c>
      <c r="F7" s="23">
        <f t="shared" si="1"/>
        <v>1912</v>
      </c>
      <c r="G7" s="23">
        <f t="shared" si="1"/>
        <v>2216</v>
      </c>
      <c r="H7" s="23">
        <f t="shared" si="1"/>
        <v>1857</v>
      </c>
      <c r="I7" s="23">
        <f t="shared" si="1"/>
        <v>2046</v>
      </c>
      <c r="J7" s="23">
        <f t="shared" si="1"/>
        <v>1966</v>
      </c>
      <c r="K7" s="23">
        <f t="shared" si="1"/>
        <v>1280</v>
      </c>
      <c r="L7" s="23">
        <f t="shared" si="1"/>
        <v>1296</v>
      </c>
      <c r="M7" s="23"/>
      <c r="N7" s="39">
        <f t="shared" ref="N7:N21" si="2">IFERROR(((L7-K7)/K7)*100,"-")</f>
        <v>1.25</v>
      </c>
      <c r="O7" s="34">
        <f t="shared" ref="O7:O21" si="3">IFERROR((L7/$L$6*100),"-")</f>
        <v>90</v>
      </c>
      <c r="P7" s="24" t="s">
        <v>14</v>
      </c>
      <c r="Q7" s="23"/>
      <c r="R7" s="26"/>
      <c r="S7" s="26"/>
      <c r="T7" s="26"/>
      <c r="U7" s="26"/>
    </row>
    <row r="8" spans="1:54" ht="18.75">
      <c r="A8" s="13" t="s">
        <v>15</v>
      </c>
      <c r="B8" s="27">
        <v>660</v>
      </c>
      <c r="C8" s="27">
        <v>1374</v>
      </c>
      <c r="D8" s="27">
        <v>2139</v>
      </c>
      <c r="E8" s="27">
        <v>2036</v>
      </c>
      <c r="F8" s="27">
        <v>1145</v>
      </c>
      <c r="G8" s="27">
        <v>1281</v>
      </c>
      <c r="H8" s="27">
        <v>949</v>
      </c>
      <c r="I8" s="27">
        <v>718</v>
      </c>
      <c r="J8" s="27">
        <v>561</v>
      </c>
      <c r="K8" s="27">
        <v>174</v>
      </c>
      <c r="L8" s="27">
        <v>344</v>
      </c>
      <c r="M8" s="27"/>
      <c r="N8" s="36">
        <f t="shared" si="2"/>
        <v>97.701149425287355</v>
      </c>
      <c r="O8" s="33">
        <f t="shared" si="3"/>
        <v>23.888888888888889</v>
      </c>
      <c r="P8" s="5" t="s">
        <v>16</v>
      </c>
      <c r="Q8" s="27"/>
      <c r="R8" s="2"/>
      <c r="U8" s="2"/>
      <c r="BA8" s="3" t="s">
        <v>1</v>
      </c>
      <c r="BB8" s="2">
        <f>L7</f>
        <v>1296</v>
      </c>
    </row>
    <row r="9" spans="1:54" ht="18.75">
      <c r="A9" s="13" t="s">
        <v>17</v>
      </c>
      <c r="B9" s="27">
        <v>842</v>
      </c>
      <c r="C9" s="27">
        <v>809</v>
      </c>
      <c r="D9" s="27">
        <v>833</v>
      </c>
      <c r="E9" s="27">
        <v>597</v>
      </c>
      <c r="F9" s="27">
        <v>580</v>
      </c>
      <c r="G9" s="27">
        <v>550</v>
      </c>
      <c r="H9" s="27">
        <v>492</v>
      </c>
      <c r="I9" s="27">
        <v>918</v>
      </c>
      <c r="J9" s="27">
        <v>878</v>
      </c>
      <c r="K9" s="27">
        <v>590</v>
      </c>
      <c r="L9" s="27">
        <v>543</v>
      </c>
      <c r="M9" s="27"/>
      <c r="N9" s="36">
        <f t="shared" si="2"/>
        <v>-7.9661016949152534</v>
      </c>
      <c r="O9" s="33">
        <f t="shared" si="3"/>
        <v>37.708333333333336</v>
      </c>
      <c r="P9" s="5" t="s">
        <v>18</v>
      </c>
      <c r="Q9" s="27"/>
      <c r="R9" s="2"/>
      <c r="U9" s="2"/>
      <c r="BA9" s="3" t="s">
        <v>26</v>
      </c>
      <c r="BB9" s="23">
        <f>L14</f>
        <v>143</v>
      </c>
    </row>
    <row r="10" spans="1:54" ht="22.5" customHeight="1">
      <c r="A10" s="13" t="s">
        <v>19</v>
      </c>
      <c r="B10" s="27" t="s">
        <v>8</v>
      </c>
      <c r="C10" s="27" t="s">
        <v>8</v>
      </c>
      <c r="D10" s="27">
        <v>2</v>
      </c>
      <c r="E10" s="27">
        <v>7</v>
      </c>
      <c r="F10" s="27">
        <v>2</v>
      </c>
      <c r="G10" s="27">
        <v>0</v>
      </c>
      <c r="H10" s="27" t="s">
        <v>8</v>
      </c>
      <c r="I10" s="27">
        <v>2</v>
      </c>
      <c r="J10" s="27">
        <v>1</v>
      </c>
      <c r="K10" s="27">
        <v>1</v>
      </c>
      <c r="L10" s="27">
        <v>0</v>
      </c>
      <c r="M10" s="27"/>
      <c r="N10" s="36">
        <f t="shared" si="2"/>
        <v>-100</v>
      </c>
      <c r="O10" s="33">
        <f t="shared" si="3"/>
        <v>0</v>
      </c>
      <c r="P10" s="5" t="s">
        <v>20</v>
      </c>
      <c r="Q10" s="27"/>
      <c r="R10" s="2"/>
      <c r="U10" s="2"/>
      <c r="BA10" s="28" t="s">
        <v>28</v>
      </c>
      <c r="BB10" s="2">
        <f>L21</f>
        <v>1</v>
      </c>
    </row>
    <row r="11" spans="1:54" ht="18.75">
      <c r="A11" s="13" t="s">
        <v>21</v>
      </c>
      <c r="B11" s="27">
        <v>87</v>
      </c>
      <c r="C11" s="27">
        <v>106</v>
      </c>
      <c r="D11" s="27">
        <v>130</v>
      </c>
      <c r="E11" s="27">
        <v>98</v>
      </c>
      <c r="F11" s="27">
        <v>71</v>
      </c>
      <c r="G11" s="27">
        <v>122</v>
      </c>
      <c r="H11" s="27">
        <v>159</v>
      </c>
      <c r="I11" s="27">
        <v>146</v>
      </c>
      <c r="J11" s="27">
        <v>175</v>
      </c>
      <c r="K11" s="27">
        <v>132</v>
      </c>
      <c r="L11" s="27">
        <v>102</v>
      </c>
      <c r="M11" s="27"/>
      <c r="N11" s="36">
        <f t="shared" si="2"/>
        <v>-22.727272727272727</v>
      </c>
      <c r="O11" s="33">
        <f t="shared" si="3"/>
        <v>7.083333333333333</v>
      </c>
      <c r="P11" s="5" t="s">
        <v>22</v>
      </c>
      <c r="Q11" s="27"/>
      <c r="R11" s="2"/>
      <c r="S11" s="2"/>
      <c r="T11" s="2"/>
      <c r="U11" s="2"/>
    </row>
    <row r="12" spans="1:54" ht="18.75">
      <c r="A12" s="13" t="s">
        <v>23</v>
      </c>
      <c r="B12" s="27">
        <v>29</v>
      </c>
      <c r="C12" s="27">
        <v>60</v>
      </c>
      <c r="D12" s="27">
        <v>38</v>
      </c>
      <c r="E12" s="27">
        <v>27</v>
      </c>
      <c r="F12" s="27">
        <v>78</v>
      </c>
      <c r="G12" s="27">
        <v>184</v>
      </c>
      <c r="H12" s="27">
        <v>210</v>
      </c>
      <c r="I12" s="27">
        <v>207</v>
      </c>
      <c r="J12" s="27">
        <v>305</v>
      </c>
      <c r="K12" s="27">
        <v>334</v>
      </c>
      <c r="L12" s="27">
        <v>277</v>
      </c>
      <c r="M12" s="27"/>
      <c r="N12" s="36">
        <f t="shared" si="2"/>
        <v>-17.065868263473057</v>
      </c>
      <c r="O12" s="33">
        <f t="shared" si="3"/>
        <v>19.236111111111111</v>
      </c>
      <c r="P12" s="5" t="s">
        <v>24</v>
      </c>
      <c r="Q12" s="27"/>
      <c r="R12" s="2"/>
      <c r="S12" s="2"/>
      <c r="T12" s="2"/>
      <c r="U12" s="2"/>
    </row>
    <row r="13" spans="1:54" ht="18.75">
      <c r="A13" s="13" t="s">
        <v>25</v>
      </c>
      <c r="B13" s="27" t="s">
        <v>8</v>
      </c>
      <c r="C13" s="27" t="s">
        <v>8</v>
      </c>
      <c r="D13" s="27">
        <v>302</v>
      </c>
      <c r="E13" s="27">
        <v>103</v>
      </c>
      <c r="F13" s="27">
        <v>36</v>
      </c>
      <c r="G13" s="27">
        <v>79</v>
      </c>
      <c r="H13" s="27">
        <v>47</v>
      </c>
      <c r="I13" s="27">
        <v>55</v>
      </c>
      <c r="J13" s="27">
        <v>46</v>
      </c>
      <c r="K13" s="27">
        <v>49</v>
      </c>
      <c r="L13" s="27">
        <v>30</v>
      </c>
      <c r="M13" s="27"/>
      <c r="N13" s="36">
        <f t="shared" si="2"/>
        <v>-38.775510204081634</v>
      </c>
      <c r="O13" s="33">
        <f t="shared" si="3"/>
        <v>2.083333333333333</v>
      </c>
      <c r="P13" s="6" t="s">
        <v>3</v>
      </c>
      <c r="Q13" s="27"/>
      <c r="R13" s="2"/>
      <c r="S13" s="2"/>
      <c r="T13" s="2"/>
      <c r="U13" s="2"/>
    </row>
    <row r="14" spans="1:54" s="8" customFormat="1" ht="18.75">
      <c r="A14" s="3" t="s">
        <v>26</v>
      </c>
      <c r="B14" s="23">
        <f t="shared" ref="B14:J14" si="4">SUM(B15:B20)</f>
        <v>182</v>
      </c>
      <c r="C14" s="23">
        <f t="shared" si="4"/>
        <v>166</v>
      </c>
      <c r="D14" s="23">
        <f t="shared" si="4"/>
        <v>502</v>
      </c>
      <c r="E14" s="23">
        <f>SUM(E15:E20)</f>
        <v>262</v>
      </c>
      <c r="F14" s="23">
        <f t="shared" si="4"/>
        <v>162</v>
      </c>
      <c r="G14" s="23">
        <f t="shared" si="4"/>
        <v>151</v>
      </c>
      <c r="H14" s="23">
        <f t="shared" si="4"/>
        <v>168</v>
      </c>
      <c r="I14" s="23">
        <f t="shared" si="4"/>
        <v>178</v>
      </c>
      <c r="J14" s="23">
        <f t="shared" si="4"/>
        <v>216</v>
      </c>
      <c r="K14" s="23">
        <f>SUM(K15:K20)</f>
        <v>141</v>
      </c>
      <c r="L14" s="23">
        <f>SUM(L15:L20)</f>
        <v>143</v>
      </c>
      <c r="M14" s="23"/>
      <c r="N14" s="39">
        <f t="shared" si="2"/>
        <v>1.4184397163120568</v>
      </c>
      <c r="O14" s="34">
        <f t="shared" si="3"/>
        <v>9.9305555555555554</v>
      </c>
      <c r="P14" s="24" t="s">
        <v>27</v>
      </c>
      <c r="Q14" s="23"/>
      <c r="R14" s="26"/>
      <c r="S14" s="26"/>
      <c r="T14" s="26"/>
      <c r="U14" s="26"/>
    </row>
    <row r="15" spans="1:54" ht="18.75">
      <c r="A15" s="13" t="s">
        <v>15</v>
      </c>
      <c r="B15" s="27">
        <v>65</v>
      </c>
      <c r="C15" s="27">
        <v>71</v>
      </c>
      <c r="D15" s="27">
        <v>75</v>
      </c>
      <c r="E15" s="27">
        <v>62</v>
      </c>
      <c r="F15" s="27">
        <v>63</v>
      </c>
      <c r="G15" s="27">
        <v>48</v>
      </c>
      <c r="H15" s="27">
        <v>59</v>
      </c>
      <c r="I15" s="27">
        <v>46</v>
      </c>
      <c r="J15" s="27">
        <v>32</v>
      </c>
      <c r="K15" s="27">
        <v>10</v>
      </c>
      <c r="L15" s="27">
        <v>16</v>
      </c>
      <c r="M15" s="27"/>
      <c r="N15" s="36">
        <f t="shared" si="2"/>
        <v>60</v>
      </c>
      <c r="O15" s="33">
        <f t="shared" si="3"/>
        <v>1.1111111111111112</v>
      </c>
      <c r="P15" s="5" t="s">
        <v>16</v>
      </c>
      <c r="Q15" s="27"/>
      <c r="R15" s="2"/>
      <c r="S15" s="2"/>
      <c r="T15" s="2"/>
      <c r="U15" s="2"/>
    </row>
    <row r="16" spans="1:54" ht="18.75">
      <c r="A16" s="13" t="s">
        <v>17</v>
      </c>
      <c r="B16" s="27">
        <v>96</v>
      </c>
      <c r="C16" s="27">
        <v>55</v>
      </c>
      <c r="D16" s="27">
        <v>359</v>
      </c>
      <c r="E16" s="27">
        <v>170</v>
      </c>
      <c r="F16" s="27">
        <v>57</v>
      </c>
      <c r="G16" s="27">
        <v>55</v>
      </c>
      <c r="H16" s="27">
        <v>70</v>
      </c>
      <c r="I16" s="27">
        <v>83</v>
      </c>
      <c r="J16" s="27">
        <v>123</v>
      </c>
      <c r="K16" s="27">
        <v>54</v>
      </c>
      <c r="L16" s="27">
        <v>62</v>
      </c>
      <c r="M16" s="27"/>
      <c r="N16" s="36">
        <f t="shared" si="2"/>
        <v>14.814814814814813</v>
      </c>
      <c r="O16" s="33">
        <f t="shared" si="3"/>
        <v>4.3055555555555554</v>
      </c>
      <c r="P16" s="5" t="s">
        <v>18</v>
      </c>
      <c r="Q16" s="27"/>
      <c r="R16" s="2"/>
      <c r="S16" s="2"/>
      <c r="T16" s="2"/>
      <c r="U16" s="2"/>
    </row>
    <row r="17" spans="1:22" ht="18.75">
      <c r="A17" s="13" t="s">
        <v>19</v>
      </c>
      <c r="B17" s="27">
        <v>8</v>
      </c>
      <c r="C17" s="27">
        <v>17</v>
      </c>
      <c r="D17" s="27">
        <v>17</v>
      </c>
      <c r="E17" s="27">
        <v>13</v>
      </c>
      <c r="F17" s="27">
        <v>13</v>
      </c>
      <c r="G17" s="27">
        <v>15</v>
      </c>
      <c r="H17" s="27">
        <v>6</v>
      </c>
      <c r="I17" s="27">
        <v>9</v>
      </c>
      <c r="J17" s="27">
        <v>11</v>
      </c>
      <c r="K17" s="27">
        <v>25</v>
      </c>
      <c r="L17" s="27">
        <v>1</v>
      </c>
      <c r="M17" s="27"/>
      <c r="N17" s="36">
        <f t="shared" si="2"/>
        <v>-96</v>
      </c>
      <c r="O17" s="33">
        <f t="shared" si="3"/>
        <v>6.9444444444444448E-2</v>
      </c>
      <c r="P17" s="5" t="s">
        <v>20</v>
      </c>
      <c r="Q17" s="27"/>
      <c r="R17" s="2"/>
      <c r="S17" s="2"/>
      <c r="T17" s="2"/>
      <c r="U17" s="2"/>
    </row>
    <row r="18" spans="1:22" ht="18.75">
      <c r="A18" s="13" t="s">
        <v>21</v>
      </c>
      <c r="B18" s="27">
        <v>7</v>
      </c>
      <c r="C18" s="27">
        <v>11</v>
      </c>
      <c r="D18" s="27">
        <v>11</v>
      </c>
      <c r="E18" s="27">
        <v>3</v>
      </c>
      <c r="F18" s="27">
        <v>9</v>
      </c>
      <c r="G18" s="27">
        <v>6</v>
      </c>
      <c r="H18" s="27">
        <v>6</v>
      </c>
      <c r="I18" s="27">
        <v>7</v>
      </c>
      <c r="J18" s="27">
        <v>7</v>
      </c>
      <c r="K18" s="27">
        <v>4</v>
      </c>
      <c r="L18" s="27">
        <v>2</v>
      </c>
      <c r="M18" s="27"/>
      <c r="N18" s="36">
        <f t="shared" si="2"/>
        <v>-50</v>
      </c>
      <c r="O18" s="33">
        <f t="shared" si="3"/>
        <v>0.1388888888888889</v>
      </c>
      <c r="P18" s="5" t="s">
        <v>22</v>
      </c>
      <c r="Q18" s="27"/>
      <c r="R18" s="2"/>
      <c r="S18" s="2"/>
      <c r="T18" s="2"/>
      <c r="U18" s="2"/>
    </row>
    <row r="19" spans="1:22" ht="18.75">
      <c r="A19" s="13" t="s">
        <v>23</v>
      </c>
      <c r="B19" s="27">
        <v>4</v>
      </c>
      <c r="C19" s="27">
        <v>12</v>
      </c>
      <c r="D19" s="27">
        <v>6</v>
      </c>
      <c r="E19" s="27">
        <v>3</v>
      </c>
      <c r="F19" s="27">
        <v>13</v>
      </c>
      <c r="G19" s="27">
        <v>23</v>
      </c>
      <c r="H19" s="27">
        <v>26</v>
      </c>
      <c r="I19" s="27">
        <v>29</v>
      </c>
      <c r="J19" s="27">
        <v>41</v>
      </c>
      <c r="K19" s="27">
        <v>38</v>
      </c>
      <c r="L19" s="27">
        <v>48</v>
      </c>
      <c r="M19" s="27"/>
      <c r="N19" s="36">
        <f t="shared" si="2"/>
        <v>26.315789473684209</v>
      </c>
      <c r="O19" s="33">
        <f t="shared" si="3"/>
        <v>3.3333333333333335</v>
      </c>
      <c r="P19" s="5" t="s">
        <v>24</v>
      </c>
      <c r="Q19" s="27"/>
      <c r="R19" s="2"/>
      <c r="S19" s="2"/>
      <c r="T19" s="2"/>
      <c r="U19" s="2"/>
    </row>
    <row r="20" spans="1:22" ht="18.75">
      <c r="A20" s="13" t="s">
        <v>2</v>
      </c>
      <c r="B20" s="27">
        <v>2</v>
      </c>
      <c r="C20" s="27">
        <v>0</v>
      </c>
      <c r="D20" s="27">
        <v>34</v>
      </c>
      <c r="E20" s="27">
        <v>11</v>
      </c>
      <c r="F20" s="27">
        <v>7</v>
      </c>
      <c r="G20" s="27">
        <v>4</v>
      </c>
      <c r="H20" s="27">
        <v>1</v>
      </c>
      <c r="I20" s="27">
        <v>4</v>
      </c>
      <c r="J20" s="27">
        <v>2</v>
      </c>
      <c r="K20" s="27">
        <v>10</v>
      </c>
      <c r="L20" s="27">
        <v>14</v>
      </c>
      <c r="M20" s="27"/>
      <c r="N20" s="36">
        <f t="shared" si="2"/>
        <v>40</v>
      </c>
      <c r="O20" s="33">
        <f t="shared" si="3"/>
        <v>0.97222222222222221</v>
      </c>
      <c r="P20" s="6" t="s">
        <v>3</v>
      </c>
      <c r="Q20" s="27"/>
      <c r="R20" s="2"/>
      <c r="S20" s="2"/>
      <c r="T20" s="2"/>
      <c r="U20" s="2"/>
    </row>
    <row r="21" spans="1:22" s="25" customFormat="1" ht="38.25">
      <c r="A21" s="28" t="s">
        <v>28</v>
      </c>
      <c r="B21" s="29">
        <v>23</v>
      </c>
      <c r="C21" s="29">
        <v>19</v>
      </c>
      <c r="D21" s="29">
        <v>19</v>
      </c>
      <c r="E21" s="29">
        <v>10</v>
      </c>
      <c r="F21" s="29">
        <v>5</v>
      </c>
      <c r="G21" s="29">
        <v>8</v>
      </c>
      <c r="H21" s="29">
        <v>13</v>
      </c>
      <c r="I21" s="29">
        <v>6</v>
      </c>
      <c r="J21" s="29">
        <v>6</v>
      </c>
      <c r="K21" s="29">
        <v>4</v>
      </c>
      <c r="L21" s="29">
        <v>1</v>
      </c>
      <c r="M21" s="30"/>
      <c r="N21" s="40">
        <f t="shared" si="2"/>
        <v>-75</v>
      </c>
      <c r="O21" s="31">
        <f t="shared" si="3"/>
        <v>6.9444444444444448E-2</v>
      </c>
      <c r="P21" s="38" t="s">
        <v>29</v>
      </c>
      <c r="Q21" s="23"/>
      <c r="R21" s="26"/>
      <c r="S21" s="26"/>
      <c r="T21" s="26"/>
    </row>
    <row r="22" spans="1:22" ht="15.6" customHeight="1">
      <c r="A22" s="10" t="s">
        <v>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8"/>
      <c r="P22" s="35" t="s">
        <v>5</v>
      </c>
      <c r="R22" s="2"/>
      <c r="S22" s="2"/>
      <c r="T22" s="2"/>
      <c r="U22" s="2"/>
    </row>
    <row r="23" spans="1:22" ht="25.5" customHeight="1">
      <c r="A23" s="14"/>
      <c r="R23" s="2"/>
      <c r="S23" s="2"/>
      <c r="T23" s="2"/>
      <c r="U23" s="2"/>
    </row>
    <row r="24" spans="1:22">
      <c r="R24" s="2"/>
      <c r="S24" s="2"/>
      <c r="T24" s="2"/>
      <c r="U24" s="2"/>
    </row>
    <row r="25" spans="1:22">
      <c r="R25" s="2"/>
      <c r="S25" s="2"/>
      <c r="T25" s="2"/>
      <c r="U25" s="2"/>
    </row>
    <row r="26" spans="1:22">
      <c r="R26" s="2"/>
      <c r="S26" s="2"/>
      <c r="T26" s="2"/>
      <c r="U26" s="2"/>
    </row>
    <row r="27" spans="1:22">
      <c r="R27" s="2"/>
      <c r="S27" s="2"/>
      <c r="T27" s="2"/>
      <c r="U27" s="2"/>
    </row>
    <row r="28" spans="1:22" ht="17.25">
      <c r="A28" s="1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7"/>
      <c r="O28" s="7"/>
      <c r="P28" s="12"/>
      <c r="R28" s="2"/>
      <c r="S28" s="2"/>
      <c r="T28" s="2"/>
      <c r="U28" s="2"/>
    </row>
    <row r="29" spans="1:22">
      <c r="R29" s="2"/>
      <c r="S29" s="2"/>
      <c r="T29" s="3"/>
      <c r="U29" s="23"/>
      <c r="V29" s="32"/>
    </row>
    <row r="30" spans="1:22">
      <c r="R30" s="2"/>
      <c r="S30" s="2"/>
      <c r="T30" s="3"/>
      <c r="U30" s="23"/>
      <c r="V30" s="32"/>
    </row>
    <row r="31" spans="1:22">
      <c r="T31" s="3"/>
      <c r="U31" s="23"/>
      <c r="V31" s="32"/>
    </row>
  </sheetData>
  <mergeCells count="15">
    <mergeCell ref="I3:I5"/>
    <mergeCell ref="P3:P5"/>
    <mergeCell ref="A1:P1"/>
    <mergeCell ref="A2:P2"/>
    <mergeCell ref="A3:A5"/>
    <mergeCell ref="B3:B5"/>
    <mergeCell ref="C3:C5"/>
    <mergeCell ref="D3:D5"/>
    <mergeCell ref="E3:E5"/>
    <mergeCell ref="F3:F5"/>
    <mergeCell ref="G3:G5"/>
    <mergeCell ref="H3:H5"/>
    <mergeCell ref="J3:J5"/>
    <mergeCell ref="K3:K5"/>
    <mergeCell ref="L3:L5"/>
  </mergeCells>
  <pageMargins left="0.7" right="0.7" top="0.75" bottom="0.75" header="0.3" footer="0.3"/>
  <pageSetup paperSize="9" scale="58" orientation="portrait" horizontalDpi="4294967295" verticalDpi="4294967295" r:id="rId1"/>
  <colBreaks count="1" manualBreakCount="1">
    <brk id="17" max="1048575" man="1"/>
  </colBreaks>
  <ignoredErrors>
    <ignoredError sqref="M14 G14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8.8</vt:lpstr>
      <vt:lpstr>'8.8'!Print_Area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2023-05-16T12:01:10Z</cp:lastPrinted>
  <dcterms:created xsi:type="dcterms:W3CDTF">2019-06-30T04:22:49Z</dcterms:created>
  <dcterms:modified xsi:type="dcterms:W3CDTF">2023-05-16T12:01:18Z</dcterms:modified>
</cp:coreProperties>
</file>