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6CB01A30-4C37-4958-A277-7CC3EFA99576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9" sheetId="18" r:id="rId1"/>
  </sheets>
  <definedNames>
    <definedName name="_xlnm.Print_Area" localSheetId="0">'8.19'!$A$1:$AS$56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0" i="18" l="1"/>
  <c r="AO8" i="18"/>
  <c r="AL8" i="18"/>
  <c r="AN19" i="18"/>
  <c r="AN18" i="18"/>
  <c r="AN17" i="18"/>
  <c r="AN16" i="18"/>
  <c r="AN15" i="18"/>
  <c r="AN14" i="18"/>
  <c r="AN13" i="18"/>
  <c r="AN12" i="18"/>
  <c r="AN11" i="18"/>
  <c r="AN10" i="18"/>
  <c r="AN9" i="18"/>
  <c r="AP8" i="18"/>
  <c r="AN8" i="18" l="1"/>
  <c r="AI33" i="18" l="1"/>
  <c r="AI32" i="18"/>
  <c r="AI31" i="18"/>
  <c r="AI30" i="18"/>
  <c r="AI29" i="18"/>
  <c r="AI28" i="18"/>
  <c r="AI27" i="18"/>
  <c r="AI26" i="18"/>
  <c r="AI25" i="18"/>
  <c r="AI24" i="18"/>
  <c r="AI23" i="18"/>
  <c r="AI22" i="18"/>
  <c r="AI21" i="18"/>
  <c r="AK20" i="18"/>
  <c r="AK8" i="18" s="1"/>
  <c r="AJ20" i="18"/>
  <c r="AJ8" i="18" s="1"/>
  <c r="AG20" i="18"/>
  <c r="AG8" i="18" s="1"/>
  <c r="AI19" i="18"/>
  <c r="AI18" i="18"/>
  <c r="AI17" i="18"/>
  <c r="AI16" i="18"/>
  <c r="AI15" i="18"/>
  <c r="AI14" i="18"/>
  <c r="AI13" i="18"/>
  <c r="AI12" i="18"/>
  <c r="AI11" i="18"/>
  <c r="AI10" i="18"/>
  <c r="AI9" i="18"/>
  <c r="AI20" i="18" l="1"/>
  <c r="AI8" i="18"/>
  <c r="AD22" i="18" l="1"/>
  <c r="AD23" i="18"/>
  <c r="AD24" i="18"/>
  <c r="AD25" i="18"/>
  <c r="AD26" i="18"/>
  <c r="AD27" i="18"/>
  <c r="AD28" i="18"/>
  <c r="AD29" i="18"/>
  <c r="AD30" i="18"/>
  <c r="AD31" i="18"/>
  <c r="AD32" i="18"/>
  <c r="AD33" i="18"/>
  <c r="AD21" i="18"/>
  <c r="AD10" i="18"/>
  <c r="AD11" i="18"/>
  <c r="AD12" i="18"/>
  <c r="AD13" i="18"/>
  <c r="AD14" i="18"/>
  <c r="AD15" i="18"/>
  <c r="AD16" i="18"/>
  <c r="AD17" i="18"/>
  <c r="AD18" i="18"/>
  <c r="AD19" i="18"/>
  <c r="AD9" i="18"/>
  <c r="AD20" i="18" l="1"/>
  <c r="AB20" i="18" l="1"/>
  <c r="AB8" i="18" s="1"/>
  <c r="AE20" i="18"/>
  <c r="AE8" i="18" s="1"/>
  <c r="AF20" i="18"/>
  <c r="AF8" i="18" s="1"/>
  <c r="AD8" i="18" l="1"/>
  <c r="Y33" i="18" l="1"/>
  <c r="T33" i="18"/>
  <c r="N33" i="18"/>
  <c r="Y32" i="18"/>
  <c r="T32" i="18"/>
  <c r="N32" i="18"/>
  <c r="Y31" i="18"/>
  <c r="T31" i="18"/>
  <c r="N31" i="18"/>
  <c r="Y30" i="18"/>
  <c r="T30" i="18"/>
  <c r="N30" i="18"/>
  <c r="Y29" i="18"/>
  <c r="T29" i="18"/>
  <c r="N29" i="18"/>
  <c r="Y28" i="18"/>
  <c r="T28" i="18"/>
  <c r="N28" i="18"/>
  <c r="Y27" i="18"/>
  <c r="T27" i="18"/>
  <c r="N27" i="18"/>
  <c r="Y26" i="18"/>
  <c r="T26" i="18"/>
  <c r="N26" i="18"/>
  <c r="Y25" i="18"/>
  <c r="T25" i="18"/>
  <c r="Y24" i="18"/>
  <c r="T24" i="18"/>
  <c r="N24" i="18"/>
  <c r="Y23" i="18"/>
  <c r="T23" i="18"/>
  <c r="N23" i="18"/>
  <c r="Y22" i="18"/>
  <c r="T22" i="18"/>
  <c r="N22" i="18"/>
  <c r="Y21" i="18"/>
  <c r="T21" i="18"/>
  <c r="N21" i="18"/>
  <c r="Y20" i="18"/>
  <c r="V20" i="18"/>
  <c r="U20" i="18"/>
  <c r="P20" i="18"/>
  <c r="O20" i="18"/>
  <c r="O8" i="18" s="1"/>
  <c r="D20" i="18"/>
  <c r="Y19" i="18"/>
  <c r="T19" i="18"/>
  <c r="N19" i="18"/>
  <c r="D19" i="18"/>
  <c r="Y18" i="18"/>
  <c r="T18" i="18"/>
  <c r="N18" i="18"/>
  <c r="D18" i="18"/>
  <c r="Y17" i="18"/>
  <c r="T17" i="18"/>
  <c r="N17" i="18"/>
  <c r="D17" i="18"/>
  <c r="Y16" i="18"/>
  <c r="T16" i="18"/>
  <c r="D16" i="18"/>
  <c r="Y15" i="18"/>
  <c r="T15" i="18"/>
  <c r="N15" i="18"/>
  <c r="D15" i="18"/>
  <c r="Y14" i="18"/>
  <c r="T14" i="18"/>
  <c r="N14" i="18"/>
  <c r="D14" i="18"/>
  <c r="Y13" i="18"/>
  <c r="T13" i="18"/>
  <c r="N13" i="18"/>
  <c r="D13" i="18"/>
  <c r="Y12" i="18"/>
  <c r="T12" i="18"/>
  <c r="N12" i="18"/>
  <c r="D12" i="18"/>
  <c r="Y11" i="18"/>
  <c r="T11" i="18"/>
  <c r="N11" i="18"/>
  <c r="D11" i="18"/>
  <c r="Y10" i="18"/>
  <c r="T10" i="18"/>
  <c r="N10" i="18"/>
  <c r="D10" i="18"/>
  <c r="Y9" i="18"/>
  <c r="T9" i="18"/>
  <c r="N9" i="18"/>
  <c r="D9" i="18"/>
  <c r="AA8" i="18"/>
  <c r="Z8" i="18"/>
  <c r="W8" i="18"/>
  <c r="V8" i="18"/>
  <c r="R8" i="18"/>
  <c r="P8" i="18"/>
  <c r="L8" i="18"/>
  <c r="F8" i="18"/>
  <c r="E8" i="18"/>
  <c r="B8" i="18"/>
  <c r="N20" i="18" l="1"/>
  <c r="D8" i="18"/>
  <c r="Y8" i="18"/>
  <c r="T20" i="18"/>
  <c r="N8" i="18"/>
  <c r="U8" i="18"/>
  <c r="T8" i="18" s="1"/>
</calcChain>
</file>

<file path=xl/sharedStrings.xml><?xml version="1.0" encoding="utf-8"?>
<sst xmlns="http://schemas.openxmlformats.org/spreadsheetml/2006/main" count="137" uniqueCount="68">
  <si>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</si>
  <si>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</si>
  <si>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</si>
  <si>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</si>
  <si>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</si>
  <si>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</si>
  <si>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</si>
  <si>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</si>
  <si>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</si>
  <si>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</si>
  <si>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</si>
  <si>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</si>
  <si>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</si>
  <si>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</si>
  <si>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</si>
  <si>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</si>
  <si>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</si>
  <si>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</si>
  <si>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</si>
  <si>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</si>
  <si>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</si>
  <si>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</si>
  <si>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</si>
  <si>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</si>
  <si>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</si>
  <si>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</si>
  <si>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</si>
  <si>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</si>
  <si>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</si>
  <si>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</si>
  <si>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</si>
  <si>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</si>
  <si>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</si>
  <si>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</si>
  <si>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</si>
  <si>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</si>
  <si>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</si>
  <si>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</si>
  <si>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</si>
  <si>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</si>
  <si>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</si>
  <si>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</si>
  <si>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</si>
  <si>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</si>
  <si>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</si>
  <si>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</si>
  <si>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</si>
  <si>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</si>
  <si>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</si>
  <si>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-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</si>
  <si>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</si>
  <si>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</si>
  <si>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</si>
  <si>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</si>
  <si>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</si>
  <si>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</si>
  <si>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</si>
  <si>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</si>
  <si>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</si>
  <si>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</si>
  <si>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</si>
  <si>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</si>
  <si>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</si>
  <si>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</si>
  <si>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</si>
  <si>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</si>
  <si>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>Table 8.19: NUMBER OF VICTIMS BY TYPE OF OFFENCE AND SEX, 2019 - 2021</t>
  </si>
  <si>
    <t xml:space="preserve">2021 - 2019 ،ތާވަލު 8.19: ހުށަހެޅިފައިވާ މައްސަލަތަކުގައި އަނިޔާލިބިފައިވާ މީހުން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</si>
</sst>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0.000"/>
    <numFmt numFmtId="171" formatCode="#,##0;[Red]#,##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color rgb="FF000000"/>
      <name val="Consolas"/>
      <family val="3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26" fillId="0" borderId="34" applyNumberFormat="0" applyFill="0" applyAlignment="0" applyProtection="0"/>
    <xf numFmtId="0" fontId="22" fillId="0" borderId="0"/>
    <xf numFmtId="0" fontId="22" fillId="0" borderId="0"/>
  </cellStyleXfs>
  <cellXfs count="96">
    <xf numFmtId="0" fontId="0" fillId="0" borderId="0" xfId="0"/>
    <xf numFmtId="164" fontId="7" fillId="2" borderId="0" xfId="0" applyNumberFormat="1" applyFont="1" applyFill="1" applyAlignment="1">
      <alignment horizontal="left" vertical="center" indent="2"/>
    </xf>
    <xf numFmtId="164" fontId="7" fillId="2" borderId="1" xfId="0" applyNumberFormat="1" applyFont="1" applyFill="1" applyBorder="1" applyAlignment="1">
      <alignment horizontal="left" vertical="center" indent="2"/>
    </xf>
    <xf numFmtId="0" fontId="2" fillId="2" borderId="0" xfId="0" applyFont="1" applyFill="1" applyAlignment="1">
      <alignment vertical="center"/>
    </xf>
    <xf numFmtId="0" fontId="19" fillId="2" borderId="0" xfId="0" applyFont="1" applyFill="1"/>
    <xf numFmtId="0" fontId="6" fillId="2" borderId="0" xfId="0" applyFont="1" applyFill="1"/>
    <xf numFmtId="0" fontId="4" fillId="2" borderId="10" xfId="0" applyFont="1" applyFill="1" applyBorder="1"/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/>
    </xf>
    <xf numFmtId="0" fontId="8" fillId="2" borderId="0" xfId="0" applyFont="1" applyFill="1"/>
    <xf numFmtId="0" fontId="14" fillId="2" borderId="4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right" vertical="center" wrapText="1"/>
    </xf>
    <xf numFmtId="166" fontId="3" fillId="2" borderId="7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vertical="center"/>
    </xf>
    <xf numFmtId="168" fontId="8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166" fontId="5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 wrapText="1"/>
    </xf>
    <xf numFmtId="168" fontId="4" fillId="2" borderId="0" xfId="0" applyNumberFormat="1" applyFont="1" applyFill="1" applyAlignment="1">
      <alignment vertical="center"/>
    </xf>
    <xf numFmtId="166" fontId="15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top"/>
    </xf>
    <xf numFmtId="0" fontId="4" fillId="2" borderId="9" xfId="0" applyFont="1" applyFill="1" applyBorder="1"/>
    <xf numFmtId="164" fontId="7" fillId="2" borderId="0" xfId="0" applyNumberFormat="1" applyFont="1" applyFill="1" applyAlignment="1">
      <alignment horizontal="left" vertical="center" wrapText="1" indent="2"/>
    </xf>
    <xf numFmtId="0" fontId="4" fillId="2" borderId="14" xfId="0" applyFont="1" applyFill="1" applyBorder="1" applyAlignment="1">
      <alignment horizontal="center" vertical="center"/>
    </xf>
    <xf numFmtId="0" fontId="4" fillId="2" borderId="26" xfId="0" applyFont="1" applyFill="1" applyBorder="1"/>
    <xf numFmtId="0" fontId="12" fillId="2" borderId="5" xfId="0" applyFont="1" applyFill="1" applyBorder="1" applyAlignment="1">
      <alignment vertical="top"/>
    </xf>
    <xf numFmtId="0" fontId="4" fillId="2" borderId="14" xfId="0" applyFont="1" applyFill="1" applyBorder="1"/>
    <xf numFmtId="0" fontId="14" fillId="2" borderId="3" xfId="0" applyFont="1" applyFill="1" applyBorder="1" applyAlignment="1">
      <alignment horizontal="right" vertical="center" wrapText="1"/>
    </xf>
    <xf numFmtId="0" fontId="20" fillId="2" borderId="2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171" fontId="3" fillId="2" borderId="7" xfId="1" applyNumberFormat="1" applyFont="1" applyFill="1" applyBorder="1" applyAlignment="1">
      <alignment horizontal="right" vertical="center"/>
    </xf>
    <xf numFmtId="171" fontId="3" fillId="2" borderId="0" xfId="1" applyNumberFormat="1" applyFont="1" applyFill="1" applyBorder="1" applyAlignment="1">
      <alignment horizontal="right" vertical="center"/>
    </xf>
    <xf numFmtId="171" fontId="2" fillId="2" borderId="0" xfId="1" applyNumberFormat="1" applyFont="1" applyFill="1" applyBorder="1" applyAlignment="1">
      <alignment horizontal="right" vertical="center"/>
    </xf>
    <xf numFmtId="166" fontId="5" fillId="2" borderId="33" xfId="1" applyNumberFormat="1" applyFont="1" applyFill="1" applyBorder="1" applyAlignment="1">
      <alignment horizontal="right" vertical="center"/>
    </xf>
    <xf numFmtId="171" fontId="5" fillId="2" borderId="33" xfId="1" applyNumberFormat="1" applyFont="1" applyFill="1" applyBorder="1" applyAlignment="1">
      <alignment horizontal="right" vertical="center"/>
    </xf>
    <xf numFmtId="171" fontId="5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71" fontId="1" fillId="2" borderId="0" xfId="0" applyNumberFormat="1" applyFont="1" applyFill="1" applyAlignment="1">
      <alignment horizontal="righ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166" fontId="15" fillId="2" borderId="33" xfId="1" applyNumberFormat="1" applyFont="1" applyFill="1" applyBorder="1" applyAlignment="1">
      <alignment horizontal="right" vertical="center"/>
    </xf>
    <xf numFmtId="171" fontId="15" fillId="2" borderId="0" xfId="1" applyNumberFormat="1" applyFont="1" applyFill="1" applyBorder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0" fillId="2" borderId="0" xfId="0" applyNumberFormat="1" applyFill="1" applyAlignment="1">
      <alignment horizontal="right" vertical="top"/>
    </xf>
    <xf numFmtId="164" fontId="23" fillId="2" borderId="0" xfId="0" applyNumberFormat="1" applyFont="1" applyFill="1" applyAlignment="1">
      <alignment horizontal="right" vertical="center" indent="2"/>
    </xf>
    <xf numFmtId="171" fontId="0" fillId="2" borderId="9" xfId="0" applyNumberFormat="1" applyFill="1" applyBorder="1" applyAlignment="1">
      <alignment horizontal="right" vertical="center"/>
    </xf>
    <xf numFmtId="0" fontId="4" fillId="2" borderId="11" xfId="0" applyFont="1" applyFill="1" applyBorder="1"/>
    <xf numFmtId="0" fontId="4" fillId="2" borderId="27" xfId="0" applyFont="1" applyFill="1" applyBorder="1"/>
    <xf numFmtId="171" fontId="5" fillId="2" borderId="1" xfId="1" applyNumberFormat="1" applyFont="1" applyFill="1" applyBorder="1" applyAlignment="1">
      <alignment horizontal="right" vertical="center"/>
    </xf>
    <xf numFmtId="171" fontId="0" fillId="2" borderId="11" xfId="0" applyNumberFormat="1" applyFill="1" applyBorder="1" applyAlignment="1">
      <alignment horizontal="right" vertical="center"/>
    </xf>
    <xf numFmtId="171" fontId="1" fillId="2" borderId="25" xfId="1" applyNumberFormat="1" applyFont="1" applyFill="1" applyBorder="1" applyAlignment="1">
      <alignment horizontal="right" vertical="center"/>
    </xf>
    <xf numFmtId="171" fontId="0" fillId="2" borderId="1" xfId="0" applyNumberFormat="1" applyFill="1" applyBorder="1" applyAlignment="1">
      <alignment horizontal="right" vertical="center"/>
    </xf>
    <xf numFmtId="171" fontId="0" fillId="2" borderId="1" xfId="0" applyNumberFormat="1" applyFill="1" applyBorder="1" applyAlignment="1">
      <alignment horizontal="right" vertical="top"/>
    </xf>
    <xf numFmtId="164" fontId="23" fillId="2" borderId="1" xfId="0" applyNumberFormat="1" applyFont="1" applyFill="1" applyBorder="1" applyAlignment="1">
      <alignment horizontal="right" vertical="center" indent="2"/>
    </xf>
    <xf numFmtId="0" fontId="11" fillId="2" borderId="2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25" fillId="2" borderId="0" xfId="0" applyFont="1" applyFill="1" applyAlignment="1">
      <alignment vertical="center" readingOrder="1"/>
    </xf>
    <xf numFmtId="164" fontId="27" fillId="2" borderId="8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171" fontId="5" fillId="2" borderId="7" xfId="1" applyNumberFormat="1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right" vertical="center"/>
    </xf>
    <xf numFmtId="0" fontId="14" fillId="2" borderId="24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20" fillId="2" borderId="2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28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24" fillId="2" borderId="12" xfId="0" applyFont="1" applyFill="1" applyBorder="1" applyAlignment="1">
      <alignment horizontal="lef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96954199053094"/>
          <c:y val="0.10195756145564937"/>
          <c:w val="0.4156977323172224"/>
          <c:h val="0.83949318625176872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1-8F87-4DC4-BCB2-6391FF6DC9C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8F87-4DC4-BCB2-6391FF6DC9C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'8.19'!$AO$6:$AP$6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'8.19'!$AO$8:$AP$8</c:f>
              <c:numCache>
                <c:formatCode>#,##0;[Red]#,##0</c:formatCode>
                <c:ptCount val="2"/>
                <c:pt idx="0">
                  <c:v>1060</c:v>
                </c:pt>
                <c:pt idx="1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87-4DC4-BCB2-6391FF6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spPr>
    <a:solidFill>
      <a:srgbClr val="FFEFEF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418867</xdr:colOff>
      <xdr:row>34</xdr:row>
      <xdr:rowOff>101522</xdr:rowOff>
    </xdr:from>
    <xdr:to>
      <xdr:col>40</xdr:col>
      <xdr:colOff>13242</xdr:colOff>
      <xdr:row>52</xdr:row>
      <xdr:rowOff>34848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600075</xdr:colOff>
      <xdr:row>34</xdr:row>
      <xdr:rowOff>95250</xdr:rowOff>
    </xdr:from>
    <xdr:to>
      <xdr:col>39</xdr:col>
      <xdr:colOff>66675</xdr:colOff>
      <xdr:row>36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/>
      </xdr:nvSpPr>
      <xdr:spPr>
        <a:xfrm>
          <a:off x="6800850" y="5372100"/>
          <a:ext cx="37147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8.25: Percentage share of victims by sex, 2021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92D050"/>
  </sheetPr>
  <dimension ref="A1:AS546"/>
  <sheetViews>
    <sheetView tabSelected="1" topLeftCell="AB1" zoomScale="96" zoomScaleNormal="96" workbookViewId="0">
      <selection activeCell="AZ35" sqref="AZ35"/>
    </sheetView>
  </sheetViews>
  <sheetFormatPr defaultColWidth="9.140625" defaultRowHeight="12.75"/>
  <cols>
    <col min="1" max="1" width="42.7109375" style="8" customWidth="1"/>
    <col min="2" max="2" width="15.85546875" style="8" hidden="1" customWidth="1"/>
    <col min="3" max="3" width="2" style="8" hidden="1" customWidth="1"/>
    <col min="4" max="6" width="12.28515625" style="8" hidden="1" customWidth="1"/>
    <col min="7" max="7" width="15.85546875" style="8" hidden="1" customWidth="1"/>
    <col min="8" max="8" width="2" style="8" hidden="1" customWidth="1"/>
    <col min="9" max="11" width="12.28515625" style="8" hidden="1" customWidth="1"/>
    <col min="12" max="12" width="15.85546875" style="8" hidden="1" customWidth="1"/>
    <col min="13" max="13" width="2" style="8" hidden="1" customWidth="1"/>
    <col min="14" max="16" width="12.28515625" style="8" hidden="1" customWidth="1"/>
    <col min="17" max="17" width="2.140625" style="8" hidden="1" customWidth="1"/>
    <col min="18" max="18" width="11.42578125" style="8" hidden="1" customWidth="1"/>
    <col min="19" max="19" width="2" style="8" hidden="1" customWidth="1"/>
    <col min="20" max="22" width="12.28515625" style="8" hidden="1" customWidth="1"/>
    <col min="23" max="23" width="11.42578125" style="8" hidden="1" customWidth="1"/>
    <col min="24" max="24" width="2" style="8" hidden="1" customWidth="1"/>
    <col min="25" max="27" width="12.28515625" style="8" hidden="1" customWidth="1"/>
    <col min="28" max="28" width="11.42578125" style="8" customWidth="1"/>
    <col min="29" max="29" width="2" style="8" customWidth="1"/>
    <col min="30" max="32" width="12.28515625" style="8" customWidth="1"/>
    <col min="33" max="33" width="11.42578125" style="8" customWidth="1"/>
    <col min="34" max="34" width="2" style="8" customWidth="1"/>
    <col min="35" max="37" width="12.28515625" style="8" customWidth="1"/>
    <col min="38" max="38" width="11.42578125" style="8" customWidth="1"/>
    <col min="39" max="39" width="2" style="8" customWidth="1"/>
    <col min="40" max="42" width="12.28515625" style="8" customWidth="1"/>
    <col min="43" max="43" width="38.28515625" style="67" customWidth="1"/>
    <col min="44" max="44" width="2" style="8" customWidth="1"/>
    <col min="45" max="16384" width="9.140625" style="8"/>
  </cols>
  <sheetData>
    <row r="1" spans="1:45" s="4" customFormat="1" ht="24.75" customHeight="1">
      <c r="A1" s="72" t="s">
        <v>67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3"/>
    </row>
    <row r="2" spans="1:45" s="5" customFormat="1" ht="14.25" customHeight="1">
      <c r="A2" s="74" t="s">
        <v>66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</row>
    <row r="3" spans="1:4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</row>
    <row r="4" spans="1:45" s="9" customFormat="1" ht="19.5" customHeight="1">
      <c r="A4" s="92" t="s">
        <v>52</v>
      </c>
      <c r="B4" s="82">
        <v>2014</v>
      </c>
      <c r="C4" s="76"/>
      <c r="D4" s="76"/>
      <c r="E4" s="76"/>
      <c r="F4" s="76"/>
      <c r="G4" s="82">
        <v>2015</v>
      </c>
      <c r="H4" s="76"/>
      <c r="I4" s="76"/>
      <c r="J4" s="76"/>
      <c r="K4" s="76"/>
      <c r="L4" s="82">
        <v>2016</v>
      </c>
      <c r="M4" s="76"/>
      <c r="N4" s="76"/>
      <c r="O4" s="76"/>
      <c r="P4" s="76"/>
      <c r="Q4" s="68"/>
      <c r="R4" s="76">
        <v>2017</v>
      </c>
      <c r="S4" s="76"/>
      <c r="T4" s="76"/>
      <c r="U4" s="76"/>
      <c r="V4" s="77"/>
      <c r="W4" s="76">
        <v>2018</v>
      </c>
      <c r="X4" s="76"/>
      <c r="Y4" s="76"/>
      <c r="Z4" s="76"/>
      <c r="AA4" s="76"/>
      <c r="AB4" s="82">
        <v>2019</v>
      </c>
      <c r="AC4" s="76"/>
      <c r="AD4" s="76"/>
      <c r="AE4" s="76"/>
      <c r="AF4" s="77"/>
      <c r="AG4" s="76">
        <v>2020</v>
      </c>
      <c r="AH4" s="76"/>
      <c r="AI4" s="76"/>
      <c r="AJ4" s="76"/>
      <c r="AK4" s="76"/>
      <c r="AL4" s="82">
        <v>2021</v>
      </c>
      <c r="AM4" s="76"/>
      <c r="AN4" s="76"/>
      <c r="AO4" s="76"/>
      <c r="AP4" s="87"/>
      <c r="AQ4" s="78" t="s">
        <v>53</v>
      </c>
      <c r="AR4" s="91"/>
    </row>
    <row r="5" spans="1:45" s="9" customFormat="1" ht="19.5" customHeight="1">
      <c r="A5" s="93"/>
      <c r="B5" s="83" t="s">
        <v>54</v>
      </c>
      <c r="C5" s="69"/>
      <c r="D5" s="85" t="s">
        <v>55</v>
      </c>
      <c r="E5" s="85"/>
      <c r="F5" s="85"/>
      <c r="G5" s="83" t="s">
        <v>54</v>
      </c>
      <c r="H5" s="69"/>
      <c r="I5" s="85" t="s">
        <v>55</v>
      </c>
      <c r="J5" s="85"/>
      <c r="K5" s="85"/>
      <c r="L5" s="83" t="s">
        <v>54</v>
      </c>
      <c r="M5" s="69"/>
      <c r="N5" s="85" t="s">
        <v>64</v>
      </c>
      <c r="O5" s="85"/>
      <c r="P5" s="85"/>
      <c r="Q5" s="37"/>
      <c r="R5" s="88" t="s">
        <v>54</v>
      </c>
      <c r="S5" s="69"/>
      <c r="T5" s="85" t="s">
        <v>64</v>
      </c>
      <c r="U5" s="85"/>
      <c r="V5" s="86"/>
      <c r="W5" s="88" t="s">
        <v>54</v>
      </c>
      <c r="X5" s="69"/>
      <c r="Y5" s="85" t="s">
        <v>64</v>
      </c>
      <c r="Z5" s="85"/>
      <c r="AA5" s="85"/>
      <c r="AB5" s="83" t="s">
        <v>54</v>
      </c>
      <c r="AC5" s="69"/>
      <c r="AD5" s="85" t="s">
        <v>64</v>
      </c>
      <c r="AE5" s="85"/>
      <c r="AF5" s="86"/>
      <c r="AG5" s="88" t="s">
        <v>54</v>
      </c>
      <c r="AH5" s="69"/>
      <c r="AI5" s="85" t="s">
        <v>64</v>
      </c>
      <c r="AJ5" s="85"/>
      <c r="AK5" s="85"/>
      <c r="AL5" s="83" t="s">
        <v>54</v>
      </c>
      <c r="AM5" s="69"/>
      <c r="AN5" s="85" t="s">
        <v>64</v>
      </c>
      <c r="AO5" s="85"/>
      <c r="AP5" s="90"/>
      <c r="AQ5" s="79"/>
      <c r="AR5" s="91"/>
    </row>
    <row r="6" spans="1:45" s="11" customFormat="1" ht="13.5" customHeight="1">
      <c r="A6" s="93"/>
      <c r="B6" s="84"/>
      <c r="C6" s="70"/>
      <c r="D6" s="70" t="s">
        <v>56</v>
      </c>
      <c r="E6" s="70" t="s">
        <v>57</v>
      </c>
      <c r="F6" s="70" t="s">
        <v>58</v>
      </c>
      <c r="G6" s="84"/>
      <c r="H6" s="70"/>
      <c r="I6" s="70" t="s">
        <v>56</v>
      </c>
      <c r="J6" s="70" t="s">
        <v>57</v>
      </c>
      <c r="K6" s="70" t="s">
        <v>58</v>
      </c>
      <c r="L6" s="84"/>
      <c r="M6" s="70"/>
      <c r="N6" s="70" t="s">
        <v>56</v>
      </c>
      <c r="O6" s="70" t="s">
        <v>57</v>
      </c>
      <c r="P6" s="70" t="s">
        <v>58</v>
      </c>
      <c r="Q6" s="70"/>
      <c r="R6" s="89"/>
      <c r="S6" s="70"/>
      <c r="T6" s="70" t="s">
        <v>56</v>
      </c>
      <c r="U6" s="70" t="s">
        <v>57</v>
      </c>
      <c r="V6" s="10" t="s">
        <v>58</v>
      </c>
      <c r="W6" s="89"/>
      <c r="X6" s="70"/>
      <c r="Y6" s="70" t="s">
        <v>56</v>
      </c>
      <c r="Z6" s="70" t="s">
        <v>57</v>
      </c>
      <c r="AA6" s="70" t="s">
        <v>58</v>
      </c>
      <c r="AB6" s="84"/>
      <c r="AC6" s="70"/>
      <c r="AD6" s="70" t="s">
        <v>56</v>
      </c>
      <c r="AE6" s="70" t="s">
        <v>57</v>
      </c>
      <c r="AF6" s="10" t="s">
        <v>58</v>
      </c>
      <c r="AG6" s="89"/>
      <c r="AH6" s="70"/>
      <c r="AI6" s="70" t="s">
        <v>56</v>
      </c>
      <c r="AJ6" s="70" t="s">
        <v>57</v>
      </c>
      <c r="AK6" s="70" t="s">
        <v>58</v>
      </c>
      <c r="AL6" s="84"/>
      <c r="AM6" s="70"/>
      <c r="AN6" s="70" t="s">
        <v>56</v>
      </c>
      <c r="AO6" s="70" t="s">
        <v>57</v>
      </c>
      <c r="AP6" s="70" t="s">
        <v>58</v>
      </c>
      <c r="AQ6" s="80"/>
      <c r="AR6" s="91"/>
    </row>
    <row r="7" spans="1:45" s="11" customFormat="1" ht="31.5" customHeight="1">
      <c r="A7" s="94"/>
      <c r="B7" s="12" t="s">
        <v>59</v>
      </c>
      <c r="C7" s="13"/>
      <c r="D7" s="14" t="s">
        <v>60</v>
      </c>
      <c r="E7" s="14" t="s">
        <v>61</v>
      </c>
      <c r="F7" s="14" t="s">
        <v>62</v>
      </c>
      <c r="G7" s="12" t="s">
        <v>59</v>
      </c>
      <c r="H7" s="13"/>
      <c r="I7" s="14" t="s">
        <v>60</v>
      </c>
      <c r="J7" s="14" t="s">
        <v>61</v>
      </c>
      <c r="K7" s="14" t="s">
        <v>62</v>
      </c>
      <c r="L7" s="12" t="s">
        <v>59</v>
      </c>
      <c r="M7" s="13"/>
      <c r="N7" s="14" t="s">
        <v>60</v>
      </c>
      <c r="O7" s="14" t="s">
        <v>61</v>
      </c>
      <c r="P7" s="14" t="s">
        <v>62</v>
      </c>
      <c r="Q7" s="14"/>
      <c r="R7" s="13" t="s">
        <v>59</v>
      </c>
      <c r="S7" s="13"/>
      <c r="T7" s="14" t="s">
        <v>60</v>
      </c>
      <c r="U7" s="14" t="s">
        <v>61</v>
      </c>
      <c r="V7" s="36" t="s">
        <v>62</v>
      </c>
      <c r="W7" s="13" t="s">
        <v>59</v>
      </c>
      <c r="X7" s="13"/>
      <c r="Y7" s="14" t="s">
        <v>60</v>
      </c>
      <c r="Z7" s="14" t="s">
        <v>61</v>
      </c>
      <c r="AA7" s="14" t="s">
        <v>62</v>
      </c>
      <c r="AB7" s="12" t="s">
        <v>59</v>
      </c>
      <c r="AC7" s="13"/>
      <c r="AD7" s="14" t="s">
        <v>60</v>
      </c>
      <c r="AE7" s="14" t="s">
        <v>61</v>
      </c>
      <c r="AF7" s="36" t="s">
        <v>62</v>
      </c>
      <c r="AG7" s="13" t="s">
        <v>59</v>
      </c>
      <c r="AH7" s="13"/>
      <c r="AI7" s="14" t="s">
        <v>60</v>
      </c>
      <c r="AJ7" s="14" t="s">
        <v>61</v>
      </c>
      <c r="AK7" s="14" t="s">
        <v>62</v>
      </c>
      <c r="AL7" s="12" t="s">
        <v>59</v>
      </c>
      <c r="AM7" s="13"/>
      <c r="AN7" s="14" t="s">
        <v>60</v>
      </c>
      <c r="AO7" s="14" t="s">
        <v>61</v>
      </c>
      <c r="AP7" s="14" t="s">
        <v>62</v>
      </c>
      <c r="AQ7" s="81"/>
      <c r="AR7" s="91"/>
    </row>
    <row r="8" spans="1:45" s="3" customFormat="1" ht="21.75" customHeight="1">
      <c r="A8" s="38" t="s">
        <v>1</v>
      </c>
      <c r="B8" s="15">
        <f>SUM(B9:B20)</f>
        <v>18193</v>
      </c>
      <c r="C8" s="16"/>
      <c r="D8" s="17">
        <f>E8+F8</f>
        <v>6983</v>
      </c>
      <c r="E8" s="17">
        <f>SUM(E9:E20)</f>
        <v>6709</v>
      </c>
      <c r="F8" s="17">
        <f>SUM(F9:F20)</f>
        <v>274</v>
      </c>
      <c r="G8" s="15">
        <v>16362</v>
      </c>
      <c r="H8" s="16"/>
      <c r="I8" s="17">
        <v>5831</v>
      </c>
      <c r="J8" s="17">
        <v>5552</v>
      </c>
      <c r="K8" s="17">
        <v>279</v>
      </c>
      <c r="L8" s="39">
        <f>SUM(L9:L20)</f>
        <v>16287</v>
      </c>
      <c r="M8" s="40"/>
      <c r="N8" s="41">
        <f>O8+P8</f>
        <v>2052</v>
      </c>
      <c r="O8" s="41">
        <f>SUM(O9:O20)</f>
        <v>1178</v>
      </c>
      <c r="P8" s="41">
        <f>SUM(P9:P20)</f>
        <v>874</v>
      </c>
      <c r="Q8" s="41"/>
      <c r="R8" s="40">
        <f>SUM(R9:R20)</f>
        <v>15535</v>
      </c>
      <c r="S8" s="40"/>
      <c r="T8" s="41">
        <f>U8+V8</f>
        <v>2131</v>
      </c>
      <c r="U8" s="41">
        <f>SUM(U9:U20)</f>
        <v>1191</v>
      </c>
      <c r="V8" s="41">
        <f>SUM(V9:V20)</f>
        <v>940</v>
      </c>
      <c r="W8" s="39">
        <f>SUM(W9:W20)</f>
        <v>14811</v>
      </c>
      <c r="X8" s="40"/>
      <c r="Y8" s="41">
        <f>Z8+AA8</f>
        <v>1793</v>
      </c>
      <c r="Z8" s="41">
        <f>SUM(Z9:Z20)</f>
        <v>1027</v>
      </c>
      <c r="AA8" s="41">
        <f>SUM(AA9:AA20)</f>
        <v>766</v>
      </c>
      <c r="AB8" s="39">
        <f>SUM(AB9:AB20)</f>
        <v>16480</v>
      </c>
      <c r="AC8" s="40"/>
      <c r="AD8" s="41">
        <f>AE8+AF8</f>
        <v>2430</v>
      </c>
      <c r="AE8" s="41">
        <f>SUM(AE9:AE20)</f>
        <v>1434</v>
      </c>
      <c r="AF8" s="41">
        <f>SUM(AF9:AF20)</f>
        <v>996</v>
      </c>
      <c r="AG8" s="39">
        <f>SUM(AG9:AG20)</f>
        <v>12787</v>
      </c>
      <c r="AH8" s="40"/>
      <c r="AI8" s="41">
        <f>AJ8+AK8</f>
        <v>2399</v>
      </c>
      <c r="AJ8" s="41">
        <f>SUM(AJ9:AJ20)</f>
        <v>1225</v>
      </c>
      <c r="AK8" s="41">
        <f>SUM(AK9:AK20)</f>
        <v>1174</v>
      </c>
      <c r="AL8" s="39">
        <f>SUM(AL9:AL20)</f>
        <v>14143</v>
      </c>
      <c r="AM8" s="40"/>
      <c r="AN8" s="41">
        <f>AO8+AP8</f>
        <v>2062</v>
      </c>
      <c r="AO8" s="41">
        <f>SUM(AO9:AO20)</f>
        <v>1060</v>
      </c>
      <c r="AP8" s="41">
        <f>SUM(AP9:AP20)</f>
        <v>1002</v>
      </c>
      <c r="AQ8" s="18" t="s">
        <v>50</v>
      </c>
      <c r="AR8" s="19"/>
      <c r="AS8" s="20"/>
    </row>
    <row r="9" spans="1:45" s="20" customFormat="1" ht="19.5" customHeight="1">
      <c r="A9" s="21" t="s">
        <v>6</v>
      </c>
      <c r="B9" s="42">
        <v>1062</v>
      </c>
      <c r="C9" s="22"/>
      <c r="D9" s="23">
        <f>SUM(E9:F9)</f>
        <v>556</v>
      </c>
      <c r="E9" s="24">
        <v>547</v>
      </c>
      <c r="F9" s="24">
        <v>9</v>
      </c>
      <c r="G9" s="42">
        <v>932</v>
      </c>
      <c r="H9" s="22"/>
      <c r="I9" s="23">
        <v>576</v>
      </c>
      <c r="J9" s="24">
        <v>563</v>
      </c>
      <c r="K9" s="24">
        <v>13</v>
      </c>
      <c r="L9" s="43">
        <v>781</v>
      </c>
      <c r="M9" s="44"/>
      <c r="N9" s="45">
        <f>O9+P9</f>
        <v>293</v>
      </c>
      <c r="O9" s="46">
        <v>222</v>
      </c>
      <c r="P9" s="46">
        <v>71</v>
      </c>
      <c r="Q9" s="46"/>
      <c r="R9" s="44">
        <v>770</v>
      </c>
      <c r="S9" s="44"/>
      <c r="T9" s="45">
        <f>SUM(U9:V9)</f>
        <v>599</v>
      </c>
      <c r="U9" s="46">
        <v>477</v>
      </c>
      <c r="V9" s="46">
        <v>122</v>
      </c>
      <c r="W9" s="43">
        <v>753</v>
      </c>
      <c r="X9" s="44"/>
      <c r="Y9" s="45">
        <f>SUM(Z9:AA9)</f>
        <v>516</v>
      </c>
      <c r="Z9" s="46">
        <v>428</v>
      </c>
      <c r="AA9" s="46">
        <v>88</v>
      </c>
      <c r="AB9" s="43">
        <v>631</v>
      </c>
      <c r="AC9" s="44"/>
      <c r="AD9" s="45">
        <f>SUM(AE9:AF9)</f>
        <v>497</v>
      </c>
      <c r="AE9" s="46">
        <v>416</v>
      </c>
      <c r="AF9" s="46">
        <v>81</v>
      </c>
      <c r="AG9" s="43">
        <v>661</v>
      </c>
      <c r="AH9" s="44"/>
      <c r="AI9" s="45">
        <f>SUM(AJ9:AK9)</f>
        <v>464</v>
      </c>
      <c r="AJ9" s="46">
        <v>386</v>
      </c>
      <c r="AK9" s="46">
        <v>78</v>
      </c>
      <c r="AL9" s="71">
        <v>610</v>
      </c>
      <c r="AM9" s="44"/>
      <c r="AN9" s="45">
        <f>SUM(AO9:AP9)</f>
        <v>459</v>
      </c>
      <c r="AO9" s="46">
        <v>379</v>
      </c>
      <c r="AP9" s="46">
        <v>80</v>
      </c>
      <c r="AQ9" s="25" t="s">
        <v>11</v>
      </c>
      <c r="AR9" s="26"/>
    </row>
    <row r="10" spans="1:45" s="20" customFormat="1" ht="19.5" customHeight="1">
      <c r="A10" s="21" t="s">
        <v>0</v>
      </c>
      <c r="B10" s="42">
        <v>5080</v>
      </c>
      <c r="C10" s="22"/>
      <c r="D10" s="23">
        <f t="shared" ref="D10:D20" si="0">SUM(E10:F10)</f>
        <v>1593</v>
      </c>
      <c r="E10" s="24">
        <v>1554</v>
      </c>
      <c r="F10" s="24">
        <v>39</v>
      </c>
      <c r="G10" s="42">
        <v>3994</v>
      </c>
      <c r="H10" s="22"/>
      <c r="I10" s="23">
        <v>1194</v>
      </c>
      <c r="J10" s="24">
        <v>1164</v>
      </c>
      <c r="K10" s="24">
        <v>30</v>
      </c>
      <c r="L10" s="43">
        <v>3616</v>
      </c>
      <c r="M10" s="44"/>
      <c r="N10" s="45">
        <f t="shared" ref="N10:N33" si="1">O10+P10</f>
        <v>28</v>
      </c>
      <c r="O10" s="46">
        <v>19</v>
      </c>
      <c r="P10" s="46">
        <v>9</v>
      </c>
      <c r="Q10" s="46"/>
      <c r="R10" s="44">
        <v>3503</v>
      </c>
      <c r="S10" s="44"/>
      <c r="T10" s="45">
        <f t="shared" ref="T10:T19" si="2">SUM(U10:V10)</f>
        <v>18</v>
      </c>
      <c r="U10" s="46">
        <v>11</v>
      </c>
      <c r="V10" s="46">
        <v>7</v>
      </c>
      <c r="W10" s="43">
        <v>3270</v>
      </c>
      <c r="X10" s="44"/>
      <c r="Y10" s="45">
        <f t="shared" ref="Y10:Y19" si="3">SUM(Z10:AA10)</f>
        <v>2</v>
      </c>
      <c r="Z10" s="46">
        <v>2</v>
      </c>
      <c r="AA10" s="46">
        <v>0</v>
      </c>
      <c r="AB10" s="43">
        <v>4554</v>
      </c>
      <c r="AC10" s="44"/>
      <c r="AD10" s="45">
        <f t="shared" ref="AD10:AD19" si="4">SUM(AE10:AF10)</f>
        <v>10</v>
      </c>
      <c r="AE10" s="46">
        <v>7</v>
      </c>
      <c r="AF10" s="46">
        <v>3</v>
      </c>
      <c r="AG10" s="43">
        <v>3581</v>
      </c>
      <c r="AH10" s="44"/>
      <c r="AI10" s="45">
        <f t="shared" ref="AI10:AI19" si="5">SUM(AJ10:AK10)</f>
        <v>21</v>
      </c>
      <c r="AJ10" s="46">
        <v>16</v>
      </c>
      <c r="AK10" s="46">
        <v>5</v>
      </c>
      <c r="AL10" s="71">
        <v>4662</v>
      </c>
      <c r="AM10" s="44"/>
      <c r="AN10" s="45">
        <f t="shared" ref="AN10:AN19" si="6">SUM(AO10:AP10)</f>
        <v>23</v>
      </c>
      <c r="AO10" s="46">
        <v>22</v>
      </c>
      <c r="AP10" s="46">
        <v>1</v>
      </c>
      <c r="AQ10" s="25" t="s">
        <v>3</v>
      </c>
      <c r="AR10" s="26"/>
    </row>
    <row r="11" spans="1:45" s="20" customFormat="1" ht="19.5" customHeight="1">
      <c r="A11" s="21" t="s">
        <v>10</v>
      </c>
      <c r="B11" s="42">
        <v>620</v>
      </c>
      <c r="C11" s="22"/>
      <c r="D11" s="23">
        <f t="shared" si="0"/>
        <v>243</v>
      </c>
      <c r="E11" s="24">
        <v>232</v>
      </c>
      <c r="F11" s="24">
        <v>11</v>
      </c>
      <c r="G11" s="42">
        <v>545</v>
      </c>
      <c r="H11" s="22"/>
      <c r="I11" s="23">
        <v>143</v>
      </c>
      <c r="J11" s="24">
        <v>132</v>
      </c>
      <c r="K11" s="24">
        <v>11</v>
      </c>
      <c r="L11" s="43">
        <v>716</v>
      </c>
      <c r="M11" s="44"/>
      <c r="N11" s="45">
        <f t="shared" si="1"/>
        <v>22</v>
      </c>
      <c r="O11" s="46">
        <v>18</v>
      </c>
      <c r="P11" s="46">
        <v>4</v>
      </c>
      <c r="Q11" s="46"/>
      <c r="R11" s="44">
        <v>662</v>
      </c>
      <c r="S11" s="44"/>
      <c r="T11" s="45">
        <f t="shared" si="2"/>
        <v>27</v>
      </c>
      <c r="U11" s="46">
        <v>22</v>
      </c>
      <c r="V11" s="46">
        <v>5</v>
      </c>
      <c r="W11" s="43">
        <v>537</v>
      </c>
      <c r="X11" s="44"/>
      <c r="Y11" s="45">
        <f t="shared" si="3"/>
        <v>24</v>
      </c>
      <c r="Z11" s="46">
        <v>21</v>
      </c>
      <c r="AA11" s="46">
        <v>3</v>
      </c>
      <c r="AB11" s="43">
        <v>483</v>
      </c>
      <c r="AC11" s="44"/>
      <c r="AD11" s="45">
        <f t="shared" si="4"/>
        <v>44</v>
      </c>
      <c r="AE11" s="46">
        <v>38</v>
      </c>
      <c r="AF11" s="46">
        <v>6</v>
      </c>
      <c r="AG11" s="43">
        <v>348</v>
      </c>
      <c r="AH11" s="44"/>
      <c r="AI11" s="45">
        <f t="shared" si="5"/>
        <v>34</v>
      </c>
      <c r="AJ11" s="46">
        <v>27</v>
      </c>
      <c r="AK11" s="46">
        <v>7</v>
      </c>
      <c r="AL11" s="71">
        <v>377</v>
      </c>
      <c r="AM11" s="44"/>
      <c r="AN11" s="45">
        <f t="shared" si="6"/>
        <v>16</v>
      </c>
      <c r="AO11" s="46">
        <v>12</v>
      </c>
      <c r="AP11" s="46">
        <v>4</v>
      </c>
      <c r="AQ11" s="25" t="s">
        <v>16</v>
      </c>
      <c r="AR11" s="26"/>
    </row>
    <row r="12" spans="1:45" s="20" customFormat="1" ht="19.5" customHeight="1">
      <c r="A12" s="21" t="s">
        <v>4</v>
      </c>
      <c r="B12" s="42">
        <v>3140</v>
      </c>
      <c r="C12" s="22"/>
      <c r="D12" s="23">
        <f t="shared" si="0"/>
        <v>3316</v>
      </c>
      <c r="E12" s="24">
        <v>3158</v>
      </c>
      <c r="F12" s="24">
        <v>158</v>
      </c>
      <c r="G12" s="42">
        <v>2079</v>
      </c>
      <c r="H12" s="22"/>
      <c r="I12" s="23">
        <v>2352</v>
      </c>
      <c r="J12" s="24">
        <v>2237</v>
      </c>
      <c r="K12" s="24">
        <v>115</v>
      </c>
      <c r="L12" s="43">
        <v>2375</v>
      </c>
      <c r="M12" s="44"/>
      <c r="N12" s="45">
        <f t="shared" si="1"/>
        <v>1</v>
      </c>
      <c r="O12" s="46">
        <v>1</v>
      </c>
      <c r="P12" s="46">
        <v>0</v>
      </c>
      <c r="Q12" s="46"/>
      <c r="R12" s="44">
        <v>2038</v>
      </c>
      <c r="S12" s="44"/>
      <c r="T12" s="45">
        <f t="shared" si="2"/>
        <v>4</v>
      </c>
      <c r="U12" s="46">
        <v>0</v>
      </c>
      <c r="V12" s="46">
        <v>4</v>
      </c>
      <c r="W12" s="43">
        <v>2230</v>
      </c>
      <c r="X12" s="44"/>
      <c r="Y12" s="45">
        <f t="shared" si="3"/>
        <v>2</v>
      </c>
      <c r="Z12" s="46">
        <v>2</v>
      </c>
      <c r="AA12" s="46">
        <v>0</v>
      </c>
      <c r="AB12" s="43">
        <v>2188</v>
      </c>
      <c r="AC12" s="44"/>
      <c r="AD12" s="45">
        <f t="shared" si="4"/>
        <v>3</v>
      </c>
      <c r="AE12" s="46">
        <v>3</v>
      </c>
      <c r="AF12" s="46">
        <v>0</v>
      </c>
      <c r="AG12" s="43">
        <v>1425</v>
      </c>
      <c r="AH12" s="44"/>
      <c r="AI12" s="45">
        <f t="shared" si="5"/>
        <v>4</v>
      </c>
      <c r="AJ12" s="46">
        <v>4</v>
      </c>
      <c r="AK12" s="46">
        <v>0</v>
      </c>
      <c r="AL12" s="71">
        <v>1440</v>
      </c>
      <c r="AM12" s="44"/>
      <c r="AN12" s="45">
        <f t="shared" si="6"/>
        <v>19</v>
      </c>
      <c r="AO12" s="46">
        <v>18</v>
      </c>
      <c r="AP12" s="46">
        <v>1</v>
      </c>
      <c r="AQ12" s="25" t="s">
        <v>8</v>
      </c>
      <c r="AR12" s="26"/>
    </row>
    <row r="13" spans="1:45" s="20" customFormat="1" ht="19.5" customHeight="1">
      <c r="A13" s="21" t="s">
        <v>14</v>
      </c>
      <c r="B13" s="42">
        <v>475</v>
      </c>
      <c r="C13" s="22"/>
      <c r="D13" s="23">
        <f t="shared" si="0"/>
        <v>310</v>
      </c>
      <c r="E13" s="24">
        <v>280</v>
      </c>
      <c r="F13" s="24">
        <v>30</v>
      </c>
      <c r="G13" s="42">
        <v>534</v>
      </c>
      <c r="H13" s="22"/>
      <c r="I13" s="23">
        <v>326</v>
      </c>
      <c r="J13" s="24">
        <v>291</v>
      </c>
      <c r="K13" s="24">
        <v>35</v>
      </c>
      <c r="L13" s="43">
        <v>467</v>
      </c>
      <c r="M13" s="44"/>
      <c r="N13" s="45">
        <f t="shared" si="1"/>
        <v>332</v>
      </c>
      <c r="O13" s="46">
        <v>50</v>
      </c>
      <c r="P13" s="46">
        <v>282</v>
      </c>
      <c r="Q13" s="46"/>
      <c r="R13" s="44">
        <v>417</v>
      </c>
      <c r="S13" s="44"/>
      <c r="T13" s="45">
        <f t="shared" si="2"/>
        <v>322</v>
      </c>
      <c r="U13" s="46">
        <v>77</v>
      </c>
      <c r="V13" s="46">
        <v>245</v>
      </c>
      <c r="W13" s="43">
        <v>361</v>
      </c>
      <c r="X13" s="44"/>
      <c r="Y13" s="45">
        <f t="shared" si="3"/>
        <v>335</v>
      </c>
      <c r="Z13" s="46">
        <v>73</v>
      </c>
      <c r="AA13" s="46">
        <v>262</v>
      </c>
      <c r="AB13" s="43">
        <v>405</v>
      </c>
      <c r="AC13" s="44"/>
      <c r="AD13" s="45">
        <f t="shared" si="4"/>
        <v>317</v>
      </c>
      <c r="AE13" s="46">
        <v>61</v>
      </c>
      <c r="AF13" s="46">
        <v>256</v>
      </c>
      <c r="AG13" s="43">
        <v>490</v>
      </c>
      <c r="AH13" s="44"/>
      <c r="AI13" s="45">
        <f t="shared" si="5"/>
        <v>480</v>
      </c>
      <c r="AJ13" s="46">
        <v>89</v>
      </c>
      <c r="AK13" s="46">
        <v>391</v>
      </c>
      <c r="AL13" s="71">
        <v>342</v>
      </c>
      <c r="AM13" s="44"/>
      <c r="AN13" s="45">
        <f t="shared" si="6"/>
        <v>307</v>
      </c>
      <c r="AO13" s="46">
        <v>54</v>
      </c>
      <c r="AP13" s="46">
        <v>253</v>
      </c>
      <c r="AQ13" s="25" t="s">
        <v>63</v>
      </c>
      <c r="AR13" s="26"/>
    </row>
    <row r="14" spans="1:45" s="20" customFormat="1" ht="19.5" customHeight="1">
      <c r="A14" s="21" t="s">
        <v>2</v>
      </c>
      <c r="B14" s="42">
        <v>2137</v>
      </c>
      <c r="C14" s="22"/>
      <c r="D14" s="23">
        <f t="shared" si="0"/>
        <v>11</v>
      </c>
      <c r="E14" s="24">
        <v>11</v>
      </c>
      <c r="F14" s="24">
        <v>0</v>
      </c>
      <c r="G14" s="42">
        <v>2044</v>
      </c>
      <c r="H14" s="22"/>
      <c r="I14" s="23">
        <v>8</v>
      </c>
      <c r="J14" s="24">
        <v>8</v>
      </c>
      <c r="K14" s="24">
        <v>0</v>
      </c>
      <c r="L14" s="43">
        <v>2242</v>
      </c>
      <c r="M14" s="44"/>
      <c r="N14" s="45">
        <f t="shared" si="1"/>
        <v>469</v>
      </c>
      <c r="O14" s="46">
        <v>421</v>
      </c>
      <c r="P14" s="46">
        <v>48</v>
      </c>
      <c r="Q14" s="46"/>
      <c r="R14" s="44">
        <v>2105</v>
      </c>
      <c r="S14" s="44"/>
      <c r="T14" s="45">
        <f t="shared" si="2"/>
        <v>225</v>
      </c>
      <c r="U14" s="46">
        <v>169</v>
      </c>
      <c r="V14" s="46">
        <v>56</v>
      </c>
      <c r="W14" s="43">
        <v>2007</v>
      </c>
      <c r="X14" s="44"/>
      <c r="Y14" s="45">
        <f t="shared" si="3"/>
        <v>182</v>
      </c>
      <c r="Z14" s="46">
        <v>138</v>
      </c>
      <c r="AA14" s="46">
        <v>44</v>
      </c>
      <c r="AB14" s="43">
        <v>2324</v>
      </c>
      <c r="AC14" s="44"/>
      <c r="AD14" s="45">
        <f t="shared" si="4"/>
        <v>622</v>
      </c>
      <c r="AE14" s="46">
        <v>439</v>
      </c>
      <c r="AF14" s="46">
        <v>183</v>
      </c>
      <c r="AG14" s="43">
        <v>1390</v>
      </c>
      <c r="AH14" s="44"/>
      <c r="AI14" s="45">
        <f t="shared" si="5"/>
        <v>363</v>
      </c>
      <c r="AJ14" s="46">
        <v>250</v>
      </c>
      <c r="AK14" s="46">
        <v>113</v>
      </c>
      <c r="AL14" s="71">
        <v>1553</v>
      </c>
      <c r="AM14" s="44"/>
      <c r="AN14" s="45">
        <f t="shared" si="6"/>
        <v>382</v>
      </c>
      <c r="AO14" s="46">
        <v>269</v>
      </c>
      <c r="AP14" s="46">
        <v>113</v>
      </c>
      <c r="AQ14" s="25" t="s">
        <v>5</v>
      </c>
      <c r="AR14" s="26"/>
    </row>
    <row r="15" spans="1:45" s="20" customFormat="1" ht="19.5" customHeight="1">
      <c r="A15" s="21" t="s">
        <v>18</v>
      </c>
      <c r="B15" s="42">
        <v>186</v>
      </c>
      <c r="C15" s="22"/>
      <c r="D15" s="23">
        <f t="shared" si="0"/>
        <v>38</v>
      </c>
      <c r="E15" s="24">
        <v>36</v>
      </c>
      <c r="F15" s="24">
        <v>2</v>
      </c>
      <c r="G15" s="42">
        <v>341</v>
      </c>
      <c r="H15" s="22"/>
      <c r="I15" s="23">
        <v>57</v>
      </c>
      <c r="J15" s="24">
        <v>45</v>
      </c>
      <c r="K15" s="24">
        <v>12</v>
      </c>
      <c r="L15" s="43">
        <v>305</v>
      </c>
      <c r="M15" s="44"/>
      <c r="N15" s="45">
        <f t="shared" si="1"/>
        <v>298</v>
      </c>
      <c r="O15" s="46">
        <v>105</v>
      </c>
      <c r="P15" s="46">
        <v>193</v>
      </c>
      <c r="Q15" s="46"/>
      <c r="R15" s="44">
        <v>279</v>
      </c>
      <c r="S15" s="44"/>
      <c r="T15" s="45">
        <f t="shared" si="2"/>
        <v>314</v>
      </c>
      <c r="U15" s="46">
        <v>125</v>
      </c>
      <c r="V15" s="46">
        <v>189</v>
      </c>
      <c r="W15" s="43">
        <v>240</v>
      </c>
      <c r="X15" s="44"/>
      <c r="Y15" s="45">
        <f t="shared" si="3"/>
        <v>219</v>
      </c>
      <c r="Z15" s="46">
        <v>74</v>
      </c>
      <c r="AA15" s="46">
        <v>145</v>
      </c>
      <c r="AB15" s="43">
        <v>219</v>
      </c>
      <c r="AC15" s="44"/>
      <c r="AD15" s="45">
        <f t="shared" si="4"/>
        <v>213</v>
      </c>
      <c r="AE15" s="46">
        <v>67</v>
      </c>
      <c r="AF15" s="46">
        <v>146</v>
      </c>
      <c r="AG15" s="43">
        <v>245</v>
      </c>
      <c r="AH15" s="44"/>
      <c r="AI15" s="45">
        <f t="shared" si="5"/>
        <v>236</v>
      </c>
      <c r="AJ15" s="46">
        <v>66</v>
      </c>
      <c r="AK15" s="46">
        <v>170</v>
      </c>
      <c r="AL15" s="71">
        <v>267</v>
      </c>
      <c r="AM15" s="44"/>
      <c r="AN15" s="45">
        <f t="shared" si="6"/>
        <v>281</v>
      </c>
      <c r="AO15" s="46">
        <v>74</v>
      </c>
      <c r="AP15" s="46">
        <v>207</v>
      </c>
      <c r="AQ15" s="25" t="s">
        <v>21</v>
      </c>
      <c r="AR15" s="26"/>
    </row>
    <row r="16" spans="1:45" s="20" customFormat="1" ht="19.5" customHeight="1">
      <c r="A16" s="47" t="s">
        <v>20</v>
      </c>
      <c r="B16" s="42">
        <v>77</v>
      </c>
      <c r="C16" s="22"/>
      <c r="D16" s="23">
        <f t="shared" si="0"/>
        <v>10</v>
      </c>
      <c r="E16" s="24">
        <v>9</v>
      </c>
      <c r="F16" s="24">
        <v>1</v>
      </c>
      <c r="G16" s="42">
        <v>91</v>
      </c>
      <c r="H16" s="22"/>
      <c r="I16" s="23">
        <v>12</v>
      </c>
      <c r="J16" s="24">
        <v>12</v>
      </c>
      <c r="K16" s="24">
        <v>0</v>
      </c>
      <c r="L16" s="43">
        <v>97</v>
      </c>
      <c r="M16" s="44"/>
      <c r="N16" s="45" t="s">
        <v>49</v>
      </c>
      <c r="O16" s="46" t="s">
        <v>49</v>
      </c>
      <c r="P16" s="46" t="s">
        <v>49</v>
      </c>
      <c r="Q16" s="46"/>
      <c r="R16" s="44">
        <v>86</v>
      </c>
      <c r="S16" s="44"/>
      <c r="T16" s="45">
        <f t="shared" si="2"/>
        <v>0</v>
      </c>
      <c r="U16" s="46">
        <v>0</v>
      </c>
      <c r="V16" s="46">
        <v>0</v>
      </c>
      <c r="W16" s="43">
        <v>71</v>
      </c>
      <c r="X16" s="44"/>
      <c r="Y16" s="45">
        <f t="shared" si="3"/>
        <v>0</v>
      </c>
      <c r="Z16" s="46">
        <v>0</v>
      </c>
      <c r="AA16" s="46">
        <v>0</v>
      </c>
      <c r="AB16" s="43">
        <v>86</v>
      </c>
      <c r="AC16" s="44"/>
      <c r="AD16" s="45">
        <f t="shared" si="4"/>
        <v>0</v>
      </c>
      <c r="AE16" s="46">
        <v>0</v>
      </c>
      <c r="AF16" s="46">
        <v>0</v>
      </c>
      <c r="AG16" s="43">
        <v>108</v>
      </c>
      <c r="AH16" s="44"/>
      <c r="AI16" s="45">
        <f t="shared" si="5"/>
        <v>0</v>
      </c>
      <c r="AJ16" s="46">
        <v>0</v>
      </c>
      <c r="AK16" s="46">
        <v>0</v>
      </c>
      <c r="AL16" s="71">
        <v>150</v>
      </c>
      <c r="AM16" s="44"/>
      <c r="AN16" s="45">
        <f t="shared" si="6"/>
        <v>0</v>
      </c>
      <c r="AO16" s="46">
        <v>0</v>
      </c>
      <c r="AP16" s="46">
        <v>0</v>
      </c>
      <c r="AQ16" s="25" t="s">
        <v>51</v>
      </c>
      <c r="AR16" s="26"/>
    </row>
    <row r="17" spans="1:44" s="20" customFormat="1" ht="19.5" customHeight="1">
      <c r="A17" s="21" t="s">
        <v>12</v>
      </c>
      <c r="B17" s="42">
        <v>520</v>
      </c>
      <c r="C17" s="22"/>
      <c r="D17" s="23">
        <f t="shared" si="0"/>
        <v>147</v>
      </c>
      <c r="E17" s="24">
        <v>147</v>
      </c>
      <c r="F17" s="24">
        <v>0</v>
      </c>
      <c r="G17" s="42">
        <v>535</v>
      </c>
      <c r="H17" s="22"/>
      <c r="I17" s="23">
        <v>127</v>
      </c>
      <c r="J17" s="24">
        <v>123</v>
      </c>
      <c r="K17" s="24">
        <v>4</v>
      </c>
      <c r="L17" s="43">
        <v>359</v>
      </c>
      <c r="M17" s="44"/>
      <c r="N17" s="45">
        <f t="shared" si="1"/>
        <v>20</v>
      </c>
      <c r="O17" s="46">
        <v>6</v>
      </c>
      <c r="P17" s="46">
        <v>14</v>
      </c>
      <c r="Q17" s="46"/>
      <c r="R17" s="44">
        <v>455</v>
      </c>
      <c r="S17" s="44"/>
      <c r="T17" s="45">
        <f t="shared" si="2"/>
        <v>22</v>
      </c>
      <c r="U17" s="46">
        <v>13</v>
      </c>
      <c r="V17" s="46">
        <v>9</v>
      </c>
      <c r="W17" s="43">
        <v>472</v>
      </c>
      <c r="X17" s="44"/>
      <c r="Y17" s="45">
        <f t="shared" si="3"/>
        <v>12</v>
      </c>
      <c r="Z17" s="46">
        <v>6</v>
      </c>
      <c r="AA17" s="46">
        <v>6</v>
      </c>
      <c r="AB17" s="43">
        <v>467</v>
      </c>
      <c r="AC17" s="44"/>
      <c r="AD17" s="45">
        <f t="shared" si="4"/>
        <v>17</v>
      </c>
      <c r="AE17" s="46">
        <v>12</v>
      </c>
      <c r="AF17" s="46">
        <v>5</v>
      </c>
      <c r="AG17" s="43">
        <v>395</v>
      </c>
      <c r="AH17" s="44"/>
      <c r="AI17" s="45">
        <f t="shared" si="5"/>
        <v>17</v>
      </c>
      <c r="AJ17" s="46">
        <v>12</v>
      </c>
      <c r="AK17" s="46">
        <v>5</v>
      </c>
      <c r="AL17" s="71">
        <v>503</v>
      </c>
      <c r="AM17" s="44"/>
      <c r="AN17" s="45">
        <f t="shared" si="6"/>
        <v>26</v>
      </c>
      <c r="AO17" s="46">
        <v>6</v>
      </c>
      <c r="AP17" s="46">
        <v>20</v>
      </c>
      <c r="AQ17" s="25" t="s">
        <v>13</v>
      </c>
      <c r="AR17" s="26"/>
    </row>
    <row r="18" spans="1:44" s="20" customFormat="1" ht="19.5" customHeight="1">
      <c r="A18" s="21" t="s">
        <v>17</v>
      </c>
      <c r="B18" s="42">
        <v>377</v>
      </c>
      <c r="C18" s="22"/>
      <c r="D18" s="23">
        <f t="shared" si="0"/>
        <v>80</v>
      </c>
      <c r="E18" s="24">
        <v>78</v>
      </c>
      <c r="F18" s="24">
        <v>2</v>
      </c>
      <c r="G18" s="42">
        <v>743</v>
      </c>
      <c r="H18" s="22"/>
      <c r="I18" s="23">
        <v>64</v>
      </c>
      <c r="J18" s="24">
        <v>61</v>
      </c>
      <c r="K18" s="24">
        <v>3</v>
      </c>
      <c r="L18" s="43">
        <v>523</v>
      </c>
      <c r="M18" s="44"/>
      <c r="N18" s="45">
        <f t="shared" si="1"/>
        <v>7</v>
      </c>
      <c r="O18" s="46">
        <v>5</v>
      </c>
      <c r="P18" s="46">
        <v>2</v>
      </c>
      <c r="Q18" s="46"/>
      <c r="R18" s="44">
        <v>518</v>
      </c>
      <c r="S18" s="44"/>
      <c r="T18" s="45">
        <f t="shared" si="2"/>
        <v>0</v>
      </c>
      <c r="U18" s="46">
        <v>0</v>
      </c>
      <c r="V18" s="46">
        <v>0</v>
      </c>
      <c r="W18" s="43">
        <v>516</v>
      </c>
      <c r="X18" s="44"/>
      <c r="Y18" s="45">
        <f t="shared" si="3"/>
        <v>0</v>
      </c>
      <c r="Z18" s="46">
        <v>0</v>
      </c>
      <c r="AA18" s="46">
        <v>0</v>
      </c>
      <c r="AB18" s="43">
        <v>494</v>
      </c>
      <c r="AC18" s="44"/>
      <c r="AD18" s="45">
        <f t="shared" si="4"/>
        <v>0</v>
      </c>
      <c r="AE18" s="46">
        <v>0</v>
      </c>
      <c r="AF18" s="46">
        <v>0</v>
      </c>
      <c r="AG18" s="43">
        <v>609</v>
      </c>
      <c r="AH18" s="44"/>
      <c r="AI18" s="45">
        <f t="shared" si="5"/>
        <v>0</v>
      </c>
      <c r="AJ18" s="46">
        <v>0</v>
      </c>
      <c r="AK18" s="46">
        <v>0</v>
      </c>
      <c r="AL18" s="71">
        <v>987</v>
      </c>
      <c r="AM18" s="44"/>
      <c r="AN18" s="45">
        <f t="shared" si="6"/>
        <v>4</v>
      </c>
      <c r="AO18" s="46">
        <v>2</v>
      </c>
      <c r="AP18" s="46">
        <v>2</v>
      </c>
      <c r="AQ18" s="25" t="s">
        <v>19</v>
      </c>
      <c r="AR18" s="26"/>
    </row>
    <row r="19" spans="1:44" s="20" customFormat="1" ht="19.5" customHeight="1">
      <c r="A19" s="48" t="s">
        <v>27</v>
      </c>
      <c r="B19" s="49">
        <v>2014</v>
      </c>
      <c r="C19" s="27"/>
      <c r="D19" s="23">
        <f t="shared" si="0"/>
        <v>2</v>
      </c>
      <c r="E19" s="24">
        <v>2</v>
      </c>
      <c r="F19" s="24">
        <v>0</v>
      </c>
      <c r="G19" s="49">
        <v>1712</v>
      </c>
      <c r="H19" s="27"/>
      <c r="I19" s="23">
        <v>0</v>
      </c>
      <c r="J19" s="24">
        <v>0</v>
      </c>
      <c r="K19" s="24">
        <v>0</v>
      </c>
      <c r="L19" s="43">
        <v>1829</v>
      </c>
      <c r="M19" s="50"/>
      <c r="N19" s="45">
        <f t="shared" si="1"/>
        <v>8</v>
      </c>
      <c r="O19" s="46">
        <v>6</v>
      </c>
      <c r="P19" s="46">
        <v>2</v>
      </c>
      <c r="Q19" s="46"/>
      <c r="R19" s="44">
        <v>1655</v>
      </c>
      <c r="S19" s="50"/>
      <c r="T19" s="45">
        <f t="shared" si="2"/>
        <v>3</v>
      </c>
      <c r="U19" s="46">
        <v>1</v>
      </c>
      <c r="V19" s="46">
        <v>2</v>
      </c>
      <c r="W19" s="43">
        <v>1787</v>
      </c>
      <c r="X19" s="50"/>
      <c r="Y19" s="45">
        <f t="shared" si="3"/>
        <v>1</v>
      </c>
      <c r="Z19" s="46">
        <v>1</v>
      </c>
      <c r="AA19" s="46">
        <v>0</v>
      </c>
      <c r="AB19" s="43">
        <v>1814</v>
      </c>
      <c r="AC19" s="50"/>
      <c r="AD19" s="45">
        <f t="shared" si="4"/>
        <v>0</v>
      </c>
      <c r="AE19" s="46">
        <v>0</v>
      </c>
      <c r="AF19" s="46">
        <v>0</v>
      </c>
      <c r="AG19" s="43">
        <v>744</v>
      </c>
      <c r="AH19" s="50"/>
      <c r="AI19" s="45">
        <f t="shared" si="5"/>
        <v>0</v>
      </c>
      <c r="AJ19" s="46">
        <v>0</v>
      </c>
      <c r="AK19" s="46">
        <v>0</v>
      </c>
      <c r="AL19" s="71">
        <v>974</v>
      </c>
      <c r="AM19" s="50"/>
      <c r="AN19" s="45">
        <f t="shared" si="6"/>
        <v>0</v>
      </c>
      <c r="AO19" s="46">
        <v>0</v>
      </c>
      <c r="AP19" s="46">
        <v>0</v>
      </c>
      <c r="AQ19" s="25" t="s">
        <v>9</v>
      </c>
      <c r="AR19" s="26"/>
    </row>
    <row r="20" spans="1:44" s="20" customFormat="1" ht="19.5" customHeight="1">
      <c r="A20" s="28" t="s">
        <v>7</v>
      </c>
      <c r="B20" s="27">
        <v>2505</v>
      </c>
      <c r="C20" s="27"/>
      <c r="D20" s="23">
        <f t="shared" si="0"/>
        <v>677</v>
      </c>
      <c r="E20" s="24">
        <v>655</v>
      </c>
      <c r="F20" s="24">
        <v>22</v>
      </c>
      <c r="G20" s="27">
        <v>2812</v>
      </c>
      <c r="H20" s="27"/>
      <c r="I20" s="23">
        <v>972</v>
      </c>
      <c r="J20" s="24">
        <v>916</v>
      </c>
      <c r="K20" s="24">
        <v>56</v>
      </c>
      <c r="L20" s="46">
        <v>2977</v>
      </c>
      <c r="M20" s="44"/>
      <c r="N20" s="44">
        <f>O20+P20</f>
        <v>574</v>
      </c>
      <c r="O20" s="44">
        <f>SUM(O21:O33)</f>
        <v>325</v>
      </c>
      <c r="P20" s="46">
        <f>SUM(P21:P33)</f>
        <v>249</v>
      </c>
      <c r="Q20" s="46"/>
      <c r="R20" s="46">
        <v>3047</v>
      </c>
      <c r="S20" s="50"/>
      <c r="T20" s="44">
        <f>U20+V20</f>
        <v>597</v>
      </c>
      <c r="U20" s="44">
        <f>SUM(U21:U33)</f>
        <v>296</v>
      </c>
      <c r="V20" s="46">
        <f>SUM(V21:V33)</f>
        <v>301</v>
      </c>
      <c r="W20" s="46">
        <v>2567</v>
      </c>
      <c r="X20" s="50"/>
      <c r="Y20" s="44">
        <f>Z20+AA20</f>
        <v>500</v>
      </c>
      <c r="Z20" s="44">
        <v>282</v>
      </c>
      <c r="AA20" s="44">
        <v>218</v>
      </c>
      <c r="AB20" s="46">
        <f>SUM(AB21:AB33)</f>
        <v>2815</v>
      </c>
      <c r="AC20" s="50"/>
      <c r="AD20" s="44">
        <f>SUM(AD21:AD33)</f>
        <v>707</v>
      </c>
      <c r="AE20" s="44">
        <f>SUM(AE21:AE33)</f>
        <v>391</v>
      </c>
      <c r="AF20" s="44">
        <f>SUM(AF21:AF33)</f>
        <v>316</v>
      </c>
      <c r="AG20" s="46">
        <f>SUM(AG21:AG33)</f>
        <v>2791</v>
      </c>
      <c r="AH20" s="50"/>
      <c r="AI20" s="44">
        <f>SUM(AI21:AI33)</f>
        <v>780</v>
      </c>
      <c r="AJ20" s="44">
        <f>SUM(AJ21:AJ33)</f>
        <v>375</v>
      </c>
      <c r="AK20" s="44">
        <f>SUM(AK21:AK33)</f>
        <v>405</v>
      </c>
      <c r="AL20" s="71">
        <v>2278</v>
      </c>
      <c r="AM20" s="50"/>
      <c r="AN20" s="44">
        <f>SUM(AN21:AN33)</f>
        <v>0</v>
      </c>
      <c r="AO20" s="46">
        <v>224</v>
      </c>
      <c r="AP20" s="46">
        <v>321</v>
      </c>
      <c r="AQ20" s="25" t="s">
        <v>24</v>
      </c>
      <c r="AR20" s="26"/>
    </row>
    <row r="21" spans="1:44" s="29" customFormat="1" ht="19.5" hidden="1" customHeight="1">
      <c r="A21" s="1" t="s">
        <v>25</v>
      </c>
      <c r="L21" s="44">
        <v>101</v>
      </c>
      <c r="M21" s="51"/>
      <c r="N21" s="45">
        <f t="shared" si="1"/>
        <v>33</v>
      </c>
      <c r="O21" s="51">
        <v>19</v>
      </c>
      <c r="P21" s="46">
        <v>14</v>
      </c>
      <c r="Q21" s="46"/>
      <c r="R21" s="44">
        <v>105</v>
      </c>
      <c r="S21" s="51"/>
      <c r="T21" s="52">
        <f>SUM(U21:V21)</f>
        <v>5</v>
      </c>
      <c r="U21" s="52">
        <v>4</v>
      </c>
      <c r="V21" s="52">
        <v>1</v>
      </c>
      <c r="W21" s="44">
        <v>29</v>
      </c>
      <c r="X21" s="51"/>
      <c r="Y21" s="52">
        <f>SUM(Z21:AA21)</f>
        <v>0</v>
      </c>
      <c r="Z21" s="46">
        <v>0</v>
      </c>
      <c r="AA21" s="46">
        <v>0</v>
      </c>
      <c r="AB21" s="43">
        <v>29</v>
      </c>
      <c r="AC21" s="51"/>
      <c r="AD21" s="52">
        <f>SUM(AE21:AF21)</f>
        <v>0</v>
      </c>
      <c r="AE21" s="46">
        <v>0</v>
      </c>
      <c r="AF21" s="46">
        <v>0</v>
      </c>
      <c r="AG21" s="43">
        <v>24</v>
      </c>
      <c r="AH21" s="51"/>
      <c r="AI21" s="52">
        <f>SUM(AJ21:AK21)</f>
        <v>0</v>
      </c>
      <c r="AJ21" s="46">
        <v>0</v>
      </c>
      <c r="AK21" s="46">
        <v>0</v>
      </c>
      <c r="AL21" s="43"/>
      <c r="AM21" s="51"/>
      <c r="AN21" s="52"/>
      <c r="AO21" s="46"/>
      <c r="AP21" s="46"/>
      <c r="AQ21" s="53" t="s">
        <v>26</v>
      </c>
    </row>
    <row r="22" spans="1:44" ht="19.5" hidden="1" customHeight="1">
      <c r="A22" s="1" t="s">
        <v>28</v>
      </c>
      <c r="B22" s="30"/>
      <c r="C22" s="30"/>
      <c r="D22" s="30"/>
      <c r="E22" s="30"/>
      <c r="F22" s="30"/>
      <c r="G22" s="30"/>
      <c r="H22" s="30"/>
      <c r="I22" s="30"/>
      <c r="J22" s="30"/>
      <c r="K22" s="35"/>
      <c r="L22" s="44">
        <v>59</v>
      </c>
      <c r="M22" s="54"/>
      <c r="N22" s="45">
        <f t="shared" si="1"/>
        <v>12</v>
      </c>
      <c r="O22" s="51">
        <v>4</v>
      </c>
      <c r="P22" s="46">
        <v>8</v>
      </c>
      <c r="Q22" s="46"/>
      <c r="R22" s="44">
        <v>70</v>
      </c>
      <c r="S22" s="54"/>
      <c r="T22" s="52">
        <f t="shared" ref="T22:T33" si="7">SUM(U22:V22)</f>
        <v>26</v>
      </c>
      <c r="U22" s="52">
        <v>2</v>
      </c>
      <c r="V22" s="52">
        <v>24</v>
      </c>
      <c r="W22" s="44">
        <v>36</v>
      </c>
      <c r="X22" s="54"/>
      <c r="Y22" s="52">
        <f t="shared" ref="Y22:Y33" si="8">SUM(Z22:AA22)</f>
        <v>16</v>
      </c>
      <c r="Z22" s="46">
        <v>4</v>
      </c>
      <c r="AA22" s="46">
        <v>12</v>
      </c>
      <c r="AB22" s="43">
        <v>56</v>
      </c>
      <c r="AC22" s="54"/>
      <c r="AD22" s="52">
        <f t="shared" ref="AD22:AD33" si="9">SUM(AE22:AF22)</f>
        <v>21</v>
      </c>
      <c r="AE22" s="46">
        <v>9</v>
      </c>
      <c r="AF22" s="46">
        <v>12</v>
      </c>
      <c r="AG22" s="43">
        <v>63</v>
      </c>
      <c r="AH22" s="54"/>
      <c r="AI22" s="52">
        <f t="shared" ref="AI22:AI33" si="10">SUM(AJ22:AK22)</f>
        <v>35</v>
      </c>
      <c r="AJ22" s="46">
        <v>15</v>
      </c>
      <c r="AK22" s="46">
        <v>20</v>
      </c>
      <c r="AL22" s="43"/>
      <c r="AM22" s="54"/>
      <c r="AN22" s="52"/>
      <c r="AO22" s="46"/>
      <c r="AP22" s="46"/>
      <c r="AQ22" s="53" t="s">
        <v>29</v>
      </c>
    </row>
    <row r="23" spans="1:44" ht="19.5" hidden="1" customHeight="1">
      <c r="A23" s="1" t="s">
        <v>31</v>
      </c>
      <c r="B23" s="30"/>
      <c r="C23" s="30"/>
      <c r="D23" s="30"/>
      <c r="E23" s="30"/>
      <c r="F23" s="30"/>
      <c r="G23" s="30"/>
      <c r="H23" s="30"/>
      <c r="I23" s="30"/>
      <c r="J23" s="30"/>
      <c r="K23" s="35"/>
      <c r="L23" s="44">
        <v>47</v>
      </c>
      <c r="M23" s="54"/>
      <c r="N23" s="45">
        <f t="shared" si="1"/>
        <v>19</v>
      </c>
      <c r="O23" s="51">
        <v>14</v>
      </c>
      <c r="P23" s="51">
        <v>5</v>
      </c>
      <c r="Q23" s="51"/>
      <c r="R23" s="44">
        <v>54</v>
      </c>
      <c r="S23" s="54"/>
      <c r="T23" s="52">
        <f t="shared" si="7"/>
        <v>47</v>
      </c>
      <c r="U23" s="52">
        <v>38</v>
      </c>
      <c r="V23" s="52">
        <v>9</v>
      </c>
      <c r="W23" s="44">
        <v>55</v>
      </c>
      <c r="X23" s="54"/>
      <c r="Y23" s="52">
        <f t="shared" si="8"/>
        <v>51</v>
      </c>
      <c r="Z23" s="46">
        <v>44</v>
      </c>
      <c r="AA23" s="46">
        <v>7</v>
      </c>
      <c r="AB23" s="43">
        <v>60</v>
      </c>
      <c r="AC23" s="54"/>
      <c r="AD23" s="52">
        <f t="shared" si="9"/>
        <v>48</v>
      </c>
      <c r="AE23" s="46">
        <v>39</v>
      </c>
      <c r="AF23" s="46">
        <v>9</v>
      </c>
      <c r="AG23" s="43">
        <v>40</v>
      </c>
      <c r="AH23" s="54"/>
      <c r="AI23" s="52">
        <f t="shared" si="10"/>
        <v>35</v>
      </c>
      <c r="AJ23" s="46">
        <v>32</v>
      </c>
      <c r="AK23" s="46">
        <v>3</v>
      </c>
      <c r="AL23" s="43"/>
      <c r="AM23" s="54"/>
      <c r="AN23" s="52"/>
      <c r="AO23" s="46"/>
      <c r="AP23" s="46"/>
      <c r="AQ23" s="53" t="s">
        <v>32</v>
      </c>
    </row>
    <row r="24" spans="1:44" ht="19.5" hidden="1" customHeight="1">
      <c r="A24" s="1" t="s">
        <v>33</v>
      </c>
      <c r="B24" s="30"/>
      <c r="C24" s="30"/>
      <c r="D24" s="30"/>
      <c r="E24" s="30"/>
      <c r="F24" s="30"/>
      <c r="G24" s="30"/>
      <c r="H24" s="30"/>
      <c r="I24" s="30"/>
      <c r="J24" s="30"/>
      <c r="K24" s="35"/>
      <c r="L24" s="44">
        <v>77</v>
      </c>
      <c r="M24" s="54"/>
      <c r="N24" s="45">
        <f t="shared" si="1"/>
        <v>94</v>
      </c>
      <c r="O24" s="51">
        <v>38</v>
      </c>
      <c r="P24" s="51">
        <v>56</v>
      </c>
      <c r="Q24" s="51"/>
      <c r="R24" s="44">
        <v>71</v>
      </c>
      <c r="S24" s="54"/>
      <c r="T24" s="52">
        <f t="shared" si="7"/>
        <v>91</v>
      </c>
      <c r="U24" s="52">
        <v>47</v>
      </c>
      <c r="V24" s="52">
        <v>44</v>
      </c>
      <c r="W24" s="44">
        <v>58</v>
      </c>
      <c r="X24" s="54"/>
      <c r="Y24" s="52">
        <f t="shared" si="8"/>
        <v>59</v>
      </c>
      <c r="Z24" s="46">
        <v>28</v>
      </c>
      <c r="AA24" s="46">
        <v>31</v>
      </c>
      <c r="AB24" s="43">
        <v>68</v>
      </c>
      <c r="AC24" s="54"/>
      <c r="AD24" s="52">
        <f t="shared" si="9"/>
        <v>69</v>
      </c>
      <c r="AE24" s="46">
        <v>34</v>
      </c>
      <c r="AF24" s="46">
        <v>35</v>
      </c>
      <c r="AG24" s="43">
        <v>74</v>
      </c>
      <c r="AH24" s="54"/>
      <c r="AI24" s="52">
        <f t="shared" si="10"/>
        <v>86</v>
      </c>
      <c r="AJ24" s="46">
        <v>42</v>
      </c>
      <c r="AK24" s="46">
        <v>44</v>
      </c>
      <c r="AL24" s="43"/>
      <c r="AM24" s="54"/>
      <c r="AN24" s="52"/>
      <c r="AO24" s="46"/>
      <c r="AP24" s="46"/>
      <c r="AQ24" s="53" t="s">
        <v>34</v>
      </c>
    </row>
    <row r="25" spans="1:44" ht="19.5" hidden="1" customHeight="1">
      <c r="A25" s="1" t="s">
        <v>23</v>
      </c>
      <c r="B25" s="30"/>
      <c r="C25" s="30"/>
      <c r="D25" s="30"/>
      <c r="E25" s="30"/>
      <c r="F25" s="30"/>
      <c r="G25" s="30"/>
      <c r="H25" s="30"/>
      <c r="I25" s="30"/>
      <c r="J25" s="30"/>
      <c r="K25" s="35"/>
      <c r="L25" s="44">
        <v>275</v>
      </c>
      <c r="M25" s="54"/>
      <c r="N25" s="45" t="s">
        <v>49</v>
      </c>
      <c r="O25" s="51" t="s">
        <v>49</v>
      </c>
      <c r="P25" s="51" t="s">
        <v>49</v>
      </c>
      <c r="Q25" s="51"/>
      <c r="R25" s="44">
        <v>306</v>
      </c>
      <c r="S25" s="54"/>
      <c r="T25" s="52">
        <f t="shared" si="7"/>
        <v>0</v>
      </c>
      <c r="U25" s="52">
        <v>0</v>
      </c>
      <c r="V25" s="52">
        <v>0</v>
      </c>
      <c r="W25" s="44">
        <v>246</v>
      </c>
      <c r="X25" s="54"/>
      <c r="Y25" s="52">
        <f t="shared" si="8"/>
        <v>1</v>
      </c>
      <c r="Z25" s="46">
        <v>0</v>
      </c>
      <c r="AA25" s="46">
        <v>1</v>
      </c>
      <c r="AB25" s="43">
        <v>218</v>
      </c>
      <c r="AC25" s="54"/>
      <c r="AD25" s="52">
        <f t="shared" si="9"/>
        <v>0</v>
      </c>
      <c r="AE25" s="46">
        <v>0</v>
      </c>
      <c r="AF25" s="46">
        <v>0</v>
      </c>
      <c r="AG25" s="43">
        <v>112</v>
      </c>
      <c r="AH25" s="54"/>
      <c r="AI25" s="52">
        <f t="shared" si="10"/>
        <v>0</v>
      </c>
      <c r="AJ25" s="46">
        <v>0</v>
      </c>
      <c r="AK25" s="46">
        <v>0</v>
      </c>
      <c r="AL25" s="43"/>
      <c r="AM25" s="54"/>
      <c r="AN25" s="52"/>
      <c r="AO25" s="46"/>
      <c r="AP25" s="46"/>
      <c r="AQ25" s="53" t="s">
        <v>35</v>
      </c>
    </row>
    <row r="26" spans="1:44" ht="19.5" hidden="1" customHeight="1">
      <c r="A26" s="1" t="s">
        <v>22</v>
      </c>
      <c r="B26" s="30"/>
      <c r="C26" s="30"/>
      <c r="D26" s="30"/>
      <c r="E26" s="30"/>
      <c r="F26" s="30"/>
      <c r="G26" s="30"/>
      <c r="H26" s="30"/>
      <c r="I26" s="30"/>
      <c r="J26" s="30"/>
      <c r="K26" s="35"/>
      <c r="L26" s="44">
        <v>286</v>
      </c>
      <c r="M26" s="54"/>
      <c r="N26" s="45">
        <f t="shared" si="1"/>
        <v>32</v>
      </c>
      <c r="O26" s="51">
        <v>9</v>
      </c>
      <c r="P26" s="51">
        <v>23</v>
      </c>
      <c r="Q26" s="51"/>
      <c r="R26" s="44">
        <v>308</v>
      </c>
      <c r="S26" s="54"/>
      <c r="T26" s="52">
        <f t="shared" si="7"/>
        <v>38</v>
      </c>
      <c r="U26" s="52">
        <v>6</v>
      </c>
      <c r="V26" s="52">
        <v>32</v>
      </c>
      <c r="W26" s="44">
        <v>213</v>
      </c>
      <c r="X26" s="54"/>
      <c r="Y26" s="52">
        <f t="shared" si="8"/>
        <v>15</v>
      </c>
      <c r="Z26" s="46">
        <v>6</v>
      </c>
      <c r="AA26" s="46">
        <v>9</v>
      </c>
      <c r="AB26" s="43">
        <v>185</v>
      </c>
      <c r="AC26" s="54"/>
      <c r="AD26" s="52">
        <f t="shared" si="9"/>
        <v>25</v>
      </c>
      <c r="AE26" s="46">
        <v>8</v>
      </c>
      <c r="AF26" s="46">
        <v>17</v>
      </c>
      <c r="AG26" s="43">
        <v>153</v>
      </c>
      <c r="AH26" s="54"/>
      <c r="AI26" s="52">
        <f t="shared" si="10"/>
        <v>45</v>
      </c>
      <c r="AJ26" s="46">
        <v>14</v>
      </c>
      <c r="AK26" s="46">
        <v>31</v>
      </c>
      <c r="AL26" s="43"/>
      <c r="AM26" s="54"/>
      <c r="AN26" s="52"/>
      <c r="AO26" s="46"/>
      <c r="AP26" s="46"/>
      <c r="AQ26" s="53" t="s">
        <v>36</v>
      </c>
    </row>
    <row r="27" spans="1:44" ht="19.5" hidden="1" customHeight="1">
      <c r="A27" s="1" t="s">
        <v>30</v>
      </c>
      <c r="B27" s="30"/>
      <c r="C27" s="30"/>
      <c r="D27" s="30"/>
      <c r="E27" s="30"/>
      <c r="F27" s="30"/>
      <c r="G27" s="30"/>
      <c r="H27" s="30"/>
      <c r="I27" s="30"/>
      <c r="J27" s="30"/>
      <c r="K27" s="35"/>
      <c r="L27" s="44">
        <v>147</v>
      </c>
      <c r="M27" s="54"/>
      <c r="N27" s="45">
        <f t="shared" si="1"/>
        <v>5</v>
      </c>
      <c r="O27" s="51">
        <v>1</v>
      </c>
      <c r="P27" s="51">
        <v>4</v>
      </c>
      <c r="Q27" s="51"/>
      <c r="R27" s="44">
        <v>141</v>
      </c>
      <c r="S27" s="54"/>
      <c r="T27" s="52">
        <f t="shared" si="7"/>
        <v>2</v>
      </c>
      <c r="U27" s="52">
        <v>2</v>
      </c>
      <c r="V27" s="52">
        <v>0</v>
      </c>
      <c r="W27" s="44">
        <v>92</v>
      </c>
      <c r="X27" s="54"/>
      <c r="Y27" s="52">
        <f t="shared" si="8"/>
        <v>2</v>
      </c>
      <c r="Z27" s="46">
        <v>0</v>
      </c>
      <c r="AA27" s="46">
        <v>2</v>
      </c>
      <c r="AB27" s="43">
        <v>79</v>
      </c>
      <c r="AC27" s="54"/>
      <c r="AD27" s="52">
        <f t="shared" si="9"/>
        <v>8</v>
      </c>
      <c r="AE27" s="46">
        <v>8</v>
      </c>
      <c r="AF27" s="46">
        <v>0</v>
      </c>
      <c r="AG27" s="43">
        <v>121</v>
      </c>
      <c r="AH27" s="54"/>
      <c r="AI27" s="52">
        <f t="shared" si="10"/>
        <v>10</v>
      </c>
      <c r="AJ27" s="46">
        <v>4</v>
      </c>
      <c r="AK27" s="46">
        <v>6</v>
      </c>
      <c r="AL27" s="43"/>
      <c r="AM27" s="54"/>
      <c r="AN27" s="52"/>
      <c r="AO27" s="46"/>
      <c r="AP27" s="46"/>
      <c r="AQ27" s="53" t="s">
        <v>37</v>
      </c>
    </row>
    <row r="28" spans="1:44" ht="19.5" hidden="1" customHeight="1">
      <c r="A28" s="1" t="s">
        <v>38</v>
      </c>
      <c r="B28" s="30"/>
      <c r="C28" s="30"/>
      <c r="D28" s="30"/>
      <c r="E28" s="30"/>
      <c r="F28" s="30"/>
      <c r="G28" s="30"/>
      <c r="H28" s="30"/>
      <c r="I28" s="30"/>
      <c r="J28" s="30"/>
      <c r="K28" s="35"/>
      <c r="L28" s="44">
        <v>72</v>
      </c>
      <c r="M28" s="54"/>
      <c r="N28" s="45">
        <f t="shared" si="1"/>
        <v>31</v>
      </c>
      <c r="O28" s="51">
        <v>10</v>
      </c>
      <c r="P28" s="51">
        <v>21</v>
      </c>
      <c r="Q28" s="51"/>
      <c r="R28" s="44">
        <v>65</v>
      </c>
      <c r="S28" s="54"/>
      <c r="T28" s="52">
        <f t="shared" si="7"/>
        <v>39</v>
      </c>
      <c r="U28" s="52">
        <v>11</v>
      </c>
      <c r="V28" s="52">
        <v>28</v>
      </c>
      <c r="W28" s="44">
        <v>87</v>
      </c>
      <c r="X28" s="54"/>
      <c r="Y28" s="52">
        <f t="shared" si="8"/>
        <v>43</v>
      </c>
      <c r="Z28" s="46">
        <v>9</v>
      </c>
      <c r="AA28" s="46">
        <v>34</v>
      </c>
      <c r="AB28" s="43">
        <v>73</v>
      </c>
      <c r="AC28" s="54"/>
      <c r="AD28" s="52">
        <f t="shared" si="9"/>
        <v>39</v>
      </c>
      <c r="AE28" s="46">
        <v>12</v>
      </c>
      <c r="AF28" s="46">
        <v>27</v>
      </c>
      <c r="AG28" s="43">
        <v>104</v>
      </c>
      <c r="AH28" s="54"/>
      <c r="AI28" s="52">
        <f t="shared" si="10"/>
        <v>49</v>
      </c>
      <c r="AJ28" s="46">
        <v>18</v>
      </c>
      <c r="AK28" s="46">
        <v>31</v>
      </c>
      <c r="AL28" s="43"/>
      <c r="AM28" s="54"/>
      <c r="AN28" s="52"/>
      <c r="AO28" s="46"/>
      <c r="AP28" s="46"/>
      <c r="AQ28" s="53" t="s">
        <v>39</v>
      </c>
    </row>
    <row r="29" spans="1:44" ht="19.5" hidden="1" customHeight="1">
      <c r="A29" s="1" t="s">
        <v>40</v>
      </c>
      <c r="B29" s="30"/>
      <c r="C29" s="30"/>
      <c r="D29" s="30"/>
      <c r="E29" s="30"/>
      <c r="F29" s="30"/>
      <c r="G29" s="30"/>
      <c r="H29" s="30"/>
      <c r="I29" s="30"/>
      <c r="J29" s="30"/>
      <c r="K29" s="35"/>
      <c r="L29" s="44">
        <v>55</v>
      </c>
      <c r="M29" s="54"/>
      <c r="N29" s="45">
        <f t="shared" si="1"/>
        <v>1</v>
      </c>
      <c r="O29" s="51">
        <v>1</v>
      </c>
      <c r="P29" s="51">
        <v>0</v>
      </c>
      <c r="Q29" s="51"/>
      <c r="R29" s="44">
        <v>52</v>
      </c>
      <c r="S29" s="54"/>
      <c r="T29" s="52">
        <f t="shared" si="7"/>
        <v>1</v>
      </c>
      <c r="U29" s="52">
        <v>1</v>
      </c>
      <c r="V29" s="52">
        <v>0</v>
      </c>
      <c r="W29" s="44">
        <v>28</v>
      </c>
      <c r="X29" s="54"/>
      <c r="Y29" s="52">
        <f t="shared" si="8"/>
        <v>0</v>
      </c>
      <c r="Z29" s="46">
        <v>0</v>
      </c>
      <c r="AA29" s="46">
        <v>0</v>
      </c>
      <c r="AB29" s="43">
        <v>72</v>
      </c>
      <c r="AC29" s="54"/>
      <c r="AD29" s="52">
        <f t="shared" si="9"/>
        <v>0</v>
      </c>
      <c r="AE29" s="46">
        <v>0</v>
      </c>
      <c r="AF29" s="46">
        <v>0</v>
      </c>
      <c r="AG29" s="43">
        <v>56</v>
      </c>
      <c r="AH29" s="54"/>
      <c r="AI29" s="52">
        <f t="shared" si="10"/>
        <v>0</v>
      </c>
      <c r="AJ29" s="46">
        <v>0</v>
      </c>
      <c r="AK29" s="46">
        <v>0</v>
      </c>
      <c r="AL29" s="43"/>
      <c r="AM29" s="54"/>
      <c r="AN29" s="52"/>
      <c r="AO29" s="46"/>
      <c r="AP29" s="46"/>
      <c r="AQ29" s="53" t="s">
        <v>41</v>
      </c>
    </row>
    <row r="30" spans="1:44" ht="19.5" hidden="1" customHeight="1">
      <c r="A30" s="1" t="s">
        <v>15</v>
      </c>
      <c r="B30" s="30"/>
      <c r="C30" s="30"/>
      <c r="D30" s="30"/>
      <c r="E30" s="30"/>
      <c r="F30" s="30"/>
      <c r="G30" s="30"/>
      <c r="H30" s="30"/>
      <c r="I30" s="30"/>
      <c r="J30" s="30"/>
      <c r="K30" s="35"/>
      <c r="L30" s="44">
        <v>599</v>
      </c>
      <c r="M30" s="54"/>
      <c r="N30" s="45">
        <f t="shared" si="1"/>
        <v>107</v>
      </c>
      <c r="O30" s="51">
        <v>39</v>
      </c>
      <c r="P30" s="51">
        <v>68</v>
      </c>
      <c r="Q30" s="51"/>
      <c r="R30" s="44">
        <v>640</v>
      </c>
      <c r="S30" s="54"/>
      <c r="T30" s="52">
        <f t="shared" si="7"/>
        <v>120</v>
      </c>
      <c r="U30" s="52">
        <v>37</v>
      </c>
      <c r="V30" s="52">
        <v>83</v>
      </c>
      <c r="W30" s="44">
        <v>536</v>
      </c>
      <c r="X30" s="54"/>
      <c r="Y30" s="52">
        <f t="shared" si="8"/>
        <v>77</v>
      </c>
      <c r="Z30" s="46">
        <v>20</v>
      </c>
      <c r="AA30" s="46">
        <v>57</v>
      </c>
      <c r="AB30" s="43">
        <v>492</v>
      </c>
      <c r="AC30" s="54"/>
      <c r="AD30" s="52">
        <f t="shared" si="9"/>
        <v>109</v>
      </c>
      <c r="AE30" s="46">
        <v>48</v>
      </c>
      <c r="AF30" s="46">
        <v>61</v>
      </c>
      <c r="AG30" s="43">
        <v>623</v>
      </c>
      <c r="AH30" s="54"/>
      <c r="AI30" s="52">
        <f t="shared" si="10"/>
        <v>172</v>
      </c>
      <c r="AJ30" s="46">
        <v>50</v>
      </c>
      <c r="AK30" s="46">
        <v>122</v>
      </c>
      <c r="AL30" s="43"/>
      <c r="AM30" s="54"/>
      <c r="AN30" s="52"/>
      <c r="AO30" s="46"/>
      <c r="AP30" s="46"/>
      <c r="AQ30" s="53" t="s">
        <v>42</v>
      </c>
    </row>
    <row r="31" spans="1:44" ht="32.25" hidden="1" customHeight="1">
      <c r="A31" s="31" t="s">
        <v>43</v>
      </c>
      <c r="B31" s="30"/>
      <c r="C31" s="30"/>
      <c r="D31" s="30"/>
      <c r="E31" s="30"/>
      <c r="F31" s="30"/>
      <c r="G31" s="30"/>
      <c r="H31" s="30"/>
      <c r="I31" s="30"/>
      <c r="J31" s="30"/>
      <c r="K31" s="35"/>
      <c r="L31" s="44">
        <v>41</v>
      </c>
      <c r="M31" s="54"/>
      <c r="N31" s="45">
        <f t="shared" si="1"/>
        <v>0</v>
      </c>
      <c r="O31" s="51">
        <v>0</v>
      </c>
      <c r="P31" s="51">
        <v>0</v>
      </c>
      <c r="Q31" s="51"/>
      <c r="R31" s="44">
        <v>37</v>
      </c>
      <c r="S31" s="54"/>
      <c r="T31" s="51">
        <f t="shared" si="7"/>
        <v>1</v>
      </c>
      <c r="U31" s="51">
        <v>1</v>
      </c>
      <c r="V31" s="51">
        <v>0</v>
      </c>
      <c r="W31" s="44">
        <v>39</v>
      </c>
      <c r="X31" s="54"/>
      <c r="Y31" s="51">
        <f t="shared" si="8"/>
        <v>0</v>
      </c>
      <c r="Z31" s="46">
        <v>0</v>
      </c>
      <c r="AA31" s="46">
        <v>0</v>
      </c>
      <c r="AB31" s="43">
        <v>19</v>
      </c>
      <c r="AC31" s="54"/>
      <c r="AD31" s="52">
        <f t="shared" si="9"/>
        <v>0</v>
      </c>
      <c r="AE31" s="46">
        <v>0</v>
      </c>
      <c r="AF31" s="46">
        <v>0</v>
      </c>
      <c r="AG31" s="43">
        <v>8</v>
      </c>
      <c r="AH31" s="54"/>
      <c r="AI31" s="52">
        <f t="shared" si="10"/>
        <v>0</v>
      </c>
      <c r="AJ31" s="46">
        <v>0</v>
      </c>
      <c r="AK31" s="46">
        <v>0</v>
      </c>
      <c r="AL31" s="43"/>
      <c r="AM31" s="54"/>
      <c r="AN31" s="52"/>
      <c r="AO31" s="46"/>
      <c r="AP31" s="46"/>
      <c r="AQ31" s="53" t="s">
        <v>44</v>
      </c>
    </row>
    <row r="32" spans="1:44" ht="19.5" hidden="1" customHeight="1">
      <c r="A32" s="1" t="s">
        <v>45</v>
      </c>
      <c r="B32" s="30"/>
      <c r="C32" s="30"/>
      <c r="D32" s="30"/>
      <c r="E32" s="30"/>
      <c r="F32" s="30"/>
      <c r="G32" s="30"/>
      <c r="H32" s="30"/>
      <c r="I32" s="30"/>
      <c r="J32" s="30"/>
      <c r="K32" s="35"/>
      <c r="L32" s="44">
        <v>20</v>
      </c>
      <c r="M32" s="54"/>
      <c r="N32" s="45">
        <f t="shared" si="1"/>
        <v>4</v>
      </c>
      <c r="O32" s="51">
        <v>2</v>
      </c>
      <c r="P32" s="51">
        <v>2</v>
      </c>
      <c r="Q32" s="51"/>
      <c r="R32" s="44">
        <v>23</v>
      </c>
      <c r="S32" s="54"/>
      <c r="T32" s="52">
        <f t="shared" si="7"/>
        <v>8</v>
      </c>
      <c r="U32" s="52">
        <v>4</v>
      </c>
      <c r="V32" s="52">
        <v>4</v>
      </c>
      <c r="W32" s="44">
        <v>27</v>
      </c>
      <c r="X32" s="54"/>
      <c r="Y32" s="52">
        <f t="shared" si="8"/>
        <v>6</v>
      </c>
      <c r="Z32" s="46">
        <v>2</v>
      </c>
      <c r="AA32" s="46">
        <v>4</v>
      </c>
      <c r="AB32" s="43">
        <v>15</v>
      </c>
      <c r="AC32" s="54"/>
      <c r="AD32" s="52">
        <f t="shared" si="9"/>
        <v>10</v>
      </c>
      <c r="AE32" s="46">
        <v>6</v>
      </c>
      <c r="AF32" s="46">
        <v>4</v>
      </c>
      <c r="AG32" s="43">
        <v>17</v>
      </c>
      <c r="AH32" s="54"/>
      <c r="AI32" s="52">
        <f t="shared" si="10"/>
        <v>4</v>
      </c>
      <c r="AJ32" s="46">
        <v>3</v>
      </c>
      <c r="AK32" s="46">
        <v>1</v>
      </c>
      <c r="AL32" s="43"/>
      <c r="AM32" s="54"/>
      <c r="AN32" s="52"/>
      <c r="AO32" s="46"/>
      <c r="AP32" s="46"/>
      <c r="AQ32" s="53" t="s">
        <v>46</v>
      </c>
    </row>
    <row r="33" spans="1:43" ht="19.5" hidden="1" customHeight="1">
      <c r="A33" s="2" t="s">
        <v>7</v>
      </c>
      <c r="B33" s="55"/>
      <c r="C33" s="55"/>
      <c r="D33" s="55"/>
      <c r="E33" s="55"/>
      <c r="F33" s="55"/>
      <c r="G33" s="55"/>
      <c r="H33" s="55"/>
      <c r="I33" s="55"/>
      <c r="J33" s="55"/>
      <c r="K33" s="56"/>
      <c r="L33" s="57">
        <v>1198</v>
      </c>
      <c r="M33" s="58"/>
      <c r="N33" s="59">
        <f t="shared" si="1"/>
        <v>236</v>
      </c>
      <c r="O33" s="60">
        <v>188</v>
      </c>
      <c r="P33" s="60">
        <v>48</v>
      </c>
      <c r="Q33" s="60"/>
      <c r="R33" s="57">
        <v>1175</v>
      </c>
      <c r="S33" s="58"/>
      <c r="T33" s="52">
        <f t="shared" si="7"/>
        <v>219</v>
      </c>
      <c r="U33" s="61">
        <v>143</v>
      </c>
      <c r="V33" s="61">
        <v>76</v>
      </c>
      <c r="W33" s="57">
        <v>1121</v>
      </c>
      <c r="X33" s="58"/>
      <c r="Y33" s="52">
        <f t="shared" si="8"/>
        <v>230</v>
      </c>
      <c r="Z33" s="46">
        <v>169</v>
      </c>
      <c r="AA33" s="46">
        <v>61</v>
      </c>
      <c r="AB33" s="43">
        <v>1449</v>
      </c>
      <c r="AC33" s="58"/>
      <c r="AD33" s="61">
        <f t="shared" si="9"/>
        <v>378</v>
      </c>
      <c r="AE33" s="46">
        <v>227</v>
      </c>
      <c r="AF33" s="46">
        <v>151</v>
      </c>
      <c r="AG33" s="43">
        <v>1396</v>
      </c>
      <c r="AH33" s="58"/>
      <c r="AI33" s="61">
        <f t="shared" si="10"/>
        <v>344</v>
      </c>
      <c r="AJ33" s="46">
        <v>197</v>
      </c>
      <c r="AK33" s="46">
        <v>147</v>
      </c>
      <c r="AL33" s="43"/>
      <c r="AM33" s="58"/>
      <c r="AN33" s="61"/>
      <c r="AO33" s="46"/>
      <c r="AP33" s="46"/>
      <c r="AQ33" s="62" t="s">
        <v>24</v>
      </c>
    </row>
    <row r="34" spans="1:43" ht="24" customHeight="1">
      <c r="A34" s="95" t="s">
        <v>65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</row>
    <row r="35" spans="1:43" ht="14.25" customHeight="1">
      <c r="A35" s="63" t="s">
        <v>47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66" t="s">
        <v>48</v>
      </c>
    </row>
    <row r="36" spans="1:43" ht="12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65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2"/>
    </row>
    <row r="37" spans="1:43" ht="12.75" customHeight="1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3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2"/>
    </row>
    <row r="39" spans="1:43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3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6"/>
      <c r="M40" s="6"/>
      <c r="N40" s="6"/>
      <c r="O40" s="6"/>
      <c r="P40" s="6"/>
      <c r="Q40" s="6"/>
      <c r="R40" s="6"/>
      <c r="S40" s="30"/>
      <c r="T40" s="30"/>
      <c r="U40" s="30"/>
      <c r="V40" s="30"/>
      <c r="W40" s="6"/>
      <c r="X40" s="30"/>
      <c r="Y40" s="30"/>
      <c r="Z40" s="30"/>
      <c r="AA40" s="30"/>
      <c r="AB40" s="6"/>
      <c r="AC40" s="30"/>
      <c r="AD40" s="30"/>
      <c r="AE40" s="30"/>
      <c r="AF40" s="30"/>
      <c r="AG40" s="6"/>
      <c r="AH40" s="30"/>
      <c r="AI40" s="30"/>
      <c r="AJ40" s="30"/>
      <c r="AK40" s="30"/>
      <c r="AL40" s="6"/>
      <c r="AM40" s="30"/>
      <c r="AN40" s="30"/>
      <c r="AO40" s="30"/>
      <c r="AP40" s="30"/>
      <c r="AQ40" s="32"/>
    </row>
    <row r="41" spans="1:43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5"/>
      <c r="S41" s="33"/>
      <c r="T41" s="30"/>
      <c r="U41" s="30"/>
      <c r="V41" s="30"/>
      <c r="X41" s="33"/>
      <c r="Y41" s="30"/>
      <c r="Z41" s="30"/>
      <c r="AA41" s="30"/>
      <c r="AC41" s="33"/>
      <c r="AD41" s="30"/>
      <c r="AE41" s="30"/>
      <c r="AF41" s="30"/>
      <c r="AH41" s="33"/>
      <c r="AI41" s="30"/>
      <c r="AJ41" s="30"/>
      <c r="AK41" s="30"/>
      <c r="AM41" s="33"/>
      <c r="AN41" s="30"/>
      <c r="AO41" s="30"/>
      <c r="AP41" s="30"/>
      <c r="AQ41" s="32"/>
    </row>
    <row r="42" spans="1:43" ht="12.75" customHeight="1"/>
    <row r="43" spans="1:43" ht="12.75" customHeight="1">
      <c r="B43" s="64"/>
      <c r="C43" s="64"/>
      <c r="D43" s="64"/>
      <c r="E43" s="64"/>
      <c r="F43" s="64"/>
      <c r="G43" s="6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1:43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2"/>
    </row>
    <row r="45" spans="1:4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2"/>
    </row>
    <row r="46" spans="1:4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2"/>
    </row>
    <row r="47" spans="1:4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2"/>
    </row>
    <row r="48" spans="1:4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2"/>
    </row>
    <row r="49" spans="1:4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2"/>
    </row>
    <row r="50" spans="1:4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2"/>
    </row>
    <row r="51" spans="1:43" ht="18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2"/>
    </row>
    <row r="52" spans="1:4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2"/>
    </row>
    <row r="53" spans="1:4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2"/>
    </row>
    <row r="54" spans="1:4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2"/>
    </row>
    <row r="55" spans="1:4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2"/>
    </row>
    <row r="56" spans="1:4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2"/>
    </row>
    <row r="57" spans="1:4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2"/>
    </row>
    <row r="58" spans="1:4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2"/>
    </row>
    <row r="59" spans="1:4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2"/>
    </row>
    <row r="60" spans="1:4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2"/>
    </row>
    <row r="61" spans="1:4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2"/>
    </row>
    <row r="62" spans="1:4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2"/>
    </row>
    <row r="63" spans="1:4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2"/>
    </row>
    <row r="64" spans="1:4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2"/>
    </row>
    <row r="65" spans="1:4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2"/>
    </row>
    <row r="66" spans="1:4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2"/>
    </row>
    <row r="67" spans="1:4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2"/>
    </row>
    <row r="68" spans="1:4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2"/>
    </row>
    <row r="69" spans="1:4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2"/>
    </row>
    <row r="70" spans="1:4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2"/>
    </row>
    <row r="71" spans="1:4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2"/>
    </row>
    <row r="72" spans="1:4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2"/>
    </row>
    <row r="73" spans="1:4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2"/>
    </row>
    <row r="74" spans="1:4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2"/>
    </row>
    <row r="75" spans="1:4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2"/>
    </row>
    <row r="76" spans="1:4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2"/>
    </row>
    <row r="77" spans="1:4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2"/>
    </row>
    <row r="78" spans="1:4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2"/>
    </row>
    <row r="79" spans="1:4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2"/>
    </row>
    <row r="80" spans="1:4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2"/>
    </row>
    <row r="81" spans="1:4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2"/>
    </row>
    <row r="82" spans="1:4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2"/>
    </row>
    <row r="83" spans="1:4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2"/>
    </row>
    <row r="84" spans="1:4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2"/>
    </row>
    <row r="85" spans="1:4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2"/>
    </row>
    <row r="86" spans="1:4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2"/>
    </row>
    <row r="87" spans="1:4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2"/>
    </row>
    <row r="88" spans="1:4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2"/>
    </row>
    <row r="89" spans="1:4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2"/>
    </row>
    <row r="90" spans="1:4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2"/>
    </row>
    <row r="91" spans="1:4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2"/>
    </row>
    <row r="92" spans="1:4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2"/>
    </row>
    <row r="93" spans="1:4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2"/>
    </row>
    <row r="94" spans="1:4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2"/>
    </row>
    <row r="95" spans="1:4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2"/>
    </row>
    <row r="96" spans="1:4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2"/>
    </row>
    <row r="97" spans="1:4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2"/>
    </row>
    <row r="98" spans="1:4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2"/>
    </row>
    <row r="99" spans="1:4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2"/>
    </row>
    <row r="100" spans="1:4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2"/>
    </row>
    <row r="101" spans="1:4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2"/>
    </row>
    <row r="102" spans="1:4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2"/>
    </row>
    <row r="103" spans="1:4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2"/>
    </row>
    <row r="104" spans="1:4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2"/>
    </row>
    <row r="105" spans="1:4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2"/>
    </row>
    <row r="106" spans="1:4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2"/>
    </row>
    <row r="107" spans="1:4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2"/>
    </row>
    <row r="108" spans="1:4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2"/>
    </row>
    <row r="109" spans="1:4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2"/>
    </row>
    <row r="110" spans="1:4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2"/>
    </row>
    <row r="111" spans="1:4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2"/>
    </row>
    <row r="112" spans="1:4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2"/>
    </row>
    <row r="113" spans="1:4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2"/>
    </row>
    <row r="114" spans="1:4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2"/>
    </row>
    <row r="115" spans="1:4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2"/>
    </row>
    <row r="116" spans="1:4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2"/>
    </row>
    <row r="117" spans="1:4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2"/>
    </row>
    <row r="118" spans="1:4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2"/>
    </row>
    <row r="119" spans="1:4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2"/>
    </row>
    <row r="120" spans="1:4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2"/>
    </row>
    <row r="121" spans="1:4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2"/>
    </row>
    <row r="122" spans="1:4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2"/>
    </row>
    <row r="123" spans="1:4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2"/>
    </row>
    <row r="124" spans="1:4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2"/>
    </row>
    <row r="125" spans="1:4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2"/>
    </row>
    <row r="126" spans="1:4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2"/>
    </row>
    <row r="127" spans="1:4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2"/>
    </row>
    <row r="128" spans="1:4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2"/>
    </row>
    <row r="129" spans="1:4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2"/>
    </row>
    <row r="130" spans="1:4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2"/>
    </row>
    <row r="131" spans="1:4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2"/>
    </row>
    <row r="132" spans="1:4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2"/>
    </row>
    <row r="133" spans="1:4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2"/>
    </row>
    <row r="134" spans="1:4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2"/>
    </row>
    <row r="135" spans="1:4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2"/>
    </row>
    <row r="136" spans="1:4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2"/>
    </row>
    <row r="137" spans="1:4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2"/>
    </row>
    <row r="138" spans="1:4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2"/>
    </row>
    <row r="139" spans="1:4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2"/>
    </row>
    <row r="140" spans="1:4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2"/>
    </row>
    <row r="141" spans="1:4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2"/>
    </row>
    <row r="142" spans="1:4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2"/>
    </row>
    <row r="143" spans="1: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2"/>
    </row>
    <row r="144" spans="1:4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2"/>
    </row>
    <row r="145" spans="1:4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2"/>
    </row>
    <row r="146" spans="1:4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2"/>
    </row>
    <row r="147" spans="1:4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2"/>
    </row>
    <row r="148" spans="1:4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2"/>
    </row>
    <row r="149" spans="1:4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2"/>
    </row>
    <row r="150" spans="1:4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2"/>
    </row>
    <row r="151" spans="1:4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2"/>
    </row>
    <row r="152" spans="1:4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2"/>
    </row>
    <row r="153" spans="1:4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2"/>
    </row>
    <row r="154" spans="1:4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2"/>
    </row>
    <row r="155" spans="1:4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2"/>
    </row>
    <row r="156" spans="1:4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2"/>
    </row>
    <row r="157" spans="1:4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2"/>
    </row>
    <row r="158" spans="1:4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2"/>
    </row>
    <row r="159" spans="1:4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2"/>
    </row>
    <row r="160" spans="1:4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2"/>
    </row>
    <row r="161" spans="1:4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2"/>
    </row>
    <row r="162" spans="1:4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2"/>
    </row>
    <row r="163" spans="1:4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2"/>
    </row>
    <row r="164" spans="1:4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2"/>
    </row>
    <row r="165" spans="1:4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2"/>
    </row>
    <row r="166" spans="1:4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2"/>
    </row>
    <row r="167" spans="1:4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2"/>
    </row>
    <row r="168" spans="1:4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2"/>
    </row>
    <row r="169" spans="1:4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2"/>
    </row>
    <row r="170" spans="1:4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2"/>
    </row>
    <row r="171" spans="1:4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2"/>
    </row>
    <row r="172" spans="1:4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2"/>
    </row>
    <row r="173" spans="1:4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2"/>
    </row>
    <row r="174" spans="1:4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2"/>
    </row>
    <row r="175" spans="1:4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2"/>
    </row>
    <row r="176" spans="1:4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2"/>
    </row>
    <row r="177" spans="1:4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2"/>
    </row>
    <row r="178" spans="1:4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2"/>
    </row>
    <row r="179" spans="1:4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2"/>
    </row>
    <row r="180" spans="1:4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2"/>
    </row>
    <row r="181" spans="1:4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2"/>
    </row>
    <row r="182" spans="1:4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2"/>
    </row>
    <row r="183" spans="1:4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2"/>
    </row>
    <row r="184" spans="1:4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2"/>
    </row>
    <row r="185" spans="1:4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2"/>
    </row>
    <row r="186" spans="1:4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2"/>
    </row>
    <row r="187" spans="1:4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2"/>
    </row>
    <row r="188" spans="1:4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2"/>
    </row>
    <row r="189" spans="1:4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2"/>
    </row>
    <row r="190" spans="1:4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2"/>
    </row>
    <row r="191" spans="1:4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2"/>
    </row>
    <row r="192" spans="1:4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2"/>
    </row>
    <row r="193" spans="1:4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2"/>
    </row>
    <row r="194" spans="1:4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2"/>
    </row>
    <row r="195" spans="1:4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2"/>
    </row>
    <row r="196" spans="1:4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2"/>
    </row>
    <row r="197" spans="1:4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2"/>
    </row>
    <row r="198" spans="1:4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2"/>
    </row>
    <row r="199" spans="1:4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2"/>
    </row>
    <row r="200" spans="1:4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2"/>
    </row>
    <row r="201" spans="1:4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2"/>
    </row>
    <row r="202" spans="1:4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2"/>
    </row>
    <row r="203" spans="1:4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2"/>
    </row>
    <row r="204" spans="1:4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2"/>
    </row>
    <row r="205" spans="1:4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2"/>
    </row>
    <row r="206" spans="1:4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2"/>
    </row>
    <row r="207" spans="1:4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2"/>
    </row>
    <row r="208" spans="1:4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2"/>
    </row>
    <row r="209" spans="1:4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2"/>
    </row>
    <row r="210" spans="1:4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2"/>
    </row>
    <row r="211" spans="1:4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2"/>
    </row>
    <row r="212" spans="1:4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2"/>
    </row>
    <row r="213" spans="1:4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2"/>
    </row>
    <row r="214" spans="1:4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2"/>
    </row>
    <row r="215" spans="1:4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2"/>
    </row>
    <row r="216" spans="1:4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2"/>
    </row>
    <row r="217" spans="1:4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2"/>
    </row>
    <row r="218" spans="1:4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2"/>
    </row>
    <row r="219" spans="1:4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2"/>
    </row>
    <row r="220" spans="1:4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2"/>
    </row>
    <row r="221" spans="1:4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2"/>
    </row>
    <row r="222" spans="1:4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2"/>
    </row>
    <row r="223" spans="1:4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2"/>
    </row>
    <row r="224" spans="1:4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2"/>
    </row>
    <row r="225" spans="1:4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2"/>
    </row>
    <row r="226" spans="1:4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2"/>
    </row>
    <row r="227" spans="1:4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2"/>
    </row>
    <row r="228" spans="1:4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2"/>
    </row>
    <row r="229" spans="1:4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2"/>
    </row>
    <row r="230" spans="1:4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2"/>
    </row>
    <row r="231" spans="1:4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2"/>
    </row>
    <row r="232" spans="1:4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2"/>
    </row>
    <row r="233" spans="1:4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2"/>
    </row>
    <row r="234" spans="1:4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2"/>
    </row>
    <row r="235" spans="1:4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2"/>
    </row>
    <row r="236" spans="1:4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2"/>
    </row>
    <row r="237" spans="1:4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2"/>
    </row>
    <row r="238" spans="1:4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2"/>
    </row>
    <row r="239" spans="1:4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2"/>
    </row>
    <row r="240" spans="1:4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2"/>
    </row>
    <row r="241" spans="1:4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2"/>
    </row>
    <row r="242" spans="1:4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2"/>
    </row>
    <row r="243" spans="1: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2"/>
    </row>
    <row r="244" spans="1:4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2"/>
    </row>
    <row r="245" spans="1:4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2"/>
    </row>
    <row r="246" spans="1:4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2"/>
    </row>
    <row r="247" spans="1:4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2"/>
    </row>
    <row r="248" spans="1:4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2"/>
    </row>
    <row r="249" spans="1:4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2"/>
    </row>
    <row r="250" spans="1:4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2"/>
    </row>
    <row r="251" spans="1:4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2"/>
    </row>
    <row r="252" spans="1:4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2"/>
    </row>
    <row r="253" spans="1:4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2"/>
    </row>
    <row r="254" spans="1:4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2"/>
    </row>
    <row r="255" spans="1:4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2"/>
    </row>
    <row r="256" spans="1:4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2"/>
    </row>
    <row r="257" spans="1:4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2"/>
    </row>
    <row r="258" spans="1:4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2"/>
    </row>
    <row r="259" spans="1:4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2"/>
    </row>
    <row r="260" spans="1:4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2"/>
    </row>
    <row r="261" spans="1:4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2"/>
    </row>
    <row r="262" spans="1:4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2"/>
    </row>
    <row r="263" spans="1:4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2"/>
    </row>
    <row r="264" spans="1:4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2"/>
    </row>
    <row r="265" spans="1:4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2"/>
    </row>
    <row r="266" spans="1:4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2"/>
    </row>
    <row r="267" spans="1:4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2"/>
    </row>
    <row r="268" spans="1:4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2"/>
    </row>
    <row r="269" spans="1:4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2"/>
    </row>
    <row r="270" spans="1:4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2"/>
    </row>
    <row r="271" spans="1:4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2"/>
    </row>
    <row r="272" spans="1:4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2"/>
    </row>
    <row r="273" spans="1:4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2"/>
    </row>
    <row r="274" spans="1:4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2"/>
    </row>
    <row r="275" spans="1:4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2"/>
    </row>
    <row r="276" spans="1:4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2"/>
    </row>
    <row r="277" spans="1:4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2"/>
    </row>
    <row r="278" spans="1:4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2"/>
    </row>
    <row r="279" spans="1:4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2"/>
    </row>
    <row r="280" spans="1:4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2"/>
    </row>
    <row r="281" spans="1:4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2"/>
    </row>
    <row r="282" spans="1:4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2"/>
    </row>
    <row r="283" spans="1:4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2"/>
    </row>
    <row r="284" spans="1:4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2"/>
    </row>
    <row r="285" spans="1:4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2"/>
    </row>
    <row r="286" spans="1:4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2"/>
    </row>
    <row r="287" spans="1:4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2"/>
    </row>
    <row r="288" spans="1:4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2"/>
    </row>
    <row r="289" spans="1:4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2"/>
    </row>
    <row r="290" spans="1:4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2"/>
    </row>
    <row r="291" spans="1:4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2"/>
    </row>
    <row r="292" spans="1:4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2"/>
    </row>
    <row r="293" spans="1:4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2"/>
    </row>
    <row r="294" spans="1:4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2"/>
    </row>
    <row r="295" spans="1:4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2"/>
    </row>
    <row r="296" spans="1:4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2"/>
    </row>
    <row r="297" spans="1:4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2"/>
    </row>
    <row r="298" spans="1:4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2"/>
    </row>
    <row r="299" spans="1:4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2"/>
    </row>
    <row r="300" spans="1:4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2"/>
    </row>
    <row r="301" spans="1:4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2"/>
    </row>
    <row r="302" spans="1:4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2"/>
    </row>
    <row r="303" spans="1:4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2"/>
    </row>
    <row r="304" spans="1:4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2"/>
    </row>
    <row r="305" spans="1:4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2"/>
    </row>
    <row r="306" spans="1:4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2"/>
    </row>
    <row r="307" spans="1:4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2"/>
    </row>
    <row r="308" spans="1:4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2"/>
    </row>
    <row r="309" spans="1:4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2"/>
    </row>
    <row r="310" spans="1:4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2"/>
    </row>
    <row r="311" spans="1:4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2"/>
    </row>
    <row r="312" spans="1:4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2"/>
    </row>
    <row r="313" spans="1:4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2"/>
    </row>
    <row r="314" spans="1:4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2"/>
    </row>
    <row r="315" spans="1:4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2"/>
    </row>
    <row r="316" spans="1:4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2"/>
    </row>
    <row r="317" spans="1:4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2"/>
    </row>
    <row r="318" spans="1:4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2"/>
    </row>
    <row r="319" spans="1:4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2"/>
    </row>
    <row r="320" spans="1:4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2"/>
    </row>
    <row r="321" spans="1:4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2"/>
    </row>
    <row r="322" spans="1:4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2"/>
    </row>
    <row r="323" spans="1:4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2"/>
    </row>
    <row r="324" spans="1:4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2"/>
    </row>
    <row r="325" spans="1:4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2"/>
    </row>
    <row r="326" spans="1:4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2"/>
    </row>
    <row r="327" spans="1:4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2"/>
    </row>
    <row r="328" spans="1:4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2"/>
    </row>
    <row r="329" spans="1:4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2"/>
    </row>
    <row r="330" spans="1:4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2"/>
    </row>
    <row r="331" spans="1:4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2"/>
    </row>
    <row r="332" spans="1:4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2"/>
    </row>
    <row r="333" spans="1:4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2"/>
    </row>
    <row r="334" spans="1:4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2"/>
    </row>
    <row r="335" spans="1:4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2"/>
    </row>
    <row r="336" spans="1:4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2"/>
    </row>
    <row r="337" spans="1:4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2"/>
    </row>
    <row r="338" spans="1:4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2"/>
    </row>
    <row r="339" spans="1:4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2"/>
    </row>
    <row r="340" spans="1:4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2"/>
    </row>
    <row r="341" spans="1:4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2"/>
    </row>
    <row r="342" spans="1:4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2"/>
    </row>
    <row r="343" spans="1: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2"/>
    </row>
    <row r="344" spans="1:4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2"/>
    </row>
    <row r="345" spans="1:4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2"/>
    </row>
    <row r="346" spans="1:4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2"/>
    </row>
    <row r="347" spans="1:4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2"/>
    </row>
    <row r="348" spans="1:4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2"/>
    </row>
    <row r="349" spans="1:4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2"/>
    </row>
    <row r="350" spans="1:4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2"/>
    </row>
    <row r="351" spans="1:4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2"/>
    </row>
    <row r="352" spans="1:4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2"/>
    </row>
    <row r="353" spans="1:4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2"/>
    </row>
    <row r="354" spans="1:4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2"/>
    </row>
    <row r="355" spans="1:4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2"/>
    </row>
    <row r="356" spans="1:4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2"/>
    </row>
    <row r="357" spans="1:4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2"/>
    </row>
    <row r="358" spans="1:4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2"/>
    </row>
    <row r="359" spans="1:4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2"/>
    </row>
    <row r="360" spans="1:4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2"/>
    </row>
    <row r="361" spans="1:4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2"/>
    </row>
    <row r="362" spans="1:4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2"/>
    </row>
    <row r="363" spans="1:4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2"/>
    </row>
    <row r="364" spans="1:4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2"/>
    </row>
    <row r="365" spans="1:4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2"/>
    </row>
    <row r="366" spans="1:4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2"/>
    </row>
    <row r="367" spans="1:4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2"/>
    </row>
    <row r="368" spans="1:4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2"/>
    </row>
    <row r="369" spans="1:4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2"/>
    </row>
    <row r="370" spans="1:4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2"/>
    </row>
    <row r="371" spans="1:4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2"/>
    </row>
    <row r="372" spans="1:4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2"/>
    </row>
    <row r="373" spans="1:4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2"/>
    </row>
    <row r="374" spans="1:4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2"/>
    </row>
    <row r="375" spans="1:4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2"/>
    </row>
    <row r="376" spans="1:4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2"/>
    </row>
    <row r="377" spans="1:4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2"/>
    </row>
    <row r="378" spans="1:4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2"/>
    </row>
    <row r="379" spans="1:4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2"/>
    </row>
    <row r="380" spans="1:4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2"/>
    </row>
    <row r="381" spans="1:4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2"/>
    </row>
    <row r="382" spans="1:4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2"/>
    </row>
    <row r="383" spans="1:4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2"/>
    </row>
    <row r="384" spans="1:4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2"/>
    </row>
    <row r="385" spans="1:4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2"/>
    </row>
    <row r="386" spans="1:4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2"/>
    </row>
    <row r="387" spans="1:4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2"/>
    </row>
    <row r="388" spans="1:4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2"/>
    </row>
    <row r="389" spans="1:4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2"/>
    </row>
    <row r="390" spans="1:4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2"/>
    </row>
    <row r="391" spans="1:4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2"/>
    </row>
    <row r="392" spans="1:4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2"/>
    </row>
    <row r="393" spans="1:4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2"/>
    </row>
    <row r="394" spans="1:4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2"/>
    </row>
    <row r="395" spans="1:4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2"/>
    </row>
    <row r="396" spans="1:4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2"/>
    </row>
    <row r="397" spans="1:4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2"/>
    </row>
    <row r="398" spans="1:4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2"/>
    </row>
    <row r="399" spans="1:4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2"/>
    </row>
    <row r="400" spans="1:4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2"/>
    </row>
    <row r="401" spans="1:4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2"/>
    </row>
    <row r="402" spans="1:4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2"/>
    </row>
    <row r="403" spans="1:4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2"/>
    </row>
    <row r="404" spans="1:4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2"/>
    </row>
    <row r="405" spans="1:4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2"/>
    </row>
    <row r="406" spans="1:4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2"/>
    </row>
    <row r="407" spans="1:4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2"/>
    </row>
    <row r="408" spans="1:4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2"/>
    </row>
    <row r="409" spans="1:4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2"/>
    </row>
    <row r="410" spans="1:4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2"/>
    </row>
    <row r="411" spans="1:4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2"/>
    </row>
    <row r="412" spans="1:4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2"/>
    </row>
    <row r="413" spans="1:4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2"/>
    </row>
    <row r="414" spans="1:4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2"/>
    </row>
    <row r="415" spans="1:4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2"/>
    </row>
    <row r="416" spans="1:4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2"/>
    </row>
    <row r="417" spans="1:4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2"/>
    </row>
    <row r="418" spans="1:4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2"/>
    </row>
    <row r="419" spans="1:4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2"/>
    </row>
    <row r="420" spans="1:4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2"/>
    </row>
    <row r="421" spans="1:4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2"/>
    </row>
    <row r="422" spans="1:4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2"/>
    </row>
    <row r="423" spans="1:4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2"/>
    </row>
    <row r="424" spans="1:4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2"/>
    </row>
    <row r="425" spans="1:4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2"/>
    </row>
    <row r="426" spans="1:4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2"/>
    </row>
    <row r="427" spans="1:4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2"/>
    </row>
    <row r="428" spans="1:4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2"/>
    </row>
    <row r="429" spans="1:4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2"/>
    </row>
    <row r="430" spans="1:4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2"/>
    </row>
    <row r="431" spans="1:4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2"/>
    </row>
    <row r="432" spans="1:4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2"/>
    </row>
    <row r="433" spans="1:4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2"/>
    </row>
    <row r="434" spans="1:4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2"/>
    </row>
    <row r="435" spans="1:4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2"/>
    </row>
    <row r="436" spans="1:4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2"/>
    </row>
    <row r="437" spans="1:4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2"/>
    </row>
    <row r="438" spans="1:4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2"/>
    </row>
    <row r="439" spans="1:4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2"/>
    </row>
    <row r="440" spans="1:4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2"/>
    </row>
    <row r="441" spans="1:4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2"/>
    </row>
    <row r="442" spans="1:4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2"/>
    </row>
    <row r="443" spans="1: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2"/>
    </row>
    <row r="444" spans="1:4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2"/>
    </row>
    <row r="445" spans="1:4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2"/>
    </row>
    <row r="446" spans="1:4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2"/>
    </row>
    <row r="447" spans="1:4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2"/>
    </row>
    <row r="448" spans="1:4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2"/>
    </row>
    <row r="449" spans="1:4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2"/>
    </row>
    <row r="450" spans="1:4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2"/>
    </row>
    <row r="451" spans="1:4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2"/>
    </row>
    <row r="452" spans="1:4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2"/>
    </row>
    <row r="453" spans="1:4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2"/>
    </row>
    <row r="454" spans="1:4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2"/>
    </row>
    <row r="455" spans="1:4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2"/>
    </row>
    <row r="456" spans="1:4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2"/>
    </row>
    <row r="457" spans="1:4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2"/>
    </row>
    <row r="458" spans="1:4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2"/>
    </row>
    <row r="459" spans="1:4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2"/>
    </row>
    <row r="460" spans="1:4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2"/>
    </row>
    <row r="461" spans="1:4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2"/>
    </row>
    <row r="462" spans="1:4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2"/>
    </row>
    <row r="463" spans="1:4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2"/>
    </row>
    <row r="464" spans="1:4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2"/>
    </row>
    <row r="465" spans="1:4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2"/>
    </row>
    <row r="466" spans="1:4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2"/>
    </row>
    <row r="467" spans="1:4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2"/>
    </row>
    <row r="468" spans="1:4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2"/>
    </row>
    <row r="469" spans="1:4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2"/>
    </row>
    <row r="470" spans="1:4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2"/>
    </row>
    <row r="471" spans="1:4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2"/>
    </row>
    <row r="472" spans="1:4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2"/>
    </row>
    <row r="473" spans="1:4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2"/>
    </row>
    <row r="474" spans="1:4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2"/>
    </row>
    <row r="475" spans="1:4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2"/>
    </row>
    <row r="476" spans="1:4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2"/>
    </row>
    <row r="477" spans="1:4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2"/>
    </row>
    <row r="478" spans="1:4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2"/>
    </row>
    <row r="479" spans="1:4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2"/>
    </row>
    <row r="480" spans="1:4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2"/>
    </row>
    <row r="481" spans="1:4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2"/>
    </row>
    <row r="482" spans="1:4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2"/>
    </row>
    <row r="483" spans="1:4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2"/>
    </row>
    <row r="484" spans="1:4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2"/>
    </row>
    <row r="485" spans="1:4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2"/>
    </row>
    <row r="486" spans="1:4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2"/>
    </row>
    <row r="487" spans="1:4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2"/>
    </row>
    <row r="488" spans="1:4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2"/>
    </row>
    <row r="489" spans="1:4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2"/>
    </row>
    <row r="490" spans="1:4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2"/>
    </row>
    <row r="491" spans="1:4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2"/>
    </row>
    <row r="492" spans="1:4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2"/>
    </row>
    <row r="493" spans="1:4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2"/>
    </row>
    <row r="494" spans="1:4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2"/>
    </row>
    <row r="495" spans="1:4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2"/>
    </row>
    <row r="496" spans="1:4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2"/>
    </row>
    <row r="497" spans="1:4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2"/>
    </row>
    <row r="498" spans="1:4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2"/>
    </row>
    <row r="499" spans="1:4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2"/>
    </row>
    <row r="500" spans="1:4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2"/>
    </row>
    <row r="501" spans="1:4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2"/>
    </row>
    <row r="502" spans="1:4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2"/>
    </row>
    <row r="503" spans="1:4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2"/>
    </row>
    <row r="504" spans="1:4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2"/>
    </row>
    <row r="505" spans="1:4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2"/>
    </row>
    <row r="506" spans="1:4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2"/>
    </row>
    <row r="507" spans="1:4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2"/>
    </row>
    <row r="508" spans="1:4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2"/>
    </row>
    <row r="509" spans="1:4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2"/>
    </row>
    <row r="510" spans="1:4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2"/>
    </row>
    <row r="511" spans="1:4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2"/>
    </row>
    <row r="512" spans="1:4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2"/>
    </row>
    <row r="513" spans="1:4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2"/>
    </row>
    <row r="514" spans="1:4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2"/>
    </row>
    <row r="515" spans="1:4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2"/>
    </row>
    <row r="516" spans="1:4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2"/>
    </row>
    <row r="517" spans="1:4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2"/>
    </row>
    <row r="518" spans="1:4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2"/>
    </row>
    <row r="519" spans="1:4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2"/>
    </row>
    <row r="520" spans="1:4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2"/>
    </row>
    <row r="521" spans="1:4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2"/>
    </row>
    <row r="522" spans="1:4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2"/>
    </row>
    <row r="523" spans="1:4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2"/>
    </row>
    <row r="524" spans="1:4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2"/>
    </row>
    <row r="525" spans="1:4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2"/>
    </row>
    <row r="526" spans="1:4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2"/>
    </row>
    <row r="527" spans="1:4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2"/>
    </row>
    <row r="528" spans="1:4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2"/>
    </row>
    <row r="529" spans="1:4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2"/>
    </row>
    <row r="530" spans="1:4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2"/>
    </row>
    <row r="531" spans="1:4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2"/>
    </row>
    <row r="532" spans="1:4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2"/>
    </row>
    <row r="533" spans="1:4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2"/>
    </row>
    <row r="534" spans="1:4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2"/>
    </row>
    <row r="535" spans="1:4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2"/>
    </row>
    <row r="536" spans="1:4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2"/>
    </row>
    <row r="537" spans="1:4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2"/>
    </row>
    <row r="538" spans="1:4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2"/>
    </row>
    <row r="539" spans="1:4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2"/>
    </row>
    <row r="540" spans="1:4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2"/>
    </row>
    <row r="541" spans="1:4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2"/>
    </row>
    <row r="542" spans="1:4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2"/>
    </row>
    <row r="543" spans="1: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2"/>
    </row>
    <row r="544" spans="1:4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2"/>
    </row>
    <row r="545" spans="1:4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2"/>
    </row>
    <row r="546" spans="1:4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2"/>
    </row>
  </sheetData>
  <mergeCells count="30">
    <mergeCell ref="A34:AQ34"/>
    <mergeCell ref="AR4:AR7"/>
    <mergeCell ref="B5:B6"/>
    <mergeCell ref="D5:F5"/>
    <mergeCell ref="G5:G6"/>
    <mergeCell ref="I5:K5"/>
    <mergeCell ref="L5:L6"/>
    <mergeCell ref="N5:P5"/>
    <mergeCell ref="R5:R6"/>
    <mergeCell ref="T5:V5"/>
    <mergeCell ref="W5:W6"/>
    <mergeCell ref="AB4:AF4"/>
    <mergeCell ref="AB5:AB6"/>
    <mergeCell ref="AD5:AF5"/>
    <mergeCell ref="A1:AQ1"/>
    <mergeCell ref="A2:AQ2"/>
    <mergeCell ref="A4:A7"/>
    <mergeCell ref="B4:F4"/>
    <mergeCell ref="G4:K4"/>
    <mergeCell ref="L4:P4"/>
    <mergeCell ref="R4:V4"/>
    <mergeCell ref="W4:AA4"/>
    <mergeCell ref="AQ4:AQ7"/>
    <mergeCell ref="Y5:AA5"/>
    <mergeCell ref="AG4:AK4"/>
    <mergeCell ref="AG5:AG6"/>
    <mergeCell ref="AI5:AK5"/>
    <mergeCell ref="AL4:AP4"/>
    <mergeCell ref="AL5:AL6"/>
    <mergeCell ref="AN5:AP5"/>
  </mergeCells>
  <pageMargins left="0.7" right="0.7" top="0.75" bottom="0.75" header="0.3" footer="0.3"/>
  <pageSetup paperSize="9" scale="35" orientation="portrait" horizontalDpi="4294967295" verticalDpi="4294967295" r:id="rId1"/>
  <ignoredErrors>
    <ignoredError sqref="W8 Z8:AA8 R8 T9:T19 T21:T33 Y21:Y33 Y9:Y19 AD9:AD19 AI9:AI19" formulaRange="1"/>
    <ignoredError sqref="T20" formula="1" formulaRange="1"/>
    <ignoredError sqref="U20:Z20 AD20 AI2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8.19</vt:lpstr>
      <vt:lpstr>'8.19'!Print_Area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2023-05-16T12:20:26Z</cp:lastPrinted>
  <dcterms:created xsi:type="dcterms:W3CDTF">2019-06-30T04:22:49Z</dcterms:created>
  <dcterms:modified xsi:type="dcterms:W3CDTF">2023-05-16T12:20:31Z</dcterms:modified>
</cp:coreProperties>
</file>