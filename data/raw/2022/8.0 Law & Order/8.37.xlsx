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2C49B0A3-44AC-4EA2-B8F6-2AB855743126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37" sheetId="74" r:id="rId1"/>
  </sheets>
  <externalReferences>
    <externalReference r:id="rId2"/>
    <externalReference r:id="rId3"/>
    <externalReference r:id="rId4"/>
  </externalReferences>
  <definedNames>
    <definedName name="_xlnm.Print_Area" localSheetId="0">'8.37'!$A$1:$J$34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10" i="74" l="1"/>
  <c r="E6" i="74"/>
  <c r="G6" i="74"/>
  <c r="H6" i="74" l="1"/>
  <c r="BJ15" i="74" l="1"/>
  <c r="BJ14" i="74"/>
  <c r="BJ13" i="74"/>
  <c r="BJ12" i="74"/>
  <c r="BJ11" i="74"/>
  <c r="BJ10" i="74"/>
  <c r="BK15" i="74"/>
  <c r="BK14" i="74"/>
  <c r="BK13" i="74"/>
  <c r="BK12" i="74"/>
  <c r="BK11" i="74"/>
  <c r="F6" i="74" l="1"/>
  <c r="D6" i="74" l="1"/>
  <c r="C6" i="74"/>
  <c r="B6" i="74"/>
</calcChain>
</file>

<file path=xl/sharedStrings.xml><?xml version="1.0" encoding="utf-8"?>
<sst xmlns="http://schemas.openxmlformats.org/spreadsheetml/2006/main" count="54" uniqueCount="27">
  <si>
    <t>-</t>
  </si>
  <si>
    <t>Source: Department of Judicial Administration</t>
  </si>
  <si>
    <t>cnwxErcTcsinimcDea clwxiDuj cfoa cTcnwmcTWpiD : utWmUluAwm</t>
  </si>
  <si>
    <t>Grand Total</t>
  </si>
  <si>
    <t>މުޅި ޖުމުލަ</t>
  </si>
  <si>
    <t>Age Group</t>
  </si>
  <si>
    <t xml:space="preserve"> އުމުރުފުރާ</t>
  </si>
  <si>
    <t>Below 18</t>
  </si>
  <si>
    <r>
      <rPr>
        <sz val="11"/>
        <color theme="1"/>
        <rFont val="Calibri"/>
        <family val="2"/>
        <scheme val="minor"/>
      </rPr>
      <t>18</t>
    </r>
    <r>
      <rPr>
        <sz val="11"/>
        <color theme="1"/>
        <rFont val="Faruma"/>
      </rPr>
      <t xml:space="preserve"> އަހަރުން ދަށް</t>
    </r>
  </si>
  <si>
    <t>18-25</t>
  </si>
  <si>
    <t>26-35</t>
  </si>
  <si>
    <t>26-40</t>
  </si>
  <si>
    <t>36-45</t>
  </si>
  <si>
    <t>41-55</t>
  </si>
  <si>
    <t>46-55</t>
  </si>
  <si>
    <t>56-65</t>
  </si>
  <si>
    <t>Above 55</t>
  </si>
  <si>
    <r>
      <rPr>
        <sz val="11"/>
        <color theme="1"/>
        <rFont val="Calibri"/>
        <family val="2"/>
        <scheme val="minor"/>
      </rPr>
      <t>55</t>
    </r>
    <r>
      <rPr>
        <sz val="11"/>
        <color theme="1"/>
        <rFont val="Faruma"/>
      </rPr>
      <t xml:space="preserve"> އަހަރުން މަތި</t>
    </r>
  </si>
  <si>
    <t>65 އަހަރުން މަތި</t>
  </si>
  <si>
    <t>26 - 40</t>
  </si>
  <si>
    <t>41 - 55</t>
  </si>
  <si>
    <t>56 -65</t>
  </si>
  <si>
    <t>Above 65</t>
  </si>
  <si>
    <t xml:space="preserve">Note: 1_/ : Age group changed </t>
  </si>
  <si>
    <t>ނޯޓް: ޢުމުރުފުރާ ބަދަލުވެފައި</t>
  </si>
  <si>
    <t>Table 8.37: Age distribution of cases filed in the Drug Court  2016-2021</t>
  </si>
  <si>
    <r>
      <t xml:space="preserve">ތާވަލް </t>
    </r>
    <r>
      <rPr>
        <b/>
        <sz val="11"/>
        <color theme="1"/>
        <rFont val="Calibri"/>
        <family val="2"/>
        <scheme val="minor"/>
      </rPr>
      <t>8.37</t>
    </r>
    <r>
      <rPr>
        <b/>
        <sz val="11"/>
        <color theme="1"/>
        <rFont val="Arial"/>
        <family val="2"/>
      </rPr>
      <t xml:space="preserve"> :</t>
    </r>
    <r>
      <rPr>
        <b/>
        <sz val="11"/>
        <color theme="1"/>
        <rFont val="Faruma"/>
      </rPr>
      <t xml:space="preserve"> ޑްރަގް ކޯޓަށް ހުށަހެޅުނު މައްސަލަތަކުގައި ދަޢުވާ ލިބޭ މީހުންގެ އުމުރުފުރާ ތަކާބެހޭ މަޢުލޫމާތު -</t>
    </r>
    <r>
      <rPr>
        <b/>
        <sz val="11"/>
        <color theme="1"/>
        <rFont val="Calibri"/>
        <family val="2"/>
        <scheme val="minor"/>
      </rPr>
      <t xml:space="preserve"> 2016-2021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</si>
</sst>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color theme="1"/>
      <name val="A_Faseyha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7" fillId="0" borderId="2" applyNumberFormat="0" applyFill="0" applyAlignment="0" applyProtection="0"/>
    <xf numFmtId="0" fontId="6" fillId="0" borderId="0"/>
    <xf numFmtId="0" fontId="6" fillId="0" borderId="0"/>
  </cellStyleXfs>
  <cellXfs count="3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3" fillId="2" borderId="0" xfId="0" applyFont="1" applyFill="1" applyAlignment="1">
      <alignment vertical="center"/>
    </xf>
    <xf numFmtId="3" fontId="0" fillId="2" borderId="0" xfId="0" applyNumberFormat="1" applyFill="1" applyAlignment="1">
      <alignment horizontal="righ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/>
    <xf numFmtId="0" fontId="10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right" vertical="center" wrapText="1"/>
    </xf>
    <xf numFmtId="3" fontId="1" fillId="2" borderId="3" xfId="0" applyNumberFormat="1" applyFont="1" applyFill="1" applyBorder="1" applyAlignment="1">
      <alignment horizontal="right" vertical="center"/>
    </xf>
    <xf numFmtId="0" fontId="10" fillId="2" borderId="0" xfId="0" applyFont="1" applyFill="1"/>
    <xf numFmtId="0" fontId="0" fillId="2" borderId="0" xfId="0" applyFill="1" applyAlignment="1">
      <alignment horizontal="left" vertical="center" indent="2"/>
    </xf>
    <xf numFmtId="0" fontId="9" fillId="2" borderId="0" xfId="0" applyFont="1" applyFill="1" applyAlignment="1">
      <alignment horizontal="right" vertical="center" indent="2" readingOrder="2"/>
    </xf>
    <xf numFmtId="0" fontId="0" fillId="2" borderId="1" xfId="0" applyFill="1" applyBorder="1" applyAlignment="1">
      <alignment horizontal="left" vertical="center" indent="2"/>
    </xf>
    <xf numFmtId="0" fontId="6" fillId="2" borderId="0" xfId="0" applyFont="1" applyFill="1"/>
    <xf numFmtId="0" fontId="10" fillId="2" borderId="4" xfId="0" applyFont="1" applyFill="1" applyBorder="1" applyAlignment="1">
      <alignment horizontal="right" vertical="center"/>
    </xf>
    <xf numFmtId="0" fontId="10" fillId="2" borderId="3" xfId="0" applyFont="1" applyFill="1" applyBorder="1"/>
    <xf numFmtId="0" fontId="0" fillId="2" borderId="0" xfId="0" applyFill="1" applyAlignment="1">
      <alignment horizontal="right" vertical="center" indent="2" readingOrder="2"/>
    </xf>
    <xf numFmtId="0" fontId="0" fillId="2" borderId="0" xfId="0" applyFill="1" applyAlignment="1">
      <alignment horizontal="right" vertical="center" indent="2"/>
    </xf>
    <xf numFmtId="0" fontId="9" fillId="2" borderId="0" xfId="0" applyFont="1" applyFill="1" applyAlignment="1">
      <alignment horizontal="right" vertical="center" indent="2"/>
    </xf>
    <xf numFmtId="0" fontId="8" fillId="2" borderId="0" xfId="0" applyFont="1" applyFill="1" applyAlignment="1">
      <alignment horizontal="right" vertical="center" indent="2"/>
    </xf>
    <xf numFmtId="0" fontId="10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 readingOrder="2"/>
    </xf>
    <xf numFmtId="0" fontId="0" fillId="2" borderId="0" xfId="0" applyFill="1" applyAlignment="1">
      <alignment horizontal="right" vertical="center"/>
    </xf>
    <xf numFmtId="0" fontId="9" fillId="2" borderId="1" xfId="0" applyFont="1" applyFill="1" applyBorder="1" applyAlignment="1">
      <alignment horizontal="right" vertical="center" indent="2"/>
    </xf>
    <xf numFmtId="0" fontId="3" fillId="2" borderId="0" xfId="0" applyFont="1" applyFill="1" applyAlignment="1">
      <alignment horizontal="left" vertical="center" indent="2"/>
    </xf>
    <xf numFmtId="0" fontId="11" fillId="2" borderId="0" xfId="0" applyFont="1" applyFill="1"/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8.63: Number of cases filed in the Drug Court, 2021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256691666483385E-2"/>
          <c:y val="0.17171296296296296"/>
          <c:w val="0.91373894802824029"/>
          <c:h val="0.7260954359871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'8.37'!$A$7:$A$14</c15:sqref>
                  </c15:fullRef>
                </c:ext>
              </c:extLst>
              <c:f>('8.37'!$A$7:$A$8,'8.37'!$A$10,'8.37'!$A$12,'8.37'!$A$14)</c:f>
              <c:strCache>
                <c:ptCount val="5"/>
                <c:pt idx="0">
                  <c:v>Below 18</c:v>
                </c:pt>
                <c:pt idx="1">
                  <c:v>18-25</c:v>
                </c:pt>
                <c:pt idx="2">
                  <c:v>26 - 40</c:v>
                </c:pt>
                <c:pt idx="3">
                  <c:v>41 - 55</c:v>
                </c:pt>
                <c:pt idx="4">
                  <c:v>56 -65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'8.37'!$G$7:$G$14</c15:sqref>
                  </c15:fullRef>
                </c:ext>
              </c:extLst>
              <c:f>('8.37'!$G$7:$G$8,'8.37'!$G$10,'8.37'!$G$12,'8.37'!$G$14)</c:f>
              <c:numCache>
                <c:formatCode>#,##0</c:formatCode>
                <c:ptCount val="5"/>
                <c:pt idx="0">
                  <c:v>11</c:v>
                </c:pt>
                <c:pt idx="1">
                  <c:v>236</c:v>
                </c:pt>
                <c:pt idx="2">
                  <c:v>415</c:v>
                </c:pt>
                <c:pt idx="3">
                  <c:v>92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1-4511-A652-B198126B4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axId val="378154616"/>
        <c:axId val="378830112"/>
      </c:barChart>
      <c:catAx>
        <c:axId val="37815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30112"/>
        <c:crosses val="autoZero"/>
        <c:auto val="1"/>
        <c:lblAlgn val="ctr"/>
        <c:lblOffset val="100"/>
        <c:noMultiLvlLbl val="0"/>
      </c:catAx>
      <c:valAx>
        <c:axId val="3788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E5E5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54616"/>
        <c:crosses val="autoZero"/>
        <c:crossBetween val="between"/>
      </c:valAx>
      <c:spPr>
        <a:solidFill>
          <a:srgbClr val="FFEFEF"/>
        </a:solidFill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19</xdr:row>
      <xdr:rowOff>47625</xdr:rowOff>
    </xdr:from>
    <xdr:to>
      <xdr:col>9</xdr:col>
      <xdr:colOff>9525</xdr:colOff>
      <xdr:row>33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A1:BK18"/>
  <sheetViews>
    <sheetView tabSelected="1" zoomScaleNormal="100" zoomScaleSheetLayoutView="100" workbookViewId="0">
      <selection activeCell="T7" sqref="T7"/>
    </sheetView>
  </sheetViews>
  <sheetFormatPr defaultRowHeight="15"/>
  <cols>
    <col min="1" max="1" width="21.5703125" style="1" customWidth="1"/>
    <col min="2" max="2" width="10.5703125" style="1" customWidth="1"/>
    <col min="3" max="5" width="12.85546875" style="1" customWidth="1"/>
    <col min="6" max="7" width="12.42578125" style="1" customWidth="1"/>
    <col min="8" max="8" width="12.42578125" style="1" hidden="1" customWidth="1"/>
    <col min="9" max="9" width="20.42578125" style="1" customWidth="1"/>
    <col min="10" max="10" width="4.28515625" style="1" customWidth="1"/>
    <col min="11" max="16384" width="9.140625" style="1"/>
  </cols>
  <sheetData>
    <row r="1" spans="1:63">
      <c r="A1" s="17"/>
      <c r="B1" s="17"/>
      <c r="C1" s="17"/>
      <c r="D1" s="17"/>
      <c r="E1" s="17"/>
      <c r="F1" s="17"/>
      <c r="G1" s="17"/>
      <c r="H1" s="17"/>
    </row>
    <row r="3" spans="1:63" ht="21">
      <c r="A3" s="30" t="s">
        <v>26</v>
      </c>
      <c r="B3" s="30"/>
      <c r="C3" s="30"/>
      <c r="D3" s="30"/>
      <c r="E3" s="30"/>
      <c r="F3" s="30"/>
      <c r="G3" s="30"/>
      <c r="H3" s="30"/>
      <c r="I3" s="30"/>
      <c r="J3" s="10"/>
    </row>
    <row r="4" spans="1:63">
      <c r="A4" s="31" t="s">
        <v>25</v>
      </c>
      <c r="B4" s="31"/>
      <c r="C4" s="31"/>
      <c r="D4" s="31"/>
      <c r="E4" s="31"/>
      <c r="F4" s="31"/>
      <c r="G4" s="31"/>
      <c r="H4" s="31"/>
      <c r="I4" s="31"/>
      <c r="J4" s="2"/>
    </row>
    <row r="5" spans="1:63" ht="21">
      <c r="A5" s="8" t="s">
        <v>5</v>
      </c>
      <c r="B5" s="11">
        <v>2016</v>
      </c>
      <c r="C5" s="11">
        <v>2017</v>
      </c>
      <c r="D5" s="11">
        <v>2018</v>
      </c>
      <c r="E5" s="11">
        <v>2019</v>
      </c>
      <c r="F5" s="11">
        <v>2020</v>
      </c>
      <c r="G5" s="11">
        <v>2021</v>
      </c>
      <c r="H5" s="11">
        <v>2022</v>
      </c>
      <c r="I5" s="18" t="s">
        <v>6</v>
      </c>
      <c r="J5" s="24"/>
    </row>
    <row r="6" spans="1:63" ht="21">
      <c r="A6" s="9" t="s">
        <v>3</v>
      </c>
      <c r="B6" s="12">
        <f>SUM(B7:B15)</f>
        <v>1523</v>
      </c>
      <c r="C6" s="12">
        <f>SUM(C7:C15)</f>
        <v>1562</v>
      </c>
      <c r="D6" s="12">
        <f>SUM(D7:D15)</f>
        <v>1051</v>
      </c>
      <c r="E6" s="12">
        <f>SUM(E7:E15)</f>
        <v>760</v>
      </c>
      <c r="F6" s="12">
        <f>SUM(F7:F16)</f>
        <v>402</v>
      </c>
      <c r="G6" s="12">
        <f>SUM(G7:G16)</f>
        <v>759</v>
      </c>
      <c r="H6" s="12">
        <f>SUM(H7:H16)</f>
        <v>0</v>
      </c>
      <c r="I6" s="19" t="s">
        <v>4</v>
      </c>
      <c r="J6" s="13"/>
    </row>
    <row r="7" spans="1:63" ht="21">
      <c r="A7" s="14" t="s">
        <v>7</v>
      </c>
      <c r="B7" s="7">
        <v>51</v>
      </c>
      <c r="C7" s="7">
        <v>34</v>
      </c>
      <c r="D7" s="7">
        <v>14</v>
      </c>
      <c r="E7" s="7">
        <v>29</v>
      </c>
      <c r="F7" s="7">
        <v>11</v>
      </c>
      <c r="G7" s="7">
        <v>11</v>
      </c>
      <c r="H7" s="7"/>
      <c r="I7" s="15" t="s">
        <v>8</v>
      </c>
      <c r="J7" s="15"/>
    </row>
    <row r="8" spans="1:63" ht="23.25" customHeight="1">
      <c r="A8" s="14" t="s">
        <v>9</v>
      </c>
      <c r="B8" s="7">
        <v>682</v>
      </c>
      <c r="C8" s="7">
        <v>708</v>
      </c>
      <c r="D8" s="7">
        <v>441</v>
      </c>
      <c r="E8" s="7">
        <v>256</v>
      </c>
      <c r="F8" s="7">
        <v>120</v>
      </c>
      <c r="G8" s="7">
        <v>236</v>
      </c>
      <c r="H8" s="7"/>
      <c r="I8" s="20" t="s">
        <v>9</v>
      </c>
      <c r="J8" s="20"/>
    </row>
    <row r="9" spans="1:63" ht="23.25" customHeight="1">
      <c r="A9" s="14" t="s">
        <v>10</v>
      </c>
      <c r="B9" s="7">
        <v>550</v>
      </c>
      <c r="C9" s="7">
        <v>554</v>
      </c>
      <c r="D9" s="7">
        <v>373</v>
      </c>
      <c r="E9" s="7">
        <v>294</v>
      </c>
      <c r="F9" s="7" t="s">
        <v>0</v>
      </c>
      <c r="G9" s="7" t="s">
        <v>0</v>
      </c>
      <c r="H9" s="7"/>
      <c r="I9" s="20" t="s">
        <v>10</v>
      </c>
      <c r="J9" s="20"/>
    </row>
    <row r="10" spans="1:63" ht="23.25" customHeight="1">
      <c r="A10" s="14" t="s">
        <v>19</v>
      </c>
      <c r="B10" s="3" t="s">
        <v>0</v>
      </c>
      <c r="C10" s="3" t="s">
        <v>0</v>
      </c>
      <c r="D10" s="3" t="s">
        <v>0</v>
      </c>
      <c r="E10" s="3" t="s">
        <v>0</v>
      </c>
      <c r="F10" s="3">
        <v>224</v>
      </c>
      <c r="G10" s="3">
        <v>415</v>
      </c>
      <c r="H10" s="3"/>
      <c r="I10" s="20" t="s">
        <v>11</v>
      </c>
      <c r="J10" s="25"/>
      <c r="BJ10" s="1" t="str">
        <f>A7</f>
        <v>Below 18</v>
      </c>
      <c r="BK10" s="5">
        <f>G7</f>
        <v>11</v>
      </c>
    </row>
    <row r="11" spans="1:63" ht="23.25" customHeight="1">
      <c r="A11" s="14" t="s">
        <v>12</v>
      </c>
      <c r="B11" s="7">
        <v>193</v>
      </c>
      <c r="C11" s="7">
        <v>204</v>
      </c>
      <c r="D11" s="7">
        <v>175</v>
      </c>
      <c r="E11" s="7">
        <v>151</v>
      </c>
      <c r="F11" s="7" t="s">
        <v>0</v>
      </c>
      <c r="G11" s="7" t="s">
        <v>0</v>
      </c>
      <c r="H11" s="7"/>
      <c r="I11" s="20" t="s">
        <v>12</v>
      </c>
      <c r="J11" s="21"/>
      <c r="BJ11" s="1" t="str">
        <f>A8</f>
        <v>18-25</v>
      </c>
      <c r="BK11" s="5">
        <f>F8</f>
        <v>120</v>
      </c>
    </row>
    <row r="12" spans="1:63" ht="23.25" customHeight="1">
      <c r="A12" s="14" t="s">
        <v>20</v>
      </c>
      <c r="B12" s="3" t="s">
        <v>0</v>
      </c>
      <c r="C12" s="3" t="s">
        <v>0</v>
      </c>
      <c r="D12" s="3" t="s">
        <v>0</v>
      </c>
      <c r="E12" s="3" t="s">
        <v>0</v>
      </c>
      <c r="F12" s="3">
        <v>45</v>
      </c>
      <c r="G12" s="3">
        <v>92</v>
      </c>
      <c r="H12" s="3"/>
      <c r="I12" s="20" t="s">
        <v>13</v>
      </c>
      <c r="J12" s="26"/>
      <c r="BJ12" s="1" t="str">
        <f>A10</f>
        <v>26 - 40</v>
      </c>
      <c r="BK12" s="5">
        <f>F10</f>
        <v>224</v>
      </c>
    </row>
    <row r="13" spans="1:63" ht="23.25" customHeight="1">
      <c r="A13" s="14" t="s">
        <v>14</v>
      </c>
      <c r="B13" s="7">
        <v>42</v>
      </c>
      <c r="C13" s="7">
        <v>58</v>
      </c>
      <c r="D13" s="7">
        <v>43</v>
      </c>
      <c r="E13" s="7">
        <v>26</v>
      </c>
      <c r="F13" s="7" t="s">
        <v>0</v>
      </c>
      <c r="G13" s="7" t="s">
        <v>0</v>
      </c>
      <c r="H13" s="7"/>
      <c r="I13" s="20" t="s">
        <v>14</v>
      </c>
      <c r="J13" s="21"/>
      <c r="BJ13" s="1" t="str">
        <f>A12</f>
        <v>41 - 55</v>
      </c>
      <c r="BK13" s="5">
        <f>F12</f>
        <v>45</v>
      </c>
    </row>
    <row r="14" spans="1:63" ht="23.25" customHeight="1">
      <c r="A14" s="14" t="s">
        <v>21</v>
      </c>
      <c r="B14" s="3" t="s">
        <v>0</v>
      </c>
      <c r="C14" s="3" t="s">
        <v>0</v>
      </c>
      <c r="D14" s="3" t="s">
        <v>0</v>
      </c>
      <c r="E14" s="3" t="s">
        <v>0</v>
      </c>
      <c r="F14" s="3">
        <v>2</v>
      </c>
      <c r="G14" s="3">
        <v>5</v>
      </c>
      <c r="H14" s="3"/>
      <c r="I14" s="20" t="s">
        <v>15</v>
      </c>
      <c r="J14" s="26"/>
      <c r="BJ14" s="1" t="str">
        <f>A14</f>
        <v>56 -65</v>
      </c>
      <c r="BK14" s="5">
        <f>F14</f>
        <v>2</v>
      </c>
    </row>
    <row r="15" spans="1:63" ht="23.25" customHeight="1">
      <c r="A15" s="14" t="s">
        <v>16</v>
      </c>
      <c r="B15" s="7">
        <v>5</v>
      </c>
      <c r="C15" s="7">
        <v>4</v>
      </c>
      <c r="D15" s="7">
        <v>5</v>
      </c>
      <c r="E15" s="7">
        <v>4</v>
      </c>
      <c r="F15" s="7" t="s">
        <v>0</v>
      </c>
      <c r="G15" s="7" t="s">
        <v>0</v>
      </c>
      <c r="H15" s="7"/>
      <c r="I15" s="21" t="s">
        <v>17</v>
      </c>
      <c r="J15" s="21"/>
      <c r="BJ15" s="1" t="str">
        <f>A16</f>
        <v>Above 65</v>
      </c>
      <c r="BK15" s="5">
        <f>F16</f>
        <v>0</v>
      </c>
    </row>
    <row r="16" spans="1:63" ht="23.25" customHeight="1">
      <c r="A16" s="16" t="s">
        <v>22</v>
      </c>
      <c r="B16" s="4" t="s">
        <v>0</v>
      </c>
      <c r="C16" s="4" t="s">
        <v>0</v>
      </c>
      <c r="D16" s="4" t="s">
        <v>0</v>
      </c>
      <c r="E16" s="4" t="s">
        <v>0</v>
      </c>
      <c r="F16" s="4">
        <v>0</v>
      </c>
      <c r="G16" s="4">
        <v>0</v>
      </c>
      <c r="H16" s="4"/>
      <c r="I16" s="27" t="s">
        <v>18</v>
      </c>
      <c r="J16" s="22"/>
    </row>
    <row r="17" spans="1:10" ht="23.25" customHeight="1">
      <c r="A17" s="6" t="s">
        <v>23</v>
      </c>
      <c r="I17" s="29" t="s">
        <v>24</v>
      </c>
      <c r="J17" s="23"/>
    </row>
    <row r="18" spans="1:10" ht="18.75" customHeight="1">
      <c r="A18" s="28" t="s">
        <v>1</v>
      </c>
      <c r="B18" s="7"/>
      <c r="C18" s="7"/>
      <c r="D18" s="7"/>
      <c r="E18" s="7"/>
      <c r="F18" s="7"/>
      <c r="G18" s="7"/>
      <c r="H18" s="7"/>
      <c r="I18" s="23" t="s">
        <v>2</v>
      </c>
      <c r="J18" s="23"/>
    </row>
  </sheetData>
  <mergeCells count="2">
    <mergeCell ref="A3:I3"/>
    <mergeCell ref="A4:I4"/>
  </mergeCells>
  <pageMargins left="0.7" right="0.7" top="0.75" bottom="0.75" header="0.3" footer="0.3"/>
  <pageSetup scale="75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8.37</vt:lpstr>
      <vt:lpstr>'8.37'!Print_Area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2023-05-16T13:50:16Z</cp:lastPrinted>
  <dcterms:created xsi:type="dcterms:W3CDTF">2019-06-30T04:22:49Z</dcterms:created>
  <dcterms:modified xsi:type="dcterms:W3CDTF">2023-05-16T13:50:29Z</dcterms:modified>
</cp:coreProperties>
</file>