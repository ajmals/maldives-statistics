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95C75DCB-DB20-44B0-8D24-608282166AEF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15" sheetId="14" r:id="rId1"/>
  </sheets>
  <definedNames>
    <definedName name="_xlnm.Print_Area" localSheetId="0">'8.15'!$A$1:$P$35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35" i="14" l="1"/>
  <c r="AO31" i="14"/>
  <c r="AO32" i="14"/>
  <c r="AO33" i="14"/>
  <c r="AO34" i="14"/>
  <c r="AO30" i="14"/>
  <c r="N5" i="14" l="1"/>
  <c r="M5" i="14" l="1"/>
  <c r="L5" i="14" l="1"/>
  <c r="K5" i="14" l="1"/>
  <c r="J5" i="14"/>
  <c r="I5" i="14"/>
  <c r="H5" i="14"/>
  <c r="G5" i="14"/>
  <c r="F5" i="14"/>
  <c r="E5" i="14"/>
  <c r="D5" i="14"/>
  <c r="C5" i="14"/>
  <c r="B5" i="14"/>
</calcChain>
</file>

<file path=xl/sharedStrings.xml><?xml version="1.0" encoding="utf-8"?>
<sst xmlns="http://schemas.openxmlformats.org/spreadsheetml/2006/main" count="9" uniqueCount="9">
  <si>
    <t>Total</t>
  </si>
  <si>
    <t>Source: Maldives Police Service</t>
  </si>
  <si>
    <t>ޖުމްލަ</t>
  </si>
  <si>
    <t>މަޢުލޫމާތު ދެއްވީ: މޯލްޑިވްސް ޕޮލިސް ސަރވިސް</t>
  </si>
  <si>
    <t>No. of times arrested</t>
  </si>
  <si>
    <t>ހައްޔަރު ކުރެވުނު އަދަދު</t>
  </si>
  <si>
    <t>more than 6</t>
  </si>
  <si>
    <t xml:space="preserve"> Table 8.15: NUMBER OF  DETAINEES BY NUMBER OF TIMES ARRESTED, 2016 - 2021</t>
  </si>
  <si>
    <t xml:space="preserve">2021 - 2016 ތާވަލު 8.15:  އެކިއެކި މައްސަލަތަކުގައި ހައްޔަރުކުރެވުނު މީހުންގެ ތެރޭން ތަކުރާރުކޮށް ހައްޔަރުކުރެވުނު މީހުންގެ އަދަދު،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</si>
</sst>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6" formatCode="_-* #,##0_-;\-* #,##0_-;_-* &quot;-&quot;??_-;_-@_-"/>
    <numFmt numFmtId="167" formatCode="#,##0.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color theme="1"/>
      <name val="Faruma"/>
      <family val="3"/>
    </font>
    <font>
      <sz val="11"/>
      <color rgb="FFFF0000"/>
      <name val="Faruma"/>
      <family val="3"/>
    </font>
    <font>
      <sz val="10"/>
      <color rgb="FF000000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166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1" fillId="0" borderId="0"/>
    <xf numFmtId="0" fontId="18" fillId="0" borderId="7" applyNumberFormat="0" applyFill="0" applyAlignment="0" applyProtection="0"/>
    <xf numFmtId="0" fontId="17" fillId="0" borderId="0"/>
    <xf numFmtId="0" fontId="17" fillId="0" borderId="0"/>
  </cellStyleXfs>
  <cellXfs count="37">
    <xf numFmtId="0" fontId="0" fillId="0" borderId="0" xfId="0"/>
    <xf numFmtId="0" fontId="0" fillId="2" borderId="0" xfId="0" applyFill="1"/>
    <xf numFmtId="164" fontId="3" fillId="2" borderId="0" xfId="0" applyNumberFormat="1" applyFont="1" applyFill="1"/>
    <xf numFmtId="1" fontId="0" fillId="2" borderId="0" xfId="0" applyNumberFormat="1" applyFill="1"/>
    <xf numFmtId="3" fontId="9" fillId="2" borderId="0" xfId="0" applyNumberFormat="1" applyFont="1" applyFill="1" applyAlignment="1">
      <alignment horizontal="right" vertical="center"/>
    </xf>
    <xf numFmtId="3" fontId="6" fillId="2" borderId="0" xfId="0" applyNumberFormat="1" applyFont="1" applyFill="1" applyAlignment="1">
      <alignment horizontal="center" vertical="center"/>
    </xf>
    <xf numFmtId="0" fontId="14" fillId="2" borderId="0" xfId="0" applyFont="1" applyFill="1"/>
    <xf numFmtId="0" fontId="7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3" fontId="14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3" fontId="7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/>
    </xf>
    <xf numFmtId="3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16" fillId="2" borderId="0" xfId="0" applyFont="1" applyFill="1" applyAlignment="1">
      <alignment vertical="center" wrapText="1"/>
    </xf>
    <xf numFmtId="0" fontId="7" fillId="2" borderId="1" xfId="0" applyFont="1" applyFill="1" applyBorder="1" applyAlignment="1">
      <alignment horizontal="center"/>
    </xf>
    <xf numFmtId="0" fontId="0" fillId="2" borderId="1" xfId="0" applyFill="1" applyBorder="1"/>
    <xf numFmtId="0" fontId="7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top"/>
    </xf>
    <xf numFmtId="0" fontId="16" fillId="2" borderId="2" xfId="0" applyFont="1" applyFill="1" applyBorder="1" applyAlignment="1">
      <alignment vertical="center"/>
    </xf>
    <xf numFmtId="1" fontId="0" fillId="2" borderId="0" xfId="0" applyNumberFormat="1" applyFill="1" applyAlignment="1">
      <alignment horizontal="center" vertical="center"/>
    </xf>
    <xf numFmtId="3" fontId="7" fillId="2" borderId="1" xfId="0" applyNumberFormat="1" applyFont="1" applyFill="1" applyBorder="1" applyAlignment="1">
      <alignment horizontal="right"/>
    </xf>
    <xf numFmtId="3" fontId="0" fillId="2" borderId="0" xfId="0" applyNumberFormat="1" applyFill="1"/>
    <xf numFmtId="0" fontId="6" fillId="2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top"/>
    </xf>
    <xf numFmtId="164" fontId="2" fillId="2" borderId="5" xfId="0" applyNumberFormat="1" applyFont="1" applyFill="1" applyBorder="1" applyAlignment="1">
      <alignment horizontal="center" vertical="top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20184373339686"/>
          <c:y val="0.1864313720400709"/>
          <c:w val="0.84837646618073692"/>
          <c:h val="0.633872849227180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1.83136713719823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630851648985327E-2"/>
                      <c:h val="8.2343025158946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9D29-43F9-9602-1C5DB511D2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'8.15'!$AN$30:$AN$35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more than 6</c:v>
                </c:pt>
              </c:strCache>
            </c:strRef>
          </c:cat>
          <c:val>
            <c:numRef>
              <c:f>'8.15'!$AO$30:$AO$35</c:f>
              <c:numCache>
                <c:formatCode>#,##0</c:formatCode>
                <c:ptCount val="6"/>
                <c:pt idx="0">
                  <c:v>2036</c:v>
                </c:pt>
                <c:pt idx="1">
                  <c:v>468</c:v>
                </c:pt>
                <c:pt idx="2">
                  <c:v>189</c:v>
                </c:pt>
                <c:pt idx="3">
                  <c:v>96</c:v>
                </c:pt>
                <c:pt idx="4">
                  <c:v>61</c:v>
                </c:pt>
                <c:pt idx="5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7-4F05-9E72-8D4A019D7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33948544"/>
        <c:axId val="133950464"/>
      </c:barChart>
      <c:catAx>
        <c:axId val="13394854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times arrested</a:t>
                </a:r>
              </a:p>
            </c:rich>
          </c:tx>
          <c:layout>
            <c:manualLayout>
              <c:xMode val="edge"/>
              <c:yMode val="edge"/>
              <c:x val="0.41901525978925691"/>
              <c:y val="0.902656268513631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50464"/>
        <c:crosses val="autoZero"/>
        <c:auto val="1"/>
        <c:lblAlgn val="ctr"/>
        <c:lblOffset val="100"/>
        <c:noMultiLvlLbl val="0"/>
      </c:catAx>
      <c:valAx>
        <c:axId val="133950464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FFC5C5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detainees</a:t>
                </a:r>
              </a:p>
            </c:rich>
          </c:tx>
          <c:layout>
            <c:manualLayout>
              <c:xMode val="edge"/>
              <c:yMode val="edge"/>
              <c:x val="2.0294994682925529E-2"/>
              <c:y val="0.294515254544630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8544"/>
        <c:crosses val="autoZero"/>
        <c:crossBetween val="between"/>
      </c:valAx>
      <c:spPr>
        <a:solidFill>
          <a:srgbClr val="FFE5E5"/>
        </a:solidFill>
        <a:ln w="0">
          <a:solidFill>
            <a:srgbClr val="FFE5E5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14985</xdr:colOff>
      <xdr:row>22</xdr:row>
      <xdr:rowOff>226975</xdr:rowOff>
    </xdr:from>
    <xdr:to>
      <xdr:col>14</xdr:col>
      <xdr:colOff>762000</xdr:colOff>
      <xdr:row>34</xdr:row>
      <xdr:rowOff>41306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898411</xdr:colOff>
      <xdr:row>23</xdr:row>
      <xdr:rowOff>131367</xdr:rowOff>
    </xdr:from>
    <xdr:to>
      <xdr:col>13</xdr:col>
      <xdr:colOff>228600</xdr:colOff>
      <xdr:row>24</xdr:row>
      <xdr:rowOff>150419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2974861" y="5703492"/>
          <a:ext cx="3559289" cy="266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j-lt"/>
              <a:ea typeface="+mn-ea"/>
              <a:cs typeface="Consolas" pitchFamily="49" charset="0"/>
            </a:rPr>
            <a:t>Figure 8.20: Detainees arrested by number of times, 2021</a:t>
          </a:r>
          <a:endParaRPr lang="en-US">
            <a:solidFill>
              <a:schemeClr val="tx1">
                <a:lumMod val="75000"/>
                <a:lumOff val="25000"/>
              </a:schemeClr>
            </a:solidFill>
            <a:effectLst/>
            <a:latin typeface="+mj-lt"/>
            <a:cs typeface="Consolas" pitchFamily="49" charset="0"/>
          </a:endParaRPr>
        </a:p>
        <a:p>
          <a:endParaRPr lang="en-US" sz="1100">
            <a:solidFill>
              <a:schemeClr val="tx1">
                <a:lumMod val="75000"/>
                <a:lumOff val="25000"/>
              </a:schemeClr>
            </a:solidFill>
            <a:latin typeface="+mj-lt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92D050"/>
  </sheetPr>
  <dimension ref="A1:AO35"/>
  <sheetViews>
    <sheetView tabSelected="1" zoomScaleNormal="100" workbookViewId="0">
      <selection activeCell="AT24" sqref="AT24"/>
    </sheetView>
  </sheetViews>
  <sheetFormatPr defaultColWidth="9.140625" defaultRowHeight="19.5" customHeight="1"/>
  <cols>
    <col min="1" max="1" width="15.28515625" style="1" customWidth="1"/>
    <col min="2" max="8" width="11.28515625" style="1" hidden="1" customWidth="1"/>
    <col min="9" max="14" width="15.85546875" style="1" customWidth="1"/>
    <col min="15" max="15" width="31.42578125" style="1" customWidth="1"/>
    <col min="16" max="16" width="2.42578125" style="1" customWidth="1"/>
    <col min="17" max="16384" width="9.140625" style="1"/>
  </cols>
  <sheetData>
    <row r="1" spans="1:34" ht="2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34" ht="21">
      <c r="A2" s="34" t="s">
        <v>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6"/>
      <c r="Q2" s="6"/>
    </row>
    <row r="3" spans="1:34" s="7" customFormat="1" ht="23.25" customHeight="1">
      <c r="A3" s="35" t="s">
        <v>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2"/>
      <c r="Q3" s="2"/>
    </row>
    <row r="4" spans="1:34" ht="25.5">
      <c r="A4" s="10" t="s">
        <v>4</v>
      </c>
      <c r="B4" s="11">
        <v>2009</v>
      </c>
      <c r="C4" s="11">
        <v>2010</v>
      </c>
      <c r="D4" s="11">
        <v>2011</v>
      </c>
      <c r="E4" s="11">
        <v>2012</v>
      </c>
      <c r="F4" s="11">
        <v>2013</v>
      </c>
      <c r="G4" s="11">
        <v>2014</v>
      </c>
      <c r="H4" s="11">
        <v>2015</v>
      </c>
      <c r="I4" s="11">
        <v>2016</v>
      </c>
      <c r="J4" s="11">
        <v>2017</v>
      </c>
      <c r="K4" s="11">
        <v>2018</v>
      </c>
      <c r="L4" s="11">
        <v>2019</v>
      </c>
      <c r="M4" s="11">
        <v>2020</v>
      </c>
      <c r="N4" s="11">
        <v>2021</v>
      </c>
      <c r="O4" s="12" t="s">
        <v>5</v>
      </c>
      <c r="P4" s="13"/>
      <c r="Q4" s="13"/>
    </row>
    <row r="5" spans="1:34" ht="21">
      <c r="A5" s="32" t="s">
        <v>0</v>
      </c>
      <c r="B5" s="4">
        <f>SUM(B6:B15)</f>
        <v>5081</v>
      </c>
      <c r="C5" s="4">
        <f>SUM(C6:C15)</f>
        <v>4140</v>
      </c>
      <c r="D5" s="4">
        <f>SUM(D6:D15)</f>
        <v>5279</v>
      </c>
      <c r="E5" s="4">
        <f>SUM(E6:E15)</f>
        <v>6339</v>
      </c>
      <c r="F5" s="4">
        <f>SUM(F6:F18)</f>
        <v>6981</v>
      </c>
      <c r="G5" s="4">
        <f>SUM(G6:G18)</f>
        <v>6983</v>
      </c>
      <c r="H5" s="4">
        <f>SUM(H6:H18)</f>
        <v>5831</v>
      </c>
      <c r="I5" s="4">
        <f>SUM(I6:I18)</f>
        <v>5511</v>
      </c>
      <c r="J5" s="4">
        <f>SUM(J6:J18)</f>
        <v>3961</v>
      </c>
      <c r="K5" s="4">
        <f>SUM(K6:K20)</f>
        <v>2878</v>
      </c>
      <c r="L5" s="4">
        <f>SUM(L6:L20)</f>
        <v>3316</v>
      </c>
      <c r="M5" s="4">
        <f>SUM(M6:M20)</f>
        <v>3819</v>
      </c>
      <c r="N5" s="4">
        <f>SUM(N6:N20)</f>
        <v>2941</v>
      </c>
      <c r="O5" s="14" t="s">
        <v>2</v>
      </c>
      <c r="P5" s="15"/>
    </row>
    <row r="6" spans="1:34" ht="19.5" customHeight="1">
      <c r="A6" s="16">
        <v>1</v>
      </c>
      <c r="B6" s="17">
        <v>3700</v>
      </c>
      <c r="C6" s="17">
        <v>3347</v>
      </c>
      <c r="D6" s="17">
        <v>4086</v>
      </c>
      <c r="E6" s="8">
        <v>4710</v>
      </c>
      <c r="F6" s="17">
        <v>4666</v>
      </c>
      <c r="G6" s="17">
        <v>4443</v>
      </c>
      <c r="H6" s="17">
        <v>4122</v>
      </c>
      <c r="I6" s="17">
        <v>4018</v>
      </c>
      <c r="J6" s="17">
        <v>3064</v>
      </c>
      <c r="K6" s="17">
        <v>2285</v>
      </c>
      <c r="L6" s="17">
        <v>2579</v>
      </c>
      <c r="M6" s="17">
        <v>2907</v>
      </c>
      <c r="N6" s="17">
        <v>2036</v>
      </c>
      <c r="O6" s="18">
        <v>1</v>
      </c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19.5" customHeight="1">
      <c r="A7" s="16">
        <v>2</v>
      </c>
      <c r="B7" s="19">
        <v>840</v>
      </c>
      <c r="C7" s="19">
        <v>569</v>
      </c>
      <c r="D7" s="19">
        <v>810</v>
      </c>
      <c r="E7" s="8">
        <v>1031</v>
      </c>
      <c r="F7" s="19">
        <v>1255</v>
      </c>
      <c r="G7" s="19">
        <v>1274</v>
      </c>
      <c r="H7" s="19">
        <v>1002</v>
      </c>
      <c r="I7" s="19">
        <v>870</v>
      </c>
      <c r="J7" s="19">
        <v>572</v>
      </c>
      <c r="K7" s="17">
        <v>392</v>
      </c>
      <c r="L7" s="17">
        <v>460</v>
      </c>
      <c r="M7" s="17">
        <v>541</v>
      </c>
      <c r="N7" s="17">
        <v>468</v>
      </c>
      <c r="O7" s="18">
        <v>2</v>
      </c>
      <c r="P7" s="15"/>
      <c r="Q7" s="20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1:34" ht="19.5" customHeight="1">
      <c r="A8" s="16">
        <v>3</v>
      </c>
      <c r="B8" s="19">
        <v>326</v>
      </c>
      <c r="C8" s="19">
        <v>158</v>
      </c>
      <c r="D8" s="19">
        <v>263</v>
      </c>
      <c r="E8" s="8">
        <v>367</v>
      </c>
      <c r="F8" s="19">
        <v>543</v>
      </c>
      <c r="G8" s="19">
        <v>594</v>
      </c>
      <c r="H8" s="19">
        <v>362</v>
      </c>
      <c r="I8" s="19">
        <v>322</v>
      </c>
      <c r="J8" s="19">
        <v>189</v>
      </c>
      <c r="K8" s="17">
        <v>130</v>
      </c>
      <c r="L8" s="17">
        <v>162</v>
      </c>
      <c r="M8" s="17">
        <v>212</v>
      </c>
      <c r="N8" s="17">
        <v>189</v>
      </c>
      <c r="O8" s="18">
        <v>3</v>
      </c>
      <c r="P8" s="15"/>
      <c r="Q8" s="20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9.5" customHeight="1">
      <c r="A9" s="16">
        <v>4</v>
      </c>
      <c r="B9" s="19">
        <v>141</v>
      </c>
      <c r="C9" s="19">
        <v>47</v>
      </c>
      <c r="D9" s="19">
        <v>84</v>
      </c>
      <c r="E9" s="8">
        <v>148</v>
      </c>
      <c r="F9" s="19">
        <v>258</v>
      </c>
      <c r="G9" s="19">
        <v>308</v>
      </c>
      <c r="H9" s="19">
        <v>157</v>
      </c>
      <c r="I9" s="19">
        <v>146</v>
      </c>
      <c r="J9" s="19">
        <v>77</v>
      </c>
      <c r="K9" s="17">
        <v>39</v>
      </c>
      <c r="L9" s="17">
        <v>68</v>
      </c>
      <c r="M9" s="17">
        <v>91</v>
      </c>
      <c r="N9" s="17">
        <v>96</v>
      </c>
      <c r="O9" s="18">
        <v>4</v>
      </c>
      <c r="P9" s="15"/>
      <c r="Q9" s="20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ht="19.5" customHeight="1">
      <c r="A10" s="16">
        <v>5</v>
      </c>
      <c r="B10" s="19">
        <v>51</v>
      </c>
      <c r="C10" s="19">
        <v>13</v>
      </c>
      <c r="D10" s="19">
        <v>26</v>
      </c>
      <c r="E10" s="8">
        <v>59</v>
      </c>
      <c r="F10" s="19">
        <v>124</v>
      </c>
      <c r="G10" s="19">
        <v>168</v>
      </c>
      <c r="H10" s="19">
        <v>81</v>
      </c>
      <c r="I10" s="19">
        <v>76</v>
      </c>
      <c r="J10" s="19">
        <v>30</v>
      </c>
      <c r="K10" s="17">
        <v>13</v>
      </c>
      <c r="L10" s="17">
        <v>26</v>
      </c>
      <c r="M10" s="17">
        <v>37</v>
      </c>
      <c r="N10" s="17">
        <v>61</v>
      </c>
      <c r="O10" s="18">
        <v>5</v>
      </c>
      <c r="P10" s="15"/>
      <c r="Q10" s="20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19.5" customHeight="1">
      <c r="A11" s="16">
        <v>6</v>
      </c>
      <c r="B11" s="19">
        <v>14</v>
      </c>
      <c r="C11" s="19">
        <v>5</v>
      </c>
      <c r="D11" s="19">
        <v>7</v>
      </c>
      <c r="E11" s="8">
        <v>17</v>
      </c>
      <c r="F11" s="19">
        <v>68</v>
      </c>
      <c r="G11" s="19">
        <v>85</v>
      </c>
      <c r="H11" s="19">
        <v>47</v>
      </c>
      <c r="I11" s="19">
        <v>39</v>
      </c>
      <c r="J11" s="19">
        <v>14</v>
      </c>
      <c r="K11" s="17">
        <v>6</v>
      </c>
      <c r="L11" s="17">
        <v>10</v>
      </c>
      <c r="M11" s="17">
        <v>16</v>
      </c>
      <c r="N11" s="17">
        <v>36</v>
      </c>
      <c r="O11" s="18">
        <v>6</v>
      </c>
      <c r="P11" s="15"/>
      <c r="Q11" s="20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1:34" ht="19.5" customHeight="1">
      <c r="A12" s="16">
        <v>7</v>
      </c>
      <c r="B12" s="19">
        <v>6</v>
      </c>
      <c r="C12" s="19">
        <v>1</v>
      </c>
      <c r="D12" s="19">
        <v>2</v>
      </c>
      <c r="E12" s="8">
        <v>4</v>
      </c>
      <c r="F12" s="19">
        <v>33</v>
      </c>
      <c r="G12" s="19">
        <v>52</v>
      </c>
      <c r="H12" s="19">
        <v>26</v>
      </c>
      <c r="I12" s="19">
        <v>17</v>
      </c>
      <c r="J12" s="19">
        <v>8</v>
      </c>
      <c r="K12" s="17">
        <v>4</v>
      </c>
      <c r="L12" s="17">
        <v>5</v>
      </c>
      <c r="M12" s="17">
        <v>10</v>
      </c>
      <c r="N12" s="17">
        <v>22</v>
      </c>
      <c r="O12" s="18">
        <v>7</v>
      </c>
      <c r="P12" s="15"/>
      <c r="Q12" s="20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19.5" customHeight="1">
      <c r="A13" s="16">
        <v>8</v>
      </c>
      <c r="B13" s="19">
        <v>2</v>
      </c>
      <c r="C13" s="19">
        <v>0</v>
      </c>
      <c r="D13" s="19">
        <v>1</v>
      </c>
      <c r="E13" s="8">
        <v>1</v>
      </c>
      <c r="F13" s="19">
        <v>15</v>
      </c>
      <c r="G13" s="19">
        <v>27</v>
      </c>
      <c r="H13" s="19">
        <v>13</v>
      </c>
      <c r="I13" s="19">
        <v>13</v>
      </c>
      <c r="J13" s="19">
        <v>3</v>
      </c>
      <c r="K13" s="17">
        <v>2</v>
      </c>
      <c r="L13" s="17">
        <v>3</v>
      </c>
      <c r="M13" s="17">
        <v>4</v>
      </c>
      <c r="N13" s="17">
        <v>16</v>
      </c>
      <c r="O13" s="18">
        <v>8</v>
      </c>
      <c r="P13" s="15"/>
      <c r="Q13" s="20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1:34" ht="19.5" customHeight="1">
      <c r="A14" s="16">
        <v>9</v>
      </c>
      <c r="B14" s="19">
        <v>1</v>
      </c>
      <c r="C14" s="19">
        <v>0</v>
      </c>
      <c r="D14" s="19">
        <v>0</v>
      </c>
      <c r="E14" s="8">
        <v>1</v>
      </c>
      <c r="F14" s="19">
        <v>9</v>
      </c>
      <c r="G14" s="19">
        <v>18</v>
      </c>
      <c r="H14" s="19">
        <v>12</v>
      </c>
      <c r="I14" s="19">
        <v>7</v>
      </c>
      <c r="J14" s="19">
        <v>3</v>
      </c>
      <c r="K14" s="17">
        <v>1</v>
      </c>
      <c r="L14" s="17">
        <v>2</v>
      </c>
      <c r="M14" s="17">
        <v>1</v>
      </c>
      <c r="N14" s="17">
        <v>7</v>
      </c>
      <c r="O14" s="18">
        <v>9</v>
      </c>
      <c r="P14" s="15"/>
      <c r="Q14" s="20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19.5" customHeight="1">
      <c r="A15" s="16">
        <v>10</v>
      </c>
      <c r="B15" s="21">
        <v>0</v>
      </c>
      <c r="C15" s="21">
        <v>0</v>
      </c>
      <c r="D15" s="21">
        <v>0</v>
      </c>
      <c r="E15" s="8">
        <v>1</v>
      </c>
      <c r="F15" s="19">
        <v>6</v>
      </c>
      <c r="G15" s="19">
        <v>8</v>
      </c>
      <c r="H15" s="19">
        <v>5</v>
      </c>
      <c r="I15" s="19">
        <v>2</v>
      </c>
      <c r="J15" s="19">
        <v>1</v>
      </c>
      <c r="K15" s="17">
        <v>1</v>
      </c>
      <c r="L15" s="17">
        <v>1</v>
      </c>
      <c r="M15" s="17">
        <v>0</v>
      </c>
      <c r="N15" s="17">
        <v>4</v>
      </c>
      <c r="O15" s="18">
        <v>10</v>
      </c>
      <c r="P15" s="15"/>
      <c r="Q15" s="20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34" ht="18.75">
      <c r="A16" s="16">
        <v>11</v>
      </c>
      <c r="B16" s="21">
        <v>0</v>
      </c>
      <c r="C16" s="21">
        <v>0</v>
      </c>
      <c r="D16" s="21">
        <v>0</v>
      </c>
      <c r="E16" s="19">
        <v>0</v>
      </c>
      <c r="F16" s="19">
        <v>2</v>
      </c>
      <c r="G16" s="19">
        <v>4</v>
      </c>
      <c r="H16" s="19">
        <v>3</v>
      </c>
      <c r="I16" s="19">
        <v>1</v>
      </c>
      <c r="J16" s="19">
        <v>0</v>
      </c>
      <c r="K16" s="17">
        <v>1</v>
      </c>
      <c r="L16" s="17">
        <v>0</v>
      </c>
      <c r="M16" s="17">
        <v>0</v>
      </c>
      <c r="N16" s="17">
        <v>2</v>
      </c>
      <c r="O16" s="18">
        <v>11</v>
      </c>
      <c r="P16" s="15"/>
      <c r="Q16" s="2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41" ht="18.75">
      <c r="A17" s="16">
        <v>12</v>
      </c>
      <c r="B17" s="21">
        <v>0</v>
      </c>
      <c r="C17" s="21">
        <v>0</v>
      </c>
      <c r="D17" s="21">
        <v>0</v>
      </c>
      <c r="E17" s="19">
        <v>0</v>
      </c>
      <c r="F17" s="19">
        <v>1</v>
      </c>
      <c r="G17" s="19">
        <v>2</v>
      </c>
      <c r="H17" s="19">
        <v>1</v>
      </c>
      <c r="I17" s="19">
        <v>0</v>
      </c>
      <c r="J17" s="19">
        <v>0</v>
      </c>
      <c r="K17" s="17">
        <v>1</v>
      </c>
      <c r="L17" s="17">
        <v>0</v>
      </c>
      <c r="M17" s="17">
        <v>0</v>
      </c>
      <c r="N17" s="17">
        <v>2</v>
      </c>
      <c r="O17" s="18">
        <v>12</v>
      </c>
      <c r="P17" s="15"/>
      <c r="Q17" s="22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41" ht="18.75">
      <c r="A18" s="16">
        <v>13</v>
      </c>
      <c r="B18" s="21">
        <v>0</v>
      </c>
      <c r="C18" s="21">
        <v>0</v>
      </c>
      <c r="D18" s="21">
        <v>0</v>
      </c>
      <c r="E18" s="19">
        <v>0</v>
      </c>
      <c r="F18" s="19">
        <v>1</v>
      </c>
      <c r="G18" s="19">
        <v>0</v>
      </c>
      <c r="H18" s="19">
        <v>0</v>
      </c>
      <c r="I18" s="19">
        <v>0</v>
      </c>
      <c r="J18" s="19">
        <v>0</v>
      </c>
      <c r="K18" s="17">
        <v>1</v>
      </c>
      <c r="L18" s="17">
        <v>0</v>
      </c>
      <c r="M18" s="17">
        <v>0</v>
      </c>
      <c r="N18" s="17">
        <v>2</v>
      </c>
      <c r="O18" s="18">
        <v>13</v>
      </c>
      <c r="P18" s="15"/>
      <c r="Q18" s="22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41" ht="18.75">
      <c r="A19" s="16">
        <v>14</v>
      </c>
      <c r="B19" s="21"/>
      <c r="C19" s="21"/>
      <c r="D19" s="21"/>
      <c r="E19" s="19"/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7">
        <v>1</v>
      </c>
      <c r="L19" s="17">
        <v>0</v>
      </c>
      <c r="M19" s="17">
        <v>0</v>
      </c>
      <c r="N19" s="17">
        <v>0</v>
      </c>
      <c r="O19" s="18">
        <v>14</v>
      </c>
      <c r="P19" s="15"/>
      <c r="Q19" s="22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41" ht="18.75">
      <c r="A20" s="23">
        <v>15</v>
      </c>
      <c r="B20" s="24"/>
      <c r="C20" s="24"/>
      <c r="D20" s="24"/>
      <c r="E20" s="24"/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30">
        <v>1</v>
      </c>
      <c r="L20" s="30">
        <v>0</v>
      </c>
      <c r="M20" s="30">
        <v>0</v>
      </c>
      <c r="N20" s="30">
        <v>0</v>
      </c>
      <c r="O20" s="26">
        <v>15</v>
      </c>
      <c r="P20" s="15"/>
      <c r="Q20" s="22"/>
    </row>
    <row r="21" spans="1:41" ht="18.75">
      <c r="A21" s="27" t="s">
        <v>1</v>
      </c>
      <c r="B21" s="20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 t="s">
        <v>3</v>
      </c>
      <c r="P21" s="15"/>
      <c r="Q21" s="20"/>
    </row>
    <row r="22" spans="1:41" ht="6.75" hidden="1" customHeight="1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spans="1:41" ht="19.5" customHeight="1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</row>
    <row r="24" spans="1:41" ht="19.5" customHeight="1">
      <c r="A24" s="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7" spans="1:41" ht="19.5" customHeight="1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41" ht="19.5" customHeight="1"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3"/>
    </row>
    <row r="29" spans="1:41" ht="19.5" customHeight="1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3"/>
    </row>
    <row r="30" spans="1:41" ht="19.5" customHeight="1"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3"/>
      <c r="AN30" s="16">
        <v>1</v>
      </c>
      <c r="AO30" s="17">
        <f>N6</f>
        <v>2036</v>
      </c>
    </row>
    <row r="31" spans="1:41" ht="19.5" customHeight="1"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3"/>
      <c r="AN31" s="16">
        <v>2</v>
      </c>
      <c r="AO31" s="17">
        <f t="shared" ref="AO31:AO34" si="0">N7</f>
        <v>468</v>
      </c>
    </row>
    <row r="32" spans="1:41" ht="19.5" customHeight="1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3"/>
      <c r="AN32" s="16">
        <v>3</v>
      </c>
      <c r="AO32" s="17">
        <f t="shared" si="0"/>
        <v>189</v>
      </c>
    </row>
    <row r="33" spans="2:41" ht="19.5" customHeight="1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3"/>
      <c r="AN33" s="16">
        <v>4</v>
      </c>
      <c r="AO33" s="17">
        <f t="shared" si="0"/>
        <v>96</v>
      </c>
    </row>
    <row r="34" spans="2:41" ht="19.5" customHeight="1">
      <c r="AN34" s="16">
        <v>5</v>
      </c>
      <c r="AO34" s="17">
        <f t="shared" si="0"/>
        <v>61</v>
      </c>
    </row>
    <row r="35" spans="2:41" ht="19.5" customHeight="1">
      <c r="AN35" s="1" t="s">
        <v>6</v>
      </c>
      <c r="AO35" s="31">
        <f>SUM(N11:N20)</f>
        <v>91</v>
      </c>
    </row>
  </sheetData>
  <mergeCells count="3">
    <mergeCell ref="A1:O1"/>
    <mergeCell ref="A2:O2"/>
    <mergeCell ref="A3:O3"/>
  </mergeCells>
  <pageMargins left="0.7" right="0.7" top="0.75" bottom="0.75" header="0.3" footer="0.3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8.15</vt:lpstr>
      <vt:lpstr>'8.15'!Print_Area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2023-05-16T12:09:36Z</cp:lastPrinted>
  <dcterms:created xsi:type="dcterms:W3CDTF">2019-06-30T04:22:49Z</dcterms:created>
  <dcterms:modified xsi:type="dcterms:W3CDTF">2023-05-16T12:09:50Z</dcterms:modified>
</cp:coreProperties>
</file>