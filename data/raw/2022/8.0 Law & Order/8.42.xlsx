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D12FAAD1-98CD-453A-9B54-18668449FE0B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42" sheetId="77" r:id="rId1"/>
  </sheets>
  <externalReferences>
    <externalReference r:id="rId2"/>
    <externalReference r:id="rId3"/>
    <externalReference r:id="rId4"/>
  </externalReferences>
  <definedNames>
    <definedName name="_xlnm.Print_Area" localSheetId="0">'8.42'!$A$1:$AJ$39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8" i="77" l="1"/>
  <c r="AG8" i="77"/>
  <c r="AH8" i="77"/>
  <c r="AF9" i="77"/>
  <c r="AG9" i="77"/>
  <c r="AH9" i="77"/>
  <c r="AF10" i="77"/>
  <c r="AG10" i="77"/>
  <c r="AH10" i="77"/>
  <c r="AF11" i="77"/>
  <c r="AG11" i="77"/>
  <c r="AH11" i="77"/>
  <c r="AF12" i="77"/>
  <c r="AG12" i="77"/>
  <c r="AH12" i="77"/>
  <c r="AF13" i="77"/>
  <c r="AG13" i="77"/>
  <c r="AH13" i="77"/>
  <c r="AF14" i="77"/>
  <c r="AG14" i="77"/>
  <c r="AH14" i="77"/>
  <c r="AF15" i="77"/>
  <c r="AG15" i="77"/>
  <c r="AH15" i="77"/>
  <c r="AF16" i="77"/>
  <c r="AG16" i="77"/>
  <c r="AH16" i="77"/>
  <c r="AG7" i="77"/>
  <c r="AH7" i="77"/>
  <c r="AF7" i="77"/>
  <c r="AE7" i="77"/>
  <c r="AD7" i="77"/>
  <c r="AE13" i="77"/>
  <c r="AD13" i="77"/>
  <c r="AC13" i="77" l="1"/>
  <c r="AC7" i="77"/>
  <c r="Z13" i="77" l="1"/>
  <c r="Z7" i="77"/>
  <c r="T16" i="77" l="1"/>
  <c r="N16" i="77"/>
  <c r="K16" i="77"/>
  <c r="H16" i="77"/>
  <c r="E16" i="77"/>
  <c r="B16" i="77"/>
  <c r="T15" i="77"/>
  <c r="N15" i="77"/>
  <c r="K15" i="77"/>
  <c r="H15" i="77"/>
  <c r="E15" i="77"/>
  <c r="B15" i="77"/>
  <c r="T14" i="77"/>
  <c r="N14" i="77"/>
  <c r="K14" i="77"/>
  <c r="H14" i="77"/>
  <c r="E14" i="77"/>
  <c r="B14" i="77"/>
  <c r="N13" i="77"/>
  <c r="K13" i="77"/>
  <c r="H13" i="77"/>
  <c r="E13" i="77"/>
  <c r="B13" i="77"/>
  <c r="T12" i="77"/>
  <c r="N12" i="77"/>
  <c r="K12" i="77"/>
  <c r="H12" i="77"/>
  <c r="E12" i="77"/>
  <c r="B12" i="77"/>
  <c r="T11" i="77"/>
  <c r="N11" i="77"/>
  <c r="K11" i="77"/>
  <c r="H11" i="77"/>
  <c r="E11" i="77"/>
  <c r="B11" i="77"/>
  <c r="T10" i="77"/>
  <c r="N10" i="77"/>
  <c r="K10" i="77"/>
  <c r="H10" i="77"/>
  <c r="E10" i="77"/>
  <c r="B10" i="77"/>
  <c r="T9" i="77"/>
  <c r="N9" i="77"/>
  <c r="K9" i="77"/>
  <c r="H9" i="77"/>
  <c r="E9" i="77"/>
  <c r="B9" i="77"/>
  <c r="AV8" i="77"/>
  <c r="T8" i="77"/>
  <c r="N8" i="77"/>
  <c r="K8" i="77"/>
  <c r="H8" i="77"/>
  <c r="E8" i="77"/>
  <c r="B8" i="77"/>
  <c r="AV7" i="77"/>
  <c r="Y7" i="77"/>
  <c r="X7" i="77"/>
  <c r="V7" i="77"/>
  <c r="U7" i="77"/>
  <c r="T7" i="77" s="1"/>
  <c r="S7" i="77"/>
  <c r="R7" i="77"/>
  <c r="P7" i="77"/>
  <c r="O7" i="77"/>
  <c r="N7" i="77" s="1"/>
  <c r="M7" i="77"/>
  <c r="L7" i="77"/>
  <c r="K7" i="77" s="1"/>
  <c r="J7" i="77"/>
  <c r="I7" i="77"/>
  <c r="G7" i="77"/>
  <c r="F7" i="77"/>
  <c r="D7" i="77"/>
  <c r="C7" i="77"/>
  <c r="W7" i="77" l="1"/>
  <c r="Q7" i="77"/>
  <c r="E7" i="77"/>
  <c r="B7" i="77"/>
  <c r="H7" i="77"/>
</calcChain>
</file>

<file path=xl/sharedStrings.xml><?xml version="1.0" encoding="utf-8"?>
<sst xmlns="http://schemas.openxmlformats.org/spreadsheetml/2006/main" count="99" uniqueCount="39">
  <si>
    <t>އެހެނިހެން</t>
  </si>
  <si>
    <t>m</t>
  </si>
  <si>
    <t>f</t>
  </si>
  <si>
    <t>ޖުމްލަ</t>
  </si>
  <si>
    <t>Both Sexes</t>
  </si>
  <si>
    <t>Female</t>
  </si>
  <si>
    <t>ދެޖިންސް</t>
  </si>
  <si>
    <t xml:space="preserve">Total </t>
  </si>
  <si>
    <t>ފިރިހެން</t>
  </si>
  <si>
    <t>އަންހެން</t>
  </si>
  <si>
    <t>Qualification</t>
  </si>
  <si>
    <t xml:space="preserve">Male </t>
  </si>
  <si>
    <t xml:space="preserve">ތަޢުލީމީ ފެންވަރު </t>
  </si>
  <si>
    <t>total registered lawyers as of Dec 2017</t>
  </si>
  <si>
    <t>Total Number of lawyers</t>
  </si>
  <si>
    <t>Certificate 3</t>
  </si>
  <si>
    <t>ސެޓްފިކެޓް 3</t>
  </si>
  <si>
    <t>Advanced Certificate</t>
  </si>
  <si>
    <t>އެޑްވާންސްޑް ސެޓްފިކެޓް</t>
  </si>
  <si>
    <t>Gaanoonee vakeelukamuge sanadhu</t>
  </si>
  <si>
    <t xml:space="preserve">ޤާނޫނޫ ވަކީލުކަމުގެ ސަނަދު </t>
  </si>
  <si>
    <t>Diploma</t>
  </si>
  <si>
    <t>ޑިޕްލޮމާ</t>
  </si>
  <si>
    <t>Advanced Diploma</t>
  </si>
  <si>
    <t>އެޑްވާންސްޑް ޑިޕްލޮމާ</t>
  </si>
  <si>
    <t>Bachelors degree</t>
  </si>
  <si>
    <t>ބެޗެލަރސް ޑިގްރީ</t>
  </si>
  <si>
    <t xml:space="preserve">Masters degree </t>
  </si>
  <si>
    <t>މާސްޓަރސް ޑިގްރީ</t>
  </si>
  <si>
    <t>Doctoral degree</t>
  </si>
  <si>
    <t>ޑޮކްޓޯރަލް ޑިގްރީ</t>
  </si>
  <si>
    <t>Other</t>
  </si>
  <si>
    <t>2017 ވަނަ އަހަރުގައި އެއްވެސް ވަކީލަކު ހުވާ ކުރައްވާފައި ނުވޭ</t>
  </si>
  <si>
    <t xml:space="preserve">ނޯޓް: 2014 ވަނަ އަހަރު އެވަނީ 2014 ވަނަ އަހަރުގެ ނިޔަލަށް ޤާނޫނީ ވަކީލުންގެ ދަފްތަރުގައި ރަޖިސްޓްރީ ކޮށްފައިވާ ޤާނޫނީ ވަކީލުންގެ މަޢުލޫމާތެވެ. އަދި 2015 ވަނަ އަހަރުން ފެނިގެން އެވަނީ އެއަހަރަކު އަލަށް ރަޖިސްޓްރީކުރެވުނު ޤާނޫނީ ވަކީލުންގެ އަދަދެވެ. </t>
  </si>
  <si>
    <t>ޖޫން 2019 ގައި ބާ ކައުންސިލު އުފެދުނު ފަހުން، ބާ ކައުންސިލުގެ ބެލުމުގެ ދަށުން ވަކީލުން ޤާނޫނީ ވަކީލުކަމުގެ ހުވާ ކުރައްވާފައިވަނީ 2020 ވަނަ އަހަރުގައެވެ.</t>
  </si>
  <si>
    <t>މައުލޫމާތު ދެއްވީ:  ދިވެހިރާއްޖޭގެ ބާ ކައުންސިލު / ޑިޕާޓްމަންޓް އޮފް ޖުޑީޝަލް އެޑްމިނިސްޓްރޭޝަން</t>
  </si>
  <si>
    <t>TABLE 8.31: REGISTERED LAWYERS IN SERVICE, BY QUALIFICATION AND SEX, 2014 - 2022</t>
  </si>
  <si>
    <t>ތާވަލު 8.31: ރަޖިސްޓްރީކުރެވިފައިވާ ޤާނޫނީ ވަކީލުންގެ އަދަދު އަދި ތަޢުލީމީ ފެންވަރު، 2014 - 2022</t>
  </si>
  <si>
    <t>Note: Bar Council did not admit any new lawyer to the bar in the year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</si>
</sst>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11"/>
      <color theme="1"/>
      <name val="Faruma"/>
    </font>
    <font>
      <sz val="9"/>
      <name val="Arial"/>
      <family val="2"/>
    </font>
    <font>
      <sz val="9"/>
      <name val="Faruma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theme="0"/>
      </right>
      <top/>
      <bottom/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dotted">
        <color theme="1"/>
      </bottom>
      <diagonal/>
    </border>
    <border>
      <left/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/>
      <top style="thin">
        <color theme="0"/>
      </top>
      <bottom style="dotted">
        <color theme="1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dotted">
        <color theme="1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hair">
        <color theme="1"/>
      </left>
      <right/>
      <top style="dotted">
        <color theme="1"/>
      </top>
      <bottom style="thin">
        <color indexed="64"/>
      </bottom>
      <diagonal/>
    </border>
    <border>
      <left/>
      <right/>
      <top style="dotted">
        <color theme="1"/>
      </top>
      <bottom style="thin">
        <color indexed="64"/>
      </bottom>
      <diagonal/>
    </border>
    <border>
      <left style="hair">
        <color indexed="64"/>
      </left>
      <right/>
      <top style="dotted">
        <color theme="1"/>
      </top>
      <bottom style="thin">
        <color indexed="64"/>
      </bottom>
      <diagonal/>
    </border>
    <border>
      <left/>
      <right style="hair">
        <color theme="1"/>
      </right>
      <top style="dotted">
        <color theme="1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 style="hair">
        <color indexed="64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0" fillId="0" borderId="23" applyNumberFormat="0" applyFill="0" applyAlignment="0" applyProtection="0"/>
    <xf numFmtId="0" fontId="9" fillId="0" borderId="0"/>
    <xf numFmtId="0" fontId="9" fillId="0" borderId="0"/>
  </cellStyleXfs>
  <cellXfs count="129">
    <xf numFmtId="0" fontId="0" fillId="0" borderId="0" xfId="0"/>
    <xf numFmtId="164" fontId="2" fillId="2" borderId="7" xfId="0" applyNumberFormat="1" applyFont="1" applyFill="1" applyBorder="1"/>
    <xf numFmtId="164" fontId="4" fillId="2" borderId="2" xfId="0" applyNumberFormat="1" applyFont="1" applyFill="1" applyBorder="1" applyAlignment="1">
      <alignment vertical="center"/>
    </xf>
    <xf numFmtId="164" fontId="0" fillId="2" borderId="7" xfId="0" applyNumberFormat="1" applyFill="1" applyBorder="1" applyAlignment="1">
      <alignment vertical="center"/>
    </xf>
    <xf numFmtId="164" fontId="3" fillId="2" borderId="7" xfId="0" applyNumberFormat="1" applyFont="1" applyFill="1" applyBorder="1" applyAlignment="1">
      <alignment vertical="center"/>
    </xf>
    <xf numFmtId="164" fontId="2" fillId="2" borderId="13" xfId="0" applyNumberFormat="1" applyFont="1" applyFill="1" applyBorder="1"/>
    <xf numFmtId="164" fontId="1" fillId="2" borderId="29" xfId="0" applyNumberFormat="1" applyFont="1" applyFill="1" applyBorder="1" applyAlignment="1">
      <alignment horizontal="right" vertical="center"/>
    </xf>
    <xf numFmtId="164" fontId="1" fillId="2" borderId="30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164" fontId="1" fillId="2" borderId="31" xfId="0" applyNumberFormat="1" applyFont="1" applyFill="1" applyBorder="1" applyAlignment="1">
      <alignment horizontal="right" vertical="center"/>
    </xf>
    <xf numFmtId="164" fontId="5" fillId="2" borderId="32" xfId="0" applyNumberFormat="1" applyFont="1" applyFill="1" applyBorder="1" applyAlignment="1">
      <alignment horizontal="right" vertical="center" wrapText="1"/>
    </xf>
    <xf numFmtId="164" fontId="5" fillId="2" borderId="29" xfId="0" applyNumberFormat="1" applyFont="1" applyFill="1" applyBorder="1" applyAlignment="1">
      <alignment horizontal="right" vertical="center" wrapText="1"/>
    </xf>
    <xf numFmtId="164" fontId="5" fillId="2" borderId="31" xfId="0" applyNumberFormat="1" applyFont="1" applyFill="1" applyBorder="1" applyAlignment="1">
      <alignment horizontal="right" vertical="center" wrapText="1"/>
    </xf>
    <xf numFmtId="164" fontId="5" fillId="2" borderId="33" xfId="0" applyNumberFormat="1" applyFont="1" applyFill="1" applyBorder="1" applyAlignment="1">
      <alignment horizontal="right" vertical="center" wrapText="1"/>
    </xf>
    <xf numFmtId="164" fontId="5" fillId="2" borderId="34" xfId="0" applyNumberFormat="1" applyFont="1" applyFill="1" applyBorder="1" applyAlignment="1">
      <alignment horizontal="right" vertical="center" wrapText="1"/>
    </xf>
    <xf numFmtId="164" fontId="5" fillId="2" borderId="9" xfId="0" applyNumberFormat="1" applyFont="1" applyFill="1" applyBorder="1" applyAlignment="1">
      <alignment horizontal="right" vertical="center" wrapText="1"/>
    </xf>
    <xf numFmtId="164" fontId="16" fillId="2" borderId="35" xfId="0" applyNumberFormat="1" applyFont="1" applyFill="1" applyBorder="1" applyAlignment="1">
      <alignment horizontal="right" vertical="center"/>
    </xf>
    <xf numFmtId="164" fontId="16" fillId="2" borderId="36" xfId="0" applyNumberFormat="1" applyFont="1" applyFill="1" applyBorder="1" applyAlignment="1">
      <alignment horizontal="right" vertical="center"/>
    </xf>
    <xf numFmtId="164" fontId="16" fillId="2" borderId="37" xfId="0" applyNumberFormat="1" applyFont="1" applyFill="1" applyBorder="1" applyAlignment="1">
      <alignment horizontal="right" vertical="center"/>
    </xf>
    <xf numFmtId="164" fontId="16" fillId="2" borderId="38" xfId="0" applyNumberFormat="1" applyFont="1" applyFill="1" applyBorder="1" applyAlignment="1">
      <alignment horizontal="right" vertical="center"/>
    </xf>
    <xf numFmtId="164" fontId="16" fillId="2" borderId="39" xfId="0" applyNumberFormat="1" applyFont="1" applyFill="1" applyBorder="1" applyAlignment="1">
      <alignment horizontal="right" vertical="center"/>
    </xf>
    <xf numFmtId="164" fontId="16" fillId="2" borderId="40" xfId="0" applyNumberFormat="1" applyFont="1" applyFill="1" applyBorder="1" applyAlignment="1">
      <alignment horizontal="right" vertical="center"/>
    </xf>
    <xf numFmtId="164" fontId="16" fillId="2" borderId="41" xfId="0" applyNumberFormat="1" applyFont="1" applyFill="1" applyBorder="1" applyAlignment="1">
      <alignment horizontal="right" vertical="center"/>
    </xf>
    <xf numFmtId="164" fontId="1" fillId="2" borderId="19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47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1" fillId="2" borderId="14" xfId="0" applyFont="1" applyFill="1" applyBorder="1" applyAlignment="1">
      <alignment horizontal="right" vertical="center"/>
    </xf>
    <xf numFmtId="3" fontId="1" fillId="2" borderId="48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14" xfId="0" applyNumberFormat="1" applyFont="1" applyFill="1" applyBorder="1" applyAlignment="1">
      <alignment horizontal="right" vertical="center"/>
    </xf>
    <xf numFmtId="3" fontId="1" fillId="2" borderId="32" xfId="0" applyNumberFormat="1" applyFont="1" applyFill="1" applyBorder="1" applyAlignment="1">
      <alignment horizontal="right" vertical="center"/>
    </xf>
    <xf numFmtId="3" fontId="1" fillId="2" borderId="29" xfId="0" applyNumberFormat="1" applyFont="1" applyFill="1" applyBorder="1" applyAlignment="1">
      <alignment horizontal="right" vertical="center"/>
    </xf>
    <xf numFmtId="3" fontId="1" fillId="2" borderId="30" xfId="0" applyNumberFormat="1" applyFont="1" applyFill="1" applyBorder="1" applyAlignment="1">
      <alignment horizontal="right" vertical="center"/>
    </xf>
    <xf numFmtId="3" fontId="1" fillId="2" borderId="10" xfId="0" applyNumberFormat="1" applyFont="1" applyFill="1" applyBorder="1" applyAlignment="1">
      <alignment horizontal="right" vertical="center"/>
    </xf>
    <xf numFmtId="3" fontId="1" fillId="2" borderId="27" xfId="0" applyNumberFormat="1" applyFont="1" applyFill="1" applyBorder="1" applyAlignment="1">
      <alignment horizontal="right" vertical="center"/>
    </xf>
    <xf numFmtId="3" fontId="1" fillId="2" borderId="26" xfId="0" applyNumberFormat="1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vertical="center"/>
    </xf>
    <xf numFmtId="0" fontId="0" fillId="2" borderId="7" xfId="0" applyFill="1" applyBorder="1" applyAlignment="1">
      <alignment horizontal="right" vertical="center"/>
    </xf>
    <xf numFmtId="0" fontId="0" fillId="2" borderId="2" xfId="0" applyFill="1" applyBorder="1" applyAlignment="1" applyProtection="1">
      <alignment horizontal="right" vertical="center"/>
      <protection locked="0"/>
    </xf>
    <xf numFmtId="0" fontId="0" fillId="2" borderId="47" xfId="0" applyFill="1" applyBorder="1" applyAlignment="1" applyProtection="1">
      <alignment horizontal="right" vertical="center"/>
      <protection locked="0"/>
    </xf>
    <xf numFmtId="0" fontId="0" fillId="2" borderId="13" xfId="0" applyFill="1" applyBorder="1" applyAlignment="1">
      <alignment horizontal="right" vertical="center"/>
    </xf>
    <xf numFmtId="0" fontId="0" fillId="2" borderId="14" xfId="0" applyFill="1" applyBorder="1" applyAlignment="1" applyProtection="1">
      <alignment horizontal="right" vertical="center"/>
      <protection locked="0"/>
    </xf>
    <xf numFmtId="3" fontId="0" fillId="2" borderId="49" xfId="0" applyNumberFormat="1" applyFill="1" applyBorder="1" applyAlignment="1">
      <alignment horizontal="right" vertical="center"/>
    </xf>
    <xf numFmtId="3" fontId="0" fillId="2" borderId="50" xfId="0" applyNumberFormat="1" applyFill="1" applyBorder="1" applyAlignment="1">
      <alignment horizontal="right" vertical="center"/>
    </xf>
    <xf numFmtId="0" fontId="1" fillId="2" borderId="48" xfId="0" applyFont="1" applyFill="1" applyBorder="1" applyAlignment="1">
      <alignment horizontal="right" vertical="center"/>
    </xf>
    <xf numFmtId="0" fontId="0" fillId="2" borderId="49" xfId="0" applyFill="1" applyBorder="1" applyAlignment="1">
      <alignment horizontal="right" vertical="center"/>
    </xf>
    <xf numFmtId="0" fontId="0" fillId="2" borderId="51" xfId="0" applyFill="1" applyBorder="1" applyAlignment="1">
      <alignment horizontal="right" vertical="center"/>
    </xf>
    <xf numFmtId="0" fontId="0" fillId="2" borderId="48" xfId="0" applyFill="1" applyBorder="1" applyAlignment="1">
      <alignment horizontal="right" vertical="center"/>
    </xf>
    <xf numFmtId="3" fontId="0" fillId="2" borderId="10" xfId="0" applyNumberFormat="1" applyFill="1" applyBorder="1" applyAlignment="1">
      <alignment horizontal="right" vertical="center"/>
    </xf>
    <xf numFmtId="3" fontId="0" fillId="2" borderId="25" xfId="0" applyNumberFormat="1" applyFill="1" applyBorder="1" applyAlignment="1">
      <alignment horizontal="right" vertical="center"/>
    </xf>
    <xf numFmtId="3" fontId="0" fillId="2" borderId="48" xfId="0" applyNumberFormat="1" applyFill="1" applyBorder="1" applyAlignment="1">
      <alignment horizontal="right" vertical="center"/>
    </xf>
    <xf numFmtId="3" fontId="0" fillId="2" borderId="52" xfId="0" applyNumberFormat="1" applyFill="1" applyBorder="1" applyAlignment="1">
      <alignment horizontal="right" vertical="center"/>
    </xf>
    <xf numFmtId="164" fontId="11" fillId="2" borderId="7" xfId="0" applyNumberFormat="1" applyFont="1" applyFill="1" applyBorder="1" applyAlignment="1">
      <alignment vertical="center"/>
    </xf>
    <xf numFmtId="164" fontId="0" fillId="2" borderId="2" xfId="0" applyNumberFormat="1" applyFill="1" applyBorder="1" applyAlignment="1">
      <alignment vertical="center"/>
    </xf>
    <xf numFmtId="0" fontId="0" fillId="2" borderId="7" xfId="0" applyFill="1" applyBorder="1" applyAlignment="1" applyProtection="1">
      <alignment horizontal="right" vertical="center"/>
      <protection locked="0"/>
    </xf>
    <xf numFmtId="0" fontId="0" fillId="2" borderId="54" xfId="0" applyFill="1" applyBorder="1" applyAlignment="1" applyProtection="1">
      <alignment horizontal="right" vertical="center"/>
      <protection locked="0"/>
    </xf>
    <xf numFmtId="0" fontId="0" fillId="2" borderId="11" xfId="0" applyFill="1" applyBorder="1" applyAlignment="1" applyProtection="1">
      <alignment horizontal="right" vertical="center"/>
      <protection locked="0"/>
    </xf>
    <xf numFmtId="3" fontId="0" fillId="2" borderId="7" xfId="0" applyNumberFormat="1" applyFill="1" applyBorder="1" applyAlignment="1" applyProtection="1">
      <alignment horizontal="right" vertical="center"/>
      <protection locked="0"/>
    </xf>
    <xf numFmtId="3" fontId="0" fillId="2" borderId="11" xfId="0" applyNumberFormat="1" applyFill="1" applyBorder="1" applyAlignment="1" applyProtection="1">
      <alignment horizontal="right" vertical="center"/>
      <protection locked="0"/>
    </xf>
    <xf numFmtId="164" fontId="0" fillId="2" borderId="8" xfId="0" applyNumberFormat="1" applyFill="1" applyBorder="1" applyAlignment="1">
      <alignment vertical="center"/>
    </xf>
    <xf numFmtId="0" fontId="0" fillId="2" borderId="8" xfId="0" applyFill="1" applyBorder="1" applyAlignment="1">
      <alignment horizontal="right" vertical="center"/>
    </xf>
    <xf numFmtId="0" fontId="0" fillId="2" borderId="8" xfId="0" applyFill="1" applyBorder="1" applyAlignment="1" applyProtection="1">
      <alignment horizontal="right" vertical="center"/>
      <protection locked="0"/>
    </xf>
    <xf numFmtId="0" fontId="0" fillId="2" borderId="55" xfId="0" applyFill="1" applyBorder="1" applyAlignment="1" applyProtection="1">
      <alignment horizontal="right" vertical="center"/>
      <protection locked="0"/>
    </xf>
    <xf numFmtId="0" fontId="0" fillId="2" borderId="28" xfId="0" applyFill="1" applyBorder="1" applyAlignment="1">
      <alignment horizontal="right" vertical="center"/>
    </xf>
    <xf numFmtId="0" fontId="0" fillId="2" borderId="15" xfId="0" applyFill="1" applyBorder="1" applyAlignment="1" applyProtection="1">
      <alignment horizontal="right" vertical="center"/>
      <protection locked="0"/>
    </xf>
    <xf numFmtId="3" fontId="0" fillId="2" borderId="56" xfId="0" applyNumberFormat="1" applyFill="1" applyBorder="1" applyAlignment="1">
      <alignment horizontal="right" vertical="center"/>
    </xf>
    <xf numFmtId="3" fontId="0" fillId="2" borderId="57" xfId="0" applyNumberFormat="1" applyFill="1" applyBorder="1" applyAlignment="1">
      <alignment horizontal="right" vertical="center"/>
    </xf>
    <xf numFmtId="0" fontId="1" fillId="2" borderId="56" xfId="0" applyFont="1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0" fontId="0" fillId="2" borderId="58" xfId="0" applyFill="1" applyBorder="1" applyAlignment="1">
      <alignment horizontal="right" vertical="center"/>
    </xf>
    <xf numFmtId="3" fontId="0" fillId="2" borderId="28" xfId="0" applyNumberFormat="1" applyFill="1" applyBorder="1" applyAlignment="1">
      <alignment horizontal="right" vertical="center"/>
    </xf>
    <xf numFmtId="3" fontId="0" fillId="2" borderId="59" xfId="0" applyNumberFormat="1" applyFill="1" applyBorder="1" applyAlignment="1">
      <alignment horizontal="right" vertical="center"/>
    </xf>
    <xf numFmtId="3" fontId="1" fillId="2" borderId="60" xfId="0" applyNumberFormat="1" applyFont="1" applyFill="1" applyBorder="1" applyAlignment="1">
      <alignment horizontal="right" vertical="center"/>
    </xf>
    <xf numFmtId="164" fontId="11" fillId="2" borderId="8" xfId="0" applyNumberFormat="1" applyFont="1" applyFill="1" applyBorder="1" applyAlignment="1">
      <alignment vertical="center"/>
    </xf>
    <xf numFmtId="164" fontId="12" fillId="2" borderId="2" xfId="0" applyNumberFormat="1" applyFont="1" applyFill="1" applyBorder="1" applyAlignment="1">
      <alignment horizontal="fill" vertical="center"/>
    </xf>
    <xf numFmtId="164" fontId="3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vertical="center"/>
    </xf>
    <xf numFmtId="164" fontId="15" fillId="2" borderId="7" xfId="0" applyNumberFormat="1" applyFont="1" applyFill="1" applyBorder="1" applyAlignment="1">
      <alignment horizontal="right" readingOrder="2"/>
    </xf>
    <xf numFmtId="164" fontId="2" fillId="2" borderId="7" xfId="0" applyNumberFormat="1" applyFont="1" applyFill="1" applyBorder="1" applyAlignment="1">
      <alignment horizontal="center"/>
    </xf>
    <xf numFmtId="164" fontId="2" fillId="2" borderId="0" xfId="0" applyNumberFormat="1" applyFont="1" applyFill="1"/>
    <xf numFmtId="164" fontId="2" fillId="2" borderId="13" xfId="0" applyNumberFormat="1" applyFont="1" applyFill="1" applyBorder="1" applyAlignment="1">
      <alignment horizontal="left"/>
    </xf>
    <xf numFmtId="164" fontId="2" fillId="2" borderId="0" xfId="0" applyNumberFormat="1" applyFont="1" applyFill="1" applyAlignment="1">
      <alignment horizontal="center"/>
    </xf>
    <xf numFmtId="164" fontId="2" fillId="2" borderId="24" xfId="0" applyNumberFormat="1" applyFont="1" applyFill="1" applyBorder="1"/>
    <xf numFmtId="164" fontId="8" fillId="2" borderId="7" xfId="0" applyNumberFormat="1" applyFont="1" applyFill="1" applyBorder="1" applyAlignment="1">
      <alignment vertical="center"/>
    </xf>
    <xf numFmtId="3" fontId="1" fillId="2" borderId="6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3" fontId="0" fillId="2" borderId="26" xfId="0" applyNumberFormat="1" applyFill="1" applyBorder="1" applyAlignment="1">
      <alignment horizontal="right" vertical="center"/>
    </xf>
    <xf numFmtId="3" fontId="0" fillId="2" borderId="53" xfId="0" applyNumberForma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3" fontId="0" fillId="2" borderId="60" xfId="0" applyNumberFormat="1" applyFill="1" applyBorder="1" applyAlignment="1">
      <alignment horizontal="right" vertical="center"/>
    </xf>
    <xf numFmtId="3" fontId="0" fillId="2" borderId="61" xfId="0" applyNumberFormat="1" applyFill="1" applyBorder="1" applyAlignment="1">
      <alignment horizontal="right" vertical="center"/>
    </xf>
    <xf numFmtId="3" fontId="0" fillId="2" borderId="62" xfId="0" applyNumberFormat="1" applyFill="1" applyBorder="1" applyAlignment="1">
      <alignment horizontal="right" vertical="center"/>
    </xf>
    <xf numFmtId="3" fontId="0" fillId="2" borderId="16" xfId="0" applyNumberFormat="1" applyFill="1" applyBorder="1" applyAlignment="1">
      <alignment horizontal="right" vertical="center"/>
    </xf>
    <xf numFmtId="3" fontId="1" fillId="2" borderId="63" xfId="0" applyNumberFormat="1" applyFont="1" applyFill="1" applyBorder="1" applyAlignment="1">
      <alignment horizontal="right" vertical="center"/>
    </xf>
    <xf numFmtId="3" fontId="0" fillId="2" borderId="63" xfId="0" applyNumberFormat="1" applyFill="1" applyBorder="1" applyAlignment="1">
      <alignment horizontal="right" vertical="center"/>
    </xf>
    <xf numFmtId="3" fontId="0" fillId="3" borderId="6" xfId="0" applyNumberFormat="1" applyFill="1" applyBorder="1" applyAlignment="1">
      <alignment horizontal="right" vertical="center"/>
    </xf>
    <xf numFmtId="3" fontId="0" fillId="3" borderId="25" xfId="0" applyNumberFormat="1" applyFill="1" applyBorder="1" applyAlignment="1">
      <alignment horizontal="right" vertical="center"/>
    </xf>
    <xf numFmtId="3" fontId="0" fillId="3" borderId="16" xfId="0" applyNumberFormat="1" applyFill="1" applyBorder="1" applyAlignment="1">
      <alignment horizontal="right" vertical="center"/>
    </xf>
    <xf numFmtId="3" fontId="0" fillId="3" borderId="59" xfId="0" applyNumberFormat="1" applyFill="1" applyBorder="1" applyAlignment="1">
      <alignment horizontal="right" vertical="center"/>
    </xf>
    <xf numFmtId="164" fontId="15" fillId="2" borderId="2" xfId="0" applyNumberFormat="1" applyFont="1" applyFill="1" applyBorder="1" applyAlignment="1">
      <alignment horizontal="right" readingOrder="2"/>
    </xf>
    <xf numFmtId="0" fontId="18" fillId="0" borderId="0" xfId="0" applyFont="1" applyAlignment="1">
      <alignment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21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left"/>
    </xf>
    <xf numFmtId="164" fontId="2" fillId="2" borderId="17" xfId="0" applyNumberFormat="1" applyFont="1" applyFill="1" applyBorder="1" applyAlignment="1">
      <alignment horizontal="left"/>
    </xf>
    <xf numFmtId="164" fontId="2" fillId="2" borderId="13" xfId="0" applyNumberFormat="1" applyFont="1" applyFill="1" applyBorder="1" applyAlignment="1">
      <alignment horizontal="left"/>
    </xf>
    <xf numFmtId="164" fontId="14" fillId="2" borderId="0" xfId="0" applyNumberFormat="1" applyFont="1" applyFill="1" applyAlignment="1">
      <alignment horizontal="center"/>
    </xf>
    <xf numFmtId="164" fontId="14" fillId="2" borderId="24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 vertical="center" wrapText="1"/>
    </xf>
    <xf numFmtId="164" fontId="1" fillId="2" borderId="12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1" xfId="0" applyNumberFormat="1" applyFont="1" applyFill="1" applyBorder="1" applyAlignment="1">
      <alignment horizontal="center" vertical="center" wrapText="1"/>
    </xf>
    <xf numFmtId="164" fontId="1" fillId="2" borderId="18" xfId="0" applyNumberFormat="1" applyFont="1" applyFill="1" applyBorder="1" applyAlignment="1">
      <alignment horizontal="left" vertical="center"/>
    </xf>
    <xf numFmtId="164" fontId="1" fillId="2" borderId="19" xfId="0" applyNumberFormat="1" applyFont="1" applyFill="1" applyBorder="1" applyAlignment="1">
      <alignment horizontal="left" vertical="center"/>
    </xf>
    <xf numFmtId="164" fontId="1" fillId="2" borderId="20" xfId="0" applyNumberFormat="1" applyFont="1" applyFill="1" applyBorder="1" applyAlignment="1">
      <alignment horizontal="left" vertical="center"/>
    </xf>
    <xf numFmtId="164" fontId="14" fillId="2" borderId="18" xfId="0" applyNumberFormat="1" applyFont="1" applyFill="1" applyBorder="1" applyAlignment="1">
      <alignment horizontal="right" vertical="center"/>
    </xf>
    <xf numFmtId="164" fontId="14" fillId="2" borderId="19" xfId="0" applyNumberFormat="1" applyFont="1" applyFill="1" applyBorder="1" applyAlignment="1">
      <alignment horizontal="right" vertical="center"/>
    </xf>
    <xf numFmtId="164" fontId="14" fillId="2" borderId="20" xfId="0" applyNumberFormat="1" applyFont="1" applyFill="1" applyBorder="1" applyAlignment="1">
      <alignment horizontal="right" vertical="center"/>
    </xf>
    <xf numFmtId="164" fontId="5" fillId="2" borderId="12" xfId="0" applyNumberFormat="1" applyFont="1" applyFill="1" applyBorder="1" applyAlignment="1">
      <alignment horizontal="center" vertical="center"/>
    </xf>
    <xf numFmtId="164" fontId="5" fillId="2" borderId="22" xfId="0" applyNumberFormat="1" applyFont="1" applyFill="1" applyBorder="1" applyAlignment="1">
      <alignment horizontal="center" vertical="center"/>
    </xf>
    <xf numFmtId="164" fontId="5" fillId="2" borderId="42" xfId="0" applyNumberFormat="1" applyFont="1" applyFill="1" applyBorder="1" applyAlignment="1">
      <alignment horizontal="center" vertical="center"/>
    </xf>
    <xf numFmtId="164" fontId="5" fillId="2" borderId="43" xfId="0" applyNumberFormat="1" applyFont="1" applyFill="1" applyBorder="1" applyAlignment="1">
      <alignment horizontal="center" vertical="center"/>
    </xf>
    <xf numFmtId="164" fontId="5" fillId="2" borderId="44" xfId="0" applyNumberFormat="1" applyFont="1" applyFill="1" applyBorder="1" applyAlignment="1">
      <alignment horizontal="center" vertical="center"/>
    </xf>
    <xf numFmtId="164" fontId="5" fillId="2" borderId="45" xfId="0" applyNumberFormat="1" applyFont="1" applyFill="1" applyBorder="1" applyAlignment="1">
      <alignment horizontal="center" vertical="center"/>
    </xf>
    <xf numFmtId="164" fontId="5" fillId="2" borderId="46" xfId="0" applyNumberFormat="1" applyFont="1" applyFill="1" applyBorder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059182793538368"/>
          <c:y val="0.16645290671346885"/>
          <c:w val="0.77555831836809874"/>
          <c:h val="0.73659921977617082"/>
        </c:manualLayout>
      </c:layout>
      <c:pie3DChart>
        <c:varyColors val="1"/>
        <c:ser>
          <c:idx val="0"/>
          <c:order val="0"/>
          <c:spPr>
            <a:solidFill>
              <a:srgbClr val="C00000"/>
            </a:solidFill>
          </c:spPr>
          <c:explosion val="3"/>
          <c:dPt>
            <c:idx val="0"/>
            <c:bubble3D val="0"/>
            <c:spPr>
              <a:solidFill>
                <a:srgbClr val="FFC5C5"/>
              </a:solidFill>
            </c:spPr>
            <c:extLst>
              <c:ext xmlns:c16="http://schemas.microsoft.com/office/drawing/2014/chart" uri="{C3380CC4-5D6E-409C-BE32-E72D297353CC}">
                <c16:uniqueId val="{00000002-E6B2-4CB5-B13D-ED4B86987449}"/>
              </c:ext>
            </c:extLst>
          </c:dPt>
          <c:dLbls>
            <c:dLbl>
              <c:idx val="0"/>
              <c:layout>
                <c:manualLayout>
                  <c:x val="-0.20749175583821253"/>
                  <c:y val="0.109994521712823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B2-4CB5-B13D-ED4B86987449}"/>
                </c:ext>
              </c:extLst>
            </c:dLbl>
            <c:dLbl>
              <c:idx val="1"/>
              <c:layout>
                <c:manualLayout>
                  <c:x val="0.27428620140431165"/>
                  <c:y val="-0.1480180865242312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B2-4CB5-B13D-ED4B869874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'8.42'!$AA$4:$AB$4</c:f>
              <c:strCache>
                <c:ptCount val="2"/>
                <c:pt idx="0">
                  <c:v>Male </c:v>
                </c:pt>
                <c:pt idx="1">
                  <c:v>Female</c:v>
                </c:pt>
              </c:strCache>
            </c:strRef>
          </c:cat>
          <c:val>
            <c:numRef>
              <c:f>'8.42'!$AA$7:$AB$7</c:f>
              <c:numCache>
                <c:formatCode>#,##0</c:formatCode>
                <c:ptCount val="2"/>
                <c:pt idx="0">
                  <c:v>125</c:v>
                </c:pt>
                <c:pt idx="1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B-45DC-8151-77A92B3E1457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180975</xdr:rowOff>
    </xdr:from>
    <xdr:to>
      <xdr:col>28</xdr:col>
      <xdr:colOff>561975</xdr:colOff>
      <xdr:row>38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</cdr:x>
      <cdr:y>0.04324</cdr:y>
    </cdr:from>
    <cdr:to>
      <cdr:x>0.95069</cdr:x>
      <cdr:y>0.1301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115900" y="141598"/>
          <a:ext cx="5393360" cy="28444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</a:t>
          </a:r>
          <a:r>
            <a:rPr lang="en-US" sz="1100" b="1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8.47: Percenatge </a:t>
          </a:r>
          <a:r>
            <a:rPr lang="en-US" sz="1100" b="1">
              <a:latin typeface="Consolas" pitchFamily="49" charset="0"/>
              <a:cs typeface="Consolas" pitchFamily="49" charset="0"/>
            </a:rPr>
            <a:t>of registered lawyers by sex, 20</a:t>
          </a:r>
          <a:r>
            <a:rPr lang="dv-MV" sz="1100" b="1">
              <a:latin typeface="Consolas" pitchFamily="49" charset="0"/>
              <a:cs typeface="Consolas" pitchFamily="49" charset="0"/>
            </a:rPr>
            <a:t>20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</sheetPr>
  <dimension ref="A1:AV26"/>
  <sheetViews>
    <sheetView tabSelected="1" zoomScaleNormal="100" workbookViewId="0">
      <selection activeCell="AK10" sqref="AK10"/>
    </sheetView>
  </sheetViews>
  <sheetFormatPr defaultColWidth="22.28515625" defaultRowHeight="12.75"/>
  <cols>
    <col min="1" max="1" width="33.5703125" style="80" customWidth="1"/>
    <col min="2" max="7" width="9.85546875" style="1" hidden="1" customWidth="1"/>
    <col min="8" max="8" width="10" style="1" hidden="1" customWidth="1"/>
    <col min="9" max="19" width="9.28515625" style="1" hidden="1" customWidth="1"/>
    <col min="20" max="28" width="9.28515625" style="1" customWidth="1"/>
    <col min="29" max="31" width="9.28515625" style="1" hidden="1" customWidth="1"/>
    <col min="32" max="34" width="9.28515625" style="1" customWidth="1"/>
    <col min="35" max="35" width="28.5703125" style="1" customWidth="1"/>
    <col min="36" max="36" width="11.140625" style="1" customWidth="1"/>
    <col min="37" max="37" width="5.28515625" style="1" customWidth="1"/>
    <col min="38" max="39" width="4.28515625" style="1" customWidth="1"/>
    <col min="40" max="40" width="22.28515625" style="1"/>
    <col min="41" max="41" width="6.7109375" style="1" customWidth="1"/>
    <col min="42" max="16384" width="22.28515625" style="1"/>
  </cols>
  <sheetData>
    <row r="1" spans="1:48" ht="21">
      <c r="A1" s="110" t="s">
        <v>37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1"/>
      <c r="AJ1" s="5"/>
    </row>
    <row r="2" spans="1:48" ht="15">
      <c r="A2" s="112" t="s">
        <v>36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5"/>
    </row>
    <row r="3" spans="1:48" ht="1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5"/>
      <c r="AJ3" s="5"/>
    </row>
    <row r="4" spans="1:48" ht="25.5">
      <c r="A4" s="116" t="s">
        <v>10</v>
      </c>
      <c r="B4" s="6" t="s">
        <v>4</v>
      </c>
      <c r="C4" s="6" t="s">
        <v>11</v>
      </c>
      <c r="D4" s="7" t="s">
        <v>5</v>
      </c>
      <c r="E4" s="8" t="s">
        <v>4</v>
      </c>
      <c r="F4" s="6" t="s">
        <v>11</v>
      </c>
      <c r="G4" s="9" t="s">
        <v>5</v>
      </c>
      <c r="H4" s="10" t="s">
        <v>4</v>
      </c>
      <c r="I4" s="11" t="s">
        <v>11</v>
      </c>
      <c r="J4" s="12" t="s">
        <v>5</v>
      </c>
      <c r="K4" s="10" t="s">
        <v>4</v>
      </c>
      <c r="L4" s="11" t="s">
        <v>11</v>
      </c>
      <c r="M4" s="12" t="s">
        <v>5</v>
      </c>
      <c r="N4" s="13" t="s">
        <v>4</v>
      </c>
      <c r="O4" s="11" t="s">
        <v>11</v>
      </c>
      <c r="P4" s="14" t="s">
        <v>5</v>
      </c>
      <c r="Q4" s="15" t="s">
        <v>4</v>
      </c>
      <c r="R4" s="11" t="s">
        <v>11</v>
      </c>
      <c r="S4" s="14" t="s">
        <v>5</v>
      </c>
      <c r="T4" s="15" t="s">
        <v>4</v>
      </c>
      <c r="U4" s="11" t="s">
        <v>11</v>
      </c>
      <c r="V4" s="12" t="s">
        <v>5</v>
      </c>
      <c r="W4" s="13" t="s">
        <v>4</v>
      </c>
      <c r="X4" s="11" t="s">
        <v>11</v>
      </c>
      <c r="Y4" s="14" t="s">
        <v>5</v>
      </c>
      <c r="Z4" s="13" t="s">
        <v>4</v>
      </c>
      <c r="AA4" s="11" t="s">
        <v>11</v>
      </c>
      <c r="AB4" s="12" t="s">
        <v>5</v>
      </c>
      <c r="AC4" s="13" t="s">
        <v>4</v>
      </c>
      <c r="AD4" s="11" t="s">
        <v>11</v>
      </c>
      <c r="AE4" s="14" t="s">
        <v>5</v>
      </c>
      <c r="AF4" s="13" t="s">
        <v>4</v>
      </c>
      <c r="AG4" s="11" t="s">
        <v>11</v>
      </c>
      <c r="AH4" s="11" t="s">
        <v>5</v>
      </c>
      <c r="AI4" s="119" t="s">
        <v>12</v>
      </c>
      <c r="AJ4" s="5"/>
    </row>
    <row r="5" spans="1:48" ht="18.75">
      <c r="A5" s="117"/>
      <c r="B5" s="16" t="s">
        <v>6</v>
      </c>
      <c r="C5" s="16" t="s">
        <v>8</v>
      </c>
      <c r="D5" s="17" t="s">
        <v>9</v>
      </c>
      <c r="E5" s="18" t="s">
        <v>6</v>
      </c>
      <c r="F5" s="16" t="s">
        <v>8</v>
      </c>
      <c r="G5" s="19" t="s">
        <v>9</v>
      </c>
      <c r="H5" s="20" t="s">
        <v>6</v>
      </c>
      <c r="I5" s="16" t="s">
        <v>8</v>
      </c>
      <c r="J5" s="19" t="s">
        <v>9</v>
      </c>
      <c r="K5" s="20" t="s">
        <v>6</v>
      </c>
      <c r="L5" s="16" t="s">
        <v>8</v>
      </c>
      <c r="M5" s="19" t="s">
        <v>9</v>
      </c>
      <c r="N5" s="21" t="s">
        <v>6</v>
      </c>
      <c r="O5" s="16" t="s">
        <v>8</v>
      </c>
      <c r="P5" s="22" t="s">
        <v>9</v>
      </c>
      <c r="Q5" s="18" t="s">
        <v>6</v>
      </c>
      <c r="R5" s="16" t="s">
        <v>8</v>
      </c>
      <c r="S5" s="22" t="s">
        <v>9</v>
      </c>
      <c r="T5" s="18" t="s">
        <v>6</v>
      </c>
      <c r="U5" s="16" t="s">
        <v>8</v>
      </c>
      <c r="V5" s="19" t="s">
        <v>9</v>
      </c>
      <c r="W5" s="21" t="s">
        <v>6</v>
      </c>
      <c r="X5" s="16" t="s">
        <v>8</v>
      </c>
      <c r="Y5" s="22" t="s">
        <v>9</v>
      </c>
      <c r="Z5" s="21" t="s">
        <v>6</v>
      </c>
      <c r="AA5" s="16" t="s">
        <v>8</v>
      </c>
      <c r="AB5" s="19" t="s">
        <v>9</v>
      </c>
      <c r="AC5" s="21" t="s">
        <v>6</v>
      </c>
      <c r="AD5" s="16" t="s">
        <v>8</v>
      </c>
      <c r="AE5" s="22" t="s">
        <v>9</v>
      </c>
      <c r="AF5" s="21" t="s">
        <v>6</v>
      </c>
      <c r="AG5" s="16" t="s">
        <v>8</v>
      </c>
      <c r="AH5" s="16" t="s">
        <v>9</v>
      </c>
      <c r="AI5" s="120"/>
      <c r="AJ5" s="5"/>
      <c r="AT5" s="1" t="s">
        <v>13</v>
      </c>
    </row>
    <row r="6" spans="1:48">
      <c r="A6" s="118"/>
      <c r="B6" s="122">
        <v>2012</v>
      </c>
      <c r="C6" s="104"/>
      <c r="D6" s="123"/>
      <c r="E6" s="104">
        <v>2013</v>
      </c>
      <c r="F6" s="104"/>
      <c r="G6" s="104"/>
      <c r="H6" s="124">
        <v>2014</v>
      </c>
      <c r="I6" s="104"/>
      <c r="J6" s="104"/>
      <c r="K6" s="125">
        <v>2015</v>
      </c>
      <c r="L6" s="126"/>
      <c r="M6" s="126"/>
      <c r="N6" s="127">
        <v>2016</v>
      </c>
      <c r="O6" s="126"/>
      <c r="P6" s="128"/>
      <c r="Q6" s="104">
        <v>2017</v>
      </c>
      <c r="R6" s="104"/>
      <c r="S6" s="106"/>
      <c r="T6" s="104">
        <v>2018</v>
      </c>
      <c r="U6" s="104"/>
      <c r="V6" s="104"/>
      <c r="W6" s="103">
        <v>2019</v>
      </c>
      <c r="X6" s="104"/>
      <c r="Y6" s="106"/>
      <c r="Z6" s="103">
        <v>2020</v>
      </c>
      <c r="AA6" s="104"/>
      <c r="AB6" s="104"/>
      <c r="AC6" s="103">
        <v>2022</v>
      </c>
      <c r="AD6" s="104"/>
      <c r="AE6" s="106"/>
      <c r="AF6" s="103" t="s">
        <v>14</v>
      </c>
      <c r="AG6" s="104"/>
      <c r="AH6" s="105"/>
      <c r="AI6" s="121"/>
      <c r="AJ6" s="5"/>
    </row>
    <row r="7" spans="1:48" ht="21">
      <c r="A7" s="23" t="s">
        <v>7</v>
      </c>
      <c r="B7" s="24">
        <f>C7+D7</f>
        <v>641</v>
      </c>
      <c r="C7" s="24">
        <f>SUM(C8:C16)</f>
        <v>435</v>
      </c>
      <c r="D7" s="25">
        <f>SUM(D8:D16)</f>
        <v>206</v>
      </c>
      <c r="E7" s="26">
        <f>F7+G7</f>
        <v>699</v>
      </c>
      <c r="F7" s="24">
        <f>SUM(F8:F16)</f>
        <v>466</v>
      </c>
      <c r="G7" s="27">
        <f>SUM(G8:G16)</f>
        <v>233</v>
      </c>
      <c r="H7" s="28">
        <f>SUM(I7:J7)</f>
        <v>798</v>
      </c>
      <c r="I7" s="29">
        <f>SUM(I8:I16)</f>
        <v>521</v>
      </c>
      <c r="J7" s="30">
        <f>SUM(J8:J16)</f>
        <v>277</v>
      </c>
      <c r="K7" s="28">
        <f>SUM(L7:M7)</f>
        <v>145</v>
      </c>
      <c r="L7" s="29">
        <f>SUM(L8:L16)</f>
        <v>72</v>
      </c>
      <c r="M7" s="30">
        <f>SUM(M8:M16)</f>
        <v>73</v>
      </c>
      <c r="N7" s="31">
        <f>SUM(O7:P7)</f>
        <v>132</v>
      </c>
      <c r="O7" s="32">
        <f>SUM(O8:O16)</f>
        <v>54</v>
      </c>
      <c r="P7" s="33">
        <f>SUM(P8:P16)</f>
        <v>78</v>
      </c>
      <c r="Q7" s="34">
        <f>SUM(R7:S7)</f>
        <v>0</v>
      </c>
      <c r="R7" s="29">
        <f>SUM(R8:R16)</f>
        <v>0</v>
      </c>
      <c r="S7" s="35">
        <f>SUM(S8:S16)</f>
        <v>0</v>
      </c>
      <c r="T7" s="34">
        <f t="shared" ref="T7:T12" si="0">SUM(U7:V7)</f>
        <v>661</v>
      </c>
      <c r="U7" s="29">
        <f>SUM(U8:U16)</f>
        <v>435</v>
      </c>
      <c r="V7" s="30">
        <f>SUM(V8:V16)</f>
        <v>226</v>
      </c>
      <c r="W7" s="36">
        <f>SUM(X7:Y7)</f>
        <v>215</v>
      </c>
      <c r="X7" s="29">
        <f>SUM(X8:X16)</f>
        <v>108</v>
      </c>
      <c r="Y7" s="35">
        <f>SUM(Y8:Y16)</f>
        <v>107</v>
      </c>
      <c r="Z7" s="86">
        <f>AA7+AB7</f>
        <v>281</v>
      </c>
      <c r="AA7" s="86">
        <v>125</v>
      </c>
      <c r="AB7" s="86">
        <v>156</v>
      </c>
      <c r="AC7" s="95">
        <f>AD7+AE7</f>
        <v>0</v>
      </c>
      <c r="AD7" s="86">
        <f>SUM(AD8:AD12)</f>
        <v>0</v>
      </c>
      <c r="AE7" s="86">
        <f>SUM(AE8:AE12)</f>
        <v>0</v>
      </c>
      <c r="AF7" s="36">
        <f>H7+K7+N7+Q7+T7+W7+Z7+AC7</f>
        <v>2232</v>
      </c>
      <c r="AG7" s="36">
        <f>I7+L7+O7+R7+U7+X7+AA7+AD7</f>
        <v>1315</v>
      </c>
      <c r="AH7" s="36">
        <f>J7+M7+P7+S7+V7+Y7+AB7+AE7</f>
        <v>917</v>
      </c>
      <c r="AI7" s="37" t="s">
        <v>3</v>
      </c>
      <c r="AJ7" s="5"/>
      <c r="AT7" s="1">
        <v>423</v>
      </c>
      <c r="AU7" s="1" t="s">
        <v>2</v>
      </c>
      <c r="AV7" s="1">
        <f>AT7/AT9*100</f>
        <v>39.348837209302324</v>
      </c>
    </row>
    <row r="8" spans="1:48" ht="21">
      <c r="A8" s="3" t="s">
        <v>15</v>
      </c>
      <c r="B8" s="38">
        <f>SUM(C8:D8)</f>
        <v>91</v>
      </c>
      <c r="C8" s="39">
        <v>91</v>
      </c>
      <c r="D8" s="40">
        <v>0</v>
      </c>
      <c r="E8" s="41">
        <f>SUM(F8:G8)</f>
        <v>89</v>
      </c>
      <c r="F8" s="39">
        <v>89</v>
      </c>
      <c r="G8" s="42">
        <v>0</v>
      </c>
      <c r="H8" s="43">
        <f>SUM(I8:J8)</f>
        <v>90</v>
      </c>
      <c r="I8" s="43">
        <v>90</v>
      </c>
      <c r="J8" s="44">
        <v>0</v>
      </c>
      <c r="K8" s="45">
        <f t="shared" ref="K8:K16" si="1">SUM(L8:M8)</f>
        <v>0</v>
      </c>
      <c r="L8" s="46">
        <v>0</v>
      </c>
      <c r="M8" s="47">
        <v>0</v>
      </c>
      <c r="N8" s="48">
        <f t="shared" ref="N8:N16" si="2">SUM(O8:P8)</f>
        <v>0</v>
      </c>
      <c r="O8" s="46">
        <v>0</v>
      </c>
      <c r="P8" s="47">
        <v>0</v>
      </c>
      <c r="Q8" s="49">
        <v>0</v>
      </c>
      <c r="R8" s="49">
        <v>0</v>
      </c>
      <c r="S8" s="50">
        <v>0</v>
      </c>
      <c r="T8" s="49">
        <f t="shared" si="0"/>
        <v>90</v>
      </c>
      <c r="U8" s="51">
        <v>90</v>
      </c>
      <c r="V8" s="52">
        <v>0</v>
      </c>
      <c r="W8" s="88">
        <v>0</v>
      </c>
      <c r="X8" s="51">
        <v>0</v>
      </c>
      <c r="Y8" s="89">
        <v>0</v>
      </c>
      <c r="Z8" s="90">
        <v>0</v>
      </c>
      <c r="AA8" s="90">
        <v>0</v>
      </c>
      <c r="AB8" s="90">
        <v>0</v>
      </c>
      <c r="AC8" s="96">
        <v>0</v>
      </c>
      <c r="AD8" s="97"/>
      <c r="AE8" s="98"/>
      <c r="AF8" s="36">
        <f t="shared" ref="AF8:AF16" si="3">H8+K8+N8+Q8+T8+W8+Z8+AC8</f>
        <v>180</v>
      </c>
      <c r="AG8" s="88">
        <f t="shared" ref="AG8:AG16" si="4">I8+L8+O8+R8+U8+X8+AA8+AD8</f>
        <v>180</v>
      </c>
      <c r="AH8" s="88">
        <f t="shared" ref="AH8:AH16" si="5">J8+M8+P8+S8+V8+Y8+AB8+AE8</f>
        <v>0</v>
      </c>
      <c r="AI8" s="53" t="s">
        <v>16</v>
      </c>
      <c r="AJ8" s="5"/>
      <c r="AT8" s="1">
        <v>652</v>
      </c>
      <c r="AU8" s="1" t="s">
        <v>1</v>
      </c>
      <c r="AV8" s="1">
        <f>AT8/AT9*100</f>
        <v>60.651162790697676</v>
      </c>
    </row>
    <row r="9" spans="1:48" ht="21">
      <c r="A9" s="54" t="s">
        <v>17</v>
      </c>
      <c r="B9" s="38">
        <f t="shared" ref="B9:B16" si="6">SUM(C9:D9)</f>
        <v>74</v>
      </c>
      <c r="C9" s="39">
        <v>73</v>
      </c>
      <c r="D9" s="40">
        <v>1</v>
      </c>
      <c r="E9" s="41">
        <f t="shared" ref="E9:E16" si="7">SUM(F9:G9)</f>
        <v>74</v>
      </c>
      <c r="F9" s="39">
        <v>73</v>
      </c>
      <c r="G9" s="42">
        <v>1</v>
      </c>
      <c r="H9" s="43">
        <f t="shared" ref="H9:H16" si="8">SUM(I9:J9)</f>
        <v>72</v>
      </c>
      <c r="I9" s="43">
        <v>71</v>
      </c>
      <c r="J9" s="44">
        <v>1</v>
      </c>
      <c r="K9" s="45">
        <f t="shared" si="1"/>
        <v>0</v>
      </c>
      <c r="L9" s="46">
        <v>0</v>
      </c>
      <c r="M9" s="47">
        <v>0</v>
      </c>
      <c r="N9" s="48">
        <f t="shared" si="2"/>
        <v>0</v>
      </c>
      <c r="O9" s="46">
        <v>0</v>
      </c>
      <c r="P9" s="47">
        <v>0</v>
      </c>
      <c r="Q9" s="49">
        <v>0</v>
      </c>
      <c r="R9" s="49">
        <v>0</v>
      </c>
      <c r="S9" s="50">
        <v>0</v>
      </c>
      <c r="T9" s="49">
        <f t="shared" si="0"/>
        <v>72</v>
      </c>
      <c r="U9" s="51">
        <v>71</v>
      </c>
      <c r="V9" s="52">
        <v>1</v>
      </c>
      <c r="W9" s="88">
        <v>0</v>
      </c>
      <c r="X9" s="51">
        <v>0</v>
      </c>
      <c r="Y9" s="89">
        <v>0</v>
      </c>
      <c r="Z9" s="90">
        <v>0</v>
      </c>
      <c r="AA9" s="90">
        <v>0</v>
      </c>
      <c r="AB9" s="90">
        <v>0</v>
      </c>
      <c r="AC9" s="96">
        <v>0</v>
      </c>
      <c r="AD9" s="97"/>
      <c r="AE9" s="98"/>
      <c r="AF9" s="36">
        <f t="shared" si="3"/>
        <v>144</v>
      </c>
      <c r="AG9" s="88">
        <f t="shared" si="4"/>
        <v>142</v>
      </c>
      <c r="AH9" s="88">
        <f t="shared" si="5"/>
        <v>2</v>
      </c>
      <c r="AI9" s="53" t="s">
        <v>18</v>
      </c>
      <c r="AJ9" s="5"/>
      <c r="AT9" s="1">
        <v>1075</v>
      </c>
    </row>
    <row r="10" spans="1:48" ht="21">
      <c r="A10" s="54" t="s">
        <v>19</v>
      </c>
      <c r="B10" s="38">
        <f t="shared" si="6"/>
        <v>7</v>
      </c>
      <c r="C10" s="55">
        <v>7</v>
      </c>
      <c r="D10" s="56">
        <v>0</v>
      </c>
      <c r="E10" s="41">
        <f t="shared" si="7"/>
        <v>7</v>
      </c>
      <c r="F10" s="55">
        <v>7</v>
      </c>
      <c r="G10" s="57">
        <v>0</v>
      </c>
      <c r="H10" s="43">
        <f t="shared" si="8"/>
        <v>7</v>
      </c>
      <c r="I10" s="43">
        <v>7</v>
      </c>
      <c r="J10" s="44">
        <v>0</v>
      </c>
      <c r="K10" s="45">
        <f t="shared" si="1"/>
        <v>0</v>
      </c>
      <c r="L10" s="46">
        <v>0</v>
      </c>
      <c r="M10" s="47">
        <v>0</v>
      </c>
      <c r="N10" s="48">
        <f t="shared" si="2"/>
        <v>0</v>
      </c>
      <c r="O10" s="46">
        <v>0</v>
      </c>
      <c r="P10" s="47">
        <v>0</v>
      </c>
      <c r="Q10" s="49">
        <v>0</v>
      </c>
      <c r="R10" s="49">
        <v>0</v>
      </c>
      <c r="S10" s="50">
        <v>0</v>
      </c>
      <c r="T10" s="49">
        <f t="shared" si="0"/>
        <v>7</v>
      </c>
      <c r="U10" s="51">
        <v>7</v>
      </c>
      <c r="V10" s="52">
        <v>0</v>
      </c>
      <c r="W10" s="88">
        <v>0</v>
      </c>
      <c r="X10" s="51">
        <v>0</v>
      </c>
      <c r="Y10" s="89">
        <v>0</v>
      </c>
      <c r="Z10" s="90">
        <v>0</v>
      </c>
      <c r="AA10" s="90">
        <v>0</v>
      </c>
      <c r="AB10" s="90">
        <v>0</v>
      </c>
      <c r="AC10" s="96">
        <v>0</v>
      </c>
      <c r="AD10" s="97"/>
      <c r="AE10" s="98"/>
      <c r="AF10" s="36">
        <f t="shared" si="3"/>
        <v>14</v>
      </c>
      <c r="AG10" s="88">
        <f t="shared" si="4"/>
        <v>14</v>
      </c>
      <c r="AH10" s="88">
        <f t="shared" si="5"/>
        <v>0</v>
      </c>
      <c r="AI10" s="53" t="s">
        <v>20</v>
      </c>
      <c r="AJ10" s="5"/>
    </row>
    <row r="11" spans="1:48" ht="21">
      <c r="A11" s="3" t="s">
        <v>21</v>
      </c>
      <c r="B11" s="38">
        <f t="shared" si="6"/>
        <v>43</v>
      </c>
      <c r="C11" s="55">
        <v>25</v>
      </c>
      <c r="D11" s="56">
        <v>18</v>
      </c>
      <c r="E11" s="41">
        <f t="shared" si="7"/>
        <v>43</v>
      </c>
      <c r="F11" s="55">
        <v>25</v>
      </c>
      <c r="G11" s="57">
        <v>18</v>
      </c>
      <c r="H11" s="43">
        <f t="shared" si="8"/>
        <v>43</v>
      </c>
      <c r="I11" s="43">
        <v>25</v>
      </c>
      <c r="J11" s="44">
        <v>18</v>
      </c>
      <c r="K11" s="45">
        <f t="shared" si="1"/>
        <v>0</v>
      </c>
      <c r="L11" s="46">
        <v>0</v>
      </c>
      <c r="M11" s="47">
        <v>0</v>
      </c>
      <c r="N11" s="48">
        <f t="shared" si="2"/>
        <v>0</v>
      </c>
      <c r="O11" s="46">
        <v>0</v>
      </c>
      <c r="P11" s="47">
        <v>0</v>
      </c>
      <c r="Q11" s="49">
        <v>0</v>
      </c>
      <c r="R11" s="49">
        <v>0</v>
      </c>
      <c r="S11" s="50">
        <v>0</v>
      </c>
      <c r="T11" s="49">
        <f t="shared" si="0"/>
        <v>43</v>
      </c>
      <c r="U11" s="51">
        <v>25</v>
      </c>
      <c r="V11" s="52">
        <v>18</v>
      </c>
      <c r="W11" s="88">
        <v>0</v>
      </c>
      <c r="X11" s="51">
        <v>0</v>
      </c>
      <c r="Y11" s="89">
        <v>0</v>
      </c>
      <c r="Z11" s="90">
        <v>0</v>
      </c>
      <c r="AA11" s="90">
        <v>0</v>
      </c>
      <c r="AB11" s="90">
        <v>0</v>
      </c>
      <c r="AC11" s="96">
        <v>0</v>
      </c>
      <c r="AD11" s="97"/>
      <c r="AE11" s="98"/>
      <c r="AF11" s="36">
        <f t="shared" si="3"/>
        <v>86</v>
      </c>
      <c r="AG11" s="88">
        <f t="shared" si="4"/>
        <v>50</v>
      </c>
      <c r="AH11" s="88">
        <f t="shared" si="5"/>
        <v>36</v>
      </c>
      <c r="AI11" s="53" t="s">
        <v>22</v>
      </c>
      <c r="AJ11" s="5"/>
    </row>
    <row r="12" spans="1:48" ht="21">
      <c r="A12" s="3" t="s">
        <v>23</v>
      </c>
      <c r="B12" s="38">
        <f t="shared" si="6"/>
        <v>68</v>
      </c>
      <c r="C12" s="55">
        <v>31</v>
      </c>
      <c r="D12" s="56">
        <v>37</v>
      </c>
      <c r="E12" s="41">
        <f t="shared" si="7"/>
        <v>68</v>
      </c>
      <c r="F12" s="55">
        <v>31</v>
      </c>
      <c r="G12" s="57">
        <v>37</v>
      </c>
      <c r="H12" s="43">
        <f t="shared" si="8"/>
        <v>68</v>
      </c>
      <c r="I12" s="43">
        <v>31</v>
      </c>
      <c r="J12" s="44">
        <v>37</v>
      </c>
      <c r="K12" s="45">
        <f t="shared" si="1"/>
        <v>0</v>
      </c>
      <c r="L12" s="46">
        <v>0</v>
      </c>
      <c r="M12" s="47">
        <v>0</v>
      </c>
      <c r="N12" s="48">
        <f t="shared" si="2"/>
        <v>0</v>
      </c>
      <c r="O12" s="46">
        <v>0</v>
      </c>
      <c r="P12" s="47">
        <v>0</v>
      </c>
      <c r="Q12" s="49">
        <v>0</v>
      </c>
      <c r="R12" s="49">
        <v>0</v>
      </c>
      <c r="S12" s="50">
        <v>0</v>
      </c>
      <c r="T12" s="49">
        <f t="shared" si="0"/>
        <v>68</v>
      </c>
      <c r="U12" s="51">
        <v>31</v>
      </c>
      <c r="V12" s="52">
        <v>37</v>
      </c>
      <c r="W12" s="88">
        <v>0</v>
      </c>
      <c r="X12" s="51">
        <v>0</v>
      </c>
      <c r="Y12" s="89">
        <v>0</v>
      </c>
      <c r="Z12" s="90">
        <v>0</v>
      </c>
      <c r="AA12" s="90">
        <v>0</v>
      </c>
      <c r="AB12" s="90">
        <v>0</v>
      </c>
      <c r="AC12" s="96">
        <v>0</v>
      </c>
      <c r="AD12" s="97"/>
      <c r="AE12" s="98"/>
      <c r="AF12" s="36">
        <f t="shared" si="3"/>
        <v>136</v>
      </c>
      <c r="AG12" s="88">
        <f t="shared" si="4"/>
        <v>62</v>
      </c>
      <c r="AH12" s="88">
        <f t="shared" si="5"/>
        <v>74</v>
      </c>
      <c r="AI12" s="53" t="s">
        <v>24</v>
      </c>
      <c r="AJ12" s="5"/>
    </row>
    <row r="13" spans="1:48" ht="21">
      <c r="A13" s="54" t="s">
        <v>25</v>
      </c>
      <c r="B13" s="38">
        <f t="shared" si="6"/>
        <v>331</v>
      </c>
      <c r="C13" s="55">
        <v>183</v>
      </c>
      <c r="D13" s="56">
        <v>148</v>
      </c>
      <c r="E13" s="41">
        <f t="shared" si="7"/>
        <v>391</v>
      </c>
      <c r="F13" s="55">
        <v>216</v>
      </c>
      <c r="G13" s="57">
        <v>175</v>
      </c>
      <c r="H13" s="43">
        <f t="shared" si="8"/>
        <v>492</v>
      </c>
      <c r="I13" s="58">
        <v>273</v>
      </c>
      <c r="J13" s="59">
        <v>219</v>
      </c>
      <c r="K13" s="45">
        <f t="shared" si="1"/>
        <v>145</v>
      </c>
      <c r="L13" s="55">
        <v>72</v>
      </c>
      <c r="M13" s="56">
        <v>73</v>
      </c>
      <c r="N13" s="48">
        <f t="shared" si="2"/>
        <v>132</v>
      </c>
      <c r="O13" s="55">
        <v>54</v>
      </c>
      <c r="P13" s="56">
        <v>78</v>
      </c>
      <c r="Q13" s="49">
        <v>0</v>
      </c>
      <c r="R13" s="49">
        <v>0</v>
      </c>
      <c r="S13" s="50">
        <v>0</v>
      </c>
      <c r="T13" s="49">
        <v>355</v>
      </c>
      <c r="U13" s="51">
        <v>187</v>
      </c>
      <c r="V13" s="52">
        <v>168</v>
      </c>
      <c r="W13" s="88">
        <v>215</v>
      </c>
      <c r="X13" s="51">
        <v>108</v>
      </c>
      <c r="Y13" s="89">
        <v>107</v>
      </c>
      <c r="Z13" s="86">
        <f>AA13+AB13</f>
        <v>281</v>
      </c>
      <c r="AA13" s="86">
        <v>125</v>
      </c>
      <c r="AB13" s="86">
        <v>156</v>
      </c>
      <c r="AC13" s="95">
        <f>AD13+AE13</f>
        <v>0</v>
      </c>
      <c r="AD13" s="86">
        <f>SUM(AD14:AD16)</f>
        <v>0</v>
      </c>
      <c r="AE13" s="86">
        <f>SUM(AE14:AE16)</f>
        <v>0</v>
      </c>
      <c r="AF13" s="36">
        <f t="shared" si="3"/>
        <v>1620</v>
      </c>
      <c r="AG13" s="88">
        <f t="shared" si="4"/>
        <v>819</v>
      </c>
      <c r="AH13" s="88">
        <f t="shared" si="5"/>
        <v>801</v>
      </c>
      <c r="AI13" s="53" t="s">
        <v>26</v>
      </c>
      <c r="AJ13" s="5"/>
    </row>
    <row r="14" spans="1:48" ht="21">
      <c r="A14" s="3" t="s">
        <v>27</v>
      </c>
      <c r="B14" s="38">
        <f t="shared" si="6"/>
        <v>10</v>
      </c>
      <c r="C14" s="55">
        <v>8</v>
      </c>
      <c r="D14" s="56">
        <v>2</v>
      </c>
      <c r="E14" s="41">
        <f t="shared" si="7"/>
        <v>11</v>
      </c>
      <c r="F14" s="55">
        <v>9</v>
      </c>
      <c r="G14" s="57">
        <v>2</v>
      </c>
      <c r="H14" s="43">
        <f t="shared" si="8"/>
        <v>11</v>
      </c>
      <c r="I14" s="43">
        <v>9</v>
      </c>
      <c r="J14" s="44">
        <v>2</v>
      </c>
      <c r="K14" s="45">
        <f t="shared" si="1"/>
        <v>0</v>
      </c>
      <c r="L14" s="46">
        <v>0</v>
      </c>
      <c r="M14" s="47">
        <v>0</v>
      </c>
      <c r="N14" s="48">
        <f t="shared" si="2"/>
        <v>0</v>
      </c>
      <c r="O14" s="46">
        <v>0</v>
      </c>
      <c r="P14" s="47">
        <v>0</v>
      </c>
      <c r="Q14" s="49">
        <v>0</v>
      </c>
      <c r="R14" s="49">
        <v>0</v>
      </c>
      <c r="S14" s="50">
        <v>0</v>
      </c>
      <c r="T14" s="49">
        <f>SUM(U14:V14)</f>
        <v>11</v>
      </c>
      <c r="U14" s="51">
        <v>9</v>
      </c>
      <c r="V14" s="52">
        <v>2</v>
      </c>
      <c r="W14" s="88">
        <v>0</v>
      </c>
      <c r="X14" s="51">
        <v>0</v>
      </c>
      <c r="Y14" s="89">
        <v>0</v>
      </c>
      <c r="Z14" s="90">
        <v>0</v>
      </c>
      <c r="AA14" s="90">
        <v>0</v>
      </c>
      <c r="AB14" s="90">
        <v>0</v>
      </c>
      <c r="AC14" s="96">
        <v>0</v>
      </c>
      <c r="AD14" s="97"/>
      <c r="AE14" s="98"/>
      <c r="AF14" s="36">
        <f t="shared" si="3"/>
        <v>22</v>
      </c>
      <c r="AG14" s="88">
        <f t="shared" si="4"/>
        <v>18</v>
      </c>
      <c r="AH14" s="88">
        <f t="shared" si="5"/>
        <v>4</v>
      </c>
      <c r="AI14" s="53" t="s">
        <v>28</v>
      </c>
      <c r="AJ14" s="5"/>
    </row>
    <row r="15" spans="1:48" ht="21">
      <c r="A15" s="54" t="s">
        <v>29</v>
      </c>
      <c r="B15" s="38">
        <f t="shared" si="6"/>
        <v>2</v>
      </c>
      <c r="C15" s="55">
        <v>2</v>
      </c>
      <c r="D15" s="56">
        <v>0</v>
      </c>
      <c r="E15" s="41">
        <f t="shared" si="7"/>
        <v>1</v>
      </c>
      <c r="F15" s="55">
        <v>1</v>
      </c>
      <c r="G15" s="57">
        <v>0</v>
      </c>
      <c r="H15" s="43">
        <f t="shared" si="8"/>
        <v>1</v>
      </c>
      <c r="I15" s="43">
        <v>1</v>
      </c>
      <c r="J15" s="44">
        <v>0</v>
      </c>
      <c r="K15" s="45">
        <f t="shared" si="1"/>
        <v>0</v>
      </c>
      <c r="L15" s="46">
        <v>0</v>
      </c>
      <c r="M15" s="47">
        <v>0</v>
      </c>
      <c r="N15" s="48">
        <f t="shared" si="2"/>
        <v>0</v>
      </c>
      <c r="O15" s="46">
        <v>0</v>
      </c>
      <c r="P15" s="47">
        <v>0</v>
      </c>
      <c r="Q15" s="49">
        <v>0</v>
      </c>
      <c r="R15" s="49">
        <v>0</v>
      </c>
      <c r="S15" s="50">
        <v>0</v>
      </c>
      <c r="T15" s="49">
        <f>SUM(U15:V15)</f>
        <v>1</v>
      </c>
      <c r="U15" s="51">
        <v>1</v>
      </c>
      <c r="V15" s="52">
        <v>0</v>
      </c>
      <c r="W15" s="88">
        <v>0</v>
      </c>
      <c r="X15" s="51">
        <v>0</v>
      </c>
      <c r="Y15" s="89">
        <v>0</v>
      </c>
      <c r="Z15" s="90">
        <v>0</v>
      </c>
      <c r="AA15" s="90">
        <v>0</v>
      </c>
      <c r="AB15" s="90">
        <v>0</v>
      </c>
      <c r="AC15" s="96">
        <v>0</v>
      </c>
      <c r="AD15" s="97"/>
      <c r="AE15" s="98"/>
      <c r="AF15" s="36">
        <f t="shared" si="3"/>
        <v>2</v>
      </c>
      <c r="AG15" s="88">
        <f t="shared" si="4"/>
        <v>2</v>
      </c>
      <c r="AH15" s="88">
        <f t="shared" si="5"/>
        <v>0</v>
      </c>
      <c r="AI15" s="53" t="s">
        <v>30</v>
      </c>
      <c r="AJ15" s="5"/>
    </row>
    <row r="16" spans="1:48" ht="21">
      <c r="A16" s="60" t="s">
        <v>31</v>
      </c>
      <c r="B16" s="61">
        <f t="shared" si="6"/>
        <v>15</v>
      </c>
      <c r="C16" s="62">
        <v>15</v>
      </c>
      <c r="D16" s="63">
        <v>0</v>
      </c>
      <c r="E16" s="64">
        <f t="shared" si="7"/>
        <v>15</v>
      </c>
      <c r="F16" s="62">
        <v>15</v>
      </c>
      <c r="G16" s="65">
        <v>0</v>
      </c>
      <c r="H16" s="66">
        <f t="shared" si="8"/>
        <v>14</v>
      </c>
      <c r="I16" s="66">
        <v>14</v>
      </c>
      <c r="J16" s="67">
        <v>0</v>
      </c>
      <c r="K16" s="68">
        <f t="shared" si="1"/>
        <v>0</v>
      </c>
      <c r="L16" s="69">
        <v>0</v>
      </c>
      <c r="M16" s="70">
        <v>0</v>
      </c>
      <c r="N16" s="69">
        <f t="shared" si="2"/>
        <v>0</v>
      </c>
      <c r="O16" s="69">
        <v>0</v>
      </c>
      <c r="P16" s="70">
        <v>0</v>
      </c>
      <c r="Q16" s="71">
        <v>0</v>
      </c>
      <c r="R16" s="71">
        <v>0</v>
      </c>
      <c r="S16" s="72">
        <v>0</v>
      </c>
      <c r="T16" s="71">
        <f>SUM(U16:V16)</f>
        <v>14</v>
      </c>
      <c r="U16" s="66">
        <v>14</v>
      </c>
      <c r="V16" s="67">
        <v>0</v>
      </c>
      <c r="W16" s="91">
        <v>0</v>
      </c>
      <c r="X16" s="66">
        <v>0</v>
      </c>
      <c r="Y16" s="92">
        <v>0</v>
      </c>
      <c r="Z16" s="93">
        <v>0</v>
      </c>
      <c r="AA16" s="94">
        <v>0</v>
      </c>
      <c r="AB16" s="94">
        <v>0</v>
      </c>
      <c r="AC16" s="93">
        <v>0</v>
      </c>
      <c r="AD16" s="99"/>
      <c r="AE16" s="100"/>
      <c r="AF16" s="73">
        <f t="shared" si="3"/>
        <v>28</v>
      </c>
      <c r="AG16" s="91">
        <f t="shared" si="4"/>
        <v>28</v>
      </c>
      <c r="AH16" s="91">
        <f t="shared" si="5"/>
        <v>0</v>
      </c>
      <c r="AI16" s="74" t="s">
        <v>0</v>
      </c>
      <c r="AJ16" s="5"/>
    </row>
    <row r="17" spans="1:36" ht="18.75">
      <c r="A17" s="2"/>
      <c r="B17" s="75"/>
      <c r="C17" s="75"/>
      <c r="D17" s="75"/>
      <c r="E17" s="75"/>
      <c r="F17" s="75"/>
      <c r="G17" s="4"/>
      <c r="H17" s="76"/>
      <c r="I17" s="76"/>
      <c r="J17" s="76"/>
      <c r="Q17" s="77"/>
      <c r="R17" s="78"/>
      <c r="S17" s="78"/>
      <c r="T17" s="77"/>
      <c r="U17" s="78"/>
      <c r="V17" s="78"/>
      <c r="W17" s="77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101" t="s">
        <v>33</v>
      </c>
      <c r="AJ17" s="5"/>
    </row>
    <row r="18" spans="1:36" ht="18.75">
      <c r="A18" s="2" t="s">
        <v>38</v>
      </c>
      <c r="Z18" s="81"/>
      <c r="AA18" s="81"/>
      <c r="AB18" s="81"/>
      <c r="AC18" s="81"/>
      <c r="AD18" s="81"/>
      <c r="AE18" s="81"/>
      <c r="AF18" s="81"/>
      <c r="AG18" s="81"/>
      <c r="AH18" s="81"/>
      <c r="AI18" s="79" t="s">
        <v>32</v>
      </c>
      <c r="AJ18" s="5"/>
    </row>
    <row r="19" spans="1:36" ht="18.75">
      <c r="A19" s="107"/>
      <c r="B19" s="108"/>
      <c r="C19" s="108"/>
      <c r="D19" s="109"/>
      <c r="E19" s="82"/>
      <c r="F19" s="82"/>
      <c r="G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79" t="s">
        <v>34</v>
      </c>
      <c r="AJ19" s="5"/>
    </row>
    <row r="20" spans="1:36" ht="17.25">
      <c r="AI20" s="87" t="s">
        <v>35</v>
      </c>
      <c r="AJ20" s="5"/>
    </row>
    <row r="21" spans="1:36">
      <c r="A21" s="83"/>
      <c r="B21" s="81"/>
      <c r="C21" s="81"/>
      <c r="D21" s="81"/>
      <c r="E21" s="81"/>
      <c r="F21" s="81"/>
      <c r="G21" s="81"/>
      <c r="H21" s="81"/>
      <c r="I21" s="81"/>
      <c r="Q21" s="81"/>
      <c r="R21" s="81"/>
      <c r="S21" s="81"/>
      <c r="T21" s="81"/>
      <c r="U21" s="81"/>
      <c r="W21" s="81"/>
      <c r="X21" s="81"/>
      <c r="Z21" s="84"/>
      <c r="AA21" s="84"/>
      <c r="AB21" s="84"/>
      <c r="AC21" s="84"/>
      <c r="AD21" s="84"/>
      <c r="AE21" s="84"/>
      <c r="AF21" s="84"/>
      <c r="AG21" s="84"/>
      <c r="AH21" s="84"/>
      <c r="AJ21" s="5"/>
    </row>
    <row r="22" spans="1:36">
      <c r="A22" s="83"/>
      <c r="B22" s="81"/>
      <c r="C22" s="81"/>
      <c r="D22" s="81"/>
      <c r="E22" s="81"/>
      <c r="F22" s="81"/>
      <c r="G22" s="81"/>
      <c r="H22" s="81"/>
      <c r="I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J22" s="5"/>
    </row>
    <row r="23" spans="1:36">
      <c r="T23" s="81"/>
      <c r="W23" s="81"/>
      <c r="AJ23" s="85"/>
    </row>
    <row r="24" spans="1:36">
      <c r="T24" s="81"/>
      <c r="W24" s="81"/>
      <c r="AJ24" s="85"/>
    </row>
    <row r="25" spans="1:36">
      <c r="T25" s="81"/>
      <c r="W25" s="81"/>
      <c r="AJ25" s="85"/>
    </row>
    <row r="26" spans="1:36" ht="14.25">
      <c r="A26" s="102"/>
      <c r="AJ26" s="85"/>
    </row>
  </sheetData>
  <mergeCells count="17">
    <mergeCell ref="W6:Y6"/>
    <mergeCell ref="AF6:AH6"/>
    <mergeCell ref="AC6:AE6"/>
    <mergeCell ref="A19:D19"/>
    <mergeCell ref="A1:AI1"/>
    <mergeCell ref="A2:AI2"/>
    <mergeCell ref="A3:AI3"/>
    <mergeCell ref="A4:A6"/>
    <mergeCell ref="AI4:AI6"/>
    <mergeCell ref="B6:D6"/>
    <mergeCell ref="E6:G6"/>
    <mergeCell ref="H6:J6"/>
    <mergeCell ref="K6:M6"/>
    <mergeCell ref="N6:P6"/>
    <mergeCell ref="Z6:AB6"/>
    <mergeCell ref="Q6:S6"/>
    <mergeCell ref="T6:V6"/>
  </mergeCells>
  <pageMargins left="0.7" right="0.7" top="0.75" bottom="0.75" header="0.3" footer="0.3"/>
  <pageSetup paperSize="9" scale="47" orientation="portrait" r:id="rId1"/>
  <colBreaks count="1" manualBreakCount="1">
    <brk id="36" max="1048575" man="1"/>
  </colBreaks>
  <ignoredErrors>
    <ignoredError sqref="T7:AE7 U8:AE16" formula="1"/>
    <ignoredError sqref="T8:T16" formula="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8.42</vt:lpstr>
      <vt:lpstr>'8.42'!Print_Area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2023-05-16T13:58:39Z</cp:lastPrinted>
  <dcterms:created xsi:type="dcterms:W3CDTF">2019-06-30T04:22:49Z</dcterms:created>
  <dcterms:modified xsi:type="dcterms:W3CDTF">2023-05-16T13:58:44Z</dcterms:modified>
</cp:coreProperties>
</file>