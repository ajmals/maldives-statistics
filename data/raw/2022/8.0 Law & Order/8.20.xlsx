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D131AAE6-0C80-40C5-BD7B-4FBC5379B17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0" sheetId="19" r:id="rId1"/>
  </sheets>
  <definedNames>
    <definedName name="_xlnm.Print_Area" localSheetId="0">'8.20'!$A$1:$Q$52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19" l="1"/>
  <c r="G34" i="19"/>
  <c r="E34" i="19"/>
  <c r="D34" i="19"/>
  <c r="C34" i="19"/>
  <c r="L33" i="19"/>
  <c r="G33" i="19"/>
  <c r="E33" i="19"/>
  <c r="D33" i="19"/>
  <c r="C33" i="19"/>
  <c r="L32" i="19"/>
  <c r="G32" i="19"/>
  <c r="E32" i="19"/>
  <c r="D32" i="19"/>
  <c r="C32" i="19"/>
  <c r="L31" i="19"/>
  <c r="G31" i="19"/>
  <c r="E31" i="19"/>
  <c r="D31" i="19"/>
  <c r="C31" i="19"/>
  <c r="L30" i="19"/>
  <c r="G30" i="19"/>
  <c r="E30" i="19"/>
  <c r="D30" i="19"/>
  <c r="C30" i="19"/>
  <c r="L29" i="19"/>
  <c r="G29" i="19"/>
  <c r="E29" i="19"/>
  <c r="D29" i="19"/>
  <c r="C29" i="19"/>
  <c r="L28" i="19"/>
  <c r="G28" i="19"/>
  <c r="E28" i="19"/>
  <c r="D28" i="19"/>
  <c r="C28" i="19"/>
  <c r="L27" i="19"/>
  <c r="G27" i="19"/>
  <c r="E27" i="19"/>
  <c r="D27" i="19"/>
  <c r="C27" i="19"/>
  <c r="L26" i="19"/>
  <c r="G26" i="19"/>
  <c r="E26" i="19"/>
  <c r="D26" i="19"/>
  <c r="C26" i="19"/>
  <c r="L25" i="19"/>
  <c r="G25" i="19"/>
  <c r="E25" i="19"/>
  <c r="D25" i="19"/>
  <c r="C25" i="19"/>
  <c r="L24" i="19"/>
  <c r="G24" i="19"/>
  <c r="E24" i="19"/>
  <c r="D24" i="19"/>
  <c r="C24" i="19"/>
  <c r="L23" i="19"/>
  <c r="G23" i="19"/>
  <c r="E23" i="19"/>
  <c r="D23" i="19"/>
  <c r="C23" i="19"/>
  <c r="L22" i="19"/>
  <c r="G22" i="19"/>
  <c r="E22" i="19"/>
  <c r="D22" i="19"/>
  <c r="C22" i="19"/>
  <c r="L21" i="19"/>
  <c r="G21" i="19"/>
  <c r="E21" i="19"/>
  <c r="D21" i="19"/>
  <c r="C21" i="19"/>
  <c r="L20" i="19"/>
  <c r="G20" i="19"/>
  <c r="E20" i="19"/>
  <c r="D20" i="19"/>
  <c r="C20" i="19"/>
  <c r="L19" i="19"/>
  <c r="G19" i="19"/>
  <c r="E19" i="19"/>
  <c r="D19" i="19"/>
  <c r="C19" i="19"/>
  <c r="L18" i="19"/>
  <c r="G18" i="19"/>
  <c r="E18" i="19"/>
  <c r="D18" i="19"/>
  <c r="C18" i="19"/>
  <c r="L17" i="19"/>
  <c r="G17" i="19"/>
  <c r="E17" i="19"/>
  <c r="D17" i="19"/>
  <c r="C17" i="19"/>
  <c r="L16" i="19"/>
  <c r="G16" i="19"/>
  <c r="E16" i="19"/>
  <c r="D16" i="19"/>
  <c r="C16" i="19"/>
  <c r="L15" i="19"/>
  <c r="G15" i="19"/>
  <c r="E15" i="19"/>
  <c r="D15" i="19"/>
  <c r="C15" i="19"/>
  <c r="L14" i="19"/>
  <c r="G14" i="19"/>
  <c r="E14" i="19"/>
  <c r="D14" i="19"/>
  <c r="C14" i="19"/>
  <c r="L13" i="19"/>
  <c r="G13" i="19"/>
  <c r="E13" i="19"/>
  <c r="D13" i="19"/>
  <c r="C13" i="19"/>
  <c r="L12" i="19"/>
  <c r="G12" i="19"/>
  <c r="E12" i="19"/>
  <c r="D12" i="19"/>
  <c r="C12" i="19"/>
  <c r="L11" i="19"/>
  <c r="G11" i="19"/>
  <c r="E11" i="19"/>
  <c r="D11" i="19"/>
  <c r="C11" i="19"/>
  <c r="L10" i="19"/>
  <c r="G10" i="19"/>
  <c r="E10" i="19"/>
  <c r="D10" i="19"/>
  <c r="C10" i="19"/>
  <c r="O9" i="19"/>
  <c r="AL39" i="19" s="1"/>
  <c r="N9" i="19"/>
  <c r="AL38" i="19" s="1"/>
  <c r="M9" i="19"/>
  <c r="AL37" i="19" s="1"/>
  <c r="J9" i="19"/>
  <c r="AK39" i="19" s="1"/>
  <c r="I9" i="19"/>
  <c r="AK38" i="19" s="1"/>
  <c r="H9" i="19"/>
  <c r="AK37" i="19" s="1"/>
  <c r="B31" i="19" l="1"/>
  <c r="B14" i="19"/>
  <c r="AM16" i="19"/>
  <c r="B11" i="19"/>
  <c r="AM15" i="19"/>
  <c r="B18" i="19"/>
  <c r="B34" i="19"/>
  <c r="B16" i="19"/>
  <c r="AM14" i="19"/>
  <c r="B15" i="19"/>
  <c r="B13" i="19"/>
  <c r="B29" i="19"/>
  <c r="B33" i="19"/>
  <c r="B24" i="19"/>
  <c r="C9" i="19"/>
  <c r="L9" i="19"/>
  <c r="B21" i="19"/>
  <c r="B28" i="19"/>
  <c r="B25" i="19"/>
  <c r="B17" i="19"/>
  <c r="B20" i="19"/>
  <c r="B12" i="19"/>
  <c r="B27" i="19"/>
  <c r="B30" i="19"/>
  <c r="D9" i="19"/>
  <c r="B23" i="19"/>
  <c r="B26" i="19"/>
  <c r="G9" i="19"/>
  <c r="B10" i="19"/>
  <c r="B19" i="19"/>
  <c r="B22" i="19"/>
  <c r="B32" i="19"/>
  <c r="E9" i="19"/>
  <c r="B9" i="19" l="1"/>
</calcChain>
</file>

<file path=xl/sharedStrings.xml><?xml version="1.0" encoding="utf-8"?>
<sst xmlns="http://schemas.openxmlformats.org/spreadsheetml/2006/main" count="97" uniqueCount="73">
  <si>
    <t>Theft</t>
  </si>
  <si>
    <t>Total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</si>
  <si>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</si>
  <si>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</si>
  <si>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</si>
  <si>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</si>
  <si>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</si>
  <si>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</si>
  <si>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</si>
  <si>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</si>
  <si>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</si>
  <si>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</si>
  <si>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</si>
  <si>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</si>
  <si>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</si>
  <si>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</si>
  <si>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</si>
  <si>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</si>
  <si>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</si>
  <si>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</si>
  <si>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</si>
  <si>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</si>
  <si>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</si>
  <si>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</si>
  <si>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</si>
  <si>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</si>
  <si>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</si>
  <si>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</si>
  <si>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</si>
  <si>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</si>
  <si>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</si>
  <si>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</si>
  <si>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</si>
  <si>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</si>
  <si>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</si>
  <si>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</si>
  <si>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</si>
  <si>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</si>
  <si>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</si>
  <si>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</si>
  <si>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</si>
  <si>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</si>
  <si>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</si>
  <si>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</si>
  <si>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</si>
  <si>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</si>
  <si>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</si>
  <si>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</si>
  <si>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</si>
  <si>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</si>
  <si>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</si>
  <si>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</si>
  <si>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</si>
  <si>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</si>
  <si>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</si>
  <si>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</si>
  <si>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</si>
  <si>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</si>
  <si>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ޖިންސީ މައްސަލަ</t>
  </si>
  <si>
    <t>&lt; 18 yrs</t>
  </si>
  <si>
    <t>18 - 34 yrs</t>
  </si>
  <si>
    <t>35 yrs  and above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</si>
  <si>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</si>
  <si>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</si>
  <si>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</si>
  <si>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</si>
  <si>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</si>
  <si>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</si>
  <si>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</si>
  <si>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</si>
  <si>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Note: Foreigners without ages are not included in this total</t>
  </si>
  <si>
    <t>Table 8.20: NUMBER OF VICTIMS BY TYPE OF OFFENCES, GENDER AND AGE GROUP, 2021</t>
  </si>
  <si>
    <t>ތާވަލު 8.20: ހުށަހެޅިފައިވާ މައްސަލަތަކުގައި އަނިޔާލިބިފައިވާ މީހުންގެ އަދަދު ޖިންސް އަދި އުމުރުފުރާއިން،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</si>
</sst>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rgb="FF00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9"/>
      <name val="P_Faruma"/>
    </font>
    <font>
      <sz val="8"/>
      <color rgb="FF000000"/>
      <name val="Faruma"/>
      <family val="3"/>
    </font>
    <font>
      <i/>
      <sz val="9"/>
      <color rgb="FF000000"/>
      <name val="Calibri"/>
      <family val="2"/>
      <scheme val="minor"/>
    </font>
    <font>
      <b/>
      <sz val="10"/>
      <name val="Faruma"/>
      <family val="3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7" fillId="0" borderId="0"/>
    <xf numFmtId="0" fontId="22" fillId="0" borderId="6" applyNumberFormat="0" applyFill="0" applyAlignment="0" applyProtection="0"/>
    <xf numFmtId="0" fontId="17" fillId="0" borderId="0"/>
    <xf numFmtId="0" fontId="17" fillId="0" borderId="0"/>
  </cellStyleXfs>
  <cellXfs count="62">
    <xf numFmtId="0" fontId="0" fillId="0" borderId="0" xfId="0"/>
    <xf numFmtId="164" fontId="4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right" vertical="center" indent="1"/>
    </xf>
    <xf numFmtId="164" fontId="3" fillId="2" borderId="2" xfId="0" applyNumberFormat="1" applyFont="1" applyFill="1" applyBorder="1" applyAlignment="1">
      <alignment horizontal="right" vertical="center" indent="1"/>
    </xf>
    <xf numFmtId="164" fontId="4" fillId="2" borderId="0" xfId="0" applyNumberFormat="1" applyFont="1" applyFill="1" applyAlignment="1">
      <alignment horizontal="left" vertical="center" indent="1"/>
    </xf>
    <xf numFmtId="164" fontId="4" fillId="2" borderId="2" xfId="0" applyNumberFormat="1" applyFont="1" applyFill="1" applyBorder="1" applyAlignment="1">
      <alignment horizontal="left" vertical="center" indent="1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3" fontId="7" fillId="2" borderId="0" xfId="0" applyNumberFormat="1" applyFont="1" applyFill="1" applyAlignment="1">
      <alignment horizontal="right" vertical="center"/>
    </xf>
    <xf numFmtId="0" fontId="5" fillId="2" borderId="0" xfId="0" applyFont="1" applyFill="1"/>
    <xf numFmtId="0" fontId="7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vertical="top"/>
    </xf>
    <xf numFmtId="0" fontId="16" fillId="2" borderId="3" xfId="0" applyFont="1" applyFill="1" applyBorder="1" applyAlignment="1">
      <alignment vertical="center"/>
    </xf>
    <xf numFmtId="3" fontId="0" fillId="2" borderId="0" xfId="0" applyNumberFormat="1" applyFill="1"/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5" fillId="2" borderId="2" xfId="0" applyFont="1" applyFill="1" applyBorder="1"/>
    <xf numFmtId="0" fontId="10" fillId="2" borderId="0" xfId="0" applyFont="1" applyFill="1"/>
    <xf numFmtId="0" fontId="12" fillId="2" borderId="0" xfId="0" applyFont="1" applyFill="1" applyAlignment="1">
      <alignment horizontal="center" vertical="center"/>
    </xf>
    <xf numFmtId="3" fontId="0" fillId="2" borderId="0" xfId="0" applyNumberFormat="1" applyFill="1" applyAlignment="1">
      <alignment vertical="center"/>
    </xf>
    <xf numFmtId="0" fontId="13" fillId="2" borderId="0" xfId="0" applyFont="1" applyFill="1"/>
    <xf numFmtId="0" fontId="10" fillId="2" borderId="0" xfId="0" applyFont="1" applyFill="1" applyAlignment="1">
      <alignment vertical="center"/>
    </xf>
    <xf numFmtId="3" fontId="10" fillId="2" borderId="0" xfId="0" applyNumberFormat="1" applyFont="1" applyFill="1" applyAlignment="1">
      <alignment vertical="center"/>
    </xf>
    <xf numFmtId="1" fontId="0" fillId="2" borderId="0" xfId="0" applyNumberFormat="1" applyFill="1" applyAlignment="1">
      <alignment vertical="center"/>
    </xf>
    <xf numFmtId="0" fontId="9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 indent="3"/>
    </xf>
    <xf numFmtId="0" fontId="11" fillId="2" borderId="0" xfId="0" applyFont="1" applyFill="1" applyAlignment="1">
      <alignment vertical="center"/>
    </xf>
    <xf numFmtId="3" fontId="0" fillId="2" borderId="0" xfId="0" applyNumberFormat="1" applyFill="1" applyAlignment="1">
      <alignment horizontal="right" vertical="center" indent="3"/>
    </xf>
    <xf numFmtId="0" fontId="18" fillId="2" borderId="0" xfId="4" applyFont="1" applyFill="1" applyAlignment="1">
      <alignment horizontal="right" vertical="center" wrapText="1"/>
    </xf>
    <xf numFmtId="0" fontId="19" fillId="2" borderId="0" xfId="0" applyFont="1" applyFill="1" applyAlignment="1">
      <alignment horizontal="right" vertical="center" wrapText="1"/>
    </xf>
    <xf numFmtId="0" fontId="16" fillId="2" borderId="0" xfId="0" applyFont="1" applyFill="1" applyAlignment="1">
      <alignment horizontal="right" vertical="center" wrapText="1"/>
    </xf>
    <xf numFmtId="3" fontId="0" fillId="2" borderId="2" xfId="0" applyNumberFormat="1" applyFill="1" applyBorder="1" applyAlignment="1">
      <alignment horizontal="right" vertical="center" indent="3"/>
    </xf>
    <xf numFmtId="0" fontId="16" fillId="2" borderId="0" xfId="0" applyFont="1" applyFill="1" applyAlignment="1">
      <alignment vertical="center"/>
    </xf>
    <xf numFmtId="0" fontId="0" fillId="2" borderId="0" xfId="0" applyFill="1" applyAlignment="1">
      <alignment wrapText="1"/>
    </xf>
    <xf numFmtId="164" fontId="4" fillId="2" borderId="0" xfId="0" applyNumberFormat="1" applyFont="1" applyFill="1" applyAlignment="1">
      <alignment horizontal="left" vertical="center" wrapText="1" indent="1"/>
    </xf>
    <xf numFmtId="164" fontId="3" fillId="2" borderId="0" xfId="0" applyNumberFormat="1" applyFont="1" applyFill="1" applyAlignment="1">
      <alignment horizontal="right" vertical="center" wrapText="1" indent="1"/>
    </xf>
    <xf numFmtId="3" fontId="0" fillId="2" borderId="0" xfId="0" applyNumberFormat="1" applyFill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164" fontId="20" fillId="2" borderId="0" xfId="0" applyNumberFormat="1" applyFont="1" applyFill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 indent="3"/>
    </xf>
    <xf numFmtId="0" fontId="21" fillId="2" borderId="2" xfId="4" applyFont="1" applyFill="1" applyBorder="1" applyAlignment="1">
      <alignment horizontal="center" vertical="center" wrapText="1" readingOrder="2"/>
    </xf>
    <xf numFmtId="0" fontId="21" fillId="2" borderId="2" xfId="4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15" fillId="2" borderId="2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</cellXfs>
  <cellStyles count="8">
    <cellStyle name="1" xfId="7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II-14(Population)" xfId="4" xr:uid="{00000000-0005-0000-0000-00000A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8B8B"/>
              </a:solidFill>
            </c:spPr>
            <c:extLst>
              <c:ext xmlns:c16="http://schemas.microsoft.com/office/drawing/2014/chart" uri="{C3380CC4-5D6E-409C-BE32-E72D297353CC}">
                <c16:uniqueId val="{00000001-5CF1-41D9-B1F3-BF3ECD7C8677}"/>
              </c:ext>
            </c:extLst>
          </c:dPt>
          <c:dPt>
            <c:idx val="1"/>
            <c:bubble3D val="0"/>
            <c:spPr>
              <a:solidFill>
                <a:srgbClr val="FF6969"/>
              </a:solidFill>
            </c:spPr>
            <c:extLst>
              <c:ext xmlns:c16="http://schemas.microsoft.com/office/drawing/2014/chart" uri="{C3380CC4-5D6E-409C-BE32-E72D297353CC}">
                <c16:uniqueId val="{00000003-5CF1-41D9-B1F3-BF3ECD7C867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5CF1-41D9-B1F3-BF3ECD7C8677}"/>
              </c:ext>
            </c:extLst>
          </c:dPt>
          <c:dLbls>
            <c:dLbl>
              <c:idx val="0"/>
              <c:layout>
                <c:manualLayout>
                  <c:x val="-0.17640490214443721"/>
                  <c:y val="-4.1333569003585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F1-41D9-B1F3-BF3ECD7C8677}"/>
                </c:ext>
              </c:extLst>
            </c:dLbl>
            <c:dLbl>
              <c:idx val="1"/>
              <c:layout>
                <c:manualLayout>
                  <c:x val="0.15967237464739059"/>
                  <c:y val="-0.156471662180394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F1-41D9-B1F3-BF3ECD7C8677}"/>
                </c:ext>
              </c:extLst>
            </c:dLbl>
            <c:dLbl>
              <c:idx val="2"/>
              <c:layout>
                <c:manualLayout>
                  <c:x val="4.4148885694603318E-2"/>
                  <c:y val="0.268046244068587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F1-41D9-B1F3-BF3ECD7C86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'8.20'!$AL$14:$AL$16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'8.20'!$AM$14:$AM$16</c:f>
              <c:numCache>
                <c:formatCode>#,##0</c:formatCode>
                <c:ptCount val="3"/>
                <c:pt idx="0">
                  <c:v>712</c:v>
                </c:pt>
                <c:pt idx="1">
                  <c:v>719</c:v>
                </c:pt>
                <c:pt idx="2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spPr>
    <a:solidFill>
      <a:srgbClr val="FFEFEF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6950532948"/>
          <c:y val="0.12743499919652901"/>
          <c:w val="0.87973626075415867"/>
          <c:h val="0.73095355937650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'8.20'!$AK$36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strRef>
              <c:f>'8.20'!$AJ$37:$AJ$39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'8.20'!$AK$37:$AK$39</c:f>
              <c:numCache>
                <c:formatCode>#,##0</c:formatCode>
                <c:ptCount val="3"/>
                <c:pt idx="0">
                  <c:v>291</c:v>
                </c:pt>
                <c:pt idx="1">
                  <c:v>408</c:v>
                </c:pt>
                <c:pt idx="2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'8.20'!$AL$36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'8.20'!$AJ$37:$AJ$39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'8.20'!$AL$37:$AL$39</c:f>
              <c:numCache>
                <c:formatCode>#,##0</c:formatCode>
                <c:ptCount val="3"/>
                <c:pt idx="0">
                  <c:v>421</c:v>
                </c:pt>
                <c:pt idx="1">
                  <c:v>311</c:v>
                </c:pt>
                <c:pt idx="2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95488"/>
        <c:axId val="134905856"/>
      </c:barChart>
      <c:catAx>
        <c:axId val="13489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5303389072824554"/>
              <c:y val="0.9157174995982643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34905856"/>
        <c:crosses val="autoZero"/>
        <c:auto val="1"/>
        <c:lblAlgn val="ctr"/>
        <c:lblOffset val="100"/>
        <c:noMultiLvlLbl val="0"/>
      </c:catAx>
      <c:valAx>
        <c:axId val="134905856"/>
        <c:scaling>
          <c:orientation val="minMax"/>
        </c:scaling>
        <c:delete val="0"/>
        <c:axPos val="l"/>
        <c:majorGridlines>
          <c:spPr>
            <a:ln>
              <a:solidFill>
                <a:srgbClr val="FFC5C5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4895488"/>
        <c:crosses val="autoZero"/>
        <c:crossBetween val="between"/>
      </c:valAx>
      <c:spPr>
        <a:solidFill>
          <a:srgbClr val="FFEFEF"/>
        </a:solidFill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50175321"/>
          <c:y val="0.15539514703519203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36</xdr:row>
      <xdr:rowOff>152400</xdr:rowOff>
    </xdr:from>
    <xdr:to>
      <xdr:col>6</xdr:col>
      <xdr:colOff>240842</xdr:colOff>
      <xdr:row>51</xdr:row>
      <xdr:rowOff>171761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399594</xdr:colOff>
      <xdr:row>36</xdr:row>
      <xdr:rowOff>182345</xdr:rowOff>
    </xdr:from>
    <xdr:to>
      <xdr:col>15</xdr:col>
      <xdr:colOff>430284</xdr:colOff>
      <xdr:row>51</xdr:row>
      <xdr:rowOff>150595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1743075</xdr:colOff>
      <xdr:row>37</xdr:row>
      <xdr:rowOff>47625</xdr:rowOff>
    </xdr:from>
    <xdr:to>
      <xdr:col>4</xdr:col>
      <xdr:colOff>487488</xdr:colOff>
      <xdr:row>38</xdr:row>
      <xdr:rowOff>58642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/>
      </xdr:nvSpPr>
      <xdr:spPr>
        <a:xfrm>
          <a:off x="1743075" y="9401175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8.26: Percentage share of victims by age, 2021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0.21419</cdr:x>
      <cdr:y>0.03176</cdr:y>
    </cdr:from>
    <cdr:to>
      <cdr:x>0.80344</cdr:x>
      <cdr:y>0.11808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6593" y="98817"/>
          <a:ext cx="3374438" cy="26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Consolas" pitchFamily="49" charset="0"/>
            </a:rPr>
            <a:t>Figure 8.27: Number of victims by age and sex, 2021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cs typeface="Consolas" pitchFamily="49" charset="0"/>
          </a:endParaRPr>
        </a:p>
        <a:p xmlns:a="http://schemas.openxmlformats.org/drawingml/2006/main"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92D050"/>
  </sheetPr>
  <dimension ref="A1:AO42"/>
  <sheetViews>
    <sheetView tabSelected="1" zoomScale="80" zoomScaleNormal="80" zoomScaleSheetLayoutView="96" workbookViewId="0">
      <selection activeCell="U20" sqref="U20"/>
    </sheetView>
  </sheetViews>
  <sheetFormatPr defaultColWidth="9.140625" defaultRowHeight="15"/>
  <cols>
    <col min="1" max="1" width="50.5703125" style="6" customWidth="1"/>
    <col min="2" max="5" width="10.28515625" style="6" customWidth="1"/>
    <col min="6" max="6" width="1.28515625" style="6" customWidth="1"/>
    <col min="7" max="10" width="10.28515625" style="6" customWidth="1"/>
    <col min="11" max="11" width="3.140625" style="6" customWidth="1"/>
    <col min="12" max="15" width="10.28515625" style="6" customWidth="1"/>
    <col min="16" max="16" width="32.7109375" style="6" bestFit="1" customWidth="1"/>
    <col min="17" max="17" width="3.28515625" style="6" customWidth="1"/>
    <col min="18" max="30" width="19.5703125" style="6" customWidth="1"/>
    <col min="31" max="36" width="9.140625" style="6"/>
    <col min="37" max="37" width="11.85546875" style="6" customWidth="1"/>
    <col min="38" max="38" width="9.140625" style="6"/>
    <col min="39" max="39" width="11.28515625" style="6" customWidth="1"/>
    <col min="40" max="40" width="12.140625" style="6" customWidth="1"/>
    <col min="41" max="16384" width="9.140625" style="6"/>
  </cols>
  <sheetData>
    <row r="1" spans="1:41" ht="22.5" customHeight="1"/>
    <row r="2" spans="1:41" s="8" customFormat="1" ht="19.5" customHeight="1">
      <c r="A2" s="50" t="s">
        <v>72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AL2" s="6"/>
      <c r="AM2" s="6"/>
      <c r="AN2" s="6"/>
    </row>
    <row r="3" spans="1:41">
      <c r="A3" s="51" t="s">
        <v>71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AL3" s="16"/>
      <c r="AM3" s="16"/>
    </row>
    <row r="4" spans="1:41" ht="9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8"/>
      <c r="L4" s="18"/>
      <c r="M4" s="10"/>
      <c r="N4" s="10"/>
      <c r="O4" s="10"/>
      <c r="P4" s="10"/>
      <c r="AL4" s="27"/>
      <c r="AM4" s="27"/>
      <c r="AN4" s="27"/>
      <c r="AO4" s="15"/>
    </row>
    <row r="5" spans="1:41" s="19" customFormat="1" ht="13.5" customHeight="1">
      <c r="A5" s="53" t="s">
        <v>51</v>
      </c>
      <c r="B5" s="56" t="s">
        <v>62</v>
      </c>
      <c r="C5" s="56"/>
      <c r="D5" s="56"/>
      <c r="E5" s="56"/>
      <c r="F5" s="45"/>
      <c r="G5" s="56" t="s">
        <v>53</v>
      </c>
      <c r="H5" s="56"/>
      <c r="I5" s="56"/>
      <c r="J5" s="56"/>
      <c r="K5" s="11"/>
      <c r="L5" s="56" t="s">
        <v>54</v>
      </c>
      <c r="M5" s="56"/>
      <c r="N5" s="56"/>
      <c r="O5" s="56"/>
      <c r="P5" s="58" t="s">
        <v>52</v>
      </c>
      <c r="AL5" s="6"/>
      <c r="AM5" s="6"/>
      <c r="AN5" s="6"/>
    </row>
    <row r="6" spans="1:41" s="19" customFormat="1" ht="18.75" customHeight="1">
      <c r="A6" s="54"/>
      <c r="B6" s="57" t="s">
        <v>55</v>
      </c>
      <c r="C6" s="57"/>
      <c r="D6" s="57"/>
      <c r="E6" s="57"/>
      <c r="F6" s="20"/>
      <c r="G6" s="57" t="s">
        <v>56</v>
      </c>
      <c r="H6" s="57"/>
      <c r="I6" s="57"/>
      <c r="J6" s="57"/>
      <c r="K6" s="20"/>
      <c r="L6" s="57" t="s">
        <v>57</v>
      </c>
      <c r="M6" s="57"/>
      <c r="N6" s="57"/>
      <c r="O6" s="57"/>
      <c r="P6" s="48"/>
      <c r="AL6" s="17"/>
      <c r="AM6" s="21"/>
      <c r="AN6" s="17"/>
    </row>
    <row r="7" spans="1:41" s="22" customFormat="1" ht="12.75" customHeight="1">
      <c r="A7" s="54"/>
      <c r="B7" s="44" t="s">
        <v>1</v>
      </c>
      <c r="C7" s="44" t="s">
        <v>63</v>
      </c>
      <c r="D7" s="44" t="s">
        <v>64</v>
      </c>
      <c r="E7" s="44" t="s">
        <v>65</v>
      </c>
      <c r="F7" s="44"/>
      <c r="G7" s="44" t="s">
        <v>1</v>
      </c>
      <c r="H7" s="44" t="s">
        <v>63</v>
      </c>
      <c r="I7" s="44" t="s">
        <v>64</v>
      </c>
      <c r="J7" s="44" t="s">
        <v>66</v>
      </c>
      <c r="K7" s="44"/>
      <c r="L7" s="44" t="s">
        <v>1</v>
      </c>
      <c r="M7" s="44" t="s">
        <v>63</v>
      </c>
      <c r="N7" s="44" t="s">
        <v>64</v>
      </c>
      <c r="O7" s="44" t="s">
        <v>66</v>
      </c>
      <c r="P7" s="48"/>
      <c r="AL7" s="23"/>
      <c r="AM7" s="24"/>
      <c r="AN7" s="25"/>
    </row>
    <row r="8" spans="1:41" ht="37.5">
      <c r="A8" s="55"/>
      <c r="B8" s="42" t="s">
        <v>48</v>
      </c>
      <c r="C8" s="42" t="s">
        <v>67</v>
      </c>
      <c r="D8" s="42" t="s">
        <v>68</v>
      </c>
      <c r="E8" s="42" t="s">
        <v>69</v>
      </c>
      <c r="F8" s="43"/>
      <c r="G8" s="42" t="s">
        <v>48</v>
      </c>
      <c r="H8" s="42" t="s">
        <v>67</v>
      </c>
      <c r="I8" s="42" t="s">
        <v>68</v>
      </c>
      <c r="J8" s="42" t="s">
        <v>69</v>
      </c>
      <c r="K8" s="43"/>
      <c r="L8" s="42" t="s">
        <v>48</v>
      </c>
      <c r="M8" s="42" t="s">
        <v>67</v>
      </c>
      <c r="N8" s="42" t="s">
        <v>68</v>
      </c>
      <c r="O8" s="42" t="s">
        <v>69</v>
      </c>
      <c r="P8" s="49"/>
      <c r="AL8" s="26"/>
      <c r="AM8" s="21"/>
      <c r="AN8" s="25"/>
    </row>
    <row r="9" spans="1:41" s="23" customFormat="1" ht="21.75" customHeight="1">
      <c r="A9" s="7" t="s">
        <v>1</v>
      </c>
      <c r="B9" s="59">
        <f>G9+L9</f>
        <v>2046</v>
      </c>
      <c r="C9" s="59">
        <f>H9+M9</f>
        <v>712</v>
      </c>
      <c r="D9" s="59">
        <f>I9+N9</f>
        <v>719</v>
      </c>
      <c r="E9" s="59">
        <f>J9+O9</f>
        <v>615</v>
      </c>
      <c r="F9" s="60"/>
      <c r="G9" s="59">
        <f>SUM(H9:J9)</f>
        <v>1045</v>
      </c>
      <c r="H9" s="59">
        <f>SUM(H10:H21)</f>
        <v>291</v>
      </c>
      <c r="I9" s="59">
        <f>SUM(I10:I21)</f>
        <v>408</v>
      </c>
      <c r="J9" s="59">
        <f>SUM(J10:J21)</f>
        <v>346</v>
      </c>
      <c r="K9" s="60"/>
      <c r="L9" s="59">
        <f>SUM(M9:O9)</f>
        <v>1001</v>
      </c>
      <c r="M9" s="59">
        <f>SUM(M10:M21)</f>
        <v>421</v>
      </c>
      <c r="N9" s="59">
        <f>SUM(N10:N21)</f>
        <v>311</v>
      </c>
      <c r="O9" s="59">
        <f>SUM(O10:O21)</f>
        <v>269</v>
      </c>
      <c r="P9" s="28" t="s">
        <v>48</v>
      </c>
      <c r="AL9" s="17"/>
      <c r="AM9" s="21"/>
      <c r="AN9" s="25"/>
    </row>
    <row r="10" spans="1:41" s="17" customFormat="1" ht="21.75" customHeight="1">
      <c r="A10" s="17" t="s">
        <v>5</v>
      </c>
      <c r="B10" s="60">
        <f>IFERROR((G10+L10),"-")</f>
        <v>453</v>
      </c>
      <c r="C10" s="38">
        <f t="shared" ref="C10:E25" si="0">IFERROR((H10+M10),"-")</f>
        <v>56</v>
      </c>
      <c r="D10" s="38">
        <f t="shared" si="0"/>
        <v>212</v>
      </c>
      <c r="E10" s="38">
        <f t="shared" si="0"/>
        <v>185</v>
      </c>
      <c r="F10" s="38"/>
      <c r="G10" s="60">
        <f t="shared" ref="G10:G20" si="1">SUM(H10:J10)</f>
        <v>373</v>
      </c>
      <c r="H10" s="38">
        <v>51</v>
      </c>
      <c r="I10" s="38">
        <v>177</v>
      </c>
      <c r="J10" s="38">
        <v>145</v>
      </c>
      <c r="K10" s="38"/>
      <c r="L10" s="60">
        <f t="shared" ref="L10:L20" si="2">SUM(M10:O10)</f>
        <v>80</v>
      </c>
      <c r="M10" s="38">
        <v>5</v>
      </c>
      <c r="N10" s="38">
        <v>35</v>
      </c>
      <c r="O10" s="38">
        <v>40</v>
      </c>
      <c r="P10" s="12" t="s">
        <v>10</v>
      </c>
      <c r="Q10" s="30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23"/>
      <c r="AL10" s="9"/>
      <c r="AM10" s="9"/>
      <c r="AN10" s="9"/>
    </row>
    <row r="11" spans="1:41" s="17" customFormat="1" ht="21.75" customHeight="1">
      <c r="A11" s="17" t="s">
        <v>0</v>
      </c>
      <c r="B11" s="60">
        <f t="shared" ref="B11:E34" si="3">IFERROR((G11+L11),"-")</f>
        <v>22</v>
      </c>
      <c r="C11" s="38">
        <f t="shared" si="0"/>
        <v>16</v>
      </c>
      <c r="D11" s="38">
        <f t="shared" si="0"/>
        <v>1</v>
      </c>
      <c r="E11" s="38">
        <f t="shared" si="0"/>
        <v>5</v>
      </c>
      <c r="F11" s="38"/>
      <c r="G11" s="60">
        <f t="shared" si="1"/>
        <v>21</v>
      </c>
      <c r="H11" s="38">
        <v>15</v>
      </c>
      <c r="I11" s="38">
        <v>1</v>
      </c>
      <c r="J11" s="38">
        <v>5</v>
      </c>
      <c r="K11" s="38"/>
      <c r="L11" s="60">
        <f t="shared" si="2"/>
        <v>1</v>
      </c>
      <c r="M11" s="38">
        <v>1</v>
      </c>
      <c r="N11" s="38">
        <v>0</v>
      </c>
      <c r="O11" s="38">
        <v>0</v>
      </c>
      <c r="P11" s="12" t="s">
        <v>2</v>
      </c>
      <c r="Q11" s="32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23"/>
      <c r="AK11" s="6"/>
      <c r="AO11" s="6"/>
    </row>
    <row r="12" spans="1:41" s="17" customFormat="1" ht="21.75" customHeight="1">
      <c r="A12" s="17" t="s">
        <v>9</v>
      </c>
      <c r="B12" s="60">
        <f t="shared" si="3"/>
        <v>15</v>
      </c>
      <c r="C12" s="38">
        <f t="shared" si="0"/>
        <v>0</v>
      </c>
      <c r="D12" s="38">
        <f t="shared" si="0"/>
        <v>7</v>
      </c>
      <c r="E12" s="38">
        <f t="shared" si="0"/>
        <v>8</v>
      </c>
      <c r="F12" s="38"/>
      <c r="G12" s="60">
        <f t="shared" si="1"/>
        <v>11</v>
      </c>
      <c r="H12" s="38">
        <v>0</v>
      </c>
      <c r="I12" s="38">
        <v>5</v>
      </c>
      <c r="J12" s="38">
        <v>6</v>
      </c>
      <c r="K12" s="38"/>
      <c r="L12" s="60">
        <f t="shared" si="2"/>
        <v>4</v>
      </c>
      <c r="M12" s="38">
        <v>0</v>
      </c>
      <c r="N12" s="38">
        <v>2</v>
      </c>
      <c r="O12" s="38">
        <v>2</v>
      </c>
      <c r="P12" s="12" t="s">
        <v>15</v>
      </c>
      <c r="Q12" s="32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23"/>
      <c r="AK12" s="19"/>
      <c r="AL12" s="6"/>
      <c r="AM12" s="6"/>
      <c r="AN12" s="6"/>
      <c r="AO12" s="19"/>
    </row>
    <row r="13" spans="1:41" s="17" customFormat="1" ht="21.75" customHeight="1">
      <c r="A13" s="17" t="s">
        <v>3</v>
      </c>
      <c r="B13" s="60">
        <f t="shared" si="3"/>
        <v>19</v>
      </c>
      <c r="C13" s="38">
        <f t="shared" si="0"/>
        <v>10</v>
      </c>
      <c r="D13" s="38">
        <f t="shared" si="0"/>
        <v>9</v>
      </c>
      <c r="E13" s="38">
        <f t="shared" si="0"/>
        <v>0</v>
      </c>
      <c r="F13" s="38"/>
      <c r="G13" s="60">
        <f t="shared" si="1"/>
        <v>18</v>
      </c>
      <c r="H13" s="38">
        <v>9</v>
      </c>
      <c r="I13" s="38">
        <v>9</v>
      </c>
      <c r="J13" s="38">
        <v>0</v>
      </c>
      <c r="K13" s="38"/>
      <c r="L13" s="60">
        <f t="shared" si="2"/>
        <v>1</v>
      </c>
      <c r="M13" s="38">
        <v>1</v>
      </c>
      <c r="N13" s="38">
        <v>0</v>
      </c>
      <c r="O13" s="38">
        <v>0</v>
      </c>
      <c r="P13" s="12" t="s">
        <v>7</v>
      </c>
      <c r="Q13" s="32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23"/>
      <c r="AK13" s="19"/>
      <c r="AL13" s="16"/>
      <c r="AM13" s="9"/>
      <c r="AN13" s="9"/>
      <c r="AO13" s="19"/>
    </row>
    <row r="14" spans="1:41" s="17" customFormat="1" ht="21.75" customHeight="1">
      <c r="A14" s="17" t="s">
        <v>13</v>
      </c>
      <c r="B14" s="60">
        <f t="shared" si="3"/>
        <v>307</v>
      </c>
      <c r="C14" s="38">
        <f t="shared" si="0"/>
        <v>249</v>
      </c>
      <c r="D14" s="38">
        <f t="shared" si="0"/>
        <v>36</v>
      </c>
      <c r="E14" s="38">
        <f t="shared" si="0"/>
        <v>22</v>
      </c>
      <c r="F14" s="38"/>
      <c r="G14" s="60">
        <f t="shared" si="1"/>
        <v>54</v>
      </c>
      <c r="H14" s="38">
        <v>50</v>
      </c>
      <c r="I14" s="38">
        <v>0</v>
      </c>
      <c r="J14" s="38">
        <v>4</v>
      </c>
      <c r="K14" s="38"/>
      <c r="L14" s="60">
        <f t="shared" si="2"/>
        <v>253</v>
      </c>
      <c r="M14" s="38">
        <v>199</v>
      </c>
      <c r="N14" s="38">
        <v>36</v>
      </c>
      <c r="O14" s="38">
        <v>18</v>
      </c>
      <c r="P14" s="12" t="s">
        <v>58</v>
      </c>
      <c r="Q14" s="32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23"/>
      <c r="AK14" s="10"/>
      <c r="AL14" s="6" t="s">
        <v>59</v>
      </c>
      <c r="AM14" s="15">
        <f>AK37+AL37</f>
        <v>712</v>
      </c>
      <c r="AN14" s="9"/>
      <c r="AO14" s="10"/>
    </row>
    <row r="15" spans="1:41" s="17" customFormat="1" ht="21.75" customHeight="1">
      <c r="A15" s="17" t="s">
        <v>16</v>
      </c>
      <c r="B15" s="60">
        <f t="shared" si="3"/>
        <v>379</v>
      </c>
      <c r="C15" s="38">
        <f t="shared" si="0"/>
        <v>10</v>
      </c>
      <c r="D15" s="38">
        <f t="shared" si="0"/>
        <v>200</v>
      </c>
      <c r="E15" s="38">
        <f t="shared" si="0"/>
        <v>169</v>
      </c>
      <c r="F15" s="38"/>
      <c r="G15" s="60">
        <f t="shared" si="1"/>
        <v>266</v>
      </c>
      <c r="H15" s="38">
        <v>7</v>
      </c>
      <c r="I15" s="38">
        <v>144</v>
      </c>
      <c r="J15" s="38">
        <v>115</v>
      </c>
      <c r="K15" s="38"/>
      <c r="L15" s="60">
        <f t="shared" si="2"/>
        <v>113</v>
      </c>
      <c r="M15" s="38">
        <v>3</v>
      </c>
      <c r="N15" s="38">
        <v>56</v>
      </c>
      <c r="O15" s="38">
        <v>54</v>
      </c>
      <c r="P15" s="12" t="s">
        <v>4</v>
      </c>
      <c r="Q15" s="32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23"/>
      <c r="AL15" s="6" t="s">
        <v>60</v>
      </c>
      <c r="AM15" s="15">
        <f>AK38+AL38</f>
        <v>719</v>
      </c>
      <c r="AN15" s="9"/>
    </row>
    <row r="16" spans="1:41" s="17" customFormat="1" ht="21.75" customHeight="1">
      <c r="A16" s="17" t="s">
        <v>18</v>
      </c>
      <c r="B16" s="60">
        <f t="shared" si="3"/>
        <v>280</v>
      </c>
      <c r="C16" s="38">
        <f t="shared" si="0"/>
        <v>134</v>
      </c>
      <c r="D16" s="38">
        <f t="shared" si="0"/>
        <v>69</v>
      </c>
      <c r="E16" s="38">
        <f t="shared" si="0"/>
        <v>77</v>
      </c>
      <c r="F16" s="38"/>
      <c r="G16" s="60">
        <f t="shared" si="1"/>
        <v>74</v>
      </c>
      <c r="H16" s="38">
        <v>66</v>
      </c>
      <c r="I16" s="38">
        <v>4</v>
      </c>
      <c r="J16" s="38">
        <v>4</v>
      </c>
      <c r="K16" s="38"/>
      <c r="L16" s="60">
        <f t="shared" si="2"/>
        <v>206</v>
      </c>
      <c r="M16" s="38">
        <v>68</v>
      </c>
      <c r="N16" s="38">
        <v>65</v>
      </c>
      <c r="O16" s="38">
        <v>73</v>
      </c>
      <c r="P16" s="12" t="s">
        <v>21</v>
      </c>
      <c r="Q16" s="32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23"/>
      <c r="AL16" s="6" t="s">
        <v>61</v>
      </c>
      <c r="AM16" s="15">
        <f>AK39+AL39</f>
        <v>615</v>
      </c>
      <c r="AN16" s="9"/>
    </row>
    <row r="17" spans="1:40" s="17" customFormat="1" ht="21.75" customHeight="1">
      <c r="A17" s="17" t="s">
        <v>20</v>
      </c>
      <c r="B17" s="60">
        <f t="shared" si="3"/>
        <v>0</v>
      </c>
      <c r="C17" s="38">
        <f t="shared" si="0"/>
        <v>0</v>
      </c>
      <c r="D17" s="38">
        <f t="shared" si="0"/>
        <v>0</v>
      </c>
      <c r="E17" s="38">
        <f t="shared" si="0"/>
        <v>0</v>
      </c>
      <c r="F17" s="38"/>
      <c r="G17" s="60">
        <f t="shared" si="1"/>
        <v>0</v>
      </c>
      <c r="H17" s="38">
        <v>0</v>
      </c>
      <c r="I17" s="38">
        <v>0</v>
      </c>
      <c r="J17" s="38">
        <v>0</v>
      </c>
      <c r="K17" s="38"/>
      <c r="L17" s="60">
        <f t="shared" si="2"/>
        <v>0</v>
      </c>
      <c r="M17" s="38">
        <v>0</v>
      </c>
      <c r="N17" s="38">
        <v>0</v>
      </c>
      <c r="O17" s="38">
        <v>0</v>
      </c>
      <c r="P17" s="12" t="s">
        <v>49</v>
      </c>
      <c r="Q17" s="32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23"/>
      <c r="AL17" s="16"/>
      <c r="AM17" s="9"/>
      <c r="AN17" s="9"/>
    </row>
    <row r="18" spans="1:40" s="17" customFormat="1" ht="21.75" customHeight="1">
      <c r="A18" s="17" t="s">
        <v>11</v>
      </c>
      <c r="B18" s="60">
        <f t="shared" si="3"/>
        <v>26</v>
      </c>
      <c r="C18" s="38">
        <f t="shared" si="0"/>
        <v>3</v>
      </c>
      <c r="D18" s="38">
        <f t="shared" si="0"/>
        <v>9</v>
      </c>
      <c r="E18" s="38">
        <f t="shared" si="0"/>
        <v>14</v>
      </c>
      <c r="F18" s="38"/>
      <c r="G18" s="60">
        <f t="shared" si="1"/>
        <v>6</v>
      </c>
      <c r="H18" s="38">
        <v>1</v>
      </c>
      <c r="I18" s="38">
        <v>3</v>
      </c>
      <c r="J18" s="38">
        <v>2</v>
      </c>
      <c r="K18" s="38"/>
      <c r="L18" s="60">
        <f t="shared" si="2"/>
        <v>20</v>
      </c>
      <c r="M18" s="38">
        <v>2</v>
      </c>
      <c r="N18" s="38">
        <v>6</v>
      </c>
      <c r="O18" s="38">
        <v>12</v>
      </c>
      <c r="P18" s="12" t="s">
        <v>12</v>
      </c>
      <c r="Q18" s="32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23"/>
    </row>
    <row r="19" spans="1:40" s="17" customFormat="1" ht="21.75" customHeight="1">
      <c r="A19" s="17" t="s">
        <v>17</v>
      </c>
      <c r="B19" s="60">
        <f t="shared" si="3"/>
        <v>4</v>
      </c>
      <c r="C19" s="38">
        <f t="shared" si="0"/>
        <v>0</v>
      </c>
      <c r="D19" s="38">
        <f t="shared" si="0"/>
        <v>0</v>
      </c>
      <c r="E19" s="38">
        <f t="shared" si="0"/>
        <v>4</v>
      </c>
      <c r="F19" s="38"/>
      <c r="G19" s="60">
        <f t="shared" si="1"/>
        <v>2</v>
      </c>
      <c r="H19" s="38">
        <v>0</v>
      </c>
      <c r="I19" s="38">
        <v>0</v>
      </c>
      <c r="J19" s="38">
        <v>2</v>
      </c>
      <c r="K19" s="38"/>
      <c r="L19" s="60">
        <f t="shared" si="2"/>
        <v>2</v>
      </c>
      <c r="M19" s="38">
        <v>0</v>
      </c>
      <c r="N19" s="38">
        <v>0</v>
      </c>
      <c r="O19" s="38">
        <v>2</v>
      </c>
      <c r="P19" s="12" t="s">
        <v>19</v>
      </c>
      <c r="Q19" s="32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23"/>
    </row>
    <row r="20" spans="1:40" s="17" customFormat="1" ht="21.75" customHeight="1">
      <c r="A20" s="17" t="s">
        <v>27</v>
      </c>
      <c r="B20" s="60">
        <f t="shared" si="3"/>
        <v>0</v>
      </c>
      <c r="C20" s="38">
        <f t="shared" si="0"/>
        <v>0</v>
      </c>
      <c r="D20" s="38">
        <f t="shared" si="0"/>
        <v>0</v>
      </c>
      <c r="E20" s="38">
        <f t="shared" si="0"/>
        <v>0</v>
      </c>
      <c r="F20" s="38"/>
      <c r="G20" s="60">
        <f t="shared" si="1"/>
        <v>0</v>
      </c>
      <c r="H20" s="38">
        <v>0</v>
      </c>
      <c r="I20" s="38">
        <v>0</v>
      </c>
      <c r="J20" s="38">
        <v>0</v>
      </c>
      <c r="K20" s="38"/>
      <c r="L20" s="60">
        <f t="shared" si="2"/>
        <v>0</v>
      </c>
      <c r="M20" s="38">
        <v>0</v>
      </c>
      <c r="N20" s="38">
        <v>0</v>
      </c>
      <c r="O20" s="38">
        <v>0</v>
      </c>
      <c r="P20" s="12" t="s">
        <v>8</v>
      </c>
      <c r="Q20" s="32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23"/>
    </row>
    <row r="21" spans="1:40" s="17" customFormat="1" ht="21.75" customHeight="1">
      <c r="A21" s="46" t="s">
        <v>6</v>
      </c>
      <c r="B21" s="61">
        <f t="shared" si="3"/>
        <v>541</v>
      </c>
      <c r="C21" s="39">
        <f t="shared" si="0"/>
        <v>234</v>
      </c>
      <c r="D21" s="39">
        <f t="shared" si="0"/>
        <v>176</v>
      </c>
      <c r="E21" s="39">
        <f t="shared" si="0"/>
        <v>131</v>
      </c>
      <c r="F21" s="39"/>
      <c r="G21" s="61">
        <f>SUM(H21:J21)</f>
        <v>220</v>
      </c>
      <c r="H21" s="39">
        <v>92</v>
      </c>
      <c r="I21" s="39">
        <v>65</v>
      </c>
      <c r="J21" s="39">
        <v>63</v>
      </c>
      <c r="K21" s="39"/>
      <c r="L21" s="61">
        <f>SUM(M21:O21)</f>
        <v>321</v>
      </c>
      <c r="M21" s="39">
        <v>142</v>
      </c>
      <c r="N21" s="39">
        <v>111</v>
      </c>
      <c r="O21" s="39">
        <v>68</v>
      </c>
      <c r="P21" s="47" t="s">
        <v>24</v>
      </c>
      <c r="Q21" s="32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23"/>
    </row>
    <row r="22" spans="1:40" ht="18.75" hidden="1" customHeight="1">
      <c r="A22" s="1" t="s">
        <v>25</v>
      </c>
      <c r="B22" s="27">
        <f t="shared" si="3"/>
        <v>0</v>
      </c>
      <c r="C22" s="29">
        <f t="shared" si="0"/>
        <v>0</v>
      </c>
      <c r="D22" s="29">
        <f t="shared" si="0"/>
        <v>0</v>
      </c>
      <c r="E22" s="29">
        <f t="shared" si="0"/>
        <v>0</v>
      </c>
      <c r="F22" s="29"/>
      <c r="G22" s="27">
        <f>SUM(H22:J22)</f>
        <v>0</v>
      </c>
      <c r="H22" s="29"/>
      <c r="I22" s="29"/>
      <c r="J22" s="29"/>
      <c r="K22" s="29"/>
      <c r="L22" s="27">
        <f>SUM(M22:O22)</f>
        <v>0</v>
      </c>
      <c r="M22" s="29"/>
      <c r="N22" s="29"/>
      <c r="O22" s="29"/>
      <c r="P22" s="2" t="s">
        <v>26</v>
      </c>
      <c r="Q22" s="32"/>
      <c r="AE22" s="23"/>
    </row>
    <row r="23" spans="1:40" ht="18.75" hidden="1" customHeight="1">
      <c r="A23" s="4" t="s">
        <v>28</v>
      </c>
      <c r="B23" s="27">
        <f t="shared" si="3"/>
        <v>0</v>
      </c>
      <c r="C23" s="29">
        <f t="shared" si="0"/>
        <v>0</v>
      </c>
      <c r="D23" s="29">
        <f t="shared" si="0"/>
        <v>0</v>
      </c>
      <c r="E23" s="29">
        <f t="shared" si="0"/>
        <v>0</v>
      </c>
      <c r="F23" s="29"/>
      <c r="G23" s="27">
        <f t="shared" ref="G23:G34" si="4">SUM(H23:J23)</f>
        <v>0</v>
      </c>
      <c r="H23" s="29"/>
      <c r="I23" s="29"/>
      <c r="J23" s="29"/>
      <c r="K23" s="29"/>
      <c r="L23" s="27">
        <f t="shared" ref="L23:L34" si="5">SUM(M23:O23)</f>
        <v>0</v>
      </c>
      <c r="M23" s="29"/>
      <c r="N23" s="29"/>
      <c r="O23" s="29"/>
      <c r="P23" s="2" t="s">
        <v>29</v>
      </c>
      <c r="Q23" s="32"/>
    </row>
    <row r="24" spans="1:40" ht="18.75" hidden="1" customHeight="1">
      <c r="A24" s="4" t="s">
        <v>31</v>
      </c>
      <c r="B24" s="27">
        <f t="shared" si="3"/>
        <v>0</v>
      </c>
      <c r="C24" s="29">
        <f t="shared" si="0"/>
        <v>0</v>
      </c>
      <c r="D24" s="29">
        <f t="shared" si="0"/>
        <v>0</v>
      </c>
      <c r="E24" s="29">
        <f t="shared" si="0"/>
        <v>0</v>
      </c>
      <c r="F24" s="29"/>
      <c r="G24" s="27">
        <f t="shared" si="4"/>
        <v>0</v>
      </c>
      <c r="H24" s="29"/>
      <c r="I24" s="29"/>
      <c r="J24" s="29"/>
      <c r="K24" s="29"/>
      <c r="L24" s="27">
        <f t="shared" si="5"/>
        <v>0</v>
      </c>
      <c r="M24" s="29"/>
      <c r="N24" s="29"/>
      <c r="O24" s="29"/>
      <c r="P24" s="2" t="s">
        <v>32</v>
      </c>
      <c r="Q24" s="32"/>
    </row>
    <row r="25" spans="1:40" ht="18.75" hidden="1" customHeight="1">
      <c r="A25" s="4" t="s">
        <v>33</v>
      </c>
      <c r="B25" s="27">
        <f t="shared" si="3"/>
        <v>0</v>
      </c>
      <c r="C25" s="29">
        <f t="shared" si="0"/>
        <v>0</v>
      </c>
      <c r="D25" s="29">
        <f t="shared" si="0"/>
        <v>0</v>
      </c>
      <c r="E25" s="29">
        <f t="shared" si="0"/>
        <v>0</v>
      </c>
      <c r="F25" s="29"/>
      <c r="G25" s="27">
        <f t="shared" si="4"/>
        <v>0</v>
      </c>
      <c r="H25" s="29"/>
      <c r="I25" s="29"/>
      <c r="J25" s="29"/>
      <c r="K25" s="29"/>
      <c r="L25" s="27">
        <f t="shared" si="5"/>
        <v>0</v>
      </c>
      <c r="M25" s="29"/>
      <c r="N25" s="29"/>
      <c r="O25" s="29"/>
      <c r="P25" s="2" t="s">
        <v>34</v>
      </c>
      <c r="Q25" s="32"/>
    </row>
    <row r="26" spans="1:40" ht="18.75" hidden="1" customHeight="1">
      <c r="A26" s="4" t="s">
        <v>23</v>
      </c>
      <c r="B26" s="27">
        <f t="shared" si="3"/>
        <v>0</v>
      </c>
      <c r="C26" s="29">
        <f t="shared" si="3"/>
        <v>0</v>
      </c>
      <c r="D26" s="29">
        <f t="shared" si="3"/>
        <v>0</v>
      </c>
      <c r="E26" s="29">
        <f t="shared" si="3"/>
        <v>0</v>
      </c>
      <c r="F26" s="29"/>
      <c r="G26" s="27">
        <f t="shared" si="4"/>
        <v>0</v>
      </c>
      <c r="H26" s="29"/>
      <c r="I26" s="29"/>
      <c r="J26" s="29"/>
      <c r="K26" s="29"/>
      <c r="L26" s="27">
        <f t="shared" si="5"/>
        <v>0</v>
      </c>
      <c r="M26" s="29"/>
      <c r="N26" s="29"/>
      <c r="O26" s="29"/>
      <c r="P26" s="2" t="s">
        <v>35</v>
      </c>
      <c r="Q26" s="32"/>
    </row>
    <row r="27" spans="1:40" ht="18.75" hidden="1" customHeight="1">
      <c r="A27" s="4" t="s">
        <v>22</v>
      </c>
      <c r="B27" s="27">
        <f t="shared" si="3"/>
        <v>0</v>
      </c>
      <c r="C27" s="29">
        <f t="shared" si="3"/>
        <v>0</v>
      </c>
      <c r="D27" s="29">
        <f t="shared" si="3"/>
        <v>0</v>
      </c>
      <c r="E27" s="29">
        <f t="shared" si="3"/>
        <v>0</v>
      </c>
      <c r="F27" s="29"/>
      <c r="G27" s="27">
        <f t="shared" si="4"/>
        <v>0</v>
      </c>
      <c r="H27" s="29"/>
      <c r="I27" s="29"/>
      <c r="J27" s="29"/>
      <c r="K27" s="29"/>
      <c r="L27" s="27">
        <f t="shared" si="5"/>
        <v>0</v>
      </c>
      <c r="M27" s="29"/>
      <c r="N27" s="29"/>
      <c r="O27" s="29"/>
      <c r="P27" s="2" t="s">
        <v>36</v>
      </c>
      <c r="Q27" s="32"/>
    </row>
    <row r="28" spans="1:40" ht="18.75" hidden="1" customHeight="1">
      <c r="A28" s="4" t="s">
        <v>30</v>
      </c>
      <c r="B28" s="27">
        <f t="shared" si="3"/>
        <v>0</v>
      </c>
      <c r="C28" s="29">
        <f t="shared" si="3"/>
        <v>0</v>
      </c>
      <c r="D28" s="29">
        <f t="shared" si="3"/>
        <v>0</v>
      </c>
      <c r="E28" s="29">
        <f t="shared" si="3"/>
        <v>0</v>
      </c>
      <c r="F28" s="29"/>
      <c r="G28" s="27">
        <f t="shared" si="4"/>
        <v>0</v>
      </c>
      <c r="H28" s="29"/>
      <c r="I28" s="29"/>
      <c r="J28" s="29"/>
      <c r="K28" s="29"/>
      <c r="L28" s="27">
        <f t="shared" si="5"/>
        <v>0</v>
      </c>
      <c r="M28" s="29"/>
      <c r="N28" s="29"/>
      <c r="O28" s="29"/>
      <c r="P28" s="2" t="s">
        <v>37</v>
      </c>
      <c r="Q28" s="32"/>
    </row>
    <row r="29" spans="1:40" ht="18.75" hidden="1" customHeight="1">
      <c r="A29" s="4" t="s">
        <v>38</v>
      </c>
      <c r="B29" s="27">
        <f t="shared" si="3"/>
        <v>0</v>
      </c>
      <c r="C29" s="29">
        <f t="shared" si="3"/>
        <v>0</v>
      </c>
      <c r="D29" s="29">
        <f t="shared" si="3"/>
        <v>0</v>
      </c>
      <c r="E29" s="29">
        <f t="shared" si="3"/>
        <v>0</v>
      </c>
      <c r="F29" s="29"/>
      <c r="G29" s="27">
        <f t="shared" si="4"/>
        <v>0</v>
      </c>
      <c r="H29" s="29"/>
      <c r="I29" s="29"/>
      <c r="J29" s="29"/>
      <c r="K29" s="29"/>
      <c r="L29" s="27">
        <f t="shared" si="5"/>
        <v>0</v>
      </c>
      <c r="M29" s="29"/>
      <c r="N29" s="29"/>
      <c r="O29" s="29"/>
      <c r="P29" s="2" t="s">
        <v>39</v>
      </c>
      <c r="Q29" s="32"/>
    </row>
    <row r="30" spans="1:40" ht="18.75" hidden="1" customHeight="1">
      <c r="A30" s="4" t="s">
        <v>40</v>
      </c>
      <c r="B30" s="27">
        <f t="shared" si="3"/>
        <v>0</v>
      </c>
      <c r="C30" s="29">
        <f t="shared" si="3"/>
        <v>0</v>
      </c>
      <c r="D30" s="29">
        <f t="shared" si="3"/>
        <v>0</v>
      </c>
      <c r="E30" s="29">
        <f t="shared" si="3"/>
        <v>0</v>
      </c>
      <c r="F30" s="29"/>
      <c r="G30" s="27">
        <f t="shared" si="4"/>
        <v>0</v>
      </c>
      <c r="H30" s="29"/>
      <c r="I30" s="29"/>
      <c r="J30" s="29"/>
      <c r="K30" s="29"/>
      <c r="L30" s="27">
        <f t="shared" si="5"/>
        <v>0</v>
      </c>
      <c r="M30" s="29"/>
      <c r="N30" s="29"/>
      <c r="O30" s="29"/>
      <c r="P30" s="2" t="s">
        <v>41</v>
      </c>
      <c r="Q30" s="32"/>
    </row>
    <row r="31" spans="1:40" ht="18.75" hidden="1" customHeight="1">
      <c r="A31" s="4" t="s">
        <v>14</v>
      </c>
      <c r="B31" s="27">
        <f t="shared" si="3"/>
        <v>0</v>
      </c>
      <c r="C31" s="29">
        <f t="shared" si="3"/>
        <v>0</v>
      </c>
      <c r="D31" s="29">
        <f t="shared" si="3"/>
        <v>0</v>
      </c>
      <c r="E31" s="29">
        <f t="shared" si="3"/>
        <v>0</v>
      </c>
      <c r="F31" s="29"/>
      <c r="G31" s="27">
        <f t="shared" si="4"/>
        <v>0</v>
      </c>
      <c r="H31" s="29"/>
      <c r="I31" s="29"/>
      <c r="J31" s="29"/>
      <c r="K31" s="29"/>
      <c r="L31" s="27">
        <f t="shared" si="5"/>
        <v>0</v>
      </c>
      <c r="M31" s="29"/>
      <c r="N31" s="29"/>
      <c r="O31" s="29"/>
      <c r="P31" s="2" t="s">
        <v>42</v>
      </c>
      <c r="Q31" s="32"/>
    </row>
    <row r="32" spans="1:40" s="35" customFormat="1" ht="23.25" hidden="1" customHeight="1">
      <c r="A32" s="36" t="s">
        <v>43</v>
      </c>
      <c r="B32" s="27">
        <f t="shared" si="3"/>
        <v>0</v>
      </c>
      <c r="C32" s="29">
        <f t="shared" si="3"/>
        <v>0</v>
      </c>
      <c r="D32" s="29">
        <f t="shared" si="3"/>
        <v>0</v>
      </c>
      <c r="E32" s="29">
        <f t="shared" si="3"/>
        <v>0</v>
      </c>
      <c r="F32" s="29"/>
      <c r="G32" s="27">
        <f t="shared" si="4"/>
        <v>0</v>
      </c>
      <c r="H32" s="29"/>
      <c r="I32" s="29"/>
      <c r="J32" s="29"/>
      <c r="K32" s="29"/>
      <c r="L32" s="27">
        <f t="shared" si="5"/>
        <v>0</v>
      </c>
      <c r="M32" s="29"/>
      <c r="N32" s="29"/>
      <c r="O32" s="29"/>
      <c r="P32" s="37" t="s">
        <v>44</v>
      </c>
      <c r="Q32" s="32"/>
    </row>
    <row r="33" spans="1:38" ht="18.75" hidden="1" customHeight="1">
      <c r="A33" s="4" t="s">
        <v>45</v>
      </c>
      <c r="B33" s="27">
        <f>IFERROR((G33+L33),"-")</f>
        <v>0</v>
      </c>
      <c r="C33" s="29">
        <f t="shared" si="3"/>
        <v>0</v>
      </c>
      <c r="D33" s="29">
        <f t="shared" si="3"/>
        <v>0</v>
      </c>
      <c r="E33" s="29">
        <f t="shared" si="3"/>
        <v>0</v>
      </c>
      <c r="F33" s="29"/>
      <c r="G33" s="27">
        <f t="shared" si="4"/>
        <v>0</v>
      </c>
      <c r="H33" s="29"/>
      <c r="I33" s="29"/>
      <c r="J33" s="29"/>
      <c r="K33" s="29"/>
      <c r="L33" s="27">
        <f t="shared" si="5"/>
        <v>0</v>
      </c>
      <c r="M33" s="29"/>
      <c r="N33" s="29"/>
      <c r="O33" s="29"/>
      <c r="P33" s="2" t="s">
        <v>46</v>
      </c>
      <c r="Q33" s="32"/>
    </row>
    <row r="34" spans="1:38" ht="18.75" hidden="1" customHeight="1">
      <c r="A34" s="5" t="s">
        <v>6</v>
      </c>
      <c r="B34" s="41">
        <f t="shared" si="3"/>
        <v>0</v>
      </c>
      <c r="C34" s="33">
        <f t="shared" si="3"/>
        <v>0</v>
      </c>
      <c r="D34" s="33">
        <f t="shared" si="3"/>
        <v>0</v>
      </c>
      <c r="E34" s="33">
        <f t="shared" si="3"/>
        <v>0</v>
      </c>
      <c r="F34" s="33"/>
      <c r="G34" s="41">
        <f t="shared" si="4"/>
        <v>0</v>
      </c>
      <c r="H34" s="33"/>
      <c r="I34" s="33"/>
      <c r="J34" s="33"/>
      <c r="K34" s="33"/>
      <c r="L34" s="41">
        <f t="shared" si="5"/>
        <v>0</v>
      </c>
      <c r="M34" s="33"/>
      <c r="N34" s="33"/>
      <c r="O34" s="33"/>
      <c r="P34" s="3" t="s">
        <v>24</v>
      </c>
      <c r="Q34" s="32"/>
    </row>
    <row r="35" spans="1:38" ht="18.75" customHeight="1">
      <c r="A35" s="40" t="s">
        <v>70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"/>
      <c r="Q35" s="32"/>
    </row>
    <row r="36" spans="1:38" ht="18.75" customHeight="1">
      <c r="A36" s="13" t="s">
        <v>47</v>
      </c>
      <c r="B36" s="29"/>
      <c r="C36" s="29"/>
      <c r="D36" s="29"/>
      <c r="E36" s="29"/>
      <c r="F36" s="29"/>
      <c r="G36" s="29"/>
      <c r="N36" s="14"/>
      <c r="O36" s="14"/>
      <c r="P36" s="14" t="s">
        <v>50</v>
      </c>
      <c r="Q36" s="32"/>
      <c r="AK36" s="6" t="s">
        <v>53</v>
      </c>
      <c r="AL36" s="6" t="s">
        <v>54</v>
      </c>
    </row>
    <row r="37" spans="1:38" ht="18.75" customHeight="1">
      <c r="A37" s="13"/>
      <c r="N37" s="34"/>
      <c r="O37" s="34"/>
      <c r="P37" s="34"/>
      <c r="Q37" s="32"/>
      <c r="AJ37" s="6" t="s">
        <v>59</v>
      </c>
      <c r="AK37" s="15">
        <f>H9</f>
        <v>291</v>
      </c>
      <c r="AL37" s="15">
        <f>M9</f>
        <v>421</v>
      </c>
    </row>
    <row r="38" spans="1:38" ht="18.75" customHeight="1">
      <c r="A38" s="13"/>
      <c r="N38" s="34"/>
      <c r="O38" s="34"/>
      <c r="P38" s="34"/>
      <c r="Q38" s="32"/>
      <c r="AJ38" s="6" t="s">
        <v>60</v>
      </c>
      <c r="AK38" s="15">
        <f>I9</f>
        <v>408</v>
      </c>
      <c r="AL38" s="15">
        <f>N9</f>
        <v>311</v>
      </c>
    </row>
    <row r="39" spans="1:38" ht="18.75" customHeight="1">
      <c r="A39" s="13"/>
      <c r="N39" s="34"/>
      <c r="O39" s="34"/>
      <c r="P39" s="34"/>
      <c r="Q39" s="32"/>
      <c r="AJ39" s="6" t="s">
        <v>61</v>
      </c>
      <c r="AK39" s="15">
        <f>J9</f>
        <v>346</v>
      </c>
      <c r="AL39" s="15">
        <f>O9</f>
        <v>269</v>
      </c>
    </row>
    <row r="40" spans="1:38" ht="18.75" customHeight="1">
      <c r="A40" s="13"/>
      <c r="N40" s="34"/>
      <c r="O40" s="34"/>
      <c r="P40" s="34"/>
      <c r="Q40" s="32"/>
    </row>
    <row r="41" spans="1:38" ht="18.75" customHeight="1">
      <c r="A41" s="13"/>
      <c r="N41" s="34"/>
      <c r="O41" s="34"/>
      <c r="P41" s="34"/>
      <c r="Q41" s="32"/>
    </row>
    <row r="42" spans="1:38" ht="18.75" customHeight="1">
      <c r="Q42" s="32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7" right="0.7" top="0.75" bottom="0.75" header="0.3" footer="0.3"/>
  <pageSetup paperSize="9" scale="40" orientation="portrait" horizontalDpi="4294967295" verticalDpi="4294967295" r:id="rId1"/>
  <ignoredErrors>
    <ignoredError sqref="H9:O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8.20</vt:lpstr>
      <vt:lpstr>'8.20'!Print_Area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2023-05-16T12:22:08Z</cp:lastPrinted>
  <dcterms:created xsi:type="dcterms:W3CDTF">2019-06-30T04:22:49Z</dcterms:created>
  <dcterms:modified xsi:type="dcterms:W3CDTF">2023-05-16T12:22:27Z</dcterms:modified>
</cp:coreProperties>
</file>