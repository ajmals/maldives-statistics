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Housing\"/>
    </mc:Choice>
  </mc:AlternateContent>
  <xr:revisionPtr revIDLastSave="0" documentId="13_ncr:1_{395F2051-26C0-4FB0-A4D8-62BF34D056BB}" xr6:coauthVersionLast="47" xr6:coauthVersionMax="47" xr10:uidLastSave="{00000000-0000-0000-0000-000000000000}"/>
  <bookViews>
    <workbookView xWindow="-120" yWindow="-120" windowWidth="29040" windowHeight="15840" tabRatio="725" xr2:uid="{00000000-000D-0000-FFFF-FFFF00000000}"/>
  </bookViews>
  <sheets>
    <sheet name="4.5" sheetId="23" r:id="rId1"/>
  </sheets>
  <definedNames>
    <definedName name="_xlnm.Print_Area" localSheetId="0">'4.5'!$A$1:$L$43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23" l="1"/>
  <c r="E6" i="23" l="1"/>
  <c r="D6" i="23"/>
  <c r="C6" i="23"/>
  <c r="B6" i="23"/>
  <c r="H6" i="23" l="1"/>
  <c r="F6" i="23" l="1"/>
  <c r="G6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Fathimath Shifaza</author>
  </authors>
  <commentList>
    <comment ref="B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Pls revised this …...</t>
        </r>
      </text>
    </comment>
  </commentList>
</comments>
</file>

<file path=xl/sharedStrings.xml><?xml version="1.0" encoding="utf-8"?>
<sst xmlns="http://schemas.openxmlformats.org/spreadsheetml/2006/main" count="36" uniqueCount="36">
  <si>
    <t xml:space="preserve">Source: Ministry of Housing and Infrastructure </t>
  </si>
  <si>
    <t>މަޢުލޫމާތުދެއްވި ފަރާތް:  މިނިސްޓްރީ އޮފް ހައުސިން އެންޑް އިންފަރާސްޓްރަކްޗަރ</t>
  </si>
  <si>
    <t>Month</t>
  </si>
  <si>
    <r>
      <t xml:space="preserve">Area in sqm  </t>
    </r>
    <r>
      <rPr>
        <b/>
        <sz val="10"/>
        <rFont val="Faruma"/>
      </rPr>
      <t>ތަނުގެ ބޮޑުމިން އަކަ މީޓަރުން</t>
    </r>
  </si>
  <si>
    <t>މަސް</t>
  </si>
  <si>
    <t xml:space="preserve">Total 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</si>
  <si>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</si>
  <si>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</si>
  <si>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</si>
  <si>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</si>
  <si>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</si>
  <si>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</si>
  <si>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</si>
  <si>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</si>
  <si>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</si>
  <si>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</si>
  <si>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</si>
  <si>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</si>
  <si>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</si>
  <si>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</si>
  <si>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</si>
  <si>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</si>
  <si>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</si>
  <si>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</si>
  <si>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</si>
  <si>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</si>
  <si>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</si>
  <si>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</si>
  <si>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</si>
  <si>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</si>
  <si>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</si>
  <si>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Note:  The decline inMay 2015 is due to the hold in the authorizations along with the  amendments  made in administrative process.</t>
  </si>
  <si>
    <t>-</t>
  </si>
  <si>
    <t>Male'  City Council</t>
  </si>
  <si>
    <t>TABLE 4.5:  AREA OF BUILDINGS AUTHORISED FOR CONSTRUCTION BY MONTH, 2018 -2021</t>
  </si>
  <si>
    <t>ތާވަލު 4.5: މަސްމަހުގެ ގޮތުން އިމާރާތްކުރުމުގެ ހުއްދަ ދެވުނު ތަނުގެ ބޮޑުމިން، 2018 - 2021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</si>
</sst>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Faruma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sz val="9"/>
      <color theme="1"/>
      <name val="Faruma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10"/>
      <name val="Faruma"/>
    </font>
    <font>
      <sz val="10"/>
      <name val="Calibri"/>
      <family val="2"/>
    </font>
    <font>
      <sz val="10"/>
      <name val="Faruma"/>
    </font>
    <font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165" fontId="5" fillId="0" borderId="0"/>
    <xf numFmtId="166" fontId="5" fillId="0" borderId="0"/>
    <xf numFmtId="0" fontId="2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167" fontId="6" fillId="2" borderId="0" xfId="2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2" fillId="2" borderId="0" xfId="1" applyFill="1"/>
    <xf numFmtId="0" fontId="7" fillId="2" borderId="4" xfId="1" applyFont="1" applyFill="1" applyBorder="1"/>
    <xf numFmtId="0" fontId="10" fillId="2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right" indent="1"/>
    </xf>
    <xf numFmtId="0" fontId="16" fillId="2" borderId="0" xfId="1" applyFont="1" applyFill="1" applyAlignment="1">
      <alignment horizontal="left" vertical="center" indent="3"/>
    </xf>
    <xf numFmtId="166" fontId="11" fillId="2" borderId="0" xfId="6" applyNumberFormat="1" applyFont="1" applyFill="1" applyBorder="1" applyAlignment="1">
      <alignment vertical="center"/>
    </xf>
    <xf numFmtId="0" fontId="17" fillId="2" borderId="0" xfId="1" applyFont="1" applyFill="1" applyAlignment="1">
      <alignment horizontal="right" vertical="center" indent="2"/>
    </xf>
    <xf numFmtId="0" fontId="18" fillId="2" borderId="0" xfId="1" applyFont="1" applyFill="1" applyAlignment="1">
      <alignment vertical="center" wrapText="1"/>
    </xf>
    <xf numFmtId="0" fontId="16" fillId="2" borderId="1" xfId="1" applyFont="1" applyFill="1" applyBorder="1" applyAlignment="1">
      <alignment horizontal="left" vertical="center" indent="3"/>
    </xf>
    <xf numFmtId="166" fontId="11" fillId="2" borderId="1" xfId="6" applyNumberFormat="1" applyFont="1" applyFill="1" applyBorder="1" applyAlignment="1">
      <alignment vertical="center"/>
    </xf>
    <xf numFmtId="0" fontId="17" fillId="2" borderId="1" xfId="1" applyFont="1" applyFill="1" applyBorder="1" applyAlignment="1">
      <alignment horizontal="right" vertical="center" indent="2"/>
    </xf>
    <xf numFmtId="166" fontId="12" fillId="2" borderId="0" xfId="6" applyNumberFormat="1" applyFont="1" applyFill="1" applyBorder="1"/>
    <xf numFmtId="166" fontId="2" fillId="2" borderId="0" xfId="1" applyNumberFormat="1" applyFill="1"/>
    <xf numFmtId="166" fontId="1" fillId="2" borderId="0" xfId="1" applyNumberFormat="1" applyFont="1" applyFill="1"/>
    <xf numFmtId="166" fontId="1" fillId="3" borderId="0" xfId="1" applyNumberFormat="1" applyFont="1" applyFill="1"/>
    <xf numFmtId="166" fontId="11" fillId="2" borderId="0" xfId="6" applyNumberFormat="1" applyFont="1" applyFill="1" applyBorder="1" applyAlignment="1">
      <alignment horizontal="right" vertical="center"/>
    </xf>
    <xf numFmtId="0" fontId="13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14" fillId="2" borderId="2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5" fillId="2" borderId="2" xfId="1" applyFont="1" applyFill="1" applyBorder="1" applyAlignment="1">
      <alignment horizontal="right" vertical="center" indent="2"/>
    </xf>
    <xf numFmtId="0" fontId="15" fillId="2" borderId="1" xfId="1" applyFont="1" applyFill="1" applyBorder="1" applyAlignment="1">
      <alignment horizontal="right" vertical="center" indent="2"/>
    </xf>
    <xf numFmtId="0" fontId="10" fillId="2" borderId="3" xfId="1" applyFont="1" applyFill="1" applyBorder="1" applyAlignment="1">
      <alignment horizontal="center" vertical="center"/>
    </xf>
  </cellXfs>
  <cellStyles count="11">
    <cellStyle name="Comma" xfId="6" builtinId="3"/>
    <cellStyle name="Comma 2" xfId="4" xr:uid="{00000000-0005-0000-0000-000001000000}"/>
    <cellStyle name="Comma 2 3" xfId="8" xr:uid="{00000000-0005-0000-0000-000002000000}"/>
    <cellStyle name="Comma 3" xfId="7" xr:uid="{00000000-0005-0000-0000-000003000000}"/>
    <cellStyle name="Hyperlink_Housing - 3" xfId="5" xr:uid="{00000000-0005-0000-0000-000004000000}"/>
    <cellStyle name="Normal" xfId="0" builtinId="0"/>
    <cellStyle name="Normal 2" xfId="3" xr:uid="{00000000-0005-0000-0000-000006000000}"/>
    <cellStyle name="Normal 2 2" xfId="9" xr:uid="{00000000-0005-0000-0000-000007000000}"/>
    <cellStyle name="Normal_3 Population." xfId="2" xr:uid="{00000000-0005-0000-0000-000008000000}"/>
    <cellStyle name="Normal_Housing - 3 2" xfId="1" xr:uid="{00000000-0005-0000-0000-000009000000}"/>
    <cellStyle name="Percent 2" xfId="10" xr:uid="{00000000-0005-0000-0000-00000A000000}"/>
  </cellStyles>
  <dxfs count="0"/>
  <tableStyles count="0" defaultTableStyle="TableStyleMedium9" defaultPivotStyle="PivotStyleLight16"/>
  <colors>
    <mruColors>
      <color rgb="FFFF9B9B"/>
      <color rgb="FFFFC9C9"/>
      <color rgb="FFFFF7F7"/>
      <color rgb="FFFFE5E5"/>
      <color rgb="FFF2E4D6"/>
      <color rgb="FF33CCCC"/>
      <color rgb="FF1C706E"/>
      <color rgb="FFEFFFFF"/>
      <color rgb="FFF9F2EB"/>
      <color rgb="FF7A51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 </a:t>
            </a:r>
            <a:r>
              <a:rPr lang="en-US" sz="1000" b="1" i="0" u="none" strike="noStrike" baseline="0">
                <a:effectLst/>
              </a:rPr>
              <a:t>Figure 4.2 : </a:t>
            </a:r>
            <a:r>
              <a:rPr lang="en-US" sz="1000"/>
              <a:t>AREA OF BUILDINGS AUTHORISED FOR CONSTRUCTION BY MONTH, 2019</a:t>
            </a:r>
            <a:r>
              <a:rPr lang="en-US" sz="1000" baseline="0"/>
              <a:t> - 2021</a:t>
            </a:r>
            <a:r>
              <a:rPr lang="en-US" sz="1000"/>
              <a:t>   </a:t>
            </a:r>
          </a:p>
        </c:rich>
      </c:tx>
      <c:layout>
        <c:manualLayout>
          <c:xMode val="edge"/>
          <c:yMode val="edge"/>
          <c:x val="0.18401479012203767"/>
          <c:y val="2.223508386238045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27672882171398"/>
          <c:y val="8.1642999753235967E-2"/>
          <c:w val="0.86984396697059663"/>
          <c:h val="0.6396428651546761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'4.5'!$G$5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'4.5'!$A$7:$A$18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'4.5'!$G$7:$G$18</c:f>
              <c:numCache>
                <c:formatCode>_(* #,##0_);_(* \(#,##0\);_(* "-"??_);_(@_)</c:formatCode>
                <c:ptCount val="12"/>
                <c:pt idx="0">
                  <c:v>16494.689999999999</c:v>
                </c:pt>
                <c:pt idx="1">
                  <c:v>21379.863000000001</c:v>
                </c:pt>
                <c:pt idx="2">
                  <c:v>14524.084999999999</c:v>
                </c:pt>
                <c:pt idx="3">
                  <c:v>19868.418000000001</c:v>
                </c:pt>
                <c:pt idx="4">
                  <c:v>18597.276000000002</c:v>
                </c:pt>
                <c:pt idx="5">
                  <c:v>15874.517</c:v>
                </c:pt>
                <c:pt idx="6">
                  <c:v>25384.453000000001</c:v>
                </c:pt>
                <c:pt idx="7">
                  <c:v>10453.9</c:v>
                </c:pt>
                <c:pt idx="8">
                  <c:v>14079.18</c:v>
                </c:pt>
                <c:pt idx="9">
                  <c:v>32940.43</c:v>
                </c:pt>
                <c:pt idx="10">
                  <c:v>19214.38</c:v>
                </c:pt>
                <c:pt idx="11">
                  <c:v>15075.15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C-4299-A38A-A4405ED22935}"/>
            </c:ext>
          </c:extLst>
        </c:ser>
        <c:ser>
          <c:idx val="2"/>
          <c:order val="1"/>
          <c:tx>
            <c:strRef>
              <c:f>'4.5'!$H$5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FF9B9B"/>
            </a:solidFill>
          </c:spPr>
          <c:invertIfNegative val="0"/>
          <c:cat>
            <c:strRef>
              <c:f>'4.5'!$A$7:$A$18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'4.5'!$H$7:$H$18</c:f>
              <c:numCache>
                <c:formatCode>_(* #,##0_);_(* \(#,##0\);_(* "-"??_);_(@_)</c:formatCode>
                <c:ptCount val="12"/>
                <c:pt idx="0">
                  <c:v>20966</c:v>
                </c:pt>
                <c:pt idx="1">
                  <c:v>19493.150000000001</c:v>
                </c:pt>
                <c:pt idx="2">
                  <c:v>2570.5</c:v>
                </c:pt>
                <c:pt idx="3">
                  <c:v>4046.3</c:v>
                </c:pt>
                <c:pt idx="4">
                  <c:v>0</c:v>
                </c:pt>
                <c:pt idx="5">
                  <c:v>7321.61</c:v>
                </c:pt>
                <c:pt idx="6">
                  <c:v>7975.7870000000003</c:v>
                </c:pt>
                <c:pt idx="7">
                  <c:v>37107.294000000002</c:v>
                </c:pt>
                <c:pt idx="8">
                  <c:v>12646.028</c:v>
                </c:pt>
                <c:pt idx="9">
                  <c:v>28943.45</c:v>
                </c:pt>
                <c:pt idx="10">
                  <c:v>12063.127</c:v>
                </c:pt>
                <c:pt idx="11">
                  <c:v>15107.903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DC-4299-A38A-A4405ED22935}"/>
            </c:ext>
          </c:extLst>
        </c:ser>
        <c:ser>
          <c:idx val="0"/>
          <c:order val="2"/>
          <c:tx>
            <c:strRef>
              <c:f>'4.5'!$I$5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FFC9C9"/>
            </a:solidFill>
          </c:spPr>
          <c:invertIfNegative val="0"/>
          <c:cat>
            <c:strRef>
              <c:f>'4.5'!$A$7:$A$18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'4.5'!$I$7:$I$18</c:f>
              <c:numCache>
                <c:formatCode>_(* #,##0_);_(* \(#,##0\);_(* "-"??_);_(@_)</c:formatCode>
                <c:ptCount val="12"/>
                <c:pt idx="0">
                  <c:v>11178.51</c:v>
                </c:pt>
                <c:pt idx="1">
                  <c:v>5028.9399999999996</c:v>
                </c:pt>
                <c:pt idx="2">
                  <c:v>10290.39</c:v>
                </c:pt>
                <c:pt idx="3">
                  <c:v>6096.85</c:v>
                </c:pt>
                <c:pt idx="4">
                  <c:v>7296.18</c:v>
                </c:pt>
                <c:pt idx="5">
                  <c:v>12007.3</c:v>
                </c:pt>
                <c:pt idx="6">
                  <c:v>3887.8209999999999</c:v>
                </c:pt>
                <c:pt idx="7">
                  <c:v>6207.9440000000004</c:v>
                </c:pt>
                <c:pt idx="8">
                  <c:v>17878.54</c:v>
                </c:pt>
                <c:pt idx="9">
                  <c:v>26513.1</c:v>
                </c:pt>
                <c:pt idx="10">
                  <c:v>14234.54</c:v>
                </c:pt>
                <c:pt idx="11">
                  <c:v>15913.1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E-4F0F-835E-BB0E0E94F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02528"/>
        <c:axId val="403902136"/>
      </c:barChart>
      <c:catAx>
        <c:axId val="403902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6207102651661836"/>
              <c:y val="0.92717882405461782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403902136"/>
        <c:crosses val="autoZero"/>
        <c:auto val="1"/>
        <c:lblAlgn val="ctr"/>
        <c:lblOffset val="100"/>
        <c:noMultiLvlLbl val="0"/>
      </c:catAx>
      <c:valAx>
        <c:axId val="403902136"/>
        <c:scaling>
          <c:orientation val="minMax"/>
          <c:max val="4000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Floor Area  (sqm)</a:t>
                </a:r>
              </a:p>
            </c:rich>
          </c:tx>
          <c:layout>
            <c:manualLayout>
              <c:xMode val="edge"/>
              <c:yMode val="edge"/>
              <c:x val="1.1267002707212582E-2"/>
              <c:y val="0.3551201114523441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390252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900"/>
            </a:pPr>
            <a:endParaRPr lang="en-US"/>
          </a:p>
        </c:txPr>
      </c:dTable>
      <c:spPr>
        <a:solidFill>
          <a:srgbClr val="FFF7F7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5266637290776608"/>
          <c:y val="0.13284309546776737"/>
          <c:w val="0.16101295732194057"/>
          <c:h val="6.55222798004950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21</xdr:row>
      <xdr:rowOff>104775</xdr:rowOff>
    </xdr:from>
    <xdr:to>
      <xdr:col>10</xdr:col>
      <xdr:colOff>695325</xdr:colOff>
      <xdr:row>42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tabSelected="1" zoomScaleNormal="100" workbookViewId="0">
      <selection activeCell="M30" sqref="M30"/>
    </sheetView>
  </sheetViews>
  <sheetFormatPr defaultColWidth="9.140625" defaultRowHeight="12.75" x14ac:dyDescent="0.2"/>
  <cols>
    <col min="1" max="1" width="16.42578125" style="3" customWidth="1"/>
    <col min="2" max="5" width="13.140625" style="3" hidden="1" customWidth="1"/>
    <col min="6" max="9" width="18.140625" style="3" customWidth="1"/>
    <col min="10" max="10" width="19" style="3" customWidth="1"/>
    <col min="11" max="11" width="10.5703125" style="3" customWidth="1"/>
    <col min="12" max="12" width="8" style="3" customWidth="1"/>
    <col min="13" max="13" width="39.42578125" style="3" customWidth="1"/>
    <col min="14" max="19" width="10.5703125" style="3" customWidth="1"/>
    <col min="20" max="20" width="34" style="3" customWidth="1"/>
    <col min="21" max="21" width="5.28515625" style="3" customWidth="1"/>
    <col min="22" max="25" width="9.140625" style="3"/>
    <col min="26" max="26" width="21.7109375" style="3" customWidth="1"/>
    <col min="27" max="16384" width="9.140625" style="3"/>
  </cols>
  <sheetData>
    <row r="1" spans="1:13" ht="21.75" x14ac:dyDescent="0.55000000000000004">
      <c r="A1" s="20" t="s">
        <v>35</v>
      </c>
      <c r="B1" s="20"/>
      <c r="C1" s="20"/>
      <c r="D1" s="20"/>
      <c r="E1" s="20"/>
      <c r="F1" s="20"/>
      <c r="G1" s="20"/>
      <c r="H1" s="20"/>
      <c r="I1" s="20"/>
      <c r="J1" s="20"/>
    </row>
    <row r="2" spans="1:13" ht="15" x14ac:dyDescent="0.25">
      <c r="A2" s="19" t="s">
        <v>34</v>
      </c>
      <c r="B2" s="19"/>
      <c r="C2" s="19"/>
      <c r="D2" s="19"/>
      <c r="E2" s="19"/>
      <c r="F2" s="19"/>
      <c r="G2" s="19"/>
      <c r="H2" s="19"/>
      <c r="I2" s="19"/>
      <c r="J2" s="19"/>
    </row>
    <row r="4" spans="1:13" ht="18.75" x14ac:dyDescent="0.2">
      <c r="A4" s="21" t="s">
        <v>2</v>
      </c>
      <c r="B4" s="25" t="s">
        <v>3</v>
      </c>
      <c r="C4" s="25"/>
      <c r="D4" s="25"/>
      <c r="E4" s="25"/>
      <c r="F4" s="25"/>
      <c r="G4" s="25"/>
      <c r="H4" s="25"/>
      <c r="I4" s="25"/>
      <c r="J4" s="23" t="s">
        <v>4</v>
      </c>
    </row>
    <row r="5" spans="1:13" ht="15" x14ac:dyDescent="0.25">
      <c r="A5" s="22"/>
      <c r="B5" s="4">
        <v>2014</v>
      </c>
      <c r="C5" s="4">
        <v>2015</v>
      </c>
      <c r="D5" s="4">
        <v>2016</v>
      </c>
      <c r="E5" s="4">
        <v>2017</v>
      </c>
      <c r="F5" s="4">
        <v>2018</v>
      </c>
      <c r="G5" s="4">
        <v>2019</v>
      </c>
      <c r="H5" s="4">
        <v>2020</v>
      </c>
      <c r="I5" s="4">
        <v>2021</v>
      </c>
      <c r="J5" s="24"/>
    </row>
    <row r="6" spans="1:13" ht="18.75" x14ac:dyDescent="0.5">
      <c r="A6" s="5" t="s">
        <v>5</v>
      </c>
      <c r="B6" s="17">
        <f t="shared" ref="B6:E6" si="0">SUM(B7:B18)</f>
        <v>220620.78</v>
      </c>
      <c r="C6" s="17">
        <f>SUM(C7:C18)</f>
        <v>285013.46000000002</v>
      </c>
      <c r="D6" s="17">
        <f t="shared" si="0"/>
        <v>486383.45999999996</v>
      </c>
      <c r="E6" s="17">
        <f t="shared" si="0"/>
        <v>401455.98</v>
      </c>
      <c r="F6" s="16">
        <f>SUM(F7:F18)</f>
        <v>453083.67</v>
      </c>
      <c r="G6" s="16">
        <f>SUM(G7:G18)</f>
        <v>223886.34199999998</v>
      </c>
      <c r="H6" s="16">
        <f>SUM(H7:H18)</f>
        <v>168241.149</v>
      </c>
      <c r="I6" s="16">
        <f>SUM(I7:I18)</f>
        <v>136533.21500000003</v>
      </c>
      <c r="J6" s="6" t="s">
        <v>6</v>
      </c>
    </row>
    <row r="7" spans="1:13" ht="18.75" x14ac:dyDescent="0.2">
      <c r="A7" s="7" t="s">
        <v>7</v>
      </c>
      <c r="B7" s="8">
        <v>17753.080000000002</v>
      </c>
      <c r="C7" s="8">
        <v>36482.61</v>
      </c>
      <c r="D7" s="8">
        <v>18387.759999999998</v>
      </c>
      <c r="E7" s="8">
        <v>40801.57</v>
      </c>
      <c r="F7" s="8">
        <v>153825.89000000001</v>
      </c>
      <c r="G7" s="8">
        <v>16494.689999999999</v>
      </c>
      <c r="H7" s="8">
        <v>20966</v>
      </c>
      <c r="I7" s="8">
        <v>11178.51</v>
      </c>
      <c r="J7" s="9" t="s">
        <v>8</v>
      </c>
    </row>
    <row r="8" spans="1:13" ht="18.75" x14ac:dyDescent="0.2">
      <c r="A8" s="7" t="s">
        <v>9</v>
      </c>
      <c r="B8" s="8">
        <v>12806.38</v>
      </c>
      <c r="C8" s="8">
        <v>35259.65</v>
      </c>
      <c r="D8" s="8">
        <v>24197.26</v>
      </c>
      <c r="E8" s="8">
        <v>29124.22</v>
      </c>
      <c r="F8" s="8">
        <v>19772.2</v>
      </c>
      <c r="G8" s="8">
        <v>21379.863000000001</v>
      </c>
      <c r="H8" s="8">
        <v>19493.150000000001</v>
      </c>
      <c r="I8" s="8">
        <v>5028.9399999999996</v>
      </c>
      <c r="J8" s="9" t="s">
        <v>10</v>
      </c>
    </row>
    <row r="9" spans="1:13" ht="18.75" x14ac:dyDescent="0.2">
      <c r="A9" s="7" t="s">
        <v>11</v>
      </c>
      <c r="B9" s="8">
        <v>17807.400000000001</v>
      </c>
      <c r="C9" s="8">
        <v>19485.060000000001</v>
      </c>
      <c r="D9" s="8">
        <v>37224.83</v>
      </c>
      <c r="E9" s="8">
        <v>40942.21</v>
      </c>
      <c r="F9" s="8">
        <v>32925.910000000003</v>
      </c>
      <c r="G9" s="8">
        <v>14524.084999999999</v>
      </c>
      <c r="H9" s="8">
        <v>2570.5</v>
      </c>
      <c r="I9" s="8">
        <v>10290.39</v>
      </c>
      <c r="J9" s="9" t="s">
        <v>12</v>
      </c>
      <c r="M9" s="10"/>
    </row>
    <row r="10" spans="1:13" ht="18.75" x14ac:dyDescent="0.2">
      <c r="A10" s="7" t="s">
        <v>13</v>
      </c>
      <c r="B10" s="8">
        <v>16713.830000000002</v>
      </c>
      <c r="C10" s="8">
        <v>25796.34</v>
      </c>
      <c r="D10" s="8">
        <v>19690.189999999999</v>
      </c>
      <c r="E10" s="8">
        <v>27688.44</v>
      </c>
      <c r="F10" s="8">
        <v>18103.919999999998</v>
      </c>
      <c r="G10" s="8">
        <v>19868.418000000001</v>
      </c>
      <c r="H10" s="8">
        <v>4046.3</v>
      </c>
      <c r="I10" s="8">
        <v>6096.85</v>
      </c>
      <c r="J10" s="9" t="s">
        <v>14</v>
      </c>
    </row>
    <row r="11" spans="1:13" ht="18.75" x14ac:dyDescent="0.2">
      <c r="A11" s="7" t="s">
        <v>15</v>
      </c>
      <c r="B11" s="8">
        <v>23633.75</v>
      </c>
      <c r="C11" s="8">
        <v>449.74</v>
      </c>
      <c r="D11" s="8">
        <v>29738.02</v>
      </c>
      <c r="E11" s="8">
        <v>33797</v>
      </c>
      <c r="F11" s="8">
        <v>25969.46</v>
      </c>
      <c r="G11" s="8">
        <v>18597.276000000002</v>
      </c>
      <c r="H11" s="18" t="s">
        <v>32</v>
      </c>
      <c r="I11" s="8">
        <v>7296.18</v>
      </c>
      <c r="J11" s="9" t="s">
        <v>16</v>
      </c>
    </row>
    <row r="12" spans="1:13" ht="18.75" x14ac:dyDescent="0.2">
      <c r="A12" s="7" t="s">
        <v>17</v>
      </c>
      <c r="B12" s="8">
        <v>20921.310000000001</v>
      </c>
      <c r="C12" s="8">
        <v>37047.620000000003</v>
      </c>
      <c r="D12" s="8">
        <v>66372.94</v>
      </c>
      <c r="E12" s="8">
        <v>29256.61</v>
      </c>
      <c r="F12" s="8">
        <v>58180.160000000003</v>
      </c>
      <c r="G12" s="8">
        <v>15874.517</v>
      </c>
      <c r="H12" s="8">
        <v>7321.61</v>
      </c>
      <c r="I12" s="8">
        <v>12007.3</v>
      </c>
      <c r="J12" s="9" t="s">
        <v>18</v>
      </c>
    </row>
    <row r="13" spans="1:13" ht="18.75" x14ac:dyDescent="0.2">
      <c r="A13" s="7" t="s">
        <v>19</v>
      </c>
      <c r="B13" s="8">
        <v>11333.37</v>
      </c>
      <c r="C13" s="8">
        <v>21995.66</v>
      </c>
      <c r="D13" s="8">
        <v>32350.959999999999</v>
      </c>
      <c r="E13" s="8">
        <v>24513.61</v>
      </c>
      <c r="F13" s="8">
        <v>39299.86</v>
      </c>
      <c r="G13" s="8">
        <v>25384.453000000001</v>
      </c>
      <c r="H13" s="8">
        <v>7975.7870000000003</v>
      </c>
      <c r="I13" s="8">
        <v>3887.8209999999999</v>
      </c>
      <c r="J13" s="9" t="s">
        <v>20</v>
      </c>
    </row>
    <row r="14" spans="1:13" ht="18.75" x14ac:dyDescent="0.2">
      <c r="A14" s="7" t="s">
        <v>21</v>
      </c>
      <c r="B14" s="8">
        <v>27338.25</v>
      </c>
      <c r="C14" s="8">
        <v>15747.56</v>
      </c>
      <c r="D14" s="8">
        <v>67211.78</v>
      </c>
      <c r="E14" s="8">
        <v>41177.050000000003</v>
      </c>
      <c r="F14" s="8">
        <v>15566.6</v>
      </c>
      <c r="G14" s="8">
        <v>10453.9</v>
      </c>
      <c r="H14" s="8">
        <v>37107.294000000002</v>
      </c>
      <c r="I14" s="8">
        <v>6207.9440000000004</v>
      </c>
      <c r="J14" s="9" t="s">
        <v>22</v>
      </c>
    </row>
    <row r="15" spans="1:13" ht="18.75" x14ac:dyDescent="0.2">
      <c r="A15" s="7" t="s">
        <v>23</v>
      </c>
      <c r="B15" s="8">
        <v>23187.97</v>
      </c>
      <c r="C15" s="8">
        <v>8463.07</v>
      </c>
      <c r="D15" s="8">
        <v>26820.16</v>
      </c>
      <c r="E15" s="8">
        <v>21952.44</v>
      </c>
      <c r="F15" s="8">
        <v>20222.38</v>
      </c>
      <c r="G15" s="8">
        <v>14079.18</v>
      </c>
      <c r="H15" s="8">
        <v>12646.028</v>
      </c>
      <c r="I15" s="8">
        <v>17878.54</v>
      </c>
      <c r="J15" s="9" t="s">
        <v>24</v>
      </c>
    </row>
    <row r="16" spans="1:13" ht="18.75" x14ac:dyDescent="0.2">
      <c r="A16" s="7" t="s">
        <v>25</v>
      </c>
      <c r="B16" s="8">
        <v>22605.1</v>
      </c>
      <c r="C16" s="8">
        <v>26665.1</v>
      </c>
      <c r="D16" s="8">
        <v>65201.9</v>
      </c>
      <c r="E16" s="8">
        <v>55021.9</v>
      </c>
      <c r="F16" s="8">
        <v>27554.3</v>
      </c>
      <c r="G16" s="8">
        <v>32940.43</v>
      </c>
      <c r="H16" s="8">
        <v>28943.45</v>
      </c>
      <c r="I16" s="8">
        <v>26513.1</v>
      </c>
      <c r="J16" s="9" t="s">
        <v>26</v>
      </c>
    </row>
    <row r="17" spans="1:12" ht="18.75" x14ac:dyDescent="0.2">
      <c r="A17" s="7" t="s">
        <v>27</v>
      </c>
      <c r="B17" s="8">
        <v>8743.34</v>
      </c>
      <c r="C17" s="8">
        <v>31764.54</v>
      </c>
      <c r="D17" s="8">
        <v>49345.440000000002</v>
      </c>
      <c r="E17" s="8">
        <v>27089.64</v>
      </c>
      <c r="F17" s="8">
        <v>14833.11</v>
      </c>
      <c r="G17" s="8">
        <v>19214.38</v>
      </c>
      <c r="H17" s="8">
        <v>12063.127</v>
      </c>
      <c r="I17" s="8">
        <v>14234.54</v>
      </c>
      <c r="J17" s="9" t="s">
        <v>28</v>
      </c>
    </row>
    <row r="18" spans="1:12" ht="18.75" x14ac:dyDescent="0.2">
      <c r="A18" s="11" t="s">
        <v>29</v>
      </c>
      <c r="B18" s="12">
        <v>17777</v>
      </c>
      <c r="C18" s="12">
        <v>25856.51</v>
      </c>
      <c r="D18" s="12">
        <v>49842.22</v>
      </c>
      <c r="E18" s="12">
        <v>30091.29</v>
      </c>
      <c r="F18" s="12">
        <v>26829.88</v>
      </c>
      <c r="G18" s="12">
        <v>15075.15</v>
      </c>
      <c r="H18" s="12">
        <v>15107.903</v>
      </c>
      <c r="I18" s="12">
        <v>15913.1</v>
      </c>
      <c r="J18" s="13" t="s">
        <v>30</v>
      </c>
      <c r="L18" s="14"/>
    </row>
    <row r="19" spans="1:12" ht="16.5" customHeight="1" x14ac:dyDescent="0.2">
      <c r="A19" s="2" t="s">
        <v>31</v>
      </c>
      <c r="B19" s="2"/>
      <c r="C19" s="2"/>
      <c r="D19" s="2"/>
      <c r="E19" s="2"/>
    </row>
    <row r="20" spans="1:12" ht="17.25" x14ac:dyDescent="0.2">
      <c r="A20" s="2" t="s">
        <v>0</v>
      </c>
      <c r="B20" s="2"/>
      <c r="C20" s="2"/>
      <c r="D20" s="2"/>
      <c r="E20" s="2"/>
      <c r="J20" s="1" t="s">
        <v>1</v>
      </c>
    </row>
    <row r="21" spans="1:12" ht="14.25" customHeight="1" x14ac:dyDescent="0.2">
      <c r="A21" s="2" t="s">
        <v>33</v>
      </c>
      <c r="B21" s="2"/>
      <c r="C21" s="2"/>
      <c r="D21" s="2"/>
      <c r="E21" s="2"/>
      <c r="F21" s="15"/>
    </row>
  </sheetData>
  <mergeCells count="5">
    <mergeCell ref="A1:J1"/>
    <mergeCell ref="A2:J2"/>
    <mergeCell ref="A4:A5"/>
    <mergeCell ref="J4:J5"/>
    <mergeCell ref="B4:I4"/>
  </mergeCells>
  <pageMargins left="0.7" right="0.7" top="0.75" bottom="0.75" header="0.3" footer="0.3"/>
  <pageSetup paperSize="9" scale="64" orientation="portrait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4.5</vt:lpstr>
      <vt:lpstr>'4.5'!Print_Area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2023-01-30T03:36:10Z</cp:lastPrinted>
  <dcterms:created xsi:type="dcterms:W3CDTF">2014-03-04T07:02:54Z</dcterms:created>
  <dcterms:modified xsi:type="dcterms:W3CDTF">2023-01-30T03:36:16Z</dcterms:modified>
</cp:coreProperties>
</file>