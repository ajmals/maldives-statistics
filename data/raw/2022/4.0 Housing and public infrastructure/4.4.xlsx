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Housing\"/>
    </mc:Choice>
  </mc:AlternateContent>
  <xr:revisionPtr revIDLastSave="0" documentId="13_ncr:1_{0FA79E1A-3FF0-41FA-918C-C9A1951F9718}" xr6:coauthVersionLast="47" xr6:coauthVersionMax="47" xr10:uidLastSave="{00000000-0000-0000-0000-000000000000}"/>
  <bookViews>
    <workbookView xWindow="-120" yWindow="-120" windowWidth="29040" windowHeight="15840" tabRatio="725" xr2:uid="{00000000-000D-0000-FFFF-FFFF00000000}"/>
  </bookViews>
  <sheets>
    <sheet name="4.4" sheetId="22" r:id="rId1"/>
  </sheets>
  <definedNames>
    <definedName name="_xlnm.Print_Area" localSheetId="0">'4.4'!$A$1:$U$33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22" l="1"/>
  <c r="S12" i="22"/>
  <c r="R12" i="22"/>
  <c r="R7" i="22"/>
  <c r="L7" i="22" l="1"/>
  <c r="M7" i="22"/>
  <c r="N7" i="22"/>
  <c r="O7" i="22"/>
  <c r="K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L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total does not tally with monthly total in table 4.5. Pls revise this data</t>
        </r>
      </text>
    </comment>
  </commentList>
</comments>
</file>

<file path=xl/sharedStrings.xml><?xml version="1.0" encoding="utf-8"?>
<sst xmlns="http://schemas.openxmlformats.org/spreadsheetml/2006/main" count="31" uniqueCount="23">
  <si>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</si>
  <si>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</si>
  <si>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</si>
  <si>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</si>
  <si>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</si>
  <si>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</si>
  <si>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</si>
  <si>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</si>
  <si>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</si>
  <si>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</si>
  <si>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</si>
  <si>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</si>
  <si>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</si>
  <si>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</si>
  <si>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</si>
  <si>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</si>
  <si>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</si>
  <si>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</si>
  <si>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</si>
  <si>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>މަޢުލޫމާތުދެއްވި ފަރާތް:  މާލޭ ސިޓީ ކައުންސިލުގެ އިދާރާ</t>
  </si>
  <si>
    <t>Source: Male" City Council</t>
  </si>
  <si>
    <t xml:space="preserve">Table 4.4 : BUILDINGS AUTHORISED FOR CONSTRUCTION AND COMPLETED BY NUMBER AND FLOOR AREA IN MALE' 2013 - 2021  </t>
  </si>
  <si>
    <t xml:space="preserve">2021 - 2018 cnimuDob iaWdwdwa egunwtcnwt unumcnin cSokctWrWmia idwa unuvedwdcauh egumurukctWrWmia iawgElWm : 4.4 clwvWt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</si>
</sst>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sz val="9"/>
      <color rgb="FFFF0000"/>
      <name val="Faruma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3" fillId="2" borderId="0" xfId="1" applyFont="1" applyFill="1"/>
    <xf numFmtId="0" fontId="14" fillId="2" borderId="2" xfId="1" applyFont="1" applyFill="1" applyBorder="1"/>
    <xf numFmtId="0" fontId="10" fillId="2" borderId="2" xfId="1" applyFont="1" applyFill="1" applyBorder="1"/>
    <xf numFmtId="0" fontId="15" fillId="2" borderId="0" xfId="1" applyFont="1" applyFill="1" applyAlignment="1">
      <alignment horizontal="right"/>
    </xf>
    <xf numFmtId="0" fontId="16" fillId="2" borderId="0" xfId="1" applyFont="1" applyFill="1"/>
    <xf numFmtId="0" fontId="14" fillId="2" borderId="0" xfId="1" applyFont="1" applyFill="1"/>
    <xf numFmtId="0" fontId="17" fillId="2" borderId="0" xfId="1" applyFont="1" applyFill="1"/>
    <xf numFmtId="0" fontId="15" fillId="2" borderId="0" xfId="0" applyFont="1" applyFill="1" applyAlignment="1">
      <alignment horizontal="right"/>
    </xf>
    <xf numFmtId="1" fontId="17" fillId="2" borderId="0" xfId="1" applyNumberFormat="1" applyFont="1" applyFill="1"/>
    <xf numFmtId="3" fontId="11" fillId="2" borderId="3" xfId="0" applyNumberFormat="1" applyFont="1" applyFill="1" applyBorder="1"/>
    <xf numFmtId="3" fontId="11" fillId="2" borderId="3" xfId="0" applyNumberFormat="1" applyFont="1" applyFill="1" applyBorder="1" applyAlignment="1">
      <alignment vertical="center"/>
    </xf>
    <xf numFmtId="0" fontId="7" fillId="2" borderId="3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166" fontId="7" fillId="2" borderId="0" xfId="6" applyNumberFormat="1" applyFont="1" applyFill="1" applyBorder="1" applyAlignment="1" applyProtection="1">
      <alignment horizontal="right" vertical="center"/>
      <protection locked="0"/>
    </xf>
    <xf numFmtId="0" fontId="18" fillId="2" borderId="0" xfId="1" applyFont="1" applyFill="1" applyAlignment="1">
      <alignment horizontal="right"/>
    </xf>
    <xf numFmtId="3" fontId="17" fillId="2" borderId="0" xfId="1" applyNumberFormat="1" applyFont="1" applyFill="1"/>
    <xf numFmtId="3" fontId="11" fillId="2" borderId="3" xfId="1" applyNumberFormat="1" applyFont="1" applyFill="1" applyBorder="1"/>
    <xf numFmtId="166" fontId="11" fillId="2" borderId="3" xfId="4" applyNumberFormat="1" applyFont="1" applyFill="1" applyBorder="1" applyAlignment="1">
      <alignment vertical="center"/>
    </xf>
    <xf numFmtId="3" fontId="7" fillId="2" borderId="3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0" fontId="17" fillId="2" borderId="0" xfId="1" applyFont="1" applyFill="1" applyAlignment="1">
      <alignment horizontal="left" indent="1"/>
    </xf>
    <xf numFmtId="3" fontId="7" fillId="2" borderId="3" xfId="1" applyNumberFormat="1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166" fontId="7" fillId="2" borderId="0" xfId="6" applyNumberFormat="1" applyFont="1" applyFill="1" applyBorder="1" applyAlignment="1" applyProtection="1">
      <alignment vertical="center"/>
      <protection locked="0"/>
    </xf>
    <xf numFmtId="3" fontId="18" fillId="2" borderId="0" xfId="1" applyNumberFormat="1" applyFont="1" applyFill="1" applyAlignment="1">
      <alignment horizontal="right" indent="1"/>
    </xf>
    <xf numFmtId="0" fontId="2" fillId="2" borderId="3" xfId="0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3" fontId="11" fillId="2" borderId="3" xfId="4" applyNumberFormat="1" applyFont="1" applyFill="1" applyBorder="1"/>
    <xf numFmtId="0" fontId="17" fillId="2" borderId="1" xfId="1" applyFont="1" applyFill="1" applyBorder="1" applyAlignment="1">
      <alignment horizontal="left" indent="1"/>
    </xf>
    <xf numFmtId="3" fontId="17" fillId="2" borderId="1" xfId="1" applyNumberFormat="1" applyFont="1" applyFill="1" applyBorder="1"/>
    <xf numFmtId="3" fontId="11" fillId="2" borderId="1" xfId="4" applyNumberFormat="1" applyFont="1" applyFill="1" applyBorder="1"/>
    <xf numFmtId="166" fontId="11" fillId="2" borderId="1" xfId="4" applyNumberFormat="1" applyFont="1" applyFill="1" applyBorder="1" applyAlignment="1">
      <alignment vertical="center"/>
    </xf>
    <xf numFmtId="3" fontId="7" fillId="2" borderId="1" xfId="1" applyNumberFormat="1" applyFont="1" applyFill="1" applyBorder="1" applyAlignment="1">
      <alignment vertical="center"/>
    </xf>
    <xf numFmtId="166" fontId="7" fillId="2" borderId="1" xfId="6" applyNumberFormat="1" applyFont="1" applyFill="1" applyBorder="1" applyAlignment="1" applyProtection="1">
      <alignment vertical="center"/>
      <protection locked="0"/>
    </xf>
    <xf numFmtId="0" fontId="19" fillId="2" borderId="0" xfId="1" applyFont="1" applyFill="1" applyAlignment="1">
      <alignment horizontal="left"/>
    </xf>
    <xf numFmtId="166" fontId="19" fillId="2" borderId="0" xfId="4" applyNumberFormat="1" applyFont="1" applyFill="1" applyBorder="1" applyAlignment="1">
      <alignment vertical="center"/>
    </xf>
    <xf numFmtId="3" fontId="11" fillId="2" borderId="0" xfId="4" applyNumberFormat="1" applyFont="1" applyFill="1" applyBorder="1"/>
    <xf numFmtId="3" fontId="11" fillId="2" borderId="0" xfId="1" applyNumberFormat="1" applyFont="1" applyFill="1" applyAlignment="1">
      <alignment vertical="center"/>
    </xf>
    <xf numFmtId="166" fontId="11" fillId="2" borderId="0" xfId="6" applyNumberFormat="1" applyFont="1" applyFill="1" applyBorder="1" applyAlignment="1" applyProtection="1">
      <alignment vertical="center"/>
      <protection locked="0"/>
    </xf>
    <xf numFmtId="166" fontId="11" fillId="2" borderId="0" xfId="6" applyNumberFormat="1" applyFont="1" applyFill="1" applyBorder="1" applyAlignment="1" applyProtection="1">
      <alignment horizontal="right" vertical="center"/>
      <protection locked="0"/>
    </xf>
    <xf numFmtId="0" fontId="20" fillId="2" borderId="0" xfId="1" applyFont="1" applyFill="1" applyAlignment="1">
      <alignment horizontal="left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1" fillId="2" borderId="0" xfId="5" applyFont="1" applyFill="1" applyAlignment="1" applyProtection="1"/>
    <xf numFmtId="0" fontId="22" fillId="2" borderId="0" xfId="1" applyFont="1" applyFill="1"/>
    <xf numFmtId="166" fontId="20" fillId="2" borderId="0" xfId="1" applyNumberFormat="1" applyFont="1" applyFill="1" applyAlignment="1">
      <alignment horizontal="left"/>
    </xf>
    <xf numFmtId="166" fontId="17" fillId="2" borderId="0" xfId="6" applyNumberFormat="1" applyFont="1" applyFill="1" applyBorder="1"/>
    <xf numFmtId="3" fontId="7" fillId="2" borderId="4" xfId="1" applyNumberFormat="1" applyFont="1" applyFill="1" applyBorder="1" applyAlignment="1">
      <alignment horizontal="right" vertical="center"/>
    </xf>
    <xf numFmtId="167" fontId="23" fillId="2" borderId="0" xfId="2" applyNumberFormat="1" applyFont="1" applyFill="1" applyAlignment="1">
      <alignment horizontal="right" vertical="center"/>
    </xf>
    <xf numFmtId="167" fontId="24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5" fillId="2" borderId="0" xfId="0" applyFont="1" applyFill="1" applyAlignment="1">
      <alignment horizontal="right"/>
    </xf>
    <xf numFmtId="0" fontId="26" fillId="2" borderId="0" xfId="1" applyFont="1" applyFill="1" applyAlignment="1">
      <alignment horizontal="right"/>
    </xf>
    <xf numFmtId="3" fontId="26" fillId="2" borderId="0" xfId="1" applyNumberFormat="1" applyFont="1" applyFill="1" applyAlignment="1">
      <alignment horizontal="right" indent="1"/>
    </xf>
    <xf numFmtId="3" fontId="26" fillId="2" borderId="1" xfId="1" applyNumberFormat="1" applyFont="1" applyFill="1" applyBorder="1" applyAlignment="1">
      <alignment horizontal="right" indent="1"/>
    </xf>
    <xf numFmtId="0" fontId="25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vertical="center"/>
    </xf>
    <xf numFmtId="165" fontId="27" fillId="2" borderId="0" xfId="1" applyNumberFormat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/>
    </xf>
  </cellXfs>
  <cellStyles count="11">
    <cellStyle name="Comma" xfId="6" builtinId="3"/>
    <cellStyle name="Comma 2" xfId="4" xr:uid="{00000000-0005-0000-0000-000001000000}"/>
    <cellStyle name="Comma 2 3" xfId="8" xr:uid="{00000000-0005-0000-0000-000002000000}"/>
    <cellStyle name="Comma 3" xfId="7" xr:uid="{00000000-0005-0000-0000-000003000000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4.1 : Buildings completed by floor area and type, 2014 - 2019 -2020- 2021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2654301485557146"/>
          <c:y val="2.7741603144009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91941176583726E-2"/>
          <c:y val="0.12861723428289332"/>
          <c:w val="0.88711620490614018"/>
          <c:h val="0.80827651437063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FFC9C9"/>
            </a:solidFill>
            <a:ln>
              <a:noFill/>
            </a:ln>
            <a:effectLst/>
          </c:spPr>
          <c:invertIfNegative val="0"/>
          <c:cat>
            <c:numRef>
              <c:f>'4.4'!$L$4:$S$4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'4.4'!$L$13:$S$13</c:f>
              <c:numCache>
                <c:formatCode>#,##0</c:formatCode>
                <c:ptCount val="4"/>
                <c:pt idx="0">
                  <c:v>39425.07</c:v>
                </c:pt>
                <c:pt idx="1">
                  <c:v>78141</c:v>
                </c:pt>
                <c:pt idx="2">
                  <c:v>70254.02</c:v>
                </c:pt>
                <c:pt idx="3">
                  <c:v>46586.720999999998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3AD-BDC1-8D45A13493BB}"/>
            </c:ext>
          </c:extLst>
        </c:ser>
        <c:ser>
          <c:idx val="1"/>
          <c:order val="1"/>
          <c:tx>
            <c:strRef>
              <c:f>'4.4'!$A$14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'4.4'!$L$4:$S$4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'4.4'!$L$14:$S$14</c:f>
              <c:numCache>
                <c:formatCode>#,##0</c:formatCode>
                <c:ptCount val="4"/>
                <c:pt idx="0">
                  <c:v>106008.53200000001</c:v>
                </c:pt>
                <c:pt idx="1">
                  <c:v>29898</c:v>
                </c:pt>
                <c:pt idx="2">
                  <c:v>32383.276999999998</c:v>
                </c:pt>
                <c:pt idx="3">
                  <c:v>25095.614000000001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3AD-BDC1-8D45A134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28632"/>
        <c:axId val="491626672"/>
      </c:barChart>
      <c:catAx>
        <c:axId val="49162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672"/>
        <c:crosses val="autoZero"/>
        <c:auto val="1"/>
        <c:lblAlgn val="ctr"/>
        <c:lblOffset val="100"/>
        <c:noMultiLvlLbl val="0"/>
      </c:catAx>
      <c:valAx>
        <c:axId val="4916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E5E5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8632"/>
        <c:crosses val="autoZero"/>
        <c:crossBetween val="between"/>
      </c:valAx>
      <c:spPr>
        <a:solidFill>
          <a:srgbClr val="FFF7F7"/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13506134758889266"/>
          <c:y val="0.16818349246101486"/>
          <c:w val="0.3416118845163913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80962</xdr:rowOff>
    </xdr:from>
    <xdr:to>
      <xdr:col>19</xdr:col>
      <xdr:colOff>1724024</xdr:colOff>
      <xdr:row>31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topLeftCell="S1" zoomScaleNormal="100" workbookViewId="0">
      <selection activeCell="AE15" sqref="AE15"/>
    </sheetView>
  </sheetViews>
  <sheetFormatPr defaultRowHeight="15" x14ac:dyDescent="0.25"/>
  <cols>
    <col min="1" max="1" width="24.5703125" style="2" customWidth="1"/>
    <col min="2" max="4" width="9.140625" style="2" hidden="1" customWidth="1"/>
    <col min="5" max="5" width="9.28515625" style="2" hidden="1" customWidth="1"/>
    <col min="6" max="10" width="10.7109375" style="2" hidden="1" customWidth="1"/>
    <col min="11" max="11" width="9.85546875" style="2" hidden="1" customWidth="1"/>
    <col min="12" max="15" width="10.7109375" style="2" hidden="1" customWidth="1"/>
    <col min="16" max="19" width="15.5703125" style="2" customWidth="1"/>
    <col min="20" max="20" width="33.5703125" style="2" customWidth="1"/>
    <col min="21" max="21" width="1.5703125" style="2" customWidth="1"/>
    <col min="22" max="16384" width="9.140625" style="2"/>
  </cols>
  <sheetData>
    <row r="1" spans="1:32" ht="18" x14ac:dyDescent="0.25">
      <c r="A1" s="69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</row>
    <row r="2" spans="1:32" x14ac:dyDescent="0.25">
      <c r="A2" s="70" t="s">
        <v>21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7.25" x14ac:dyDescent="0.4">
      <c r="A4" s="7" t="s">
        <v>0</v>
      </c>
      <c r="B4" s="7">
        <v>2002</v>
      </c>
      <c r="C4" s="7">
        <v>2003</v>
      </c>
      <c r="D4" s="8">
        <v>2006</v>
      </c>
      <c r="E4" s="8">
        <v>2007</v>
      </c>
      <c r="F4" s="8">
        <v>2008</v>
      </c>
      <c r="G4" s="8">
        <v>2009</v>
      </c>
      <c r="H4" s="8">
        <v>2010</v>
      </c>
      <c r="I4" s="8">
        <v>2011</v>
      </c>
      <c r="J4" s="8">
        <v>2012</v>
      </c>
      <c r="K4" s="8">
        <v>2013</v>
      </c>
      <c r="L4" s="8">
        <v>2014</v>
      </c>
      <c r="M4" s="8">
        <v>2015</v>
      </c>
      <c r="N4" s="8">
        <v>2016</v>
      </c>
      <c r="O4" s="8">
        <v>2017</v>
      </c>
      <c r="P4" s="8">
        <v>2018</v>
      </c>
      <c r="Q4" s="8">
        <v>2019</v>
      </c>
      <c r="R4" s="8">
        <v>2020</v>
      </c>
      <c r="S4" s="8">
        <v>2021</v>
      </c>
      <c r="T4" s="64" t="s">
        <v>1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ht="17.25" x14ac:dyDescent="0.4">
      <c r="A5" s="11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55"/>
      <c r="M5" s="55"/>
      <c r="N5" s="55"/>
      <c r="O5" s="55"/>
      <c r="P5" s="24"/>
      <c r="Q5" s="24"/>
      <c r="R5" s="24"/>
      <c r="S5" s="24"/>
      <c r="T5" s="60" t="s">
        <v>3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ht="17.25" x14ac:dyDescent="0.4">
      <c r="A6" s="12" t="s">
        <v>4</v>
      </c>
      <c r="B6" s="12">
        <v>452</v>
      </c>
      <c r="C6" s="14">
        <v>619</v>
      </c>
      <c r="D6" s="15">
        <v>593</v>
      </c>
      <c r="E6" s="16">
        <v>506</v>
      </c>
      <c r="F6" s="17">
        <v>504</v>
      </c>
      <c r="G6" s="17">
        <v>485</v>
      </c>
      <c r="H6" s="17">
        <v>436</v>
      </c>
      <c r="I6" s="18">
        <v>322</v>
      </c>
      <c r="J6" s="19">
        <v>273</v>
      </c>
      <c r="K6" s="19">
        <v>239</v>
      </c>
      <c r="L6" s="19">
        <v>318</v>
      </c>
      <c r="M6" s="19">
        <v>330</v>
      </c>
      <c r="N6" s="19">
        <v>494</v>
      </c>
      <c r="O6" s="19">
        <v>476</v>
      </c>
      <c r="P6" s="24">
        <v>371</v>
      </c>
      <c r="Q6" s="24">
        <v>252</v>
      </c>
      <c r="R6" s="24">
        <v>188</v>
      </c>
      <c r="S6" s="24">
        <v>165</v>
      </c>
      <c r="T6" s="61" t="s">
        <v>5</v>
      </c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ht="17.25" x14ac:dyDescent="0.4">
      <c r="A7" s="12" t="s">
        <v>6</v>
      </c>
      <c r="B7" s="21">
        <v>180738</v>
      </c>
      <c r="C7" s="21">
        <v>209615</v>
      </c>
      <c r="D7" s="22">
        <v>360446.79000000004</v>
      </c>
      <c r="E7" s="23">
        <v>320813.18</v>
      </c>
      <c r="F7" s="24">
        <v>408901.03999999992</v>
      </c>
      <c r="G7" s="24">
        <v>309647</v>
      </c>
      <c r="H7" s="24">
        <v>224560.28</v>
      </c>
      <c r="I7" s="25">
        <v>236158.83000000002</v>
      </c>
      <c r="J7" s="19">
        <v>422177</v>
      </c>
      <c r="K7" s="19">
        <f>SUM(K8:K9)</f>
        <v>158130</v>
      </c>
      <c r="L7" s="19">
        <f>SUM(L8:L9)</f>
        <v>212028</v>
      </c>
      <c r="M7" s="19">
        <f>SUM(M8:M9)</f>
        <v>282762.59700000001</v>
      </c>
      <c r="N7" s="19">
        <f>SUM(N8:N9)</f>
        <v>470752</v>
      </c>
      <c r="O7" s="19">
        <f>SUM(O8:O9)</f>
        <v>413633.03</v>
      </c>
      <c r="P7" s="28">
        <v>453084</v>
      </c>
      <c r="Q7" s="28">
        <v>223886</v>
      </c>
      <c r="R7" s="28">
        <f>R8+R9</f>
        <v>168240.73300000001</v>
      </c>
      <c r="S7" s="28">
        <f>S8+S9</f>
        <v>136533.1385</v>
      </c>
      <c r="T7" s="61" t="s">
        <v>7</v>
      </c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2" ht="17.25" x14ac:dyDescent="0.4">
      <c r="A8" s="26" t="s">
        <v>8</v>
      </c>
      <c r="B8" s="21">
        <v>116200</v>
      </c>
      <c r="C8" s="21">
        <v>131252</v>
      </c>
      <c r="D8" s="22">
        <v>253944.94</v>
      </c>
      <c r="E8" s="23">
        <v>235433.41</v>
      </c>
      <c r="F8" s="27">
        <v>229276.41999999998</v>
      </c>
      <c r="G8" s="27">
        <v>235860</v>
      </c>
      <c r="H8" s="28">
        <v>176826.05</v>
      </c>
      <c r="I8" s="29">
        <v>191884.39</v>
      </c>
      <c r="J8" s="30">
        <v>151841</v>
      </c>
      <c r="K8" s="30">
        <v>108237</v>
      </c>
      <c r="L8" s="30">
        <v>164560</v>
      </c>
      <c r="M8" s="30">
        <v>216099.75700000001</v>
      </c>
      <c r="N8" s="30">
        <v>352672</v>
      </c>
      <c r="O8" s="30">
        <v>332759.19</v>
      </c>
      <c r="P8" s="28">
        <v>298978</v>
      </c>
      <c r="Q8" s="66">
        <v>165616</v>
      </c>
      <c r="R8" s="66">
        <v>99535.917000000001</v>
      </c>
      <c r="S8" s="66">
        <v>93582.759000000005</v>
      </c>
      <c r="T8" s="62" t="s">
        <v>9</v>
      </c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17.25" x14ac:dyDescent="0.4">
      <c r="A9" s="26" t="s">
        <v>10</v>
      </c>
      <c r="B9" s="21">
        <v>64538</v>
      </c>
      <c r="C9" s="21">
        <v>78363</v>
      </c>
      <c r="D9" s="22">
        <v>106501.85</v>
      </c>
      <c r="E9" s="23">
        <v>85379.77</v>
      </c>
      <c r="F9" s="27">
        <v>179624.61999999997</v>
      </c>
      <c r="G9" s="27">
        <v>73787</v>
      </c>
      <c r="H9" s="28">
        <v>47734.23</v>
      </c>
      <c r="I9" s="29">
        <v>44274.44</v>
      </c>
      <c r="J9" s="30">
        <v>270336</v>
      </c>
      <c r="K9" s="30">
        <v>49893</v>
      </c>
      <c r="L9" s="30">
        <v>47468</v>
      </c>
      <c r="M9" s="30">
        <v>66662.84</v>
      </c>
      <c r="N9" s="30">
        <v>118080</v>
      </c>
      <c r="O9" s="30">
        <v>80873.84</v>
      </c>
      <c r="P9" s="24">
        <v>154106</v>
      </c>
      <c r="Q9" s="67">
        <v>58270</v>
      </c>
      <c r="R9" s="67">
        <v>68704.816000000006</v>
      </c>
      <c r="S9" s="67">
        <v>42950.379500000003</v>
      </c>
      <c r="T9" s="62" t="s">
        <v>11</v>
      </c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17.25" x14ac:dyDescent="0.4">
      <c r="A10" s="11" t="s">
        <v>12</v>
      </c>
      <c r="B10" s="12"/>
      <c r="C10" s="12"/>
      <c r="D10" s="22"/>
      <c r="E10" s="23"/>
      <c r="F10" s="32"/>
      <c r="G10" s="32"/>
      <c r="H10" s="33"/>
      <c r="I10" s="34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60" t="s">
        <v>13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7.25" x14ac:dyDescent="0.4">
      <c r="A11" s="12" t="s">
        <v>14</v>
      </c>
      <c r="B11" s="12">
        <v>264</v>
      </c>
      <c r="C11" s="12">
        <v>175</v>
      </c>
      <c r="D11" s="22">
        <v>153</v>
      </c>
      <c r="E11" s="23">
        <v>153</v>
      </c>
      <c r="F11" s="17">
        <v>167</v>
      </c>
      <c r="G11" s="17">
        <v>175</v>
      </c>
      <c r="H11" s="24">
        <v>176</v>
      </c>
      <c r="I11" s="25">
        <v>78</v>
      </c>
      <c r="J11" s="19">
        <v>46</v>
      </c>
      <c r="K11" s="24" t="s">
        <v>15</v>
      </c>
      <c r="L11" s="24">
        <v>49</v>
      </c>
      <c r="M11" s="24">
        <v>203</v>
      </c>
      <c r="N11" s="24">
        <v>406</v>
      </c>
      <c r="O11" s="24">
        <v>279</v>
      </c>
      <c r="P11" s="24">
        <v>256</v>
      </c>
      <c r="Q11" s="24">
        <v>184</v>
      </c>
      <c r="R11" s="24">
        <v>131</v>
      </c>
      <c r="S11" s="24">
        <v>79</v>
      </c>
      <c r="T11" s="61" t="s">
        <v>16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7.25" x14ac:dyDescent="0.4">
      <c r="A12" s="12" t="s">
        <v>6</v>
      </c>
      <c r="B12" s="21">
        <v>52895</v>
      </c>
      <c r="C12" s="21">
        <v>56461</v>
      </c>
      <c r="D12" s="22">
        <v>58724.759999999995</v>
      </c>
      <c r="E12" s="23">
        <v>38212</v>
      </c>
      <c r="F12" s="24">
        <v>59939.090000000004</v>
      </c>
      <c r="G12" s="24">
        <v>51986</v>
      </c>
      <c r="H12" s="24">
        <v>51725.04</v>
      </c>
      <c r="I12" s="25">
        <v>45122.18</v>
      </c>
      <c r="J12" s="19">
        <v>28116</v>
      </c>
      <c r="K12" s="24" t="s">
        <v>15</v>
      </c>
      <c r="L12" s="24">
        <v>30194.61</v>
      </c>
      <c r="M12" s="24">
        <v>84421.3</v>
      </c>
      <c r="N12" s="24">
        <v>179036.45</v>
      </c>
      <c r="O12" s="24">
        <v>122275.15</v>
      </c>
      <c r="P12" s="24">
        <v>145434</v>
      </c>
      <c r="Q12" s="24">
        <v>116307</v>
      </c>
      <c r="R12" s="24">
        <f>R14+R13</f>
        <v>102637.29700000001</v>
      </c>
      <c r="S12" s="24">
        <f>S13+S14</f>
        <v>71682.334999999992</v>
      </c>
      <c r="T12" s="61" t="s">
        <v>17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32" ht="17.25" x14ac:dyDescent="0.4">
      <c r="A13" s="26" t="s">
        <v>8</v>
      </c>
      <c r="B13" s="21">
        <v>33635</v>
      </c>
      <c r="C13" s="21">
        <v>36662</v>
      </c>
      <c r="D13" s="36">
        <v>22525.759999999998</v>
      </c>
      <c r="E13" s="23">
        <v>16811</v>
      </c>
      <c r="F13" s="27">
        <v>21444.400000000001</v>
      </c>
      <c r="G13" s="27">
        <v>26411</v>
      </c>
      <c r="H13" s="28">
        <v>27026.71</v>
      </c>
      <c r="I13" s="29">
        <v>22251.040000000001</v>
      </c>
      <c r="J13" s="30">
        <v>12556</v>
      </c>
      <c r="K13" s="24" t="s">
        <v>15</v>
      </c>
      <c r="L13" s="28">
        <v>24786.400000000001</v>
      </c>
      <c r="M13" s="28">
        <v>60422.1</v>
      </c>
      <c r="N13" s="28">
        <v>117521.61</v>
      </c>
      <c r="O13" s="28">
        <v>88816.95</v>
      </c>
      <c r="P13" s="28">
        <v>39425.07</v>
      </c>
      <c r="Q13" s="66">
        <v>78141</v>
      </c>
      <c r="R13" s="66">
        <v>70254.02</v>
      </c>
      <c r="S13" s="66">
        <v>46586.720999999998</v>
      </c>
      <c r="T13" s="62" t="s">
        <v>9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17.25" x14ac:dyDescent="0.4">
      <c r="A14" s="37" t="s">
        <v>10</v>
      </c>
      <c r="B14" s="38">
        <v>19260</v>
      </c>
      <c r="C14" s="38">
        <v>19799</v>
      </c>
      <c r="D14" s="39">
        <v>36199</v>
      </c>
      <c r="E14" s="40">
        <v>21401</v>
      </c>
      <c r="F14" s="41">
        <v>38494.69</v>
      </c>
      <c r="G14" s="41">
        <v>25575</v>
      </c>
      <c r="H14" s="41">
        <v>24698.33</v>
      </c>
      <c r="I14" s="41">
        <v>22871.14</v>
      </c>
      <c r="J14" s="42">
        <v>15560</v>
      </c>
      <c r="K14" s="56" t="s">
        <v>15</v>
      </c>
      <c r="L14" s="41">
        <v>5408.21</v>
      </c>
      <c r="M14" s="41">
        <v>23999.200000000001</v>
      </c>
      <c r="N14" s="41">
        <v>61514.84</v>
      </c>
      <c r="O14" s="41">
        <v>33458.199999999997</v>
      </c>
      <c r="P14" s="65">
        <v>106008.53200000001</v>
      </c>
      <c r="Q14" s="68">
        <v>29898</v>
      </c>
      <c r="R14" s="68">
        <v>32383.276999999998</v>
      </c>
      <c r="S14" s="68">
        <v>25095.614000000001</v>
      </c>
      <c r="T14" s="63" t="s">
        <v>11</v>
      </c>
      <c r="U14" s="31"/>
      <c r="V14" s="43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7.25" x14ac:dyDescent="0.4">
      <c r="A15" s="44" t="s">
        <v>18</v>
      </c>
      <c r="B15" s="21"/>
      <c r="C15" s="21"/>
      <c r="D15" s="45"/>
      <c r="E15" s="10"/>
      <c r="F15" s="46"/>
      <c r="G15" s="46"/>
      <c r="H15" s="46"/>
      <c r="I15" s="46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57"/>
      <c r="U15" s="31"/>
      <c r="V15" s="43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7.25" x14ac:dyDescent="0.4">
      <c r="A16" s="1" t="s">
        <v>20</v>
      </c>
      <c r="B16" s="49"/>
      <c r="C16" s="49"/>
      <c r="D16" s="49"/>
      <c r="E16" s="49"/>
      <c r="F16" s="49"/>
      <c r="G16" s="49"/>
      <c r="H16" s="49"/>
      <c r="I16" s="49"/>
      <c r="J16" s="49"/>
      <c r="K16" s="54"/>
      <c r="L16" s="54"/>
      <c r="M16" s="54"/>
      <c r="N16" s="54"/>
      <c r="O16" s="54"/>
      <c r="P16" s="54"/>
      <c r="Q16" s="54"/>
      <c r="R16" s="54"/>
      <c r="S16" s="54"/>
      <c r="T16" s="58" t="s">
        <v>19</v>
      </c>
      <c r="U16" s="20"/>
      <c r="V16" s="43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2:32" ht="17.25" x14ac:dyDescent="0.4">
      <c r="B17" s="10"/>
      <c r="C17" s="1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20"/>
      <c r="U17" s="20"/>
      <c r="V17" s="43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2:32" ht="17.25" x14ac:dyDescent="0.4"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2:32" ht="17.25" x14ac:dyDescent="0.4"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</row>
    <row r="20" spans="2:32" ht="17.25" x14ac:dyDescent="0.4"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</row>
    <row r="24" spans="2:32" x14ac:dyDescent="0.25">
      <c r="V24" s="6"/>
    </row>
  </sheetData>
  <mergeCells count="2">
    <mergeCell ref="A1:T1"/>
    <mergeCell ref="A2:T2"/>
  </mergeCells>
  <pageMargins left="0.7" right="0.7" top="0.75" bottom="0.75" header="0.3" footer="0.3"/>
  <pageSetup paperSize="9" scale="71" orientation="portrait" horizontalDpi="4294967295" verticalDpi="4294967295" r:id="rId1"/>
  <colBreaks count="1" manualBreakCount="1">
    <brk id="21" max="1048575" man="1"/>
  </colBreaks>
  <ignoredErrors>
    <ignoredError sqref="K7:L7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2023-01-30T03:35:11Z</cp:lastPrinted>
  <dcterms:created xsi:type="dcterms:W3CDTF">2014-03-04T07:02:54Z</dcterms:created>
  <dcterms:modified xsi:type="dcterms:W3CDTF">2023-01-30T03:35:39Z</dcterms:modified>
</cp:coreProperties>
</file>