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47BFBFE5-8A1B-42FF-870E-238791A365AE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3" sheetId="8" r:id="rId2"/>
  </sheets>
  <externalReferences>
    <externalReference r:id="rId3"/>
  </externalReferences>
  <definedNames>
    <definedName name="_xlnm.Print_Area" localSheetId="1">'11.23'!$A$1:$J$23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9" i="8" l="1"/>
  <c r="B18" i="8"/>
  <c r="B17" i="8"/>
  <c r="B16" i="8"/>
  <c r="B15" i="8"/>
  <c r="B14" i="8"/>
  <c r="B13" i="8"/>
  <c r="B12" i="8"/>
  <c r="B11" i="8"/>
  <c r="B10" i="8"/>
  <c r="B9" i="8"/>
  <c r="B8" i="8"/>
  <c r="H7" i="8"/>
  <c r="G7" i="8"/>
  <c r="F7" i="8"/>
  <c r="E7" i="8"/>
  <c r="D7" i="8"/>
  <c r="C7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7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<sst xmlns="http://schemas.openxmlformats.org/spreadsheetml/2006/main" count="221" uniqueCount="75">
  <si>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</si>
  <si>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</si>
  <si>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</si>
  <si>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</si>
  <si>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</si>
  <si>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</si>
  <si>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</si>
  <si>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</si>
  <si>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</si>
  <si>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</si>
  <si>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</si>
  <si>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</si>
  <si>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</si>
  <si>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</si>
  <si>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</si>
  <si>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</si>
  <si>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</si>
  <si>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</si>
  <si>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</si>
  <si>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</si>
  <si>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</si>
  <si>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</si>
  <si>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</si>
  <si>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</si>
  <si>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</si>
  <si>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</si>
  <si>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</si>
  <si>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</si>
  <si>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</si>
  <si>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</si>
  <si>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</si>
  <si>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</si>
  <si>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</si>
  <si>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</si>
  <si>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</si>
  <si>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</si>
  <si>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</si>
  <si>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</si>
  <si>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</si>
  <si>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</si>
  <si>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</si>
  <si>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</si>
  <si>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</si>
  <si>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</si>
  <si>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</si>
  <si>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</si>
  <si>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</si>
  <si>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</si>
  <si>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</si>
  <si>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</si>
  <si>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</si>
  <si>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</si>
  <si>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</si>
  <si>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</si>
  <si>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</si>
  <si>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</si>
  <si>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</si>
  <si>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</si>
  <si>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</si>
  <si>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</si>
  <si>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</si>
  <si>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</si>
  <si>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</si>
  <si>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</si>
  <si>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</si>
  <si>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</si>
  <si>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</si>
  <si>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</si>
  <si>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</si>
  <si>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</si>
  <si>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</si>
  <si>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</si>
  <si>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</si>
  <si>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11.23: މަސްމަހުގެ ގޮތުން ގަން އިންޓަރނޭޝަނަލް އެއަރޕޯޓުން އުފުލުނު މުދާ، 2021</t>
  </si>
  <si>
    <t>Table 11.23 :  CARGO HANDLED AT GAN INTERNATIONAL AIRPORT BY MONTH,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</si>
</sst>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</cellStyleXfs>
  <cellXfs count="171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38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23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0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3" fontId="14" fillId="2" borderId="29" xfId="3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64" fontId="15" fillId="2" borderId="0" xfId="2" applyFont="1" applyFill="1"/>
    <xf numFmtId="0" fontId="23" fillId="2" borderId="2" xfId="0" applyFont="1" applyFill="1" applyBorder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5" fillId="2" borderId="11" xfId="2" applyFont="1" applyFill="1" applyBorder="1" applyAlignment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/>
    </xf>
    <xf numFmtId="38" fontId="5" fillId="2" borderId="13" xfId="3" applyNumberFormat="1" applyFont="1" applyFill="1" applyBorder="1" applyAlignment="1" applyProtection="1">
      <alignment horizontal="right" vertical="center"/>
    </xf>
    <xf numFmtId="38" fontId="5" fillId="2" borderId="12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6" xfId="2" applyNumberFormat="1" applyFont="1" applyFill="1" applyBorder="1" applyAlignment="1" applyProtection="1">
      <alignment horizontal="right" vertical="center"/>
      <protection locked="0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38" fontId="14" fillId="2" borderId="5" xfId="2" applyNumberFormat="1" applyFont="1" applyFill="1" applyBorder="1" applyAlignment="1">
      <alignment horizontal="right" vertical="center"/>
    </xf>
    <xf numFmtId="38" fontId="14" fillId="2" borderId="17" xfId="2" applyNumberFormat="1" applyFont="1" applyFill="1" applyBorder="1" applyAlignment="1">
      <alignment horizontal="right" vertical="center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45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9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0" fontId="33" fillId="2" borderId="45" xfId="5" applyFont="1" applyFill="1" applyBorder="1" applyAlignment="1">
      <alignment horizontal="right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5" xfId="5" applyFont="1" applyFill="1" applyBorder="1" applyAlignment="1">
      <alignment horizontal="right"/>
    </xf>
    <xf numFmtId="0" fontId="33" fillId="2" borderId="17" xfId="5" applyFont="1" applyFill="1" applyBorder="1" applyAlignment="1">
      <alignment horizontal="right"/>
    </xf>
    <xf numFmtId="0" fontId="28" fillId="2" borderId="19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25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9" xfId="2" applyFont="1" applyFill="1" applyBorder="1" applyAlignment="1">
      <alignment vertical="center" wrapText="1"/>
    </xf>
    <xf numFmtId="38" fontId="14" fillId="2" borderId="18" xfId="2" applyNumberFormat="1" applyFont="1" applyFill="1" applyBorder="1" applyAlignment="1" applyProtection="1">
      <alignment horizontal="right" vertical="center"/>
      <protection locked="0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24" xfId="2" applyFont="1" applyFill="1" applyBorder="1" applyAlignment="1">
      <alignment horizontal="left" vertical="center"/>
    </xf>
    <xf numFmtId="164" fontId="40" fillId="2" borderId="25" xfId="2" applyFont="1" applyFill="1" applyBorder="1" applyAlignment="1">
      <alignment vertical="center"/>
    </xf>
    <xf numFmtId="164" fontId="32" fillId="2" borderId="25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9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0" fontId="41" fillId="2" borderId="36" xfId="2" applyNumberFormat="1" applyFont="1" applyFill="1" applyBorder="1" applyAlignment="1">
      <alignment horizontal="center" vertical="center"/>
    </xf>
    <xf numFmtId="0" fontId="41" fillId="2" borderId="37" xfId="2" applyNumberFormat="1" applyFont="1" applyFill="1" applyBorder="1" applyAlignment="1">
      <alignment horizontal="center" vertical="center"/>
    </xf>
    <xf numFmtId="0" fontId="41" fillId="2" borderId="38" xfId="2" applyNumberFormat="1" applyFont="1" applyFill="1" applyBorder="1" applyAlignment="1">
      <alignment horizontal="center" vertical="center"/>
    </xf>
    <xf numFmtId="0" fontId="41" fillId="2" borderId="45" xfId="2" applyNumberFormat="1" applyFont="1" applyFill="1" applyBorder="1" applyAlignment="1">
      <alignment horizontal="center" vertical="center"/>
    </xf>
    <xf numFmtId="0" fontId="41" fillId="2" borderId="39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5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center" vertical="center"/>
    </xf>
    <xf numFmtId="164" fontId="5" fillId="2" borderId="20" xfId="2" applyFont="1" applyFill="1" applyBorder="1" applyAlignment="1">
      <alignment horizontal="center" vertical="center"/>
    </xf>
    <xf numFmtId="0" fontId="28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8" fillId="2" borderId="45" xfId="5" applyFont="1" applyFill="1" applyBorder="1" applyAlignment="1">
      <alignment horizontal="right" vertical="center"/>
    </xf>
    <xf numFmtId="164" fontId="19" fillId="2" borderId="45" xfId="2" applyFont="1" applyFill="1" applyBorder="1" applyAlignment="1">
      <alignment horizontal="center" vertical="center" wrapText="1"/>
    </xf>
    <xf numFmtId="164" fontId="34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5" xfId="2" applyFont="1" applyFill="1" applyBorder="1" applyAlignment="1">
      <alignment horizontal="right" vertical="center"/>
    </xf>
    <xf numFmtId="164" fontId="8" fillId="2" borderId="24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2" fillId="2" borderId="14" xfId="2" applyFont="1" applyFill="1" applyBorder="1" applyAlignment="1">
      <alignment horizontal="center" vertical="center"/>
    </xf>
    <xf numFmtId="164" fontId="32" fillId="2" borderId="25" xfId="2" applyFont="1" applyFill="1" applyBorder="1" applyAlignment="1">
      <alignment horizontal="center" vertical="center"/>
    </xf>
    <xf numFmtId="164" fontId="32" fillId="2" borderId="26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5" xfId="5" applyFont="1" applyFill="1" applyBorder="1" applyAlignment="1">
      <alignment horizontal="right" vertical="center"/>
    </xf>
    <xf numFmtId="0" fontId="28" fillId="2" borderId="17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9" xfId="2" applyFont="1" applyFill="1" applyBorder="1" applyAlignment="1">
      <alignment horizontal="center" vertical="center" wrapText="1"/>
    </xf>
    <xf numFmtId="164" fontId="25" fillId="2" borderId="30" xfId="2" applyFont="1" applyFill="1" applyBorder="1" applyAlignment="1">
      <alignment horizontal="center" vertical="center" wrapText="1"/>
    </xf>
    <xf numFmtId="164" fontId="25" fillId="2" borderId="21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7" fillId="2" borderId="21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17" fillId="2" borderId="45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35" fillId="2" borderId="28" xfId="2" applyFont="1" applyFill="1" applyBorder="1" applyAlignment="1">
      <alignment horizontal="center" vertical="center"/>
    </xf>
    <xf numFmtId="164" fontId="35" fillId="2" borderId="27" xfId="2" applyFont="1" applyFill="1" applyBorder="1" applyAlignment="1">
      <alignment horizontal="center" vertical="center"/>
    </xf>
    <xf numFmtId="164" fontId="35" fillId="2" borderId="25" xfId="2" applyFont="1" applyFill="1" applyBorder="1" applyAlignment="1">
      <alignment horizontal="center" vertical="center"/>
    </xf>
    <xf numFmtId="164" fontId="35" fillId="2" borderId="26" xfId="2" applyFont="1" applyFill="1" applyBorder="1" applyAlignment="1">
      <alignment horizontal="center" vertical="center"/>
    </xf>
    <xf numFmtId="164" fontId="8" fillId="2" borderId="0" xfId="2" applyFont="1" applyFill="1" applyAlignment="1">
      <alignment horizontal="center" vertical="center"/>
    </xf>
    <xf numFmtId="164" fontId="5" fillId="2" borderId="45" xfId="2" applyFont="1" applyFill="1" applyBorder="1" applyAlignment="1">
      <alignment horizontal="center" vertical="center"/>
    </xf>
    <xf numFmtId="164" fontId="24" fillId="2" borderId="0" xfId="0" applyNumberFormat="1" applyFont="1" applyFill="1" applyAlignment="1">
      <alignment horizontal="center"/>
    </xf>
    <xf numFmtId="164" fontId="8" fillId="2" borderId="8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</cellXfs>
  <cellStyles count="17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2" t="s">
        <v>71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9" ht="15.75" x14ac:dyDescent="0.25">
      <c r="A2" s="121" t="s">
        <v>72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 spans="1:29" s="13" customFormat="1" ht="19.5" x14ac:dyDescent="0.15">
      <c r="A4" s="122" t="s">
        <v>9</v>
      </c>
      <c r="B4" s="131" t="s">
        <v>36</v>
      </c>
      <c r="C4" s="131"/>
      <c r="D4" s="88"/>
      <c r="E4" s="131" t="s">
        <v>37</v>
      </c>
      <c r="F4" s="131"/>
      <c r="G4" s="88"/>
      <c r="H4" s="131" t="s">
        <v>38</v>
      </c>
      <c r="I4" s="131"/>
      <c r="J4" s="88"/>
      <c r="K4" s="131" t="s">
        <v>39</v>
      </c>
      <c r="L4" s="131"/>
      <c r="M4" s="88"/>
      <c r="N4" s="131" t="s">
        <v>40</v>
      </c>
      <c r="O4" s="131"/>
      <c r="P4" s="88"/>
      <c r="Q4" s="131" t="s">
        <v>41</v>
      </c>
      <c r="R4" s="131"/>
      <c r="S4" s="88"/>
      <c r="T4" s="131" t="s">
        <v>42</v>
      </c>
      <c r="U4" s="131"/>
      <c r="V4" s="88"/>
      <c r="W4" s="131" t="s">
        <v>43</v>
      </c>
      <c r="X4" s="131"/>
      <c r="Y4" s="88"/>
      <c r="Z4" s="131" t="s">
        <v>44</v>
      </c>
      <c r="AA4" s="131"/>
      <c r="AB4" s="133" t="s">
        <v>11</v>
      </c>
    </row>
    <row r="5" spans="1:29" s="17" customFormat="1" ht="15" customHeight="1" x14ac:dyDescent="0.25">
      <c r="A5" s="123"/>
      <c r="B5" s="130" t="s">
        <v>45</v>
      </c>
      <c r="C5" s="130"/>
      <c r="D5" s="16"/>
      <c r="E5" s="130" t="s">
        <v>46</v>
      </c>
      <c r="F5" s="130"/>
      <c r="G5" s="16"/>
      <c r="H5" s="130" t="s">
        <v>47</v>
      </c>
      <c r="I5" s="130"/>
      <c r="J5" s="16"/>
      <c r="K5" s="130" t="s">
        <v>48</v>
      </c>
      <c r="L5" s="130"/>
      <c r="M5" s="16"/>
      <c r="N5" s="130" t="s">
        <v>49</v>
      </c>
      <c r="O5" s="130"/>
      <c r="P5" s="16"/>
      <c r="Q5" s="130" t="s">
        <v>50</v>
      </c>
      <c r="R5" s="130"/>
      <c r="S5" s="16"/>
      <c r="T5" s="130" t="s">
        <v>51</v>
      </c>
      <c r="U5" s="130"/>
      <c r="V5" s="16"/>
      <c r="W5" s="130" t="s">
        <v>52</v>
      </c>
      <c r="X5" s="130"/>
      <c r="Y5" s="16"/>
      <c r="Z5" s="130" t="s">
        <v>53</v>
      </c>
      <c r="AA5" s="130"/>
      <c r="AB5" s="134"/>
      <c r="AC5" s="3"/>
    </row>
    <row r="6" spans="1:29" s="84" customFormat="1" ht="14.25" x14ac:dyDescent="0.2">
      <c r="A6" s="123"/>
      <c r="B6" s="76" t="s">
        <v>0</v>
      </c>
      <c r="C6" s="76" t="s">
        <v>1</v>
      </c>
      <c r="D6" s="76"/>
      <c r="E6" s="76" t="s">
        <v>0</v>
      </c>
      <c r="F6" s="76" t="s">
        <v>1</v>
      </c>
      <c r="G6" s="76"/>
      <c r="H6" s="76" t="s">
        <v>0</v>
      </c>
      <c r="I6" s="76" t="s">
        <v>1</v>
      </c>
      <c r="J6" s="76"/>
      <c r="K6" s="76" t="s">
        <v>0</v>
      </c>
      <c r="L6" s="76" t="s">
        <v>1</v>
      </c>
      <c r="M6" s="76"/>
      <c r="N6" s="76" t="s">
        <v>0</v>
      </c>
      <c r="O6" s="76" t="s">
        <v>1</v>
      </c>
      <c r="P6" s="76"/>
      <c r="Q6" s="76" t="s">
        <v>0</v>
      </c>
      <c r="R6" s="76" t="s">
        <v>1</v>
      </c>
      <c r="S6" s="76"/>
      <c r="T6" s="76" t="s">
        <v>0</v>
      </c>
      <c r="U6" s="76" t="s">
        <v>1</v>
      </c>
      <c r="V6" s="76"/>
      <c r="W6" s="76" t="s">
        <v>0</v>
      </c>
      <c r="X6" s="76" t="s">
        <v>1</v>
      </c>
      <c r="Y6" s="76"/>
      <c r="Z6" s="76" t="s">
        <v>0</v>
      </c>
      <c r="AA6" s="76" t="s">
        <v>1</v>
      </c>
      <c r="AB6" s="134"/>
    </row>
    <row r="7" spans="1:29" s="17" customFormat="1" ht="14.25" x14ac:dyDescent="0.2">
      <c r="A7" s="127"/>
      <c r="B7" s="78" t="s">
        <v>2</v>
      </c>
      <c r="C7" s="78" t="s">
        <v>3</v>
      </c>
      <c r="D7" s="78"/>
      <c r="E7" s="78" t="s">
        <v>2</v>
      </c>
      <c r="F7" s="78" t="s">
        <v>3</v>
      </c>
      <c r="G7" s="78"/>
      <c r="H7" s="78" t="s">
        <v>2</v>
      </c>
      <c r="I7" s="78" t="s">
        <v>3</v>
      </c>
      <c r="J7" s="78"/>
      <c r="K7" s="78" t="s">
        <v>2</v>
      </c>
      <c r="L7" s="78" t="s">
        <v>3</v>
      </c>
      <c r="M7" s="78"/>
      <c r="N7" s="78" t="s">
        <v>2</v>
      </c>
      <c r="O7" s="78" t="s">
        <v>3</v>
      </c>
      <c r="P7" s="78"/>
      <c r="Q7" s="78" t="s">
        <v>2</v>
      </c>
      <c r="R7" s="78" t="s">
        <v>3</v>
      </c>
      <c r="S7" s="78"/>
      <c r="T7" s="78" t="s">
        <v>2</v>
      </c>
      <c r="U7" s="78" t="s">
        <v>3</v>
      </c>
      <c r="V7" s="78"/>
      <c r="W7" s="78" t="s">
        <v>2</v>
      </c>
      <c r="X7" s="78" t="s">
        <v>3</v>
      </c>
      <c r="Y7" s="78"/>
      <c r="Z7" s="78" t="s">
        <v>2</v>
      </c>
      <c r="AA7" s="78" t="s">
        <v>3</v>
      </c>
      <c r="AB7" s="135"/>
    </row>
    <row r="8" spans="1:29" s="13" customFormat="1" ht="15.75" x14ac:dyDescent="0.15">
      <c r="A8" s="5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83" t="s">
        <v>5</v>
      </c>
    </row>
    <row r="9" spans="1:29" s="13" customFormat="1" ht="15.75" x14ac:dyDescent="0.4">
      <c r="A9" s="6" t="s">
        <v>12</v>
      </c>
      <c r="B9" s="96"/>
      <c r="C9" s="96"/>
      <c r="D9" s="96"/>
      <c r="E9" s="97"/>
      <c r="F9" s="97"/>
      <c r="G9" s="9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8"/>
      <c r="Z9" s="98"/>
      <c r="AA9" s="98"/>
      <c r="AB9" s="85" t="s">
        <v>13</v>
      </c>
    </row>
    <row r="10" spans="1:29" s="13" customFormat="1" ht="15.75" x14ac:dyDescent="0.4">
      <c r="A10" s="6" t="s">
        <v>14</v>
      </c>
      <c r="B10" s="96"/>
      <c r="C10" s="96"/>
      <c r="D10" s="96"/>
      <c r="E10" s="97"/>
      <c r="F10" s="97"/>
      <c r="G10" s="97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8"/>
      <c r="Z10" s="98"/>
      <c r="AA10" s="98"/>
      <c r="AB10" s="85" t="s">
        <v>15</v>
      </c>
    </row>
    <row r="11" spans="1:29" s="13" customFormat="1" ht="15.75" x14ac:dyDescent="0.4">
      <c r="A11" s="6" t="s">
        <v>16</v>
      </c>
      <c r="B11" s="96"/>
      <c r="C11" s="96"/>
      <c r="D11" s="96"/>
      <c r="E11" s="97"/>
      <c r="F11" s="97"/>
      <c r="G11" s="97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8"/>
      <c r="Z11" s="98"/>
      <c r="AA11" s="98"/>
      <c r="AB11" s="85" t="s">
        <v>17</v>
      </c>
    </row>
    <row r="12" spans="1:29" s="13" customFormat="1" ht="15.75" x14ac:dyDescent="0.4">
      <c r="A12" s="6" t="s">
        <v>18</v>
      </c>
      <c r="B12" s="96"/>
      <c r="C12" s="96"/>
      <c r="D12" s="96"/>
      <c r="E12" s="97"/>
      <c r="F12" s="97"/>
      <c r="G12" s="97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8"/>
      <c r="Z12" s="98"/>
      <c r="AA12" s="98"/>
      <c r="AB12" s="85" t="s">
        <v>19</v>
      </c>
    </row>
    <row r="13" spans="1:29" s="13" customFormat="1" ht="15.75" x14ac:dyDescent="0.4">
      <c r="A13" s="6" t="s">
        <v>20</v>
      </c>
      <c r="B13" s="96"/>
      <c r="C13" s="96"/>
      <c r="D13" s="96"/>
      <c r="E13" s="97"/>
      <c r="F13" s="97"/>
      <c r="G13" s="97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8"/>
      <c r="Z13" s="98"/>
      <c r="AA13" s="98"/>
      <c r="AB13" s="85" t="s">
        <v>21</v>
      </c>
    </row>
    <row r="14" spans="1:29" s="13" customFormat="1" ht="15.75" x14ac:dyDescent="0.4">
      <c r="A14" s="6" t="s">
        <v>22</v>
      </c>
      <c r="B14" s="96"/>
      <c r="C14" s="96"/>
      <c r="D14" s="96"/>
      <c r="E14" s="97"/>
      <c r="F14" s="97"/>
      <c r="G14" s="97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8"/>
      <c r="Z14" s="98"/>
      <c r="AA14" s="98"/>
      <c r="AB14" s="85" t="s">
        <v>23</v>
      </c>
    </row>
    <row r="15" spans="1:29" s="13" customFormat="1" ht="15.75" x14ac:dyDescent="0.4">
      <c r="A15" s="6" t="s">
        <v>24</v>
      </c>
      <c r="B15" s="96"/>
      <c r="C15" s="96"/>
      <c r="D15" s="96"/>
      <c r="E15" s="97"/>
      <c r="F15" s="97"/>
      <c r="G15" s="97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8"/>
      <c r="Z15" s="98"/>
      <c r="AA15" s="98"/>
      <c r="AB15" s="85" t="s">
        <v>25</v>
      </c>
    </row>
    <row r="16" spans="1:29" s="13" customFormat="1" ht="15.75" x14ac:dyDescent="0.4">
      <c r="A16" s="6" t="s">
        <v>26</v>
      </c>
      <c r="B16" s="96"/>
      <c r="C16" s="96"/>
      <c r="D16" s="96"/>
      <c r="E16" s="97"/>
      <c r="F16" s="97"/>
      <c r="G16" s="97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8"/>
      <c r="Z16" s="98"/>
      <c r="AA16" s="98"/>
      <c r="AB16" s="85" t="s">
        <v>27</v>
      </c>
    </row>
    <row r="17" spans="1:44" s="13" customFormat="1" ht="15.75" x14ac:dyDescent="0.4">
      <c r="A17" s="6" t="s">
        <v>28</v>
      </c>
      <c r="B17" s="96"/>
      <c r="C17" s="96"/>
      <c r="D17" s="96"/>
      <c r="E17" s="97"/>
      <c r="F17" s="97"/>
      <c r="G17" s="97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8"/>
      <c r="Z17" s="98"/>
      <c r="AA17" s="98"/>
      <c r="AB17" s="85" t="s">
        <v>29</v>
      </c>
    </row>
    <row r="18" spans="1:44" s="13" customFormat="1" ht="15.75" x14ac:dyDescent="0.4">
      <c r="A18" s="6" t="s">
        <v>30</v>
      </c>
      <c r="B18" s="96"/>
      <c r="C18" s="96"/>
      <c r="D18" s="96"/>
      <c r="E18" s="97"/>
      <c r="F18" s="97"/>
      <c r="G18" s="97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8"/>
      <c r="Z18" s="98"/>
      <c r="AA18" s="98"/>
      <c r="AB18" s="85" t="s">
        <v>31</v>
      </c>
    </row>
    <row r="19" spans="1:44" s="13" customFormat="1" ht="15.75" x14ac:dyDescent="0.4">
      <c r="A19" s="6" t="s">
        <v>32</v>
      </c>
      <c r="B19" s="96"/>
      <c r="C19" s="96"/>
      <c r="D19" s="96"/>
      <c r="E19" s="97"/>
      <c r="F19" s="97"/>
      <c r="G19" s="97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8"/>
      <c r="Z19" s="98"/>
      <c r="AA19" s="98"/>
      <c r="AB19" s="85" t="s">
        <v>33</v>
      </c>
    </row>
    <row r="20" spans="1:44" s="13" customFormat="1" ht="15.75" x14ac:dyDescent="0.4">
      <c r="A20" s="77" t="s">
        <v>34</v>
      </c>
      <c r="B20" s="99"/>
      <c r="C20" s="99"/>
      <c r="D20" s="99"/>
      <c r="E20" s="100"/>
      <c r="F20" s="100"/>
      <c r="G20" s="100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101"/>
      <c r="Z20" s="101"/>
      <c r="AA20" s="101"/>
      <c r="AB20" s="86" t="s">
        <v>35</v>
      </c>
    </row>
    <row r="21" spans="1:44" ht="18.75" x14ac:dyDescent="0.25">
      <c r="A21" s="7" t="s">
        <v>7</v>
      </c>
      <c r="AB21" s="11" t="s">
        <v>8</v>
      </c>
      <c r="AO21" s="13"/>
      <c r="AP21" s="75" t="s">
        <v>2</v>
      </c>
      <c r="AQ21" s="75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3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15"/>
      <c r="T24" s="15"/>
      <c r="W24" s="15"/>
      <c r="AO24" s="13" t="str">
        <f>H5</f>
        <v xml:space="preserve">Gn.Fuvahmulah </v>
      </c>
      <c r="AP24" s="1">
        <f>H8</f>
        <v>0</v>
      </c>
      <c r="AQ24" s="1">
        <f>I8</f>
        <v>0</v>
      </c>
    </row>
    <row r="25" spans="1:44" s="13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2" customFormat="1" ht="21.75" customHeight="1" x14ac:dyDescent="0.55000000000000004">
      <c r="A44" s="136" t="s">
        <v>9</v>
      </c>
      <c r="B44" s="104"/>
      <c r="D44" s="105"/>
      <c r="F44" s="105"/>
      <c r="G44" s="139" t="s">
        <v>36</v>
      </c>
      <c r="H44" s="140"/>
      <c r="I44" s="140"/>
      <c r="J44" s="140"/>
      <c r="K44" s="141"/>
      <c r="L44" s="91"/>
      <c r="M44" s="106"/>
      <c r="N44" s="91"/>
      <c r="O44" s="106"/>
      <c r="P44" s="142" t="s">
        <v>37</v>
      </c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05"/>
      <c r="AC44" s="144" t="s">
        <v>38</v>
      </c>
      <c r="AD44" s="145"/>
      <c r="AE44" s="145"/>
      <c r="AF44" s="145"/>
      <c r="AG44" s="145"/>
      <c r="AH44" s="145"/>
      <c r="AI44" s="145"/>
      <c r="AJ44" s="145"/>
      <c r="AK44" s="90"/>
      <c r="AL44" s="144" t="s">
        <v>39</v>
      </c>
      <c r="AM44" s="145"/>
      <c r="AN44" s="145"/>
      <c r="AO44" s="145"/>
      <c r="AP44" s="145"/>
      <c r="AQ44" s="145"/>
      <c r="AR44" s="145"/>
      <c r="AS44" s="90"/>
      <c r="AT44" s="144" t="s">
        <v>40</v>
      </c>
      <c r="AU44" s="145"/>
      <c r="AV44" s="145"/>
      <c r="AW44" s="145"/>
      <c r="AX44" s="145"/>
      <c r="AY44" s="102"/>
      <c r="AZ44" s="90"/>
      <c r="BA44" s="144" t="s">
        <v>41</v>
      </c>
      <c r="BB44" s="145"/>
      <c r="BC44" s="145"/>
      <c r="BD44" s="145"/>
      <c r="BE44" s="162"/>
      <c r="BF44" s="89"/>
      <c r="BG44" s="163" t="s">
        <v>42</v>
      </c>
      <c r="BH44" s="164"/>
      <c r="BI44" s="164"/>
      <c r="BJ44" s="164"/>
      <c r="BK44" s="165"/>
      <c r="BL44" s="144" t="s">
        <v>43</v>
      </c>
      <c r="BM44" s="145"/>
      <c r="BN44" s="145"/>
      <c r="BO44" s="145"/>
      <c r="BP44" s="162"/>
      <c r="BQ44" s="144" t="s">
        <v>44</v>
      </c>
      <c r="BR44" s="145"/>
      <c r="BS44" s="145"/>
      <c r="BT44" s="146" t="s">
        <v>11</v>
      </c>
    </row>
    <row r="45" spans="1:80" s="93" customFormat="1" ht="16.5" customHeight="1" x14ac:dyDescent="0.25">
      <c r="A45" s="137"/>
      <c r="B45" s="107"/>
      <c r="D45" s="108"/>
      <c r="F45" s="108"/>
      <c r="G45" s="149" t="s">
        <v>45</v>
      </c>
      <c r="H45" s="150"/>
      <c r="I45" s="150"/>
      <c r="J45" s="150"/>
      <c r="K45" s="151"/>
      <c r="M45" s="108"/>
      <c r="O45" s="108"/>
      <c r="P45" s="152" t="s">
        <v>46</v>
      </c>
      <c r="Q45" s="153"/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08"/>
      <c r="AC45" s="154" t="s">
        <v>64</v>
      </c>
      <c r="AD45" s="155"/>
      <c r="AE45" s="155"/>
      <c r="AF45" s="155"/>
      <c r="AG45" s="155"/>
      <c r="AH45" s="155"/>
      <c r="AI45" s="155"/>
      <c r="AJ45" s="155"/>
      <c r="AK45" s="94"/>
      <c r="AL45" s="154" t="s">
        <v>65</v>
      </c>
      <c r="AM45" s="155"/>
      <c r="AN45" s="155"/>
      <c r="AO45" s="155"/>
      <c r="AP45" s="155"/>
      <c r="AQ45" s="155"/>
      <c r="AR45" s="155"/>
      <c r="AS45" s="94"/>
      <c r="AT45" s="154" t="s">
        <v>66</v>
      </c>
      <c r="AU45" s="155"/>
      <c r="AV45" s="155"/>
      <c r="AW45" s="155"/>
      <c r="AX45" s="155"/>
      <c r="AY45" s="103"/>
      <c r="AZ45" s="94"/>
      <c r="BA45" s="156" t="s">
        <v>67</v>
      </c>
      <c r="BB45" s="157"/>
      <c r="BC45" s="157"/>
      <c r="BD45" s="157"/>
      <c r="BE45" s="158"/>
      <c r="BG45" s="159" t="s">
        <v>68</v>
      </c>
      <c r="BH45" s="160"/>
      <c r="BI45" s="160"/>
      <c r="BJ45" s="160"/>
      <c r="BK45" s="161"/>
      <c r="BL45" s="156" t="s">
        <v>69</v>
      </c>
      <c r="BM45" s="157"/>
      <c r="BN45" s="157"/>
      <c r="BO45" s="157"/>
      <c r="BP45" s="158"/>
      <c r="BQ45" s="156" t="s">
        <v>70</v>
      </c>
      <c r="BR45" s="157"/>
      <c r="BS45" s="157"/>
      <c r="BT45" s="147"/>
    </row>
    <row r="46" spans="1:80" ht="23.25" customHeight="1" x14ac:dyDescent="0.25">
      <c r="A46" s="138"/>
      <c r="B46" s="109"/>
      <c r="C46" s="110">
        <v>2011</v>
      </c>
      <c r="D46" s="110">
        <v>2012</v>
      </c>
      <c r="E46" s="111">
        <v>2013</v>
      </c>
      <c r="F46" s="112">
        <v>2014</v>
      </c>
      <c r="G46" s="113">
        <v>2015</v>
      </c>
      <c r="H46" s="114">
        <v>2016</v>
      </c>
      <c r="I46" s="115">
        <v>2017</v>
      </c>
      <c r="J46" s="115">
        <v>2018</v>
      </c>
      <c r="K46" s="115">
        <v>2019</v>
      </c>
      <c r="L46" s="116">
        <v>2011</v>
      </c>
      <c r="M46" s="116">
        <v>2012</v>
      </c>
      <c r="N46" s="116">
        <v>2013</v>
      </c>
      <c r="O46" s="115">
        <v>2014</v>
      </c>
      <c r="P46" s="113">
        <v>2015</v>
      </c>
      <c r="Q46" s="115">
        <v>2016</v>
      </c>
      <c r="R46" s="116">
        <v>2011</v>
      </c>
      <c r="S46" s="116">
        <v>2012</v>
      </c>
      <c r="T46" s="115">
        <v>2013</v>
      </c>
      <c r="U46" s="115">
        <v>2014</v>
      </c>
      <c r="V46" s="116">
        <v>2011</v>
      </c>
      <c r="W46" s="116">
        <v>2012</v>
      </c>
      <c r="X46" s="115">
        <v>2013</v>
      </c>
      <c r="Y46" s="115">
        <v>2017</v>
      </c>
      <c r="Z46" s="115">
        <v>2018</v>
      </c>
      <c r="AA46" s="117">
        <v>2019</v>
      </c>
      <c r="AB46" s="115">
        <v>2014</v>
      </c>
      <c r="AC46" s="27">
        <v>2015</v>
      </c>
      <c r="AD46" s="27">
        <v>2016</v>
      </c>
      <c r="AE46" s="79">
        <v>2011</v>
      </c>
      <c r="AF46" s="79">
        <v>2012</v>
      </c>
      <c r="AG46" s="79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9">
        <v>2012</v>
      </c>
      <c r="AQ46" s="79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9">
        <v>2013</v>
      </c>
      <c r="AW46" s="27">
        <v>2017</v>
      </c>
      <c r="AX46" s="27">
        <v>2018</v>
      </c>
      <c r="AY46" s="27">
        <v>2019</v>
      </c>
      <c r="AZ46" s="79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9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48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7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85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85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85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85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85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85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85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85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85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85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85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6" t="s">
        <v>35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20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43"/>
  <sheetViews>
    <sheetView tabSelected="1" zoomScale="142" zoomScaleNormal="142" workbookViewId="0">
      <selection activeCell="L3" sqref="L3"/>
    </sheetView>
  </sheetViews>
  <sheetFormatPr defaultColWidth="9.140625" defaultRowHeight="15" x14ac:dyDescent="0.25"/>
  <cols>
    <col min="1" max="1" width="12.140625" style="12" customWidth="1"/>
    <col min="2" max="10" width="14.5703125" style="12" customWidth="1"/>
    <col min="11" max="11" width="9.140625" style="12"/>
    <col min="12" max="12" width="8.85546875" style="12" customWidth="1"/>
    <col min="13" max="16384" width="9.140625" style="12"/>
  </cols>
  <sheetData>
    <row r="1" spans="1:12" ht="17.25" x14ac:dyDescent="0.25">
      <c r="A1" s="74"/>
      <c r="B1" s="74"/>
      <c r="C1" s="74"/>
      <c r="D1" s="74"/>
      <c r="E1" s="74"/>
      <c r="F1" s="74"/>
      <c r="G1" s="74"/>
      <c r="H1" s="74"/>
      <c r="I1" s="74"/>
      <c r="J1" s="71"/>
    </row>
    <row r="2" spans="1:12" ht="21" x14ac:dyDescent="0.55000000000000004">
      <c r="A2" s="168" t="s">
        <v>73</v>
      </c>
      <c r="B2" s="168"/>
      <c r="C2" s="168"/>
      <c r="D2" s="168"/>
      <c r="E2" s="168"/>
      <c r="F2" s="168"/>
      <c r="G2" s="168"/>
      <c r="H2" s="168"/>
      <c r="I2" s="168"/>
    </row>
    <row r="3" spans="1:12" x14ac:dyDescent="0.25">
      <c r="A3" s="166" t="s">
        <v>74</v>
      </c>
      <c r="B3" s="166"/>
      <c r="C3" s="166"/>
      <c r="D3" s="166"/>
      <c r="E3" s="166"/>
      <c r="F3" s="166"/>
      <c r="G3" s="166"/>
      <c r="H3" s="166"/>
      <c r="I3" s="166"/>
      <c r="J3" s="4"/>
      <c r="K3" s="4"/>
      <c r="L3" s="4"/>
    </row>
    <row r="4" spans="1:12" x14ac:dyDescent="0.25">
      <c r="A4" s="167" t="s">
        <v>58</v>
      </c>
      <c r="B4" s="167"/>
      <c r="C4" s="167"/>
      <c r="D4" s="167"/>
      <c r="E4" s="167"/>
      <c r="F4" s="167"/>
      <c r="G4" s="167"/>
      <c r="H4" s="167"/>
      <c r="I4" s="167"/>
      <c r="J4" s="4"/>
      <c r="K4" s="4"/>
      <c r="L4" s="4"/>
    </row>
    <row r="5" spans="1:12" x14ac:dyDescent="0.25">
      <c r="A5" s="122" t="s">
        <v>9</v>
      </c>
      <c r="B5" s="169" t="s">
        <v>61</v>
      </c>
      <c r="C5" s="124" t="s">
        <v>10</v>
      </c>
      <c r="D5" s="124"/>
      <c r="E5" s="128"/>
      <c r="F5" s="125" t="s">
        <v>6</v>
      </c>
      <c r="G5" s="124"/>
      <c r="H5" s="124"/>
      <c r="I5" s="126" t="s">
        <v>11</v>
      </c>
      <c r="J5" s="4"/>
      <c r="K5" s="4"/>
      <c r="L5" s="4"/>
    </row>
    <row r="6" spans="1:12" x14ac:dyDescent="0.25">
      <c r="A6" s="127"/>
      <c r="B6" s="170"/>
      <c r="C6" s="14" t="s">
        <v>59</v>
      </c>
      <c r="D6" s="14" t="s">
        <v>60</v>
      </c>
      <c r="E6" s="59" t="s">
        <v>57</v>
      </c>
      <c r="F6" s="14" t="s">
        <v>59</v>
      </c>
      <c r="G6" s="14" t="s">
        <v>60</v>
      </c>
      <c r="H6" s="118" t="s">
        <v>57</v>
      </c>
      <c r="I6" s="129"/>
      <c r="J6" s="4"/>
      <c r="K6" s="4"/>
      <c r="L6" s="4"/>
    </row>
    <row r="7" spans="1:12" ht="17.25" x14ac:dyDescent="0.4">
      <c r="A7" s="2" t="s">
        <v>4</v>
      </c>
      <c r="B7" s="60">
        <f>SUM(C7:H7)</f>
        <v>225778.09</v>
      </c>
      <c r="C7" s="61">
        <f t="shared" ref="C7:H7" si="0">SUM(C8:C19)</f>
        <v>179777.5</v>
      </c>
      <c r="D7" s="61">
        <f t="shared" si="0"/>
        <v>17195.84</v>
      </c>
      <c r="E7" s="62">
        <f t="shared" si="0"/>
        <v>11389.75</v>
      </c>
      <c r="F7" s="63">
        <f t="shared" si="0"/>
        <v>16654</v>
      </c>
      <c r="G7" s="61">
        <f t="shared" si="0"/>
        <v>761</v>
      </c>
      <c r="H7" s="61">
        <f t="shared" si="0"/>
        <v>0</v>
      </c>
      <c r="I7" s="80" t="s">
        <v>5</v>
      </c>
      <c r="J7" s="4"/>
      <c r="K7" s="3"/>
      <c r="L7" s="4"/>
    </row>
    <row r="8" spans="1:12" ht="17.25" x14ac:dyDescent="0.4">
      <c r="A8" s="119" t="s">
        <v>12</v>
      </c>
      <c r="B8" s="64">
        <f t="shared" ref="B8:B19" si="1">SUM(C8:E8)</f>
        <v>17675.3</v>
      </c>
      <c r="C8" s="65">
        <v>14151.5</v>
      </c>
      <c r="D8" s="65">
        <v>1720.8</v>
      </c>
      <c r="E8" s="66">
        <v>1803</v>
      </c>
      <c r="F8" s="67">
        <v>0</v>
      </c>
      <c r="G8" s="65">
        <v>0</v>
      </c>
      <c r="H8" s="65">
        <v>0</v>
      </c>
      <c r="I8" s="81" t="s">
        <v>13</v>
      </c>
      <c r="J8" s="4"/>
      <c r="K8" s="4"/>
      <c r="L8" s="4"/>
    </row>
    <row r="9" spans="1:12" ht="17.25" x14ac:dyDescent="0.4">
      <c r="A9" s="119" t="s">
        <v>14</v>
      </c>
      <c r="B9" s="64">
        <f t="shared" si="1"/>
        <v>15106.599999999999</v>
      </c>
      <c r="C9" s="65">
        <v>12722.8</v>
      </c>
      <c r="D9" s="65">
        <v>1140.8</v>
      </c>
      <c r="E9" s="66">
        <v>1243</v>
      </c>
      <c r="F9" s="67">
        <v>0</v>
      </c>
      <c r="G9" s="65">
        <v>0</v>
      </c>
      <c r="H9" s="65">
        <v>0</v>
      </c>
      <c r="I9" s="81" t="s">
        <v>15</v>
      </c>
      <c r="J9" s="4"/>
      <c r="K9" s="4"/>
      <c r="L9" s="4"/>
    </row>
    <row r="10" spans="1:12" ht="17.25" x14ac:dyDescent="0.4">
      <c r="A10" s="119" t="s">
        <v>16</v>
      </c>
      <c r="B10" s="64">
        <f t="shared" si="1"/>
        <v>18063.68</v>
      </c>
      <c r="C10" s="65">
        <v>15573</v>
      </c>
      <c r="D10" s="65">
        <v>1364.68</v>
      </c>
      <c r="E10" s="66">
        <v>1126</v>
      </c>
      <c r="F10" s="67">
        <v>0</v>
      </c>
      <c r="G10" s="65">
        <v>0</v>
      </c>
      <c r="H10" s="65">
        <v>0</v>
      </c>
      <c r="I10" s="81" t="s">
        <v>17</v>
      </c>
      <c r="J10" s="4"/>
      <c r="K10" s="4"/>
      <c r="L10" s="4"/>
    </row>
    <row r="11" spans="1:12" ht="17.25" x14ac:dyDescent="0.4">
      <c r="A11" s="119" t="s">
        <v>18</v>
      </c>
      <c r="B11" s="64">
        <f t="shared" si="1"/>
        <v>19697.2</v>
      </c>
      <c r="C11" s="65">
        <v>17390.900000000001</v>
      </c>
      <c r="D11" s="65">
        <v>1536.3</v>
      </c>
      <c r="E11" s="66">
        <v>770</v>
      </c>
      <c r="F11" s="67">
        <v>0</v>
      </c>
      <c r="G11" s="65">
        <v>0</v>
      </c>
      <c r="H11" s="65">
        <v>0</v>
      </c>
      <c r="I11" s="81" t="s">
        <v>19</v>
      </c>
      <c r="J11" s="4"/>
      <c r="K11" s="4"/>
      <c r="L11" s="4"/>
    </row>
    <row r="12" spans="1:12" ht="17.25" x14ac:dyDescent="0.4">
      <c r="A12" s="119" t="s">
        <v>20</v>
      </c>
      <c r="B12" s="64">
        <f t="shared" si="1"/>
        <v>15947.4</v>
      </c>
      <c r="C12" s="65">
        <v>13882.5</v>
      </c>
      <c r="D12" s="65">
        <v>1272.9000000000001</v>
      </c>
      <c r="E12" s="66">
        <v>792</v>
      </c>
      <c r="F12" s="67">
        <v>0</v>
      </c>
      <c r="G12" s="65">
        <v>0</v>
      </c>
      <c r="H12" s="65">
        <v>0</v>
      </c>
      <c r="I12" s="81" t="s">
        <v>21</v>
      </c>
      <c r="J12" s="4"/>
      <c r="K12" s="4"/>
      <c r="L12" s="4"/>
    </row>
    <row r="13" spans="1:12" ht="17.25" x14ac:dyDescent="0.4">
      <c r="A13" s="119" t="s">
        <v>22</v>
      </c>
      <c r="B13" s="64">
        <f t="shared" si="1"/>
        <v>12324.1</v>
      </c>
      <c r="C13" s="65">
        <v>11091</v>
      </c>
      <c r="D13" s="65">
        <v>1179.0999999999999</v>
      </c>
      <c r="E13" s="66">
        <v>54</v>
      </c>
      <c r="F13" s="67">
        <v>0</v>
      </c>
      <c r="G13" s="65">
        <v>0</v>
      </c>
      <c r="H13" s="65">
        <v>0</v>
      </c>
      <c r="I13" s="81" t="s">
        <v>23</v>
      </c>
      <c r="J13" s="4"/>
      <c r="K13" s="4"/>
      <c r="L13" s="4"/>
    </row>
    <row r="14" spans="1:12" ht="17.25" x14ac:dyDescent="0.4">
      <c r="A14" s="119" t="s">
        <v>24</v>
      </c>
      <c r="B14" s="64">
        <f t="shared" si="1"/>
        <v>17700.2</v>
      </c>
      <c r="C14" s="65">
        <v>15740</v>
      </c>
      <c r="D14" s="65">
        <v>1406.2</v>
      </c>
      <c r="E14" s="66">
        <v>554</v>
      </c>
      <c r="F14" s="67">
        <v>0</v>
      </c>
      <c r="G14" s="65">
        <v>0</v>
      </c>
      <c r="H14" s="65">
        <v>0</v>
      </c>
      <c r="I14" s="81" t="s">
        <v>25</v>
      </c>
      <c r="J14" s="4"/>
      <c r="K14" s="4"/>
      <c r="L14" s="4"/>
    </row>
    <row r="15" spans="1:12" ht="17.25" x14ac:dyDescent="0.4">
      <c r="A15" s="119" t="s">
        <v>26</v>
      </c>
      <c r="B15" s="64">
        <f t="shared" si="1"/>
        <v>19846.099999999999</v>
      </c>
      <c r="C15" s="65">
        <v>17128.3</v>
      </c>
      <c r="D15" s="65">
        <v>1342.8</v>
      </c>
      <c r="E15" s="66">
        <v>1375</v>
      </c>
      <c r="F15" s="67">
        <v>3719</v>
      </c>
      <c r="G15" s="65">
        <v>0</v>
      </c>
      <c r="H15" s="65">
        <v>0</v>
      </c>
      <c r="I15" s="81" t="s">
        <v>27</v>
      </c>
      <c r="J15" s="4"/>
      <c r="L15" s="4"/>
    </row>
    <row r="16" spans="1:12" ht="17.25" x14ac:dyDescent="0.4">
      <c r="A16" s="119" t="s">
        <v>28</v>
      </c>
      <c r="B16" s="64">
        <f t="shared" si="1"/>
        <v>14269.25</v>
      </c>
      <c r="C16" s="65">
        <v>12323.5</v>
      </c>
      <c r="D16" s="65">
        <v>1248</v>
      </c>
      <c r="E16" s="66">
        <v>697.75</v>
      </c>
      <c r="F16" s="67">
        <v>1900</v>
      </c>
      <c r="G16" s="65">
        <v>78</v>
      </c>
      <c r="H16" s="65">
        <v>0</v>
      </c>
      <c r="I16" s="81" t="s">
        <v>29</v>
      </c>
      <c r="L16" s="4"/>
    </row>
    <row r="17" spans="1:16" ht="17.25" x14ac:dyDescent="0.4">
      <c r="A17" s="119" t="s">
        <v>30</v>
      </c>
      <c r="B17" s="64">
        <f t="shared" si="1"/>
        <v>19327.88</v>
      </c>
      <c r="C17" s="65">
        <v>17356</v>
      </c>
      <c r="D17" s="65">
        <v>1320.88</v>
      </c>
      <c r="E17" s="66">
        <v>651</v>
      </c>
      <c r="F17" s="67">
        <v>0</v>
      </c>
      <c r="G17" s="65">
        <v>0</v>
      </c>
      <c r="H17" s="65">
        <v>0</v>
      </c>
      <c r="I17" s="81" t="s">
        <v>31</v>
      </c>
      <c r="L17" s="4"/>
    </row>
    <row r="18" spans="1:16" ht="17.25" x14ac:dyDescent="0.4">
      <c r="A18" s="119" t="s">
        <v>32</v>
      </c>
      <c r="B18" s="64">
        <f t="shared" si="1"/>
        <v>22076.9</v>
      </c>
      <c r="C18" s="65">
        <v>19360</v>
      </c>
      <c r="D18" s="65">
        <v>1590.9</v>
      </c>
      <c r="E18" s="66">
        <v>1126</v>
      </c>
      <c r="F18" s="67">
        <v>0</v>
      </c>
      <c r="G18" s="65">
        <v>0</v>
      </c>
      <c r="H18" s="65">
        <v>0</v>
      </c>
      <c r="I18" s="81" t="s">
        <v>33</v>
      </c>
      <c r="L18" s="4"/>
    </row>
    <row r="19" spans="1:16" ht="17.25" x14ac:dyDescent="0.4">
      <c r="A19" s="120" t="s">
        <v>34</v>
      </c>
      <c r="B19" s="68">
        <f t="shared" si="1"/>
        <v>16328.48</v>
      </c>
      <c r="C19" s="69">
        <v>13058</v>
      </c>
      <c r="D19" s="69">
        <v>2072.48</v>
      </c>
      <c r="E19" s="95">
        <v>1198</v>
      </c>
      <c r="F19" s="70">
        <v>11035</v>
      </c>
      <c r="G19" s="69">
        <v>683</v>
      </c>
      <c r="H19" s="69">
        <v>0</v>
      </c>
      <c r="I19" s="82" t="s">
        <v>35</v>
      </c>
      <c r="L19" s="4"/>
    </row>
    <row r="20" spans="1:16" ht="12.75" customHeight="1" x14ac:dyDescent="0.4">
      <c r="A20" s="57" t="s">
        <v>62</v>
      </c>
      <c r="B20" s="7"/>
      <c r="C20" s="8"/>
      <c r="D20" s="8"/>
      <c r="E20" s="8"/>
      <c r="F20" s="8"/>
      <c r="G20" s="8"/>
      <c r="H20" s="8"/>
      <c r="I20" s="71" t="s">
        <v>63</v>
      </c>
      <c r="J20" s="8"/>
      <c r="L20" s="4"/>
      <c r="M20" s="10"/>
      <c r="O20" s="55"/>
      <c r="P20" s="10"/>
    </row>
    <row r="21" spans="1:16" ht="12.75" customHeight="1" x14ac:dyDescent="0.25">
      <c r="A21" s="7" t="s">
        <v>7</v>
      </c>
      <c r="B21" s="57"/>
      <c r="C21" s="57"/>
      <c r="D21" s="58"/>
      <c r="E21" s="58"/>
      <c r="F21" s="58"/>
      <c r="G21" s="58"/>
      <c r="H21" s="58"/>
      <c r="I21" s="56" t="s">
        <v>8</v>
      </c>
      <c r="J21" s="58"/>
      <c r="L21" s="4"/>
    </row>
    <row r="22" spans="1:16" s="72" customFormat="1" ht="15" customHeight="1" x14ac:dyDescent="0.25">
      <c r="K22" s="12"/>
      <c r="L22" s="73"/>
    </row>
    <row r="23" spans="1:16" s="72" customFormat="1" ht="39.75" customHeight="1" x14ac:dyDescent="0.25">
      <c r="K23" s="12"/>
    </row>
    <row r="43" spans="13:13" x14ac:dyDescent="0.25">
      <c r="M43" s="4"/>
    </row>
  </sheetData>
  <mergeCells count="8">
    <mergeCell ref="A2:I2"/>
    <mergeCell ref="A3:I3"/>
    <mergeCell ref="A4:I4"/>
    <mergeCell ref="A5:A6"/>
    <mergeCell ref="B5:B6"/>
    <mergeCell ref="C5:E5"/>
    <mergeCell ref="F5:H5"/>
    <mergeCell ref="I5:I6"/>
  </mergeCells>
  <pageMargins left="0.7" right="0.7" top="0.75" bottom="0.75" header="0.3" footer="0.3"/>
  <pageSetup paperSize="9" scale="61" orientation="portrait" r:id="rId1"/>
  <colBreaks count="1" manualBreakCount="1">
    <brk id="10" max="1048575" man="1"/>
  </colBreaks>
  <ignoredErrors>
    <ignoredError sqref="B8:B1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</vt:lpstr>
      <vt:lpstr>'11.23'!Print_Area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2023-03-15T04:06:02Z</cp:lastPrinted>
  <dcterms:created xsi:type="dcterms:W3CDTF">2019-03-24T03:32:16Z</dcterms:created>
  <dcterms:modified xsi:type="dcterms:W3CDTF">2023-03-15T04:06:35Z</dcterms:modified>
</cp:coreProperties>
</file>