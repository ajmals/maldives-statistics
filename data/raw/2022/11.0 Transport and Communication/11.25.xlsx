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0F9A1BB1-BCBE-4877-A260-1E04B2983E93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25 " sheetId="9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" i="9" l="1"/>
  <c r="AE7" i="9"/>
  <c r="AD7" i="9"/>
  <c r="AC7" i="9"/>
  <c r="AB7" i="9"/>
  <c r="AA7" i="9"/>
  <c r="Z7" i="9" l="1"/>
  <c r="Y7" i="9"/>
  <c r="X7" i="9"/>
  <c r="W7" i="9"/>
  <c r="V7" i="9"/>
  <c r="U7" i="9"/>
  <c r="T7" i="9"/>
  <c r="S7" i="9"/>
  <c r="R7" i="9"/>
  <c r="Q7" i="9"/>
  <c r="O7" i="9"/>
  <c r="N7" i="9"/>
  <c r="L7" i="9"/>
  <c r="K7" i="9"/>
  <c r="I7" i="9"/>
  <c r="H7" i="9"/>
  <c r="F7" i="9"/>
  <c r="E7" i="9"/>
  <c r="C7" i="9"/>
  <c r="B7" i="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<sst xmlns="http://schemas.openxmlformats.org/spreadsheetml/2006/main" count="257" uniqueCount="83">
  <si>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</si>
  <si>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</si>
  <si>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</si>
  <si>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</si>
  <si>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</si>
  <si>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</si>
  <si>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</si>
  <si>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</si>
  <si>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</si>
  <si>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</si>
  <si>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</si>
  <si>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</si>
  <si>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</si>
  <si>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</si>
  <si>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</si>
  <si>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</si>
  <si>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</si>
  <si>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</si>
  <si>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</si>
  <si>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</si>
  <si>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</si>
  <si>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</si>
  <si>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</si>
  <si>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</si>
  <si>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</si>
  <si>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</si>
  <si>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</si>
  <si>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</si>
  <si>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</si>
  <si>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</si>
  <si>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</si>
  <si>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</si>
  <si>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</si>
  <si>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</si>
  <si>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</si>
  <si>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</si>
  <si>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</si>
  <si>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</si>
  <si>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</si>
  <si>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</si>
  <si>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</si>
  <si>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</si>
  <si>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</si>
  <si>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</si>
  <si>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</si>
  <si>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</si>
  <si>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</si>
  <si>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</si>
  <si>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</si>
  <si>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</si>
  <si>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</si>
  <si>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</si>
  <si>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</si>
  <si>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</si>
  <si>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</si>
  <si>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</si>
  <si>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</si>
  <si>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</si>
  <si>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</si>
  <si>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</si>
  <si>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t>2_/ THA. Thimarafushi   started flight operations during the month of January 2014</t>
  </si>
  <si>
    <t>3_/ Raa Ifuru   started flight operations during the month of May 2015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</si>
  <si>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</si>
  <si>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</si>
  <si>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</si>
  <si>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</si>
  <si>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</si>
  <si>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</si>
  <si>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</si>
  <si>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</si>
  <si>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</si>
  <si>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11.25:  CARGO HANDLED AT DOMESTIC AIRPORTS BY MONTH, 2021</t>
  </si>
  <si>
    <t>ތާވަލު 11.25: މަސްމަހުގެ ގޮތުން ރާއްޖޭގެ ވައިގެބަނދަރުތަކުގައި އުފުލުނު މުދާ، 2021</t>
  </si>
  <si>
    <r>
      <t xml:space="preserve">GDh.Maavrulu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</si>
  <si>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Sh.Funadhoo  </t>
    </r>
    <r>
      <rPr>
        <b/>
        <vertAlign val="superscript"/>
        <sz val="9"/>
        <rFont val="Calibri"/>
        <family val="2"/>
        <scheme val="minor"/>
      </rPr>
      <t xml:space="preserve">5_/ </t>
    </r>
  </si>
  <si>
    <r>
      <t xml:space="preserve">HDh.Khuludhifushi  </t>
    </r>
    <r>
      <rPr>
        <b/>
        <vertAlign val="superscript"/>
        <sz val="9"/>
        <rFont val="Calibri"/>
        <family val="2"/>
        <scheme val="minor"/>
      </rPr>
      <t xml:space="preserve">6_/ </t>
    </r>
  </si>
  <si>
    <r>
      <t xml:space="preserve">HA. Hoarafushi  </t>
    </r>
    <r>
      <rPr>
        <b/>
        <vertAlign val="superscript"/>
        <sz val="9"/>
        <rFont val="Calibri"/>
        <family val="2"/>
        <scheme val="minor"/>
      </rPr>
      <t xml:space="preserve">7_/ </t>
    </r>
  </si>
  <si>
    <t>4_/ Started operation in July 2020</t>
  </si>
  <si>
    <t>5_/ Started operation in February 2020</t>
  </si>
  <si>
    <t>6_/ Started operation in August 2019</t>
  </si>
  <si>
    <t>7_/ Started operation in November 2020</t>
  </si>
  <si>
    <t>Note:</t>
  </si>
  <si>
    <t>1_/ B.Dharavandhoo  started flight operations during the month of October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</si>
</sst>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0" fillId="0" borderId="0"/>
    <xf numFmtId="43" fontId="4" fillId="0" borderId="0" applyFont="0" applyFill="0" applyBorder="0" applyAlignment="0" applyProtection="0"/>
    <xf numFmtId="0" fontId="4" fillId="0" borderId="0"/>
  </cellStyleXfs>
  <cellXfs count="181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5" fillId="2" borderId="27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/>
    </xf>
    <xf numFmtId="164" fontId="5" fillId="2" borderId="30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 wrapText="1"/>
    </xf>
    <xf numFmtId="164" fontId="5" fillId="2" borderId="30" xfId="2" applyFont="1" applyFill="1" applyBorder="1" applyAlignment="1">
      <alignment horizontal="right" vertical="center" wrapText="1"/>
    </xf>
    <xf numFmtId="164" fontId="5" fillId="2" borderId="2" xfId="2" applyFont="1" applyFill="1" applyBorder="1" applyAlignment="1">
      <alignment horizontal="left" vertical="center"/>
    </xf>
    <xf numFmtId="38" fontId="5" fillId="2" borderId="2" xfId="3" applyNumberFormat="1" applyFont="1" applyFill="1" applyBorder="1" applyAlignment="1">
      <alignment horizontal="right" vertical="center"/>
    </xf>
    <xf numFmtId="38" fontId="5" fillId="2" borderId="3" xfId="3" applyNumberFormat="1" applyFont="1" applyFill="1" applyBorder="1" applyAlignment="1">
      <alignment horizontal="right" vertical="center"/>
    </xf>
    <xf numFmtId="38" fontId="5" fillId="2" borderId="45" xfId="3" applyNumberFormat="1" applyFont="1" applyFill="1" applyBorder="1" applyAlignment="1">
      <alignment horizontal="right" vertical="center"/>
    </xf>
    <xf numFmtId="38" fontId="5" fillId="2" borderId="46" xfId="3" applyNumberFormat="1" applyFont="1" applyFill="1" applyBorder="1" applyAlignment="1">
      <alignment horizontal="right" vertical="center"/>
    </xf>
    <xf numFmtId="38" fontId="5" fillId="2" borderId="13" xfId="3" applyNumberFormat="1" applyFont="1" applyFill="1" applyBorder="1" applyAlignment="1">
      <alignment horizontal="right" vertical="center"/>
    </xf>
    <xf numFmtId="38" fontId="14" fillId="2" borderId="1" xfId="3" applyNumberFormat="1" applyFont="1" applyFill="1" applyBorder="1" applyAlignment="1">
      <alignment horizontal="right" vertical="center"/>
    </xf>
    <xf numFmtId="38" fontId="14" fillId="2" borderId="4" xfId="3" applyNumberFormat="1" applyFont="1" applyFill="1" applyBorder="1" applyAlignment="1">
      <alignment horizontal="right" vertical="center"/>
    </xf>
    <xf numFmtId="38" fontId="14" fillId="2" borderId="47" xfId="3" applyNumberFormat="1" applyFont="1" applyFill="1" applyBorder="1" applyAlignment="1">
      <alignment horizontal="right" vertical="center"/>
    </xf>
    <xf numFmtId="38" fontId="14" fillId="2" borderId="48" xfId="3" applyNumberFormat="1" applyFont="1" applyFill="1" applyBorder="1" applyAlignment="1">
      <alignment horizontal="right" vertical="center"/>
    </xf>
    <xf numFmtId="38" fontId="14" fillId="2" borderId="11" xfId="3" applyNumberFormat="1" applyFont="1" applyFill="1" applyBorder="1" applyAlignment="1">
      <alignment horizontal="right" vertical="center"/>
    </xf>
    <xf numFmtId="38" fontId="14" fillId="2" borderId="5" xfId="3" applyNumberFormat="1" applyFont="1" applyFill="1" applyBorder="1" applyAlignment="1">
      <alignment horizontal="right" vertical="center"/>
    </xf>
    <xf numFmtId="38" fontId="14" fillId="2" borderId="6" xfId="3" applyNumberFormat="1" applyFont="1" applyFill="1" applyBorder="1" applyAlignment="1">
      <alignment horizontal="right" vertical="center"/>
    </xf>
    <xf numFmtId="38" fontId="14" fillId="2" borderId="49" xfId="3" applyNumberFormat="1" applyFont="1" applyFill="1" applyBorder="1" applyAlignment="1">
      <alignment horizontal="right" vertical="center"/>
    </xf>
    <xf numFmtId="38" fontId="14" fillId="2" borderId="50" xfId="3" applyNumberFormat="1" applyFont="1" applyFill="1" applyBorder="1" applyAlignment="1">
      <alignment horizontal="right" vertical="center"/>
    </xf>
    <xf numFmtId="38" fontId="14" fillId="2" borderId="12" xfId="3" applyNumberFormat="1" applyFont="1" applyFill="1" applyBorder="1" applyAlignment="1">
      <alignment horizontal="right" vertical="center"/>
    </xf>
    <xf numFmtId="164" fontId="13" fillId="2" borderId="2" xfId="2" applyFont="1" applyFill="1" applyBorder="1" applyAlignment="1">
      <alignment horizontal="left" vertical="center"/>
    </xf>
    <xf numFmtId="37" fontId="14" fillId="2" borderId="2" xfId="2" applyNumberFormat="1" applyFont="1" applyFill="1" applyBorder="1" applyAlignment="1">
      <alignment vertical="center"/>
    </xf>
    <xf numFmtId="0" fontId="15" fillId="2" borderId="2" xfId="4" applyFont="1" applyFill="1" applyBorder="1" applyAlignment="1">
      <alignment vertical="center"/>
    </xf>
    <xf numFmtId="0" fontId="23" fillId="2" borderId="1" xfId="0" applyFont="1" applyFill="1" applyBorder="1" applyAlignment="1">
      <alignment horizontal="right" vertical="center"/>
    </xf>
    <xf numFmtId="164" fontId="13" fillId="2" borderId="1" xfId="2" applyFont="1" applyFill="1" applyBorder="1" applyAlignment="1">
      <alignment horizontal="left" vertical="center"/>
    </xf>
    <xf numFmtId="37" fontId="14" fillId="2" borderId="1" xfId="2" applyNumberFormat="1" applyFont="1" applyFill="1" applyBorder="1" applyAlignment="1">
      <alignment vertical="center"/>
    </xf>
    <xf numFmtId="0" fontId="15" fillId="2" borderId="1" xfId="4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64" fontId="25" fillId="2" borderId="1" xfId="0" applyNumberFormat="1" applyFont="1" applyFill="1" applyBorder="1" applyAlignment="1">
      <alignment vertical="center"/>
    </xf>
    <xf numFmtId="164" fontId="14" fillId="2" borderId="1" xfId="2" applyFont="1" applyFill="1" applyBorder="1" applyAlignment="1">
      <alignment horizontal="left" vertical="center" indent="1"/>
    </xf>
    <xf numFmtId="164" fontId="14" fillId="2" borderId="5" xfId="2" applyFont="1" applyFill="1" applyBorder="1" applyAlignment="1">
      <alignment horizontal="left" vertical="center" indent="1"/>
    </xf>
    <xf numFmtId="164" fontId="5" fillId="2" borderId="51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18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29" fillId="2" borderId="2" xfId="5" applyFont="1" applyFill="1" applyBorder="1" applyAlignment="1">
      <alignment horizontal="right"/>
    </xf>
    <xf numFmtId="0" fontId="34" fillId="2" borderId="1" xfId="5" applyFont="1" applyFill="1" applyBorder="1" applyAlignment="1">
      <alignment horizontal="right" vertical="center" indent="1"/>
    </xf>
    <xf numFmtId="0" fontId="34" fillId="2" borderId="5" xfId="5" applyFont="1" applyFill="1" applyBorder="1" applyAlignment="1">
      <alignment horizontal="right" vertical="center" indent="1"/>
    </xf>
    <xf numFmtId="164" fontId="29" fillId="2" borderId="0" xfId="2" applyFont="1" applyFill="1" applyAlignment="1">
      <alignment horizontal="right" vertical="center"/>
    </xf>
    <xf numFmtId="164" fontId="28" fillId="2" borderId="0" xfId="0" applyNumberFormat="1" applyFont="1" applyFill="1"/>
    <xf numFmtId="0" fontId="34" fillId="2" borderId="11" xfId="5" applyFont="1" applyFill="1" applyBorder="1" applyAlignment="1">
      <alignment horizontal="right"/>
    </xf>
    <xf numFmtId="0" fontId="34" fillId="2" borderId="12" xfId="5" applyFont="1" applyFill="1" applyBorder="1" applyAlignment="1">
      <alignment horizontal="right"/>
    </xf>
    <xf numFmtId="0" fontId="29" fillId="2" borderId="13" xfId="5" applyFont="1" applyFill="1" applyBorder="1" applyAlignment="1">
      <alignment horizontal="right"/>
    </xf>
    <xf numFmtId="164" fontId="35" fillId="2" borderId="8" xfId="2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18" xfId="2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41" fillId="2" borderId="17" xfId="2" applyFont="1" applyFill="1" applyBorder="1" applyAlignment="1">
      <alignment horizontal="left" vertical="center"/>
    </xf>
    <xf numFmtId="164" fontId="41" fillId="2" borderId="18" xfId="2" applyFont="1" applyFill="1" applyBorder="1" applyAlignment="1">
      <alignment vertical="center"/>
    </xf>
    <xf numFmtId="164" fontId="33" fillId="2" borderId="18" xfId="2" applyFont="1" applyFill="1" applyBorder="1" applyAlignment="1">
      <alignment vertical="center"/>
    </xf>
    <xf numFmtId="164" fontId="26" fillId="2" borderId="1" xfId="2" applyFont="1" applyFill="1" applyBorder="1" applyAlignment="1">
      <alignment horizontal="center" vertical="center"/>
    </xf>
    <xf numFmtId="164" fontId="26" fillId="2" borderId="22" xfId="2" applyFont="1" applyFill="1" applyBorder="1" applyAlignment="1">
      <alignment vertical="center" wrapText="1"/>
    </xf>
    <xf numFmtId="164" fontId="27" fillId="2" borderId="5" xfId="2" applyFont="1" applyFill="1" applyBorder="1" applyAlignment="1">
      <alignment horizontal="left" vertical="center"/>
    </xf>
    <xf numFmtId="0" fontId="42" fillId="2" borderId="26" xfId="2" applyNumberFormat="1" applyFont="1" applyFill="1" applyBorder="1" applyAlignment="1">
      <alignment horizontal="center" vertical="center"/>
    </xf>
    <xf numFmtId="0" fontId="42" fillId="2" borderId="27" xfId="2" applyNumberFormat="1" applyFont="1" applyFill="1" applyBorder="1" applyAlignment="1">
      <alignment horizontal="center" vertical="center"/>
    </xf>
    <xf numFmtId="0" fontId="42" fillId="2" borderId="28" xfId="2" applyNumberFormat="1" applyFont="1" applyFill="1" applyBorder="1" applyAlignment="1">
      <alignment horizontal="center" vertical="center"/>
    </xf>
    <xf numFmtId="0" fontId="42" fillId="2" borderId="29" xfId="2" applyNumberFormat="1" applyFont="1" applyFill="1" applyBorder="1" applyAlignment="1">
      <alignment horizontal="center" vertical="center"/>
    </xf>
    <xf numFmtId="0" fontId="42" fillId="2" borderId="30" xfId="2" applyNumberFormat="1" applyFont="1" applyFill="1" applyBorder="1" applyAlignment="1">
      <alignment horizontal="center" vertical="center"/>
    </xf>
    <xf numFmtId="0" fontId="42" fillId="2" borderId="31" xfId="2" applyNumberFormat="1" applyFont="1" applyFill="1" applyBorder="1" applyAlignment="1">
      <alignment horizontal="center" vertical="center"/>
    </xf>
    <xf numFmtId="0" fontId="42" fillId="2" borderId="51" xfId="2" applyNumberFormat="1" applyFont="1" applyFill="1" applyBorder="1" applyAlignment="1">
      <alignment horizontal="center" vertical="center"/>
    </xf>
    <xf numFmtId="0" fontId="42" fillId="2" borderId="32" xfId="2" applyNumberFormat="1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164" fontId="43" fillId="2" borderId="0" xfId="2" applyFont="1" applyFill="1" applyAlignment="1">
      <alignment horizontal="left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51" xfId="2" applyFont="1" applyFill="1" applyBorder="1" applyAlignment="1">
      <alignment horizontal="left" vertical="center"/>
    </xf>
    <xf numFmtId="164" fontId="18" fillId="2" borderId="51" xfId="2" applyFont="1" applyFill="1" applyBorder="1" applyAlignment="1">
      <alignment horizontal="center" vertical="center" wrapText="1"/>
    </xf>
    <xf numFmtId="164" fontId="35" fillId="2" borderId="8" xfId="2" applyFont="1" applyFill="1" applyBorder="1" applyAlignment="1">
      <alignment horizontal="center" vertical="center"/>
    </xf>
    <xf numFmtId="164" fontId="30" fillId="2" borderId="0" xfId="2" applyFont="1" applyFill="1" applyAlignment="1">
      <alignment horizontal="center" vertical="center"/>
    </xf>
    <xf numFmtId="164" fontId="29" fillId="2" borderId="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29" fillId="2" borderId="5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3" fillId="2" borderId="10" xfId="2" applyFont="1" applyFill="1" applyBorder="1" applyAlignment="1">
      <alignment horizontal="center" vertical="center"/>
    </xf>
    <xf numFmtId="164" fontId="33" fillId="2" borderId="18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33" fillId="2" borderId="15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0" fontId="29" fillId="2" borderId="9" xfId="5" applyFont="1" applyFill="1" applyBorder="1" applyAlignment="1">
      <alignment horizontal="right" vertical="center"/>
    </xf>
    <xf numFmtId="0" fontId="29" fillId="2" borderId="11" xfId="5" applyFont="1" applyFill="1" applyBorder="1" applyAlignment="1">
      <alignment horizontal="right" vertical="center"/>
    </xf>
    <xf numFmtId="0" fontId="29" fillId="2" borderId="12" xfId="5" applyFont="1" applyFill="1" applyBorder="1" applyAlignment="1">
      <alignment horizontal="right" vertical="center"/>
    </xf>
    <xf numFmtId="164" fontId="26" fillId="2" borderId="6" xfId="2" applyFont="1" applyFill="1" applyBorder="1" applyAlignment="1">
      <alignment horizontal="center" vertical="center" wrapText="1"/>
    </xf>
    <xf numFmtId="164" fontId="26" fillId="2" borderId="22" xfId="2" applyFont="1" applyFill="1" applyBorder="1" applyAlignment="1">
      <alignment horizontal="center" vertical="center" wrapText="1"/>
    </xf>
    <xf numFmtId="164" fontId="26" fillId="2" borderId="23" xfId="2" applyFont="1" applyFill="1" applyBorder="1" applyAlignment="1">
      <alignment horizontal="center" vertical="center" wrapText="1"/>
    </xf>
    <xf numFmtId="164" fontId="26" fillId="2" borderId="14" xfId="2" applyFont="1" applyFill="1" applyBorder="1" applyAlignment="1">
      <alignment horizontal="center" vertical="center" wrapText="1"/>
    </xf>
    <xf numFmtId="164" fontId="26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51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6" fillId="2" borderId="21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 wrapText="1"/>
    </xf>
    <xf numFmtId="164" fontId="5" fillId="2" borderId="41" xfId="2" applyFont="1" applyFill="1" applyBorder="1" applyAlignment="1">
      <alignment horizontal="center" vertical="center" wrapText="1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8" xfId="2" applyFont="1" applyFill="1" applyBorder="1" applyAlignment="1">
      <alignment horizontal="center" vertical="center" wrapText="1"/>
    </xf>
    <xf numFmtId="164" fontId="24" fillId="2" borderId="1" xfId="0" applyNumberFormat="1" applyFont="1" applyFill="1" applyBorder="1" applyAlignment="1">
      <alignment horizontal="center"/>
    </xf>
    <xf numFmtId="164" fontId="16" fillId="2" borderId="1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left" vertical="center"/>
    </xf>
    <xf numFmtId="164" fontId="5" fillId="2" borderId="5" xfId="2" applyFont="1" applyFill="1" applyBorder="1" applyAlignment="1">
      <alignment horizontal="left" vertical="center"/>
    </xf>
    <xf numFmtId="164" fontId="5" fillId="2" borderId="39" xfId="2" applyFont="1" applyFill="1" applyBorder="1" applyAlignment="1">
      <alignment horizontal="center" vertical="center" wrapText="1"/>
    </xf>
    <xf numFmtId="0" fontId="29" fillId="2" borderId="38" xfId="5" applyFont="1" applyFill="1" applyBorder="1" applyAlignment="1">
      <alignment horizontal="right" vertical="center"/>
    </xf>
    <xf numFmtId="0" fontId="29" fillId="2" borderId="26" xfId="5" applyFont="1" applyFill="1" applyBorder="1" applyAlignment="1">
      <alignment horizontal="right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5" t="s">
        <v>69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</row>
    <row r="2" spans="1:29" ht="15.75" x14ac:dyDescent="0.25">
      <c r="A2" s="129" t="s">
        <v>70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</row>
    <row r="4" spans="1:29" s="8" customFormat="1" ht="19.5" x14ac:dyDescent="0.15">
      <c r="A4" s="130" t="s">
        <v>8</v>
      </c>
      <c r="B4" s="134" t="s">
        <v>34</v>
      </c>
      <c r="C4" s="134"/>
      <c r="D4" s="97"/>
      <c r="E4" s="134" t="s">
        <v>35</v>
      </c>
      <c r="F4" s="134"/>
      <c r="G4" s="97"/>
      <c r="H4" s="134" t="s">
        <v>36</v>
      </c>
      <c r="I4" s="134"/>
      <c r="J4" s="97"/>
      <c r="K4" s="134" t="s">
        <v>37</v>
      </c>
      <c r="L4" s="134"/>
      <c r="M4" s="97"/>
      <c r="N4" s="134" t="s">
        <v>38</v>
      </c>
      <c r="O4" s="134"/>
      <c r="P4" s="97"/>
      <c r="Q4" s="134" t="s">
        <v>39</v>
      </c>
      <c r="R4" s="134"/>
      <c r="S4" s="97"/>
      <c r="T4" s="134" t="s">
        <v>40</v>
      </c>
      <c r="U4" s="134"/>
      <c r="V4" s="97"/>
      <c r="W4" s="134" t="s">
        <v>41</v>
      </c>
      <c r="X4" s="134"/>
      <c r="Y4" s="97"/>
      <c r="Z4" s="134" t="s">
        <v>42</v>
      </c>
      <c r="AA4" s="134"/>
      <c r="AB4" s="136" t="s">
        <v>9</v>
      </c>
    </row>
    <row r="5" spans="1:29" s="11" customFormat="1" ht="15" customHeight="1" x14ac:dyDescent="0.25">
      <c r="A5" s="131"/>
      <c r="B5" s="133" t="s">
        <v>43</v>
      </c>
      <c r="C5" s="133"/>
      <c r="D5" s="10"/>
      <c r="E5" s="133" t="s">
        <v>44</v>
      </c>
      <c r="F5" s="133"/>
      <c r="G5" s="10"/>
      <c r="H5" s="133" t="s">
        <v>45</v>
      </c>
      <c r="I5" s="133"/>
      <c r="J5" s="10"/>
      <c r="K5" s="133" t="s">
        <v>46</v>
      </c>
      <c r="L5" s="133"/>
      <c r="M5" s="10"/>
      <c r="N5" s="133" t="s">
        <v>47</v>
      </c>
      <c r="O5" s="133"/>
      <c r="P5" s="10"/>
      <c r="Q5" s="133" t="s">
        <v>48</v>
      </c>
      <c r="R5" s="133"/>
      <c r="S5" s="10"/>
      <c r="T5" s="133" t="s">
        <v>49</v>
      </c>
      <c r="U5" s="133"/>
      <c r="V5" s="10"/>
      <c r="W5" s="133" t="s">
        <v>50</v>
      </c>
      <c r="X5" s="133"/>
      <c r="Y5" s="10"/>
      <c r="Z5" s="133" t="s">
        <v>51</v>
      </c>
      <c r="AA5" s="133"/>
      <c r="AB5" s="137"/>
      <c r="AC5" s="2"/>
    </row>
    <row r="6" spans="1:29" s="93" customFormat="1" ht="14.25" x14ac:dyDescent="0.2">
      <c r="A6" s="131"/>
      <c r="B6" s="85" t="s">
        <v>0</v>
      </c>
      <c r="C6" s="85" t="s">
        <v>1</v>
      </c>
      <c r="D6" s="85"/>
      <c r="E6" s="85" t="s">
        <v>0</v>
      </c>
      <c r="F6" s="85" t="s">
        <v>1</v>
      </c>
      <c r="G6" s="85"/>
      <c r="H6" s="85" t="s">
        <v>0</v>
      </c>
      <c r="I6" s="85" t="s">
        <v>1</v>
      </c>
      <c r="J6" s="85"/>
      <c r="K6" s="85" t="s">
        <v>0</v>
      </c>
      <c r="L6" s="85" t="s">
        <v>1</v>
      </c>
      <c r="M6" s="85"/>
      <c r="N6" s="85" t="s">
        <v>0</v>
      </c>
      <c r="O6" s="85" t="s">
        <v>1</v>
      </c>
      <c r="P6" s="85"/>
      <c r="Q6" s="85" t="s">
        <v>0</v>
      </c>
      <c r="R6" s="85" t="s">
        <v>1</v>
      </c>
      <c r="S6" s="85"/>
      <c r="T6" s="85" t="s">
        <v>0</v>
      </c>
      <c r="U6" s="85" t="s">
        <v>1</v>
      </c>
      <c r="V6" s="85"/>
      <c r="W6" s="85" t="s">
        <v>0</v>
      </c>
      <c r="X6" s="85" t="s">
        <v>1</v>
      </c>
      <c r="Y6" s="85"/>
      <c r="Z6" s="85" t="s">
        <v>0</v>
      </c>
      <c r="AA6" s="85" t="s">
        <v>1</v>
      </c>
      <c r="AB6" s="137"/>
    </row>
    <row r="7" spans="1:29" s="11" customFormat="1" ht="14.25" x14ac:dyDescent="0.2">
      <c r="A7" s="132"/>
      <c r="B7" s="87" t="s">
        <v>2</v>
      </c>
      <c r="C7" s="87" t="s">
        <v>3</v>
      </c>
      <c r="D7" s="87"/>
      <c r="E7" s="87" t="s">
        <v>2</v>
      </c>
      <c r="F7" s="87" t="s">
        <v>3</v>
      </c>
      <c r="G7" s="87"/>
      <c r="H7" s="87" t="s">
        <v>2</v>
      </c>
      <c r="I7" s="87" t="s">
        <v>3</v>
      </c>
      <c r="J7" s="87"/>
      <c r="K7" s="87" t="s">
        <v>2</v>
      </c>
      <c r="L7" s="87" t="s">
        <v>3</v>
      </c>
      <c r="M7" s="87"/>
      <c r="N7" s="87" t="s">
        <v>2</v>
      </c>
      <c r="O7" s="87" t="s">
        <v>3</v>
      </c>
      <c r="P7" s="87"/>
      <c r="Q7" s="87" t="s">
        <v>2</v>
      </c>
      <c r="R7" s="87" t="s">
        <v>3</v>
      </c>
      <c r="S7" s="87"/>
      <c r="T7" s="87" t="s">
        <v>2</v>
      </c>
      <c r="U7" s="87" t="s">
        <v>3</v>
      </c>
      <c r="V7" s="87"/>
      <c r="W7" s="87" t="s">
        <v>2</v>
      </c>
      <c r="X7" s="87" t="s">
        <v>3</v>
      </c>
      <c r="Y7" s="87"/>
      <c r="Z7" s="87" t="s">
        <v>2</v>
      </c>
      <c r="AA7" s="87" t="s">
        <v>3</v>
      </c>
      <c r="AB7" s="138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92" t="s">
        <v>5</v>
      </c>
    </row>
    <row r="9" spans="1:29" s="8" customFormat="1" ht="15.75" x14ac:dyDescent="0.4">
      <c r="A9" s="4" t="s">
        <v>10</v>
      </c>
      <c r="B9" s="104"/>
      <c r="C9" s="104"/>
      <c r="D9" s="104"/>
      <c r="E9" s="105"/>
      <c r="F9" s="105"/>
      <c r="G9" s="105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6"/>
      <c r="Z9" s="106"/>
      <c r="AA9" s="106"/>
      <c r="AB9" s="94" t="s">
        <v>11</v>
      </c>
    </row>
    <row r="10" spans="1:29" s="8" customFormat="1" ht="15.75" x14ac:dyDescent="0.4">
      <c r="A10" s="4" t="s">
        <v>12</v>
      </c>
      <c r="B10" s="104"/>
      <c r="C10" s="104"/>
      <c r="D10" s="104"/>
      <c r="E10" s="105"/>
      <c r="F10" s="105"/>
      <c r="G10" s="105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6"/>
      <c r="Z10" s="106"/>
      <c r="AA10" s="106"/>
      <c r="AB10" s="94" t="s">
        <v>13</v>
      </c>
    </row>
    <row r="11" spans="1:29" s="8" customFormat="1" ht="15.75" x14ac:dyDescent="0.4">
      <c r="A11" s="4" t="s">
        <v>14</v>
      </c>
      <c r="B11" s="104"/>
      <c r="C11" s="104"/>
      <c r="D11" s="104"/>
      <c r="E11" s="105"/>
      <c r="F11" s="105"/>
      <c r="G11" s="105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6"/>
      <c r="Z11" s="106"/>
      <c r="AA11" s="106"/>
      <c r="AB11" s="94" t="s">
        <v>15</v>
      </c>
    </row>
    <row r="12" spans="1:29" s="8" customFormat="1" ht="15.75" x14ac:dyDescent="0.4">
      <c r="A12" s="4" t="s">
        <v>16</v>
      </c>
      <c r="B12" s="104"/>
      <c r="C12" s="104"/>
      <c r="D12" s="104"/>
      <c r="E12" s="105"/>
      <c r="F12" s="105"/>
      <c r="G12" s="105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6"/>
      <c r="Z12" s="106"/>
      <c r="AA12" s="106"/>
      <c r="AB12" s="94" t="s">
        <v>17</v>
      </c>
    </row>
    <row r="13" spans="1:29" s="8" customFormat="1" ht="15.75" x14ac:dyDescent="0.4">
      <c r="A13" s="4" t="s">
        <v>18</v>
      </c>
      <c r="B13" s="104"/>
      <c r="C13" s="104"/>
      <c r="D13" s="104"/>
      <c r="E13" s="105"/>
      <c r="F13" s="105"/>
      <c r="G13" s="105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6"/>
      <c r="Z13" s="106"/>
      <c r="AA13" s="106"/>
      <c r="AB13" s="94" t="s">
        <v>19</v>
      </c>
    </row>
    <row r="14" spans="1:29" s="8" customFormat="1" ht="15.75" x14ac:dyDescent="0.4">
      <c r="A14" s="4" t="s">
        <v>20</v>
      </c>
      <c r="B14" s="104"/>
      <c r="C14" s="104"/>
      <c r="D14" s="104"/>
      <c r="E14" s="105"/>
      <c r="F14" s="105"/>
      <c r="G14" s="105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6"/>
      <c r="Z14" s="106"/>
      <c r="AA14" s="106"/>
      <c r="AB14" s="94" t="s">
        <v>21</v>
      </c>
    </row>
    <row r="15" spans="1:29" s="8" customFormat="1" ht="15.75" x14ac:dyDescent="0.4">
      <c r="A15" s="4" t="s">
        <v>22</v>
      </c>
      <c r="B15" s="104"/>
      <c r="C15" s="104"/>
      <c r="D15" s="104"/>
      <c r="E15" s="105"/>
      <c r="F15" s="105"/>
      <c r="G15" s="105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6"/>
      <c r="Z15" s="106"/>
      <c r="AA15" s="106"/>
      <c r="AB15" s="94" t="s">
        <v>23</v>
      </c>
    </row>
    <row r="16" spans="1:29" s="8" customFormat="1" ht="15.75" x14ac:dyDescent="0.4">
      <c r="A16" s="4" t="s">
        <v>24</v>
      </c>
      <c r="B16" s="104"/>
      <c r="C16" s="104"/>
      <c r="D16" s="104"/>
      <c r="E16" s="105"/>
      <c r="F16" s="105"/>
      <c r="G16" s="105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6"/>
      <c r="Z16" s="106"/>
      <c r="AA16" s="106"/>
      <c r="AB16" s="94" t="s">
        <v>25</v>
      </c>
    </row>
    <row r="17" spans="1:44" s="8" customFormat="1" ht="15.75" x14ac:dyDescent="0.4">
      <c r="A17" s="4" t="s">
        <v>26</v>
      </c>
      <c r="B17" s="104"/>
      <c r="C17" s="104"/>
      <c r="D17" s="104"/>
      <c r="E17" s="105"/>
      <c r="F17" s="105"/>
      <c r="G17" s="105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6"/>
      <c r="Z17" s="106"/>
      <c r="AA17" s="106"/>
      <c r="AB17" s="94" t="s">
        <v>27</v>
      </c>
    </row>
    <row r="18" spans="1:44" s="8" customFormat="1" ht="15.75" x14ac:dyDescent="0.4">
      <c r="A18" s="4" t="s">
        <v>28</v>
      </c>
      <c r="B18" s="104"/>
      <c r="C18" s="104"/>
      <c r="D18" s="104"/>
      <c r="E18" s="105"/>
      <c r="F18" s="105"/>
      <c r="G18" s="105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6"/>
      <c r="Z18" s="106"/>
      <c r="AA18" s="106"/>
      <c r="AB18" s="94" t="s">
        <v>29</v>
      </c>
    </row>
    <row r="19" spans="1:44" s="8" customFormat="1" ht="15.75" x14ac:dyDescent="0.4">
      <c r="A19" s="4" t="s">
        <v>30</v>
      </c>
      <c r="B19" s="104"/>
      <c r="C19" s="104"/>
      <c r="D19" s="104"/>
      <c r="E19" s="105"/>
      <c r="F19" s="105"/>
      <c r="G19" s="105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6"/>
      <c r="Z19" s="106"/>
      <c r="AA19" s="106"/>
      <c r="AB19" s="94" t="s">
        <v>31</v>
      </c>
    </row>
    <row r="20" spans="1:44" s="8" customFormat="1" ht="15.75" x14ac:dyDescent="0.4">
      <c r="A20" s="86" t="s">
        <v>32</v>
      </c>
      <c r="B20" s="107"/>
      <c r="C20" s="107"/>
      <c r="D20" s="107"/>
      <c r="E20" s="108"/>
      <c r="F20" s="108"/>
      <c r="G20" s="108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9"/>
      <c r="Z20" s="109"/>
      <c r="AA20" s="109"/>
      <c r="AB20" s="95" t="s">
        <v>33</v>
      </c>
    </row>
    <row r="21" spans="1:44" ht="18.75" x14ac:dyDescent="0.25">
      <c r="A21" s="5" t="s">
        <v>6</v>
      </c>
      <c r="AB21" s="7" t="s">
        <v>7</v>
      </c>
      <c r="AO21" s="8"/>
      <c r="AP21" s="84" t="s">
        <v>2</v>
      </c>
      <c r="AQ21" s="84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1" customFormat="1" ht="21.75" customHeight="1" x14ac:dyDescent="0.55000000000000004">
      <c r="A44" s="139" t="s">
        <v>8</v>
      </c>
      <c r="B44" s="112"/>
      <c r="D44" s="113"/>
      <c r="F44" s="113"/>
      <c r="G44" s="142" t="s">
        <v>34</v>
      </c>
      <c r="H44" s="143"/>
      <c r="I44" s="143"/>
      <c r="J44" s="143"/>
      <c r="K44" s="144"/>
      <c r="L44" s="100"/>
      <c r="M44" s="114"/>
      <c r="N44" s="100"/>
      <c r="O44" s="114"/>
      <c r="P44" s="145" t="s">
        <v>35</v>
      </c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13"/>
      <c r="AC44" s="147" t="s">
        <v>36</v>
      </c>
      <c r="AD44" s="148"/>
      <c r="AE44" s="148"/>
      <c r="AF44" s="148"/>
      <c r="AG44" s="148"/>
      <c r="AH44" s="148"/>
      <c r="AI44" s="148"/>
      <c r="AJ44" s="148"/>
      <c r="AK44" s="99"/>
      <c r="AL44" s="147" t="s">
        <v>37</v>
      </c>
      <c r="AM44" s="148"/>
      <c r="AN44" s="148"/>
      <c r="AO44" s="148"/>
      <c r="AP44" s="148"/>
      <c r="AQ44" s="148"/>
      <c r="AR44" s="148"/>
      <c r="AS44" s="99"/>
      <c r="AT44" s="147" t="s">
        <v>38</v>
      </c>
      <c r="AU44" s="148"/>
      <c r="AV44" s="148"/>
      <c r="AW44" s="148"/>
      <c r="AX44" s="148"/>
      <c r="AY44" s="110"/>
      <c r="AZ44" s="99"/>
      <c r="BA44" s="147" t="s">
        <v>39</v>
      </c>
      <c r="BB44" s="148"/>
      <c r="BC44" s="148"/>
      <c r="BD44" s="148"/>
      <c r="BE44" s="165"/>
      <c r="BF44" s="98"/>
      <c r="BG44" s="166" t="s">
        <v>40</v>
      </c>
      <c r="BH44" s="167"/>
      <c r="BI44" s="167"/>
      <c r="BJ44" s="167"/>
      <c r="BK44" s="168"/>
      <c r="BL44" s="147" t="s">
        <v>41</v>
      </c>
      <c r="BM44" s="148"/>
      <c r="BN44" s="148"/>
      <c r="BO44" s="148"/>
      <c r="BP44" s="165"/>
      <c r="BQ44" s="147" t="s">
        <v>42</v>
      </c>
      <c r="BR44" s="148"/>
      <c r="BS44" s="148"/>
      <c r="BT44" s="149" t="s">
        <v>9</v>
      </c>
    </row>
    <row r="45" spans="1:80" s="102" customFormat="1" ht="16.5" customHeight="1" x14ac:dyDescent="0.25">
      <c r="A45" s="140"/>
      <c r="B45" s="115"/>
      <c r="D45" s="116"/>
      <c r="F45" s="116"/>
      <c r="G45" s="152" t="s">
        <v>43</v>
      </c>
      <c r="H45" s="153"/>
      <c r="I45" s="153"/>
      <c r="J45" s="153"/>
      <c r="K45" s="154"/>
      <c r="M45" s="116"/>
      <c r="O45" s="116"/>
      <c r="P45" s="155" t="s">
        <v>44</v>
      </c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16"/>
      <c r="AC45" s="157" t="s">
        <v>62</v>
      </c>
      <c r="AD45" s="158"/>
      <c r="AE45" s="158"/>
      <c r="AF45" s="158"/>
      <c r="AG45" s="158"/>
      <c r="AH45" s="158"/>
      <c r="AI45" s="158"/>
      <c r="AJ45" s="158"/>
      <c r="AK45" s="103"/>
      <c r="AL45" s="157" t="s">
        <v>63</v>
      </c>
      <c r="AM45" s="158"/>
      <c r="AN45" s="158"/>
      <c r="AO45" s="158"/>
      <c r="AP45" s="158"/>
      <c r="AQ45" s="158"/>
      <c r="AR45" s="158"/>
      <c r="AS45" s="103"/>
      <c r="AT45" s="157" t="s">
        <v>64</v>
      </c>
      <c r="AU45" s="158"/>
      <c r="AV45" s="158"/>
      <c r="AW45" s="158"/>
      <c r="AX45" s="158"/>
      <c r="AY45" s="111"/>
      <c r="AZ45" s="103"/>
      <c r="BA45" s="159" t="s">
        <v>65</v>
      </c>
      <c r="BB45" s="160"/>
      <c r="BC45" s="160"/>
      <c r="BD45" s="160"/>
      <c r="BE45" s="161"/>
      <c r="BG45" s="162" t="s">
        <v>66</v>
      </c>
      <c r="BH45" s="163"/>
      <c r="BI45" s="163"/>
      <c r="BJ45" s="163"/>
      <c r="BK45" s="164"/>
      <c r="BL45" s="159" t="s">
        <v>67</v>
      </c>
      <c r="BM45" s="160"/>
      <c r="BN45" s="160"/>
      <c r="BO45" s="160"/>
      <c r="BP45" s="161"/>
      <c r="BQ45" s="159" t="s">
        <v>68</v>
      </c>
      <c r="BR45" s="160"/>
      <c r="BS45" s="160"/>
      <c r="BT45" s="150"/>
    </row>
    <row r="46" spans="1:80" ht="23.25" customHeight="1" x14ac:dyDescent="0.25">
      <c r="A46" s="141"/>
      <c r="B46" s="117"/>
      <c r="C46" s="118">
        <v>2011</v>
      </c>
      <c r="D46" s="118">
        <v>2012</v>
      </c>
      <c r="E46" s="119">
        <v>2013</v>
      </c>
      <c r="F46" s="120">
        <v>2014</v>
      </c>
      <c r="G46" s="121">
        <v>2015</v>
      </c>
      <c r="H46" s="122">
        <v>2016</v>
      </c>
      <c r="I46" s="123">
        <v>2017</v>
      </c>
      <c r="J46" s="123">
        <v>2018</v>
      </c>
      <c r="K46" s="123">
        <v>2019</v>
      </c>
      <c r="L46" s="124">
        <v>2011</v>
      </c>
      <c r="M46" s="124">
        <v>2012</v>
      </c>
      <c r="N46" s="124">
        <v>2013</v>
      </c>
      <c r="O46" s="123">
        <v>2014</v>
      </c>
      <c r="P46" s="121">
        <v>2015</v>
      </c>
      <c r="Q46" s="123">
        <v>2016</v>
      </c>
      <c r="R46" s="124">
        <v>2011</v>
      </c>
      <c r="S46" s="124">
        <v>2012</v>
      </c>
      <c r="T46" s="123">
        <v>2013</v>
      </c>
      <c r="U46" s="123">
        <v>2014</v>
      </c>
      <c r="V46" s="124">
        <v>2011</v>
      </c>
      <c r="W46" s="124">
        <v>2012</v>
      </c>
      <c r="X46" s="123">
        <v>2013</v>
      </c>
      <c r="Y46" s="123">
        <v>2017</v>
      </c>
      <c r="Z46" s="123">
        <v>2018</v>
      </c>
      <c r="AA46" s="125">
        <v>2019</v>
      </c>
      <c r="AB46" s="123">
        <v>2014</v>
      </c>
      <c r="AC46" s="21">
        <v>2015</v>
      </c>
      <c r="AD46" s="21">
        <v>2016</v>
      </c>
      <c r="AE46" s="88">
        <v>2011</v>
      </c>
      <c r="AF46" s="88">
        <v>2012</v>
      </c>
      <c r="AG46" s="88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88">
        <v>2012</v>
      </c>
      <c r="AQ46" s="88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88">
        <v>2013</v>
      </c>
      <c r="AW46" s="21">
        <v>2017</v>
      </c>
      <c r="AX46" s="21">
        <v>2018</v>
      </c>
      <c r="AY46" s="21">
        <v>2019</v>
      </c>
      <c r="AZ46" s="88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88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51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96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94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94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94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94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94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94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94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94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94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94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94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95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AG28"/>
  <sheetViews>
    <sheetView tabSelected="1" zoomScale="118" zoomScaleNormal="118" workbookViewId="0">
      <selection activeCell="R21" sqref="R20:R21"/>
    </sheetView>
  </sheetViews>
  <sheetFormatPr defaultColWidth="9.140625" defaultRowHeight="15" x14ac:dyDescent="0.25"/>
  <cols>
    <col min="1" max="1" width="12" style="49" customWidth="1"/>
    <col min="2" max="3" width="9.42578125" style="49" customWidth="1"/>
    <col min="4" max="4" width="1.42578125" style="49" customWidth="1"/>
    <col min="5" max="6" width="9.42578125" style="49" customWidth="1"/>
    <col min="7" max="7" width="1.28515625" style="49" customWidth="1"/>
    <col min="8" max="9" width="9.42578125" style="49" customWidth="1"/>
    <col min="10" max="10" width="1.140625" style="49" customWidth="1"/>
    <col min="11" max="11" width="9.42578125" style="49" bestFit="1" customWidth="1"/>
    <col min="12" max="12" width="9.5703125" style="49" customWidth="1"/>
    <col min="13" max="13" width="1.140625" style="49" hidden="1" customWidth="1"/>
    <col min="14" max="15" width="9.28515625" style="49" hidden="1" customWidth="1"/>
    <col min="16" max="16" width="1.140625" style="49" customWidth="1"/>
    <col min="17" max="18" width="9.28515625" style="49" bestFit="1" customWidth="1"/>
    <col min="19" max="32" width="9.28515625" style="49" customWidth="1"/>
    <col min="33" max="33" width="20" style="49" customWidth="1"/>
    <col min="34" max="16384" width="9.140625" style="49"/>
  </cols>
  <sheetData>
    <row r="2" spans="1:33" ht="21" x14ac:dyDescent="0.55000000000000004">
      <c r="A2" s="173" t="s">
        <v>72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</row>
    <row r="3" spans="1:33" ht="17.25" customHeight="1" x14ac:dyDescent="0.25">
      <c r="A3" s="174" t="s">
        <v>71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</row>
    <row r="4" spans="1:33" x14ac:dyDescent="0.25">
      <c r="A4" s="175" t="s">
        <v>55</v>
      </c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1:33" ht="15" customHeight="1" x14ac:dyDescent="0.25">
      <c r="A5" s="176" t="s">
        <v>8</v>
      </c>
      <c r="B5" s="172" t="s">
        <v>43</v>
      </c>
      <c r="C5" s="172"/>
      <c r="D5" s="127"/>
      <c r="E5" s="169" t="s">
        <v>44</v>
      </c>
      <c r="F5" s="170"/>
      <c r="G5" s="126"/>
      <c r="H5" s="172" t="s">
        <v>56</v>
      </c>
      <c r="I5" s="172"/>
      <c r="J5" s="127"/>
      <c r="K5" s="169" t="s">
        <v>45</v>
      </c>
      <c r="L5" s="170"/>
      <c r="M5" s="126"/>
      <c r="N5" s="172" t="s">
        <v>46</v>
      </c>
      <c r="O5" s="172"/>
      <c r="P5" s="127"/>
      <c r="Q5" s="169" t="s">
        <v>57</v>
      </c>
      <c r="R5" s="170"/>
      <c r="S5" s="171" t="s">
        <v>48</v>
      </c>
      <c r="T5" s="178"/>
      <c r="U5" s="169" t="s">
        <v>58</v>
      </c>
      <c r="V5" s="170"/>
      <c r="W5" s="171" t="s">
        <v>59</v>
      </c>
      <c r="X5" s="178"/>
      <c r="Y5" s="169" t="s">
        <v>73</v>
      </c>
      <c r="Z5" s="178"/>
      <c r="AA5" s="169" t="s">
        <v>74</v>
      </c>
      <c r="AB5" s="170"/>
      <c r="AC5" s="169" t="s">
        <v>75</v>
      </c>
      <c r="AD5" s="170"/>
      <c r="AE5" s="171" t="s">
        <v>76</v>
      </c>
      <c r="AF5" s="172"/>
      <c r="AG5" s="179" t="s">
        <v>9</v>
      </c>
    </row>
    <row r="6" spans="1:33" ht="15" customHeight="1" x14ac:dyDescent="0.25">
      <c r="A6" s="177"/>
      <c r="B6" s="50" t="s">
        <v>2</v>
      </c>
      <c r="C6" s="50" t="s">
        <v>3</v>
      </c>
      <c r="D6" s="51"/>
      <c r="E6" s="52" t="s">
        <v>2</v>
      </c>
      <c r="F6" s="53" t="s">
        <v>3</v>
      </c>
      <c r="G6" s="54"/>
      <c r="H6" s="50" t="s">
        <v>2</v>
      </c>
      <c r="I6" s="50" t="s">
        <v>3</v>
      </c>
      <c r="J6" s="55"/>
      <c r="K6" s="52" t="s">
        <v>2</v>
      </c>
      <c r="L6" s="53" t="s">
        <v>3</v>
      </c>
      <c r="M6" s="56"/>
      <c r="N6" s="50" t="s">
        <v>2</v>
      </c>
      <c r="O6" s="50" t="s">
        <v>3</v>
      </c>
      <c r="P6" s="55"/>
      <c r="Q6" s="52" t="s">
        <v>2</v>
      </c>
      <c r="R6" s="53" t="s">
        <v>3</v>
      </c>
      <c r="S6" s="54" t="s">
        <v>2</v>
      </c>
      <c r="T6" s="51" t="s">
        <v>3</v>
      </c>
      <c r="U6" s="52" t="s">
        <v>2</v>
      </c>
      <c r="V6" s="53" t="s">
        <v>3</v>
      </c>
      <c r="W6" s="54" t="s">
        <v>2</v>
      </c>
      <c r="X6" s="51" t="s">
        <v>3</v>
      </c>
      <c r="Y6" s="52" t="s">
        <v>2</v>
      </c>
      <c r="Z6" s="51" t="s">
        <v>3</v>
      </c>
      <c r="AA6" s="52" t="s">
        <v>2</v>
      </c>
      <c r="AB6" s="53" t="s">
        <v>3</v>
      </c>
      <c r="AC6" s="52" t="s">
        <v>2</v>
      </c>
      <c r="AD6" s="53" t="s">
        <v>3</v>
      </c>
      <c r="AE6" s="54" t="s">
        <v>2</v>
      </c>
      <c r="AF6" s="50" t="s">
        <v>3</v>
      </c>
      <c r="AG6" s="180"/>
    </row>
    <row r="7" spans="1:33" ht="17.25" x14ac:dyDescent="0.4">
      <c r="A7" s="57" t="s">
        <v>4</v>
      </c>
      <c r="B7" s="58">
        <f>SUM(B8:B19)</f>
        <v>27607</v>
      </c>
      <c r="C7" s="58">
        <f>SUM(C8:C19)</f>
        <v>100606</v>
      </c>
      <c r="D7" s="59"/>
      <c r="E7" s="60">
        <f>SUM(E8:E19)</f>
        <v>57240</v>
      </c>
      <c r="F7" s="61">
        <f>SUM(F8:F19)</f>
        <v>47693</v>
      </c>
      <c r="G7" s="62"/>
      <c r="H7" s="58">
        <f>SUM(H8:H19)</f>
        <v>31372</v>
      </c>
      <c r="I7" s="58">
        <f>SUM(I8:I19)</f>
        <v>5960.1</v>
      </c>
      <c r="J7" s="59"/>
      <c r="K7" s="60">
        <f>SUM(K8:K19)</f>
        <v>28171</v>
      </c>
      <c r="L7" s="61">
        <f>SUM(L8:L19)</f>
        <v>9320</v>
      </c>
      <c r="M7" s="62"/>
      <c r="N7" s="58">
        <f t="shared" ref="N7:O7" si="0">SUM(N8:N19)</f>
        <v>0</v>
      </c>
      <c r="O7" s="58">
        <f t="shared" si="0"/>
        <v>0</v>
      </c>
      <c r="P7" s="59"/>
      <c r="Q7" s="60">
        <f t="shared" ref="Q7:U7" si="1">SUM(Q8:Q19)</f>
        <v>314</v>
      </c>
      <c r="R7" s="61">
        <f t="shared" si="1"/>
        <v>88</v>
      </c>
      <c r="S7" s="62">
        <f t="shared" si="1"/>
        <v>58401.2</v>
      </c>
      <c r="T7" s="59">
        <f t="shared" si="1"/>
        <v>20853.7</v>
      </c>
      <c r="U7" s="60">
        <f t="shared" si="1"/>
        <v>600</v>
      </c>
      <c r="V7" s="61">
        <f>SUM(V8:V19)</f>
        <v>976</v>
      </c>
      <c r="W7" s="62">
        <f>SUM(W8:W19)</f>
        <v>2823</v>
      </c>
      <c r="X7" s="59">
        <f>SUM(X8:X19)</f>
        <v>1611</v>
      </c>
      <c r="Y7" s="60">
        <f>SUM(Y8:Y19)</f>
        <v>9070</v>
      </c>
      <c r="Z7" s="59">
        <f t="shared" ref="Z7:AB7" si="2">SUM(Z8:Z19)</f>
        <v>2243</v>
      </c>
      <c r="AA7" s="60">
        <f>SUM(AA8:AA19)</f>
        <v>1133</v>
      </c>
      <c r="AB7" s="61">
        <f t="shared" si="2"/>
        <v>297.5</v>
      </c>
      <c r="AC7" s="60">
        <f>SUM(AC8:AC19)</f>
        <v>10957</v>
      </c>
      <c r="AD7" s="61">
        <f t="shared" ref="AD7:AF7" si="3">SUM(AD8:AD19)</f>
        <v>2063</v>
      </c>
      <c r="AE7" s="62">
        <f>SUM(AE8:AE19)</f>
        <v>2693</v>
      </c>
      <c r="AF7" s="58">
        <f t="shared" si="3"/>
        <v>1224.4000000000001</v>
      </c>
      <c r="AG7" s="89" t="s">
        <v>5</v>
      </c>
    </row>
    <row r="8" spans="1:33" ht="15.75" x14ac:dyDescent="0.25">
      <c r="A8" s="82" t="s">
        <v>10</v>
      </c>
      <c r="B8" s="63">
        <v>2020</v>
      </c>
      <c r="C8" s="63">
        <v>4411</v>
      </c>
      <c r="D8" s="64"/>
      <c r="E8" s="65">
        <v>6383</v>
      </c>
      <c r="F8" s="66">
        <v>5208</v>
      </c>
      <c r="G8" s="67"/>
      <c r="H8" s="63">
        <v>1728</v>
      </c>
      <c r="I8" s="63">
        <v>513.29999999999995</v>
      </c>
      <c r="J8" s="64"/>
      <c r="K8" s="65">
        <v>1427</v>
      </c>
      <c r="L8" s="66">
        <v>751</v>
      </c>
      <c r="M8" s="67"/>
      <c r="N8" s="63"/>
      <c r="O8" s="63"/>
      <c r="P8" s="64"/>
      <c r="Q8" s="65">
        <v>183</v>
      </c>
      <c r="R8" s="66">
        <v>63</v>
      </c>
      <c r="S8" s="67">
        <v>3950</v>
      </c>
      <c r="T8" s="64">
        <v>949.7</v>
      </c>
      <c r="U8" s="65">
        <v>83</v>
      </c>
      <c r="V8" s="66">
        <v>53</v>
      </c>
      <c r="W8" s="67">
        <v>346</v>
      </c>
      <c r="X8" s="64">
        <v>147</v>
      </c>
      <c r="Y8" s="65">
        <v>1332</v>
      </c>
      <c r="Z8" s="64">
        <v>98</v>
      </c>
      <c r="AA8" s="65">
        <v>12</v>
      </c>
      <c r="AB8" s="66">
        <v>13.5</v>
      </c>
      <c r="AC8" s="65">
        <v>258</v>
      </c>
      <c r="AD8" s="66">
        <v>131</v>
      </c>
      <c r="AE8" s="67">
        <v>474</v>
      </c>
      <c r="AF8" s="63">
        <v>96.4</v>
      </c>
      <c r="AG8" s="90" t="s">
        <v>11</v>
      </c>
    </row>
    <row r="9" spans="1:33" ht="15.75" x14ac:dyDescent="0.25">
      <c r="A9" s="82" t="s">
        <v>12</v>
      </c>
      <c r="B9" s="63">
        <v>1768</v>
      </c>
      <c r="C9" s="63">
        <v>4707</v>
      </c>
      <c r="D9" s="64"/>
      <c r="E9" s="65">
        <v>4102</v>
      </c>
      <c r="F9" s="66">
        <v>4982</v>
      </c>
      <c r="G9" s="67"/>
      <c r="H9" s="63">
        <v>1803</v>
      </c>
      <c r="I9" s="63">
        <v>495</v>
      </c>
      <c r="J9" s="64"/>
      <c r="K9" s="65">
        <v>1274</v>
      </c>
      <c r="L9" s="66">
        <v>127</v>
      </c>
      <c r="M9" s="67"/>
      <c r="N9" s="63"/>
      <c r="O9" s="63"/>
      <c r="P9" s="64"/>
      <c r="Q9" s="65">
        <v>0</v>
      </c>
      <c r="R9" s="66">
        <v>0</v>
      </c>
      <c r="S9" s="67">
        <v>7713.7</v>
      </c>
      <c r="T9" s="64">
        <v>776.3</v>
      </c>
      <c r="U9" s="65">
        <v>13</v>
      </c>
      <c r="V9" s="66">
        <v>16</v>
      </c>
      <c r="W9" s="67">
        <v>167</v>
      </c>
      <c r="X9" s="64">
        <v>196</v>
      </c>
      <c r="Y9" s="65">
        <v>0</v>
      </c>
      <c r="Z9" s="64">
        <v>0</v>
      </c>
      <c r="AA9" s="65">
        <v>67</v>
      </c>
      <c r="AB9" s="66">
        <v>86</v>
      </c>
      <c r="AC9" s="65">
        <v>1599</v>
      </c>
      <c r="AD9" s="66">
        <v>245</v>
      </c>
      <c r="AE9" s="67">
        <v>292</v>
      </c>
      <c r="AF9" s="63">
        <v>75</v>
      </c>
      <c r="AG9" s="90" t="s">
        <v>13</v>
      </c>
    </row>
    <row r="10" spans="1:33" ht="15.75" x14ac:dyDescent="0.25">
      <c r="A10" s="82" t="s">
        <v>14</v>
      </c>
      <c r="B10" s="63">
        <v>2049</v>
      </c>
      <c r="C10" s="63">
        <v>6338</v>
      </c>
      <c r="D10" s="64"/>
      <c r="E10" s="65">
        <v>5394</v>
      </c>
      <c r="F10" s="66">
        <v>3716</v>
      </c>
      <c r="G10" s="67"/>
      <c r="H10" s="63">
        <v>3105</v>
      </c>
      <c r="I10" s="63">
        <v>362</v>
      </c>
      <c r="J10" s="64"/>
      <c r="K10" s="65">
        <v>1728</v>
      </c>
      <c r="L10" s="66">
        <v>806</v>
      </c>
      <c r="M10" s="67"/>
      <c r="N10" s="63"/>
      <c r="O10" s="63"/>
      <c r="P10" s="64"/>
      <c r="Q10" s="65">
        <v>0</v>
      </c>
      <c r="R10" s="66">
        <v>25</v>
      </c>
      <c r="S10" s="67">
        <v>5875</v>
      </c>
      <c r="T10" s="64">
        <v>1160.4000000000001</v>
      </c>
      <c r="U10" s="65">
        <v>127</v>
      </c>
      <c r="V10" s="66">
        <v>53</v>
      </c>
      <c r="W10" s="67">
        <v>155</v>
      </c>
      <c r="X10" s="64">
        <v>51</v>
      </c>
      <c r="Y10" s="65">
        <v>1625</v>
      </c>
      <c r="Z10" s="64">
        <v>80</v>
      </c>
      <c r="AA10" s="65">
        <v>39</v>
      </c>
      <c r="AB10" s="66">
        <v>14</v>
      </c>
      <c r="AC10" s="65">
        <v>685</v>
      </c>
      <c r="AD10" s="66">
        <v>394</v>
      </c>
      <c r="AE10" s="67">
        <v>58</v>
      </c>
      <c r="AF10" s="63">
        <v>55</v>
      </c>
      <c r="AG10" s="90" t="s">
        <v>15</v>
      </c>
    </row>
    <row r="11" spans="1:33" ht="15.75" x14ac:dyDescent="0.25">
      <c r="A11" s="82" t="s">
        <v>16</v>
      </c>
      <c r="B11" s="63">
        <v>3801</v>
      </c>
      <c r="C11" s="63">
        <v>9484</v>
      </c>
      <c r="D11" s="64"/>
      <c r="E11" s="65">
        <v>5379</v>
      </c>
      <c r="F11" s="66">
        <v>3583</v>
      </c>
      <c r="G11" s="67"/>
      <c r="H11" s="63">
        <v>2024</v>
      </c>
      <c r="I11" s="63">
        <v>581.70000000000005</v>
      </c>
      <c r="J11" s="64"/>
      <c r="K11" s="65">
        <v>3601</v>
      </c>
      <c r="L11" s="66">
        <v>1768</v>
      </c>
      <c r="M11" s="67"/>
      <c r="N11" s="63"/>
      <c r="O11" s="63"/>
      <c r="P11" s="64"/>
      <c r="Q11" s="65">
        <v>0</v>
      </c>
      <c r="R11" s="66">
        <v>0</v>
      </c>
      <c r="S11" s="67">
        <v>5209</v>
      </c>
      <c r="T11" s="64">
        <v>2345.1999999999998</v>
      </c>
      <c r="U11" s="65">
        <v>181</v>
      </c>
      <c r="V11" s="66">
        <v>53</v>
      </c>
      <c r="W11" s="67">
        <v>626</v>
      </c>
      <c r="X11" s="64">
        <v>117</v>
      </c>
      <c r="Y11" s="65">
        <v>901</v>
      </c>
      <c r="Z11" s="64">
        <v>155</v>
      </c>
      <c r="AA11" s="65">
        <v>266</v>
      </c>
      <c r="AB11" s="66">
        <v>10</v>
      </c>
      <c r="AC11" s="65">
        <v>1004</v>
      </c>
      <c r="AD11" s="66">
        <v>340</v>
      </c>
      <c r="AE11" s="67">
        <v>240</v>
      </c>
      <c r="AF11" s="63">
        <v>107</v>
      </c>
      <c r="AG11" s="90" t="s">
        <v>17</v>
      </c>
    </row>
    <row r="12" spans="1:33" ht="15.75" x14ac:dyDescent="0.25">
      <c r="A12" s="82" t="s">
        <v>18</v>
      </c>
      <c r="B12" s="63">
        <v>3480</v>
      </c>
      <c r="C12" s="63">
        <v>9668</v>
      </c>
      <c r="D12" s="64"/>
      <c r="E12" s="65">
        <v>4128</v>
      </c>
      <c r="F12" s="66">
        <v>3909</v>
      </c>
      <c r="G12" s="67"/>
      <c r="H12" s="63">
        <v>1303</v>
      </c>
      <c r="I12" s="63">
        <v>592</v>
      </c>
      <c r="J12" s="64"/>
      <c r="K12" s="65">
        <v>888</v>
      </c>
      <c r="L12" s="66">
        <v>701</v>
      </c>
      <c r="M12" s="67"/>
      <c r="N12" s="63"/>
      <c r="O12" s="63"/>
      <c r="P12" s="64"/>
      <c r="Q12" s="65">
        <v>0</v>
      </c>
      <c r="R12" s="66">
        <v>0</v>
      </c>
      <c r="S12" s="67">
        <v>3456</v>
      </c>
      <c r="T12" s="64">
        <v>4176.8999999999996</v>
      </c>
      <c r="U12" s="65">
        <v>57</v>
      </c>
      <c r="V12" s="66">
        <v>55</v>
      </c>
      <c r="W12" s="67">
        <v>69</v>
      </c>
      <c r="X12" s="64">
        <v>12</v>
      </c>
      <c r="Y12" s="65">
        <v>287</v>
      </c>
      <c r="Z12" s="64">
        <v>159</v>
      </c>
      <c r="AA12" s="65">
        <v>144</v>
      </c>
      <c r="AB12" s="66">
        <v>2</v>
      </c>
      <c r="AC12" s="65">
        <v>317</v>
      </c>
      <c r="AD12" s="66">
        <v>191</v>
      </c>
      <c r="AE12" s="67">
        <v>49</v>
      </c>
      <c r="AF12" s="63">
        <v>41</v>
      </c>
      <c r="AG12" s="90" t="s">
        <v>19</v>
      </c>
    </row>
    <row r="13" spans="1:33" ht="15.75" x14ac:dyDescent="0.25">
      <c r="A13" s="82" t="s">
        <v>20</v>
      </c>
      <c r="B13" s="63">
        <v>2136</v>
      </c>
      <c r="C13" s="63">
        <v>10457</v>
      </c>
      <c r="D13" s="64"/>
      <c r="E13" s="65">
        <v>2941</v>
      </c>
      <c r="F13" s="66">
        <v>3869</v>
      </c>
      <c r="G13" s="67"/>
      <c r="H13" s="63">
        <v>881</v>
      </c>
      <c r="I13" s="63">
        <v>204</v>
      </c>
      <c r="J13" s="64"/>
      <c r="K13" s="65">
        <v>2099</v>
      </c>
      <c r="L13" s="66">
        <v>447</v>
      </c>
      <c r="M13" s="67"/>
      <c r="N13" s="63"/>
      <c r="O13" s="63"/>
      <c r="P13" s="64"/>
      <c r="Q13" s="65">
        <v>0</v>
      </c>
      <c r="R13" s="66">
        <v>0</v>
      </c>
      <c r="S13" s="67">
        <v>2584</v>
      </c>
      <c r="T13" s="64">
        <v>502.5</v>
      </c>
      <c r="U13" s="65">
        <v>0</v>
      </c>
      <c r="V13" s="66">
        <v>37</v>
      </c>
      <c r="W13" s="67">
        <v>31</v>
      </c>
      <c r="X13" s="64">
        <v>57</v>
      </c>
      <c r="Y13" s="65">
        <v>453</v>
      </c>
      <c r="Z13" s="64">
        <v>16</v>
      </c>
      <c r="AA13" s="65">
        <v>2</v>
      </c>
      <c r="AB13" s="66">
        <v>16</v>
      </c>
      <c r="AC13" s="65">
        <v>334</v>
      </c>
      <c r="AD13" s="66">
        <v>19</v>
      </c>
      <c r="AE13" s="67">
        <v>4</v>
      </c>
      <c r="AF13" s="63">
        <v>230</v>
      </c>
      <c r="AG13" s="90" t="s">
        <v>21</v>
      </c>
    </row>
    <row r="14" spans="1:33" ht="15.75" x14ac:dyDescent="0.25">
      <c r="A14" s="82" t="s">
        <v>22</v>
      </c>
      <c r="B14" s="63">
        <v>2169</v>
      </c>
      <c r="C14" s="63">
        <v>9256</v>
      </c>
      <c r="D14" s="64"/>
      <c r="E14" s="65">
        <v>4828</v>
      </c>
      <c r="F14" s="66">
        <v>2516</v>
      </c>
      <c r="G14" s="67"/>
      <c r="H14" s="63">
        <v>3217</v>
      </c>
      <c r="I14" s="63">
        <v>898</v>
      </c>
      <c r="J14" s="64"/>
      <c r="K14" s="65">
        <v>1858</v>
      </c>
      <c r="L14" s="66">
        <v>847</v>
      </c>
      <c r="M14" s="67"/>
      <c r="N14" s="63"/>
      <c r="O14" s="63"/>
      <c r="P14" s="64"/>
      <c r="Q14" s="65">
        <v>0</v>
      </c>
      <c r="R14" s="66">
        <v>0</v>
      </c>
      <c r="S14" s="67">
        <v>3016</v>
      </c>
      <c r="T14" s="64">
        <v>614.70000000000005</v>
      </c>
      <c r="U14" s="65">
        <v>0</v>
      </c>
      <c r="V14" s="66">
        <v>28</v>
      </c>
      <c r="W14" s="67">
        <v>240</v>
      </c>
      <c r="X14" s="64">
        <v>180</v>
      </c>
      <c r="Y14" s="65">
        <v>765</v>
      </c>
      <c r="Z14" s="64">
        <v>172</v>
      </c>
      <c r="AA14" s="65">
        <v>119</v>
      </c>
      <c r="AB14" s="66">
        <v>2</v>
      </c>
      <c r="AC14" s="65">
        <v>901</v>
      </c>
      <c r="AD14" s="66">
        <v>17</v>
      </c>
      <c r="AE14" s="67">
        <v>287</v>
      </c>
      <c r="AF14" s="63">
        <v>56</v>
      </c>
      <c r="AG14" s="90" t="s">
        <v>23</v>
      </c>
    </row>
    <row r="15" spans="1:33" ht="15.75" x14ac:dyDescent="0.25">
      <c r="A15" s="82" t="s">
        <v>24</v>
      </c>
      <c r="B15" s="63">
        <v>2349</v>
      </c>
      <c r="C15" s="63">
        <v>10419</v>
      </c>
      <c r="D15" s="64"/>
      <c r="E15" s="65">
        <v>4539</v>
      </c>
      <c r="F15" s="66">
        <v>4632</v>
      </c>
      <c r="G15" s="67"/>
      <c r="H15" s="63">
        <v>2541</v>
      </c>
      <c r="I15" s="63">
        <v>682</v>
      </c>
      <c r="J15" s="64"/>
      <c r="K15" s="65">
        <v>2882</v>
      </c>
      <c r="L15" s="66">
        <v>928</v>
      </c>
      <c r="M15" s="67"/>
      <c r="N15" s="63"/>
      <c r="O15" s="63"/>
      <c r="P15" s="64"/>
      <c r="Q15" s="65">
        <v>0</v>
      </c>
      <c r="R15" s="66">
        <v>0</v>
      </c>
      <c r="S15" s="67">
        <v>3746</v>
      </c>
      <c r="T15" s="64">
        <v>1009.8</v>
      </c>
      <c r="U15" s="65">
        <v>57</v>
      </c>
      <c r="V15" s="66">
        <v>55</v>
      </c>
      <c r="W15" s="67">
        <v>119</v>
      </c>
      <c r="X15" s="64">
        <v>164</v>
      </c>
      <c r="Y15" s="65">
        <v>827</v>
      </c>
      <c r="Z15" s="64">
        <v>386</v>
      </c>
      <c r="AA15" s="65">
        <v>64</v>
      </c>
      <c r="AB15" s="66">
        <v>12</v>
      </c>
      <c r="AC15" s="65">
        <v>1385</v>
      </c>
      <c r="AD15" s="66">
        <v>41</v>
      </c>
      <c r="AE15" s="67">
        <v>365</v>
      </c>
      <c r="AF15" s="63">
        <v>281</v>
      </c>
      <c r="AG15" s="90" t="s">
        <v>25</v>
      </c>
    </row>
    <row r="16" spans="1:33" ht="15.75" x14ac:dyDescent="0.25">
      <c r="A16" s="82" t="s">
        <v>26</v>
      </c>
      <c r="B16" s="63">
        <v>1579</v>
      </c>
      <c r="C16" s="63">
        <v>8327</v>
      </c>
      <c r="D16" s="64"/>
      <c r="E16" s="65">
        <v>2890</v>
      </c>
      <c r="F16" s="66">
        <v>3334</v>
      </c>
      <c r="G16" s="67"/>
      <c r="H16" s="63">
        <v>2588</v>
      </c>
      <c r="I16" s="63">
        <v>507</v>
      </c>
      <c r="J16" s="64"/>
      <c r="K16" s="65">
        <v>3751</v>
      </c>
      <c r="L16" s="66">
        <v>1003</v>
      </c>
      <c r="M16" s="67"/>
      <c r="N16" s="63"/>
      <c r="O16" s="63"/>
      <c r="P16" s="64"/>
      <c r="Q16" s="65">
        <v>0</v>
      </c>
      <c r="R16" s="66">
        <v>0</v>
      </c>
      <c r="S16" s="67">
        <v>2253</v>
      </c>
      <c r="T16" s="64">
        <v>2121.1</v>
      </c>
      <c r="U16" s="65">
        <v>0</v>
      </c>
      <c r="V16" s="66">
        <v>24</v>
      </c>
      <c r="W16" s="67">
        <v>175</v>
      </c>
      <c r="X16" s="64">
        <v>212</v>
      </c>
      <c r="Y16" s="65">
        <v>413</v>
      </c>
      <c r="Z16" s="64">
        <v>405</v>
      </c>
      <c r="AA16" s="65">
        <v>134</v>
      </c>
      <c r="AB16" s="66">
        <v>73</v>
      </c>
      <c r="AC16" s="65">
        <v>771</v>
      </c>
      <c r="AD16" s="66">
        <v>55</v>
      </c>
      <c r="AE16" s="67">
        <v>157</v>
      </c>
      <c r="AF16" s="63">
        <v>72</v>
      </c>
      <c r="AG16" s="90" t="s">
        <v>27</v>
      </c>
    </row>
    <row r="17" spans="1:33" ht="15.75" x14ac:dyDescent="0.25">
      <c r="A17" s="82" t="s">
        <v>28</v>
      </c>
      <c r="B17" s="63">
        <v>1761</v>
      </c>
      <c r="C17" s="63">
        <v>8208</v>
      </c>
      <c r="D17" s="64"/>
      <c r="E17" s="65">
        <v>4517</v>
      </c>
      <c r="F17" s="66">
        <v>4422</v>
      </c>
      <c r="G17" s="67"/>
      <c r="H17" s="63">
        <v>4171</v>
      </c>
      <c r="I17" s="63">
        <v>789</v>
      </c>
      <c r="J17" s="64"/>
      <c r="K17" s="65">
        <v>3037</v>
      </c>
      <c r="L17" s="66">
        <v>442</v>
      </c>
      <c r="M17" s="67"/>
      <c r="N17" s="63"/>
      <c r="O17" s="63"/>
      <c r="P17" s="64"/>
      <c r="Q17" s="65">
        <v>0</v>
      </c>
      <c r="R17" s="66">
        <v>0</v>
      </c>
      <c r="S17" s="67">
        <v>3560</v>
      </c>
      <c r="T17" s="64">
        <v>1846.9</v>
      </c>
      <c r="U17" s="65">
        <v>2</v>
      </c>
      <c r="V17" s="66">
        <v>17</v>
      </c>
      <c r="W17" s="67">
        <v>62</v>
      </c>
      <c r="X17" s="64">
        <v>70</v>
      </c>
      <c r="Y17" s="65">
        <v>468</v>
      </c>
      <c r="Z17" s="64">
        <v>363</v>
      </c>
      <c r="AA17" s="65">
        <v>107</v>
      </c>
      <c r="AB17" s="66">
        <v>2</v>
      </c>
      <c r="AC17" s="65">
        <v>1587</v>
      </c>
      <c r="AD17" s="66">
        <v>283</v>
      </c>
      <c r="AE17" s="67">
        <v>408</v>
      </c>
      <c r="AF17" s="63">
        <v>92</v>
      </c>
      <c r="AG17" s="90" t="s">
        <v>29</v>
      </c>
    </row>
    <row r="18" spans="1:33" ht="15.75" x14ac:dyDescent="0.25">
      <c r="A18" s="82" t="s">
        <v>30</v>
      </c>
      <c r="B18" s="63">
        <v>1608</v>
      </c>
      <c r="C18" s="63">
        <v>10992</v>
      </c>
      <c r="D18" s="64"/>
      <c r="E18" s="65">
        <v>4676</v>
      </c>
      <c r="F18" s="66">
        <v>4060</v>
      </c>
      <c r="G18" s="67"/>
      <c r="H18" s="63">
        <v>5782</v>
      </c>
      <c r="I18" s="63">
        <v>149.5</v>
      </c>
      <c r="J18" s="64"/>
      <c r="K18" s="65">
        <v>2947</v>
      </c>
      <c r="L18" s="66">
        <v>1059</v>
      </c>
      <c r="M18" s="67"/>
      <c r="N18" s="63"/>
      <c r="O18" s="63"/>
      <c r="P18" s="64"/>
      <c r="Q18" s="65">
        <v>0</v>
      </c>
      <c r="R18" s="66">
        <v>0</v>
      </c>
      <c r="S18" s="67">
        <v>5788.5</v>
      </c>
      <c r="T18" s="64">
        <v>2458.8000000000002</v>
      </c>
      <c r="U18" s="65">
        <v>21</v>
      </c>
      <c r="V18" s="66">
        <v>495</v>
      </c>
      <c r="W18" s="67">
        <v>351</v>
      </c>
      <c r="X18" s="64">
        <v>173</v>
      </c>
      <c r="Y18" s="65">
        <v>468</v>
      </c>
      <c r="Z18" s="64">
        <v>363</v>
      </c>
      <c r="AA18" s="65">
        <v>82</v>
      </c>
      <c r="AB18" s="66">
        <v>1</v>
      </c>
      <c r="AC18" s="65">
        <v>1133</v>
      </c>
      <c r="AD18" s="66">
        <v>244</v>
      </c>
      <c r="AE18" s="67">
        <v>173</v>
      </c>
      <c r="AF18" s="63">
        <v>53</v>
      </c>
      <c r="AG18" s="90" t="s">
        <v>31</v>
      </c>
    </row>
    <row r="19" spans="1:33" ht="15.75" x14ac:dyDescent="0.25">
      <c r="A19" s="83" t="s">
        <v>32</v>
      </c>
      <c r="B19" s="68">
        <v>2887</v>
      </c>
      <c r="C19" s="68">
        <v>8339</v>
      </c>
      <c r="D19" s="69"/>
      <c r="E19" s="70">
        <v>7463</v>
      </c>
      <c r="F19" s="71">
        <v>3462</v>
      </c>
      <c r="G19" s="72"/>
      <c r="H19" s="68">
        <v>2229</v>
      </c>
      <c r="I19" s="68">
        <v>186.6</v>
      </c>
      <c r="J19" s="69"/>
      <c r="K19" s="70">
        <v>2679</v>
      </c>
      <c r="L19" s="71">
        <v>441</v>
      </c>
      <c r="M19" s="72"/>
      <c r="N19" s="68"/>
      <c r="O19" s="68"/>
      <c r="P19" s="69"/>
      <c r="Q19" s="70">
        <v>131</v>
      </c>
      <c r="R19" s="71">
        <v>0</v>
      </c>
      <c r="S19" s="72">
        <v>11250</v>
      </c>
      <c r="T19" s="69">
        <v>2891.4</v>
      </c>
      <c r="U19" s="70">
        <v>59</v>
      </c>
      <c r="V19" s="71">
        <v>90</v>
      </c>
      <c r="W19" s="72">
        <v>482</v>
      </c>
      <c r="X19" s="69">
        <v>232</v>
      </c>
      <c r="Y19" s="70">
        <v>1531</v>
      </c>
      <c r="Z19" s="69">
        <v>46</v>
      </c>
      <c r="AA19" s="70">
        <v>97</v>
      </c>
      <c r="AB19" s="71">
        <v>66</v>
      </c>
      <c r="AC19" s="70">
        <v>983</v>
      </c>
      <c r="AD19" s="71">
        <v>103</v>
      </c>
      <c r="AE19" s="72">
        <v>186</v>
      </c>
      <c r="AF19" s="68">
        <v>66</v>
      </c>
      <c r="AG19" s="91" t="s">
        <v>33</v>
      </c>
    </row>
    <row r="20" spans="1:33" ht="18.75" x14ac:dyDescent="0.25">
      <c r="A20" s="73" t="s">
        <v>81</v>
      </c>
      <c r="B20" s="73"/>
      <c r="C20" s="74"/>
      <c r="D20" s="74"/>
      <c r="E20" s="74"/>
      <c r="F20" s="74"/>
      <c r="G20" s="74"/>
      <c r="H20" s="74"/>
      <c r="I20" s="74"/>
      <c r="J20" s="74"/>
      <c r="K20" s="75"/>
      <c r="L20" s="75"/>
      <c r="M20" s="75"/>
      <c r="N20" s="75"/>
      <c r="O20" s="7"/>
      <c r="P20" s="75"/>
      <c r="Q20" s="7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6" t="s">
        <v>7</v>
      </c>
    </row>
    <row r="21" spans="1:33" ht="18.75" x14ac:dyDescent="0.25">
      <c r="A21" s="73" t="s">
        <v>82</v>
      </c>
      <c r="B21" s="73"/>
      <c r="C21" s="74"/>
      <c r="D21" s="74"/>
      <c r="E21" s="74"/>
      <c r="F21" s="74"/>
      <c r="G21" s="74"/>
      <c r="H21" s="74"/>
      <c r="I21" s="74"/>
      <c r="J21" s="74"/>
      <c r="K21" s="75"/>
      <c r="L21" s="75"/>
      <c r="M21" s="75"/>
      <c r="N21" s="75"/>
      <c r="O21" s="7"/>
      <c r="P21" s="75"/>
      <c r="Q21" s="7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6"/>
    </row>
    <row r="22" spans="1:33" ht="18.75" x14ac:dyDescent="0.25">
      <c r="A22" s="77" t="s">
        <v>60</v>
      </c>
      <c r="B22" s="77"/>
      <c r="C22" s="78"/>
      <c r="D22" s="78"/>
      <c r="E22" s="78"/>
      <c r="F22" s="78"/>
      <c r="G22" s="78"/>
      <c r="H22" s="78"/>
      <c r="I22" s="78"/>
      <c r="J22" s="78"/>
      <c r="K22" s="79"/>
      <c r="L22" s="79"/>
      <c r="M22" s="79"/>
      <c r="N22" s="79"/>
      <c r="O22" s="80"/>
      <c r="P22" s="79"/>
      <c r="Q22" s="79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1"/>
    </row>
    <row r="23" spans="1:33" ht="18.75" x14ac:dyDescent="0.25">
      <c r="A23" s="77" t="s">
        <v>61</v>
      </c>
      <c r="B23" s="77"/>
      <c r="C23" s="78"/>
      <c r="D23" s="78"/>
      <c r="E23" s="78"/>
      <c r="F23" s="78"/>
      <c r="G23" s="78"/>
      <c r="H23" s="78"/>
      <c r="I23" s="78"/>
      <c r="J23" s="78"/>
      <c r="K23" s="79"/>
      <c r="L23" s="79"/>
      <c r="M23" s="79"/>
      <c r="N23" s="79"/>
      <c r="O23" s="80"/>
      <c r="P23" s="79"/>
      <c r="Q23" s="79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1"/>
    </row>
    <row r="24" spans="1:33" x14ac:dyDescent="0.25">
      <c r="A24" s="128" t="s">
        <v>77</v>
      </c>
    </row>
    <row r="25" spans="1:33" x14ac:dyDescent="0.25">
      <c r="A25" s="128" t="s">
        <v>78</v>
      </c>
    </row>
    <row r="26" spans="1:33" x14ac:dyDescent="0.25">
      <c r="A26" s="128" t="s">
        <v>79</v>
      </c>
    </row>
    <row r="27" spans="1:33" x14ac:dyDescent="0.25">
      <c r="A27" s="128" t="s">
        <v>80</v>
      </c>
    </row>
    <row r="28" spans="1:33" x14ac:dyDescent="0.25">
      <c r="A28" s="77" t="s">
        <v>6</v>
      </c>
    </row>
  </sheetData>
  <mergeCells count="18">
    <mergeCell ref="AG5:AG6"/>
    <mergeCell ref="AA5:AB5"/>
    <mergeCell ref="AC5:AD5"/>
    <mergeCell ref="AE5:AF5"/>
    <mergeCell ref="A2:AG2"/>
    <mergeCell ref="A3:AG3"/>
    <mergeCell ref="A4:AG4"/>
    <mergeCell ref="A5:A6"/>
    <mergeCell ref="B5:C5"/>
    <mergeCell ref="E5:F5"/>
    <mergeCell ref="H5:I5"/>
    <mergeCell ref="K5:L5"/>
    <mergeCell ref="N5:O5"/>
    <mergeCell ref="Q5:R5"/>
    <mergeCell ref="S5:T5"/>
    <mergeCell ref="U5:V5"/>
    <mergeCell ref="W5:X5"/>
    <mergeCell ref="Y5:Z5"/>
  </mergeCells>
  <phoneticPr fontId="44" type="noConversion"/>
  <pageMargins left="0.7" right="0.7" top="0.75" bottom="0.75" header="0.3" footer="0.3"/>
  <pageSetup paperSize="9"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2023-03-15T04:08:51Z</cp:lastPrinted>
  <dcterms:created xsi:type="dcterms:W3CDTF">2019-03-24T03:32:16Z</dcterms:created>
  <dcterms:modified xsi:type="dcterms:W3CDTF">2023-03-15T04:09:31Z</dcterms:modified>
</cp:coreProperties>
</file>