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ransport &amp; Communication\"/>
    </mc:Choice>
  </mc:AlternateContent>
  <xr:revisionPtr revIDLastSave="0" documentId="13_ncr:1_{F99C9836-2DE8-4BCA-808D-E725BACED9C0}" xr6:coauthVersionLast="47" xr6:coauthVersionMax="47" xr10:uidLastSave="{00000000-0000-0000-0000-000000000000}"/>
  <bookViews>
    <workbookView xWindow="-120" yWindow="-120" windowWidth="29040" windowHeight="15840" tabRatio="750" firstSheet="1" activeTab="1" xr2:uid="{00000000-000D-0000-FFFF-FFFF00000000}"/>
  </bookViews>
  <sheets>
    <sheet name="11.15" sheetId="4" state="hidden" r:id="rId1"/>
    <sheet name="11.26" sheetId="16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<sst xmlns="http://schemas.openxmlformats.org/spreadsheetml/2006/main" count="533" uniqueCount="97">
  <si>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</si>
  <si>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</si>
  <si>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</si>
  <si>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</si>
  <si>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</si>
  <si>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</si>
  <si>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</si>
  <si>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</si>
  <si>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</si>
  <si>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</si>
  <si>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</si>
  <si>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</si>
  <si>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</si>
  <si>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</si>
  <si>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</si>
  <si>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</si>
  <si>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</si>
  <si>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</si>
  <si>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</si>
  <si>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</si>
  <si>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</si>
  <si>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</si>
  <si>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</si>
  <si>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</si>
  <si>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</si>
  <si>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</si>
  <si>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</si>
  <si>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</si>
  <si>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</si>
  <si>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</si>
  <si>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</si>
  <si>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</si>
  <si>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</si>
  <si>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</si>
  <si>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</si>
  <si>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</si>
  <si>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</si>
  <si>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</si>
  <si>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</si>
  <si>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</si>
  <si>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</si>
  <si>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</si>
  <si>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</si>
  <si>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</si>
  <si>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</si>
  <si>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</si>
  <si>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</si>
  <si>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</si>
  <si>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</si>
  <si>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</si>
  <si>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</si>
  <si>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</si>
  <si>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</si>
  <si>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</si>
  <si>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</si>
  <si>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</si>
  <si>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</si>
  <si>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</si>
  <si>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</si>
  <si>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</si>
  <si>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</si>
  <si>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</si>
  <si>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</si>
  <si>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</si>
  <si>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MONTH</t>
  </si>
  <si>
    <t>ACFT MVTS</t>
  </si>
  <si>
    <t>PASSENGERS</t>
  </si>
  <si>
    <t>CARGO (kg)</t>
  </si>
  <si>
    <t>MAIL (kg)</t>
  </si>
  <si>
    <t>IN</t>
  </si>
  <si>
    <t>OUT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</si>
  <si>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</si>
  <si>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</si>
  <si>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</si>
  <si>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</si>
  <si>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</si>
  <si>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</si>
  <si>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</si>
  <si>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</si>
  <si>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</si>
  <si>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</si>
  <si>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</si>
  <si>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</si>
  <si>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</t>
  </si>
  <si>
    <t>MONTHLY TRAFFIC AT KADHDHOO AIRPORT - 2021</t>
  </si>
  <si>
    <t>MONTHLY TRAFFIC AT DHARAVANDHOO AIRPORT - 2021</t>
  </si>
  <si>
    <t>MONTHLY TRAFFIC AT FOAMULAH AIRPORT - 2021</t>
  </si>
  <si>
    <t>MONTHLY TRAFFIC AT KOODDOO AIRPORT - 2021</t>
  </si>
  <si>
    <t>MONTHLY TRAFFIC AT THIMARAFUSHI AIRPORT - 2021</t>
  </si>
  <si>
    <t>MONTHLY TRAFFIC AT DHAALU AIRPORT - 2021</t>
  </si>
  <si>
    <t>MONTHLY TRAFFIC AT R.IFURU AIRPORT - 2021</t>
  </si>
  <si>
    <t>MONTHLY TRAFFIC AT MAAMIGILLI AIRPORT - 2021</t>
  </si>
  <si>
    <t>MONTHLY TRAFFIC AT MAAVRULU AIRPORT - 2021</t>
  </si>
  <si>
    <t>MONTHLY TRAFFIC AT HOARAFUSHI AIRPORT - 2021</t>
  </si>
  <si>
    <t>MONTHLY TRAFFIC AT KULHUDHUFFUSHI AIRPORT - 2021</t>
  </si>
  <si>
    <t>MONTHLY TRAFFIC AT FUNADHOO AIRPORT - 2021</t>
  </si>
  <si>
    <t>MONTHLY TRAFFIC AT KAADEDHDHOO AIRPORT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</si>
</sst>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  <numFmt numFmtId="168" formatCode="mmmmm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sz val="9"/>
      <name val="Univers Condensed"/>
      <family val="2"/>
    </font>
    <font>
      <b/>
      <sz val="9"/>
      <name val="Univers Condensed"/>
      <family val="2"/>
    </font>
    <font>
      <sz val="9"/>
      <name val="Univers Condensed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b/>
      <sz val="9"/>
      <color theme="1"/>
      <name val="Univers Condensed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10" fillId="0" borderId="0" applyFont="0" applyFill="0" applyBorder="0" applyAlignment="0" applyProtection="0"/>
    <xf numFmtId="0" fontId="4" fillId="0" borderId="0"/>
    <xf numFmtId="0" fontId="17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6" fillId="0" borderId="0"/>
    <xf numFmtId="43" fontId="4" fillId="0" borderId="0" applyFont="0" applyFill="0" applyBorder="0" applyAlignment="0" applyProtection="0"/>
    <xf numFmtId="0" fontId="4" fillId="0" borderId="0"/>
  </cellStyleXfs>
  <cellXfs count="182">
    <xf numFmtId="0" fontId="0" fillId="0" borderId="0" xfId="0"/>
    <xf numFmtId="164" fontId="0" fillId="2" borderId="0" xfId="0" applyNumberFormat="1" applyFill="1"/>
    <xf numFmtId="164" fontId="8" fillId="2" borderId="0" xfId="0" applyNumberFormat="1" applyFont="1" applyFill="1"/>
    <xf numFmtId="38" fontId="9" fillId="2" borderId="0" xfId="3" applyNumberFormat="1" applyFont="1" applyFill="1" applyBorder="1" applyAlignment="1">
      <alignment horizontal="right" vertical="center" wrapText="1"/>
    </xf>
    <xf numFmtId="164" fontId="9" fillId="2" borderId="0" xfId="2" applyFont="1" applyFill="1" applyAlignment="1">
      <alignment horizontal="left" vertical="center"/>
    </xf>
    <xf numFmtId="164" fontId="11" fillId="2" borderId="0" xfId="2" applyFont="1" applyFill="1" applyAlignment="1">
      <alignment horizontal="left" vertical="center"/>
    </xf>
    <xf numFmtId="164" fontId="14" fillId="2" borderId="0" xfId="2" applyFont="1" applyFill="1" applyAlignment="1">
      <alignment horizontal="left" vertical="center"/>
    </xf>
    <xf numFmtId="37" fontId="15" fillId="2" borderId="0" xfId="2" applyNumberFormat="1" applyFont="1" applyFill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13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3" fillId="2" borderId="16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164" fontId="18" fillId="2" borderId="0" xfId="2" applyFont="1" applyFill="1" applyAlignment="1">
      <alignment horizontal="center" vertical="center" wrapText="1"/>
    </xf>
    <xf numFmtId="164" fontId="19" fillId="2" borderId="0" xfId="0" applyNumberFormat="1" applyFont="1" applyFill="1"/>
    <xf numFmtId="3" fontId="9" fillId="2" borderId="21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20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2" fillId="2" borderId="0" xfId="2" applyFont="1" applyFill="1"/>
    <xf numFmtId="0" fontId="12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6" fillId="2" borderId="33" xfId="2" applyNumberFormat="1" applyFont="1" applyFill="1" applyBorder="1" applyAlignment="1">
      <alignment horizontal="center" vertical="center"/>
    </xf>
    <xf numFmtId="0" fontId="6" fillId="2" borderId="35" xfId="2" applyNumberFormat="1" applyFont="1" applyFill="1" applyBorder="1" applyAlignment="1">
      <alignment horizontal="center" vertical="center"/>
    </xf>
    <xf numFmtId="0" fontId="6" fillId="2" borderId="36" xfId="2" applyNumberFormat="1" applyFont="1" applyFill="1" applyBorder="1" applyAlignment="1">
      <alignment horizontal="center" vertical="center"/>
    </xf>
    <xf numFmtId="0" fontId="6" fillId="2" borderId="20" xfId="2" applyNumberFormat="1" applyFont="1" applyFill="1" applyBorder="1" applyAlignment="1">
      <alignment horizontal="center" vertical="center"/>
    </xf>
    <xf numFmtId="164" fontId="9" fillId="2" borderId="2" xfId="2" applyFont="1" applyFill="1" applyBorder="1" applyAlignment="1">
      <alignment horizontal="left" vertical="center"/>
    </xf>
    <xf numFmtId="3" fontId="6" fillId="2" borderId="2" xfId="2" applyNumberFormat="1" applyFont="1" applyFill="1" applyBorder="1" applyAlignment="1">
      <alignment horizontal="center" vertical="center"/>
    </xf>
    <xf numFmtId="3" fontId="6" fillId="2" borderId="3" xfId="2" applyNumberFormat="1" applyFont="1" applyFill="1" applyBorder="1" applyAlignment="1">
      <alignment horizontal="center" vertical="center"/>
    </xf>
    <xf numFmtId="3" fontId="6" fillId="2" borderId="37" xfId="2" applyNumberFormat="1" applyFont="1" applyFill="1" applyBorder="1" applyAlignment="1">
      <alignment horizontal="center" vertical="center"/>
    </xf>
    <xf numFmtId="3" fontId="6" fillId="2" borderId="16" xfId="2" applyNumberFormat="1" applyFont="1" applyFill="1" applyBorder="1" applyAlignment="1">
      <alignment horizontal="center" vertical="center"/>
    </xf>
    <xf numFmtId="3" fontId="6" fillId="2" borderId="38" xfId="2" applyNumberFormat="1" applyFont="1" applyFill="1" applyBorder="1" applyAlignment="1">
      <alignment horizontal="center" vertical="center"/>
    </xf>
    <xf numFmtId="3" fontId="6" fillId="2" borderId="39" xfId="2" applyNumberFormat="1" applyFont="1" applyFill="1" applyBorder="1" applyAlignment="1">
      <alignment horizontal="center" vertical="center"/>
    </xf>
    <xf numFmtId="3" fontId="6" fillId="2" borderId="22" xfId="2" applyNumberFormat="1" applyFont="1" applyFill="1" applyBorder="1" applyAlignment="1">
      <alignment horizontal="center" vertical="center"/>
    </xf>
    <xf numFmtId="164" fontId="15" fillId="2" borderId="1" xfId="2" applyFont="1" applyFill="1" applyBorder="1" applyAlignment="1">
      <alignment horizontal="left" vertical="center"/>
    </xf>
    <xf numFmtId="3" fontId="15" fillId="2" borderId="1" xfId="3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0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3" fontId="15" fillId="2" borderId="7" xfId="3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5" fillId="2" borderId="41" xfId="0" applyFont="1" applyFill="1" applyBorder="1" applyAlignment="1">
      <alignment horizontal="center" vertical="center"/>
    </xf>
    <xf numFmtId="164" fontId="15" fillId="2" borderId="5" xfId="2" applyFont="1" applyFill="1" applyBorder="1" applyAlignment="1">
      <alignment horizontal="left" vertical="center"/>
    </xf>
    <xf numFmtId="3" fontId="15" fillId="2" borderId="5" xfId="3" applyNumberFormat="1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15" fillId="2" borderId="15" xfId="0" applyFont="1" applyFill="1" applyBorder="1" applyAlignment="1">
      <alignment horizontal="center" vertical="center"/>
    </xf>
    <xf numFmtId="0" fontId="15" fillId="2" borderId="26" xfId="0" applyFont="1" applyFill="1" applyBorder="1" applyAlignment="1">
      <alignment horizontal="center" vertical="center"/>
    </xf>
    <xf numFmtId="3" fontId="15" fillId="2" borderId="26" xfId="3" applyNumberFormat="1" applyFont="1" applyFill="1" applyBorder="1" applyAlignment="1">
      <alignment horizontal="center" vertical="center"/>
    </xf>
    <xf numFmtId="0" fontId="15" fillId="2" borderId="27" xfId="0" applyFont="1" applyFill="1" applyBorder="1" applyAlignment="1">
      <alignment horizontal="center" vertical="center"/>
    </xf>
    <xf numFmtId="164" fontId="6" fillId="2" borderId="42" xfId="2" applyFont="1" applyFill="1" applyBorder="1" applyAlignment="1">
      <alignment horizontal="right" vertical="center"/>
    </xf>
    <xf numFmtId="164" fontId="28" fillId="2" borderId="0" xfId="2" applyFont="1" applyFill="1" applyAlignment="1">
      <alignment horizontal="right" vertical="center"/>
    </xf>
    <xf numFmtId="164" fontId="11" fillId="2" borderId="42" xfId="2" applyFont="1" applyFill="1" applyBorder="1" applyAlignment="1">
      <alignment horizontal="left" vertical="center"/>
    </xf>
    <xf numFmtId="164" fontId="18" fillId="2" borderId="42" xfId="2" applyFont="1" applyFill="1" applyBorder="1" applyAlignment="1">
      <alignment horizontal="right" vertical="center"/>
    </xf>
    <xf numFmtId="0" fontId="6" fillId="2" borderId="42" xfId="2" applyNumberFormat="1" applyFont="1" applyFill="1" applyBorder="1" applyAlignment="1">
      <alignment horizontal="center" vertical="center"/>
    </xf>
    <xf numFmtId="164" fontId="25" fillId="2" borderId="0" xfId="2" applyFont="1" applyFill="1" applyAlignment="1">
      <alignment horizontal="right" vertical="center"/>
    </xf>
    <xf numFmtId="164" fontId="24" fillId="2" borderId="0" xfId="0" applyNumberFormat="1" applyFont="1" applyFill="1"/>
    <xf numFmtId="0" fontId="30" fillId="2" borderId="14" xfId="5" applyFont="1" applyFill="1" applyBorder="1" applyAlignment="1">
      <alignment horizontal="right"/>
    </xf>
    <xf numFmtId="0" fontId="30" fillId="2" borderId="15" xfId="5" applyFont="1" applyFill="1" applyBorder="1" applyAlignment="1">
      <alignment horizontal="right"/>
    </xf>
    <xf numFmtId="0" fontId="25" fillId="2" borderId="16" xfId="5" applyFont="1" applyFill="1" applyBorder="1" applyAlignment="1">
      <alignment horizontal="right"/>
    </xf>
    <xf numFmtId="164" fontId="31" fillId="2" borderId="8" xfId="2" applyFont="1" applyFill="1" applyBorder="1" applyAlignment="1">
      <alignment horizontal="center" vertical="center"/>
    </xf>
    <xf numFmtId="164" fontId="33" fillId="2" borderId="8" xfId="0" applyNumberFormat="1" applyFont="1" applyFill="1" applyBorder="1"/>
    <xf numFmtId="164" fontId="32" fillId="2" borderId="22" xfId="2" applyFont="1" applyFill="1" applyBorder="1" applyAlignment="1">
      <alignment vertical="center"/>
    </xf>
    <xf numFmtId="164" fontId="34" fillId="2" borderId="8" xfId="0" applyNumberFormat="1" applyFont="1" applyFill="1" applyBorder="1"/>
    <xf numFmtId="164" fontId="33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6" fillId="2" borderId="26" xfId="2" applyFont="1" applyFill="1" applyBorder="1" applyAlignment="1">
      <alignment vertical="center" wrapText="1"/>
    </xf>
    <xf numFmtId="3" fontId="11" fillId="3" borderId="1" xfId="2" applyNumberFormat="1" applyFont="1" applyFill="1" applyBorder="1" applyAlignment="1">
      <alignment horizontal="right" vertical="center"/>
    </xf>
    <xf numFmtId="3" fontId="11" fillId="3" borderId="1" xfId="3" applyNumberFormat="1" applyFont="1" applyFill="1" applyBorder="1" applyAlignment="1">
      <alignment horizontal="right" vertical="center"/>
    </xf>
    <xf numFmtId="3" fontId="11" fillId="3" borderId="0" xfId="2" applyNumberFormat="1" applyFont="1" applyFill="1" applyAlignment="1">
      <alignment horizontal="right" vertical="center"/>
    </xf>
    <xf numFmtId="3" fontId="11" fillId="3" borderId="5" xfId="2" applyNumberFormat="1" applyFont="1" applyFill="1" applyBorder="1" applyAlignment="1">
      <alignment horizontal="right" vertical="center"/>
    </xf>
    <xf numFmtId="3" fontId="11" fillId="3" borderId="5" xfId="3" applyNumberFormat="1" applyFont="1" applyFill="1" applyBorder="1" applyAlignment="1">
      <alignment horizontal="right" vertical="center"/>
    </xf>
    <xf numFmtId="3" fontId="11" fillId="3" borderId="42" xfId="2" applyNumberFormat="1" applyFont="1" applyFill="1" applyBorder="1" applyAlignment="1">
      <alignment horizontal="right" vertical="center"/>
    </xf>
    <xf numFmtId="164" fontId="32" fillId="2" borderId="8" xfId="2" applyFont="1" applyFill="1" applyBorder="1" applyAlignment="1">
      <alignment horizontal="center" vertical="center"/>
    </xf>
    <xf numFmtId="164" fontId="16" fillId="2" borderId="0" xfId="2" applyFont="1" applyFill="1" applyAlignment="1">
      <alignment horizontal="center" vertical="center" wrapText="1"/>
    </xf>
    <xf numFmtId="0" fontId="0" fillId="2" borderId="0" xfId="0" applyFill="1"/>
    <xf numFmtId="0" fontId="36" fillId="2" borderId="0" xfId="13" applyFill="1"/>
    <xf numFmtId="0" fontId="38" fillId="2" borderId="0" xfId="13" applyFont="1" applyFill="1"/>
    <xf numFmtId="2" fontId="37" fillId="2" borderId="0" xfId="13" applyNumberFormat="1" applyFont="1" applyFill="1"/>
    <xf numFmtId="0" fontId="37" fillId="2" borderId="0" xfId="13" applyFont="1" applyFill="1"/>
    <xf numFmtId="168" fontId="39" fillId="2" borderId="0" xfId="13" applyNumberFormat="1" applyFont="1" applyFill="1" applyAlignment="1">
      <alignment horizontal="left" vertical="center" indent="1"/>
    </xf>
    <xf numFmtId="168" fontId="39" fillId="2" borderId="42" xfId="13" applyNumberFormat="1" applyFont="1" applyFill="1" applyBorder="1" applyAlignment="1">
      <alignment horizontal="left" vertical="center" indent="1"/>
    </xf>
    <xf numFmtId="165" fontId="5" fillId="2" borderId="8" xfId="1" applyNumberFormat="1" applyFont="1" applyFill="1" applyBorder="1"/>
    <xf numFmtId="0" fontId="38" fillId="2" borderId="42" xfId="13" applyFont="1" applyFill="1" applyBorder="1" applyAlignment="1">
      <alignment horizontal="right"/>
    </xf>
    <xf numFmtId="37" fontId="38" fillId="2" borderId="8" xfId="1" applyNumberFormat="1" applyFont="1" applyFill="1" applyBorder="1" applyAlignment="1">
      <alignment horizontal="right"/>
    </xf>
    <xf numFmtId="37" fontId="37" fillId="2" borderId="0" xfId="1" applyNumberFormat="1" applyFont="1" applyFill="1" applyAlignment="1">
      <alignment horizontal="right"/>
    </xf>
    <xf numFmtId="0" fontId="38" fillId="2" borderId="20" xfId="13" applyFont="1" applyFill="1" applyBorder="1" applyAlignment="1">
      <alignment horizontal="right"/>
    </xf>
    <xf numFmtId="0" fontId="38" fillId="2" borderId="29" xfId="13" applyFont="1" applyFill="1" applyBorder="1" applyAlignment="1">
      <alignment horizontal="right"/>
    </xf>
    <xf numFmtId="37" fontId="38" fillId="2" borderId="19" xfId="1" applyNumberFormat="1" applyFont="1" applyFill="1" applyBorder="1" applyAlignment="1">
      <alignment horizontal="right"/>
    </xf>
    <xf numFmtId="37" fontId="38" fillId="2" borderId="25" xfId="1" applyNumberFormat="1" applyFont="1" applyFill="1" applyBorder="1" applyAlignment="1">
      <alignment horizontal="right"/>
    </xf>
    <xf numFmtId="37" fontId="37" fillId="2" borderId="18" xfId="1" applyNumberFormat="1" applyFont="1" applyFill="1" applyBorder="1" applyAlignment="1">
      <alignment horizontal="right"/>
    </xf>
    <xf numFmtId="37" fontId="37" fillId="2" borderId="11" xfId="1" applyNumberFormat="1" applyFont="1" applyFill="1" applyBorder="1" applyAlignment="1">
      <alignment horizontal="right"/>
    </xf>
    <xf numFmtId="37" fontId="36" fillId="2" borderId="0" xfId="1" applyNumberFormat="1" applyFont="1" applyFill="1"/>
    <xf numFmtId="37" fontId="37" fillId="2" borderId="18" xfId="1" applyNumberFormat="1" applyFont="1" applyFill="1" applyBorder="1"/>
    <xf numFmtId="37" fontId="37" fillId="2" borderId="11" xfId="1" applyNumberFormat="1" applyFont="1" applyFill="1" applyBorder="1"/>
    <xf numFmtId="37" fontId="37" fillId="2" borderId="0" xfId="1" applyNumberFormat="1" applyFont="1" applyFill="1"/>
    <xf numFmtId="164" fontId="26" fillId="2" borderId="0" xfId="2" applyFont="1" applyFill="1" applyAlignment="1">
      <alignment vertical="center"/>
    </xf>
    <xf numFmtId="164" fontId="40" fillId="2" borderId="21" xfId="2" applyFont="1" applyFill="1" applyBorder="1" applyAlignment="1">
      <alignment horizontal="left" vertical="center"/>
    </xf>
    <xf numFmtId="164" fontId="40" fillId="2" borderId="22" xfId="2" applyFont="1" applyFill="1" applyBorder="1" applyAlignment="1">
      <alignment vertical="center"/>
    </xf>
    <xf numFmtId="164" fontId="29" fillId="2" borderId="22" xfId="2" applyFont="1" applyFill="1" applyBorder="1" applyAlignment="1">
      <alignment vertical="center"/>
    </xf>
    <xf numFmtId="164" fontId="22" fillId="2" borderId="1" xfId="2" applyFont="1" applyFill="1" applyBorder="1" applyAlignment="1">
      <alignment horizontal="center" vertical="center"/>
    </xf>
    <xf numFmtId="164" fontId="22" fillId="2" borderId="26" xfId="2" applyFont="1" applyFill="1" applyBorder="1" applyAlignment="1">
      <alignment vertical="center" wrapText="1"/>
    </xf>
    <xf numFmtId="164" fontId="23" fillId="2" borderId="5" xfId="2" applyFont="1" applyFill="1" applyBorder="1" applyAlignment="1">
      <alignment horizontal="left" vertical="center"/>
    </xf>
    <xf numFmtId="0" fontId="41" fillId="2" borderId="30" xfId="2" applyNumberFormat="1" applyFont="1" applyFill="1" applyBorder="1" applyAlignment="1">
      <alignment horizontal="center" vertical="center"/>
    </xf>
    <xf numFmtId="0" fontId="41" fillId="2" borderId="31" xfId="2" applyNumberFormat="1" applyFont="1" applyFill="1" applyBorder="1" applyAlignment="1">
      <alignment horizontal="center" vertical="center"/>
    </xf>
    <xf numFmtId="0" fontId="41" fillId="2" borderId="32" xfId="2" applyNumberFormat="1" applyFont="1" applyFill="1" applyBorder="1" applyAlignment="1">
      <alignment horizontal="center" vertical="center"/>
    </xf>
    <xf numFmtId="0" fontId="41" fillId="2" borderId="33" xfId="2" applyNumberFormat="1" applyFont="1" applyFill="1" applyBorder="1" applyAlignment="1">
      <alignment horizontal="center" vertical="center"/>
    </xf>
    <xf numFmtId="0" fontId="41" fillId="2" borderId="34" xfId="2" applyNumberFormat="1" applyFont="1" applyFill="1" applyBorder="1" applyAlignment="1">
      <alignment horizontal="center" vertical="center"/>
    </xf>
    <xf numFmtId="0" fontId="41" fillId="2" borderId="35" xfId="2" applyNumberFormat="1" applyFont="1" applyFill="1" applyBorder="1" applyAlignment="1">
      <alignment horizontal="center" vertical="center"/>
    </xf>
    <xf numFmtId="0" fontId="41" fillId="2" borderId="42" xfId="2" applyNumberFormat="1" applyFont="1" applyFill="1" applyBorder="1" applyAlignment="1">
      <alignment horizontal="center" vertical="center"/>
    </xf>
    <xf numFmtId="0" fontId="41" fillId="2" borderId="36" xfId="2" applyNumberFormat="1" applyFont="1" applyFill="1" applyBorder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0" fontId="38" fillId="2" borderId="0" xfId="13" applyFont="1" applyFill="1" applyAlignment="1">
      <alignment horizontal="center"/>
    </xf>
    <xf numFmtId="0" fontId="1" fillId="2" borderId="0" xfId="0" applyFont="1" applyFill="1"/>
    <xf numFmtId="164" fontId="24" fillId="2" borderId="1" xfId="2" applyFont="1" applyFill="1" applyBorder="1" applyAlignment="1">
      <alignment horizontal="left" vertical="center" indent="1"/>
    </xf>
    <xf numFmtId="164" fontId="24" fillId="2" borderId="5" xfId="2" applyFont="1" applyFill="1" applyBorder="1" applyAlignment="1">
      <alignment horizontal="left" vertical="center" indent="1"/>
    </xf>
    <xf numFmtId="37" fontId="37" fillId="2" borderId="42" xfId="1" applyNumberFormat="1" applyFont="1" applyFill="1" applyBorder="1" applyAlignment="1">
      <alignment horizontal="right"/>
    </xf>
    <xf numFmtId="37" fontId="37" fillId="2" borderId="20" xfId="1" applyNumberFormat="1" applyFont="1" applyFill="1" applyBorder="1" applyAlignment="1">
      <alignment horizontal="right"/>
    </xf>
    <xf numFmtId="37" fontId="37" fillId="2" borderId="29" xfId="1" applyNumberFormat="1" applyFont="1" applyFill="1" applyBorder="1" applyAlignment="1">
      <alignment horizontal="right"/>
    </xf>
    <xf numFmtId="0" fontId="38" fillId="2" borderId="0" xfId="13" applyFont="1" applyFill="1" applyAlignment="1">
      <alignment horizontal="center" vertical="center"/>
    </xf>
    <xf numFmtId="0" fontId="38" fillId="2" borderId="0" xfId="13" applyFont="1" applyFill="1" applyAlignment="1">
      <alignment horizontal="right"/>
    </xf>
    <xf numFmtId="37" fontId="38" fillId="2" borderId="0" xfId="1" applyNumberFormat="1" applyFont="1" applyFill="1" applyBorder="1" applyAlignment="1">
      <alignment horizontal="right"/>
    </xf>
    <xf numFmtId="37" fontId="37" fillId="2" borderId="0" xfId="1" applyNumberFormat="1" applyFont="1" applyFill="1" applyBorder="1" applyAlignment="1">
      <alignment horizontal="right"/>
    </xf>
    <xf numFmtId="37" fontId="36" fillId="2" borderId="0" xfId="1" applyNumberFormat="1" applyFont="1" applyFill="1" applyBorder="1"/>
    <xf numFmtId="37" fontId="37" fillId="2" borderId="0" xfId="1" applyNumberFormat="1" applyFont="1" applyFill="1" applyBorder="1"/>
    <xf numFmtId="165" fontId="5" fillId="2" borderId="0" xfId="1" applyNumberFormat="1" applyFont="1" applyFill="1" applyBorder="1"/>
    <xf numFmtId="0" fontId="42" fillId="2" borderId="0" xfId="13" applyFont="1" applyFill="1" applyAlignment="1">
      <alignment horizontal="center"/>
    </xf>
    <xf numFmtId="0" fontId="43" fillId="2" borderId="0" xfId="13" applyFont="1" applyFill="1"/>
    <xf numFmtId="164" fontId="3" fillId="2" borderId="0" xfId="2" applyFont="1" applyFill="1" applyAlignment="1">
      <alignment horizontal="center" vertical="center"/>
    </xf>
    <xf numFmtId="164" fontId="28" fillId="2" borderId="0" xfId="2" applyFont="1" applyFill="1" applyAlignment="1">
      <alignment horizontal="center" vertical="center"/>
    </xf>
    <xf numFmtId="164" fontId="9" fillId="2" borderId="8" xfId="2" applyFont="1" applyFill="1" applyBorder="1" applyAlignment="1">
      <alignment horizontal="left" vertical="center"/>
    </xf>
    <xf numFmtId="164" fontId="9" fillId="2" borderId="0" xfId="2" applyFont="1" applyFill="1" applyAlignment="1">
      <alignment horizontal="left" vertical="center"/>
    </xf>
    <xf numFmtId="164" fontId="9" fillId="2" borderId="42" xfId="2" applyFont="1" applyFill="1" applyBorder="1" applyAlignment="1">
      <alignment horizontal="left" vertical="center"/>
    </xf>
    <xf numFmtId="164" fontId="18" fillId="2" borderId="42" xfId="2" applyFont="1" applyFill="1" applyBorder="1" applyAlignment="1">
      <alignment horizontal="center" vertical="center" wrapText="1"/>
    </xf>
    <xf numFmtId="164" fontId="31" fillId="2" borderId="8" xfId="2" applyFont="1" applyFill="1" applyBorder="1" applyAlignment="1">
      <alignment horizontal="center" vertical="center"/>
    </xf>
    <xf numFmtId="164" fontId="26" fillId="2" borderId="0" xfId="2" applyFont="1" applyFill="1" applyAlignment="1">
      <alignment horizontal="center" vertical="center"/>
    </xf>
    <xf numFmtId="164" fontId="25" fillId="2" borderId="8" xfId="2" applyFont="1" applyFill="1" applyBorder="1" applyAlignment="1">
      <alignment horizontal="right" vertical="center"/>
    </xf>
    <xf numFmtId="164" fontId="25" fillId="2" borderId="0" xfId="2" applyFont="1" applyFill="1" applyAlignment="1">
      <alignment horizontal="right" vertical="center"/>
    </xf>
    <xf numFmtId="164" fontId="25" fillId="2" borderId="42" xfId="2" applyFont="1" applyFill="1" applyBorder="1" applyAlignment="1">
      <alignment horizontal="right" vertical="center"/>
    </xf>
    <xf numFmtId="164" fontId="9" fillId="2" borderId="21" xfId="2" applyFont="1" applyFill="1" applyBorder="1" applyAlignment="1">
      <alignment horizontal="left" vertical="center"/>
    </xf>
    <xf numFmtId="164" fontId="9" fillId="2" borderId="1" xfId="2" applyFont="1" applyFill="1" applyBorder="1" applyAlignment="1">
      <alignment horizontal="left" vertical="center"/>
    </xf>
    <xf numFmtId="164" fontId="9" fillId="2" borderId="5" xfId="2" applyFont="1" applyFill="1" applyBorder="1" applyAlignment="1">
      <alignment horizontal="left" vertical="center"/>
    </xf>
    <xf numFmtId="164" fontId="29" fillId="2" borderId="13" xfId="2" applyFont="1" applyFill="1" applyBorder="1" applyAlignment="1">
      <alignment horizontal="center" vertical="center"/>
    </xf>
    <xf numFmtId="164" fontId="29" fillId="2" borderId="22" xfId="2" applyFont="1" applyFill="1" applyBorder="1" applyAlignment="1">
      <alignment horizontal="center" vertical="center"/>
    </xf>
    <xf numFmtId="164" fontId="29" fillId="2" borderId="23" xfId="2" applyFont="1" applyFill="1" applyBorder="1" applyAlignment="1">
      <alignment horizontal="center" vertical="center"/>
    </xf>
    <xf numFmtId="164" fontId="29" fillId="2" borderId="19" xfId="2" applyFont="1" applyFill="1" applyBorder="1" applyAlignment="1">
      <alignment horizontal="center" vertical="center"/>
    </xf>
    <xf numFmtId="164" fontId="29" fillId="2" borderId="8" xfId="2" applyFont="1" applyFill="1" applyBorder="1" applyAlignment="1">
      <alignment horizontal="center" vertical="center"/>
    </xf>
    <xf numFmtId="164" fontId="32" fillId="2" borderId="19" xfId="2" applyFont="1" applyFill="1" applyBorder="1" applyAlignment="1">
      <alignment horizontal="center" vertical="center"/>
    </xf>
    <xf numFmtId="164" fontId="32" fillId="2" borderId="8" xfId="2" applyFont="1" applyFill="1" applyBorder="1" applyAlignment="1">
      <alignment horizontal="center" vertical="center"/>
    </xf>
    <xf numFmtId="0" fontId="25" fillId="2" borderId="12" xfId="5" applyFont="1" applyFill="1" applyBorder="1" applyAlignment="1">
      <alignment horizontal="right" vertical="center"/>
    </xf>
    <xf numFmtId="0" fontId="25" fillId="2" borderId="14" xfId="5" applyFont="1" applyFill="1" applyBorder="1" applyAlignment="1">
      <alignment horizontal="right" vertical="center"/>
    </xf>
    <xf numFmtId="0" fontId="25" fillId="2" borderId="15" xfId="5" applyFont="1" applyFill="1" applyBorder="1" applyAlignment="1">
      <alignment horizontal="right" vertical="center"/>
    </xf>
    <xf numFmtId="164" fontId="22" fillId="2" borderId="6" xfId="2" applyFont="1" applyFill="1" applyBorder="1" applyAlignment="1">
      <alignment horizontal="center" vertical="center" wrapText="1"/>
    </xf>
    <xf numFmtId="164" fontId="22" fillId="2" borderId="26" xfId="2" applyFont="1" applyFill="1" applyBorder="1" applyAlignment="1">
      <alignment horizontal="center" vertical="center" wrapText="1"/>
    </xf>
    <xf numFmtId="164" fontId="22" fillId="2" borderId="27" xfId="2" applyFont="1" applyFill="1" applyBorder="1" applyAlignment="1">
      <alignment horizontal="center" vertical="center" wrapText="1"/>
    </xf>
    <xf numFmtId="164" fontId="22" fillId="2" borderId="18" xfId="2" applyFont="1" applyFill="1" applyBorder="1" applyAlignment="1">
      <alignment horizontal="center" vertical="center" wrapText="1"/>
    </xf>
    <xf numFmtId="164" fontId="22" fillId="2" borderId="0" xfId="2" applyFont="1" applyFill="1" applyAlignment="1">
      <alignment horizontal="center" vertical="center" wrapText="1"/>
    </xf>
    <xf numFmtId="164" fontId="16" fillId="2" borderId="18" xfId="2" applyFont="1" applyFill="1" applyBorder="1" applyAlignment="1">
      <alignment horizontal="center" vertical="center" wrapText="1"/>
    </xf>
    <xf numFmtId="164" fontId="16" fillId="2" borderId="0" xfId="2" applyFont="1" applyFill="1" applyAlignment="1">
      <alignment horizontal="center" vertical="center" wrapText="1"/>
    </xf>
    <xf numFmtId="164" fontId="16" fillId="2" borderId="20" xfId="2" applyFont="1" applyFill="1" applyBorder="1" applyAlignment="1">
      <alignment horizontal="center" vertical="center" wrapText="1"/>
    </xf>
    <xf numFmtId="164" fontId="16" fillId="2" borderId="42" xfId="2" applyFont="1" applyFill="1" applyBorder="1" applyAlignment="1">
      <alignment horizontal="center" vertical="center" wrapText="1"/>
    </xf>
    <xf numFmtId="164" fontId="16" fillId="2" borderId="29" xfId="2" applyFont="1" applyFill="1" applyBorder="1" applyAlignment="1">
      <alignment horizontal="center" vertical="center" wrapText="1"/>
    </xf>
    <xf numFmtId="164" fontId="16" fillId="2" borderId="28" xfId="2" applyFont="1" applyFill="1" applyBorder="1" applyAlignment="1">
      <alignment horizontal="center" vertical="center" wrapText="1"/>
    </xf>
    <xf numFmtId="164" fontId="16" fillId="2" borderId="26" xfId="2" applyFont="1" applyFill="1" applyBorder="1" applyAlignment="1">
      <alignment horizontal="center" vertical="center" wrapText="1"/>
    </xf>
    <xf numFmtId="164" fontId="16" fillId="2" borderId="27" xfId="2" applyFont="1" applyFill="1" applyBorder="1" applyAlignment="1">
      <alignment horizontal="center" vertical="center" wrapText="1"/>
    </xf>
    <xf numFmtId="164" fontId="32" fillId="2" borderId="25" xfId="2" applyFont="1" applyFill="1" applyBorder="1" applyAlignment="1">
      <alignment horizontal="center" vertical="center"/>
    </xf>
    <xf numFmtId="164" fontId="32" fillId="2" borderId="24" xfId="2" applyFont="1" applyFill="1" applyBorder="1" applyAlignment="1">
      <alignment horizontal="center" vertical="center"/>
    </xf>
    <xf numFmtId="164" fontId="32" fillId="2" borderId="22" xfId="2" applyFont="1" applyFill="1" applyBorder="1" applyAlignment="1">
      <alignment horizontal="center" vertical="center"/>
    </xf>
    <xf numFmtId="164" fontId="32" fillId="2" borderId="23" xfId="2" applyFont="1" applyFill="1" applyBorder="1" applyAlignment="1">
      <alignment horizontal="center" vertical="center"/>
    </xf>
    <xf numFmtId="0" fontId="38" fillId="2" borderId="0" xfId="13" applyFont="1" applyFill="1" applyAlignment="1">
      <alignment horizontal="center"/>
    </xf>
    <xf numFmtId="0" fontId="38" fillId="2" borderId="8" xfId="13" applyFont="1" applyFill="1" applyBorder="1" applyAlignment="1">
      <alignment horizontal="center" vertical="center"/>
    </xf>
    <xf numFmtId="0" fontId="38" fillId="2" borderId="42" xfId="13" applyFont="1" applyFill="1" applyBorder="1" applyAlignment="1">
      <alignment horizontal="center" vertical="center"/>
    </xf>
    <xf numFmtId="0" fontId="38" fillId="2" borderId="8" xfId="13" applyFont="1" applyFill="1" applyBorder="1" applyAlignment="1">
      <alignment horizontal="right" vertical="center" wrapText="1"/>
    </xf>
    <xf numFmtId="0" fontId="38" fillId="2" borderId="42" xfId="13" applyFont="1" applyFill="1" applyBorder="1" applyAlignment="1">
      <alignment horizontal="right" vertical="center" wrapText="1"/>
    </xf>
    <xf numFmtId="0" fontId="38" fillId="2" borderId="9" xfId="13" applyFont="1" applyFill="1" applyBorder="1" applyAlignment="1">
      <alignment horizontal="center" vertical="center"/>
    </xf>
    <xf numFmtId="0" fontId="38" fillId="2" borderId="17" xfId="13" applyFont="1" applyFill="1" applyBorder="1" applyAlignment="1">
      <alignment horizontal="center" vertical="center"/>
    </xf>
    <xf numFmtId="0" fontId="38" fillId="2" borderId="10" xfId="13" applyFont="1" applyFill="1" applyBorder="1" applyAlignment="1">
      <alignment horizontal="center" vertical="center"/>
    </xf>
    <xf numFmtId="0" fontId="38" fillId="2" borderId="0" xfId="13" applyFont="1" applyFill="1" applyAlignment="1">
      <alignment horizontal="center" vertical="center"/>
    </xf>
    <xf numFmtId="0" fontId="38" fillId="2" borderId="0" xfId="13" applyFont="1" applyFill="1" applyAlignment="1">
      <alignment horizontal="right" vertical="center" wrapText="1"/>
    </xf>
    <xf numFmtId="0" fontId="42" fillId="2" borderId="0" xfId="13" applyFont="1" applyFill="1" applyAlignment="1">
      <alignment horizontal="center"/>
    </xf>
  </cellXfs>
  <cellStyles count="16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FFE7E7"/>
      <color rgb="FFFF9393"/>
      <color rgb="FFFF9900"/>
      <color rgb="FF249390"/>
      <color rgb="FF33CCCC"/>
      <color rgb="FFEAFAFA"/>
      <color rgb="FF196563"/>
      <color rgb="FFCF9F6F"/>
      <color rgb="FF996633"/>
      <color rgb="FFC284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176608</v>
          </cell>
          <cell r="C8">
            <v>171359</v>
          </cell>
          <cell r="D8">
            <v>100248</v>
          </cell>
          <cell r="E8">
            <v>94294</v>
          </cell>
        </row>
        <row r="9">
          <cell r="A9" t="str">
            <v>February</v>
          </cell>
          <cell r="B9">
            <v>163541</v>
          </cell>
          <cell r="C9">
            <v>164620</v>
          </cell>
          <cell r="D9">
            <v>94774</v>
          </cell>
          <cell r="E9">
            <v>95166</v>
          </cell>
        </row>
        <row r="10">
          <cell r="A10" t="str">
            <v>March</v>
          </cell>
          <cell r="B10">
            <v>160259</v>
          </cell>
          <cell r="C10">
            <v>160415</v>
          </cell>
          <cell r="D10">
            <v>91796</v>
          </cell>
          <cell r="E10">
            <v>92842</v>
          </cell>
        </row>
        <row r="11">
          <cell r="A11" t="str">
            <v>April</v>
          </cell>
          <cell r="B11">
            <v>146459</v>
          </cell>
          <cell r="C11">
            <v>150877</v>
          </cell>
          <cell r="D11">
            <v>84640</v>
          </cell>
          <cell r="E11">
            <v>81740</v>
          </cell>
        </row>
        <row r="12">
          <cell r="A12" t="str">
            <v>May</v>
          </cell>
          <cell r="B12">
            <v>115413</v>
          </cell>
          <cell r="C12">
            <v>125457</v>
          </cell>
          <cell r="D12">
            <v>69951</v>
          </cell>
          <cell r="E12">
            <v>66606</v>
          </cell>
        </row>
        <row r="13">
          <cell r="A13" t="str">
            <v>June</v>
          </cell>
          <cell r="B13">
            <v>117702</v>
          </cell>
          <cell r="C13">
            <v>112218</v>
          </cell>
          <cell r="D13">
            <v>69442</v>
          </cell>
          <cell r="E13">
            <v>71382</v>
          </cell>
        </row>
        <row r="14">
          <cell r="A14" t="str">
            <v>July</v>
          </cell>
          <cell r="B14">
            <v>149505</v>
          </cell>
          <cell r="C14">
            <v>141188</v>
          </cell>
          <cell r="D14">
            <v>84244</v>
          </cell>
          <cell r="E14">
            <v>86831</v>
          </cell>
        </row>
        <row r="15">
          <cell r="A15" t="str">
            <v>August</v>
          </cell>
          <cell r="B15">
            <v>150842</v>
          </cell>
          <cell r="C15">
            <v>159725</v>
          </cell>
          <cell r="D15">
            <v>98729</v>
          </cell>
          <cell r="E15">
            <v>95383</v>
          </cell>
        </row>
        <row r="16">
          <cell r="A16" t="str">
            <v>September</v>
          </cell>
          <cell r="B16">
            <v>132459</v>
          </cell>
          <cell r="C16">
            <v>124019</v>
          </cell>
          <cell r="D16">
            <v>78698</v>
          </cell>
          <cell r="E16">
            <v>81579</v>
          </cell>
        </row>
        <row r="17">
          <cell r="A17" t="str">
            <v>October</v>
          </cell>
          <cell r="B17">
            <v>153081</v>
          </cell>
          <cell r="C17">
            <v>144251</v>
          </cell>
          <cell r="D17">
            <v>86499</v>
          </cell>
          <cell r="E17">
            <v>89081</v>
          </cell>
        </row>
        <row r="18">
          <cell r="A18" t="str">
            <v>November</v>
          </cell>
          <cell r="B18">
            <v>152499</v>
          </cell>
          <cell r="C18">
            <v>159675</v>
          </cell>
          <cell r="D18">
            <v>92303</v>
          </cell>
          <cell r="E18">
            <v>89172</v>
          </cell>
        </row>
        <row r="19">
          <cell r="A19" t="str">
            <v>December</v>
          </cell>
          <cell r="B19">
            <v>193540</v>
          </cell>
          <cell r="C19">
            <v>175261</v>
          </cell>
          <cell r="D19">
            <v>97716</v>
          </cell>
          <cell r="E19">
            <v>109769</v>
          </cell>
        </row>
      </sheetData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37" t="s">
        <v>62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</row>
    <row r="2" spans="1:29" ht="15.75" x14ac:dyDescent="0.25">
      <c r="A2" s="130" t="s">
        <v>63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</row>
    <row r="4" spans="1:29" s="10" customFormat="1" ht="19.5" x14ac:dyDescent="0.15">
      <c r="A4" s="132" t="s">
        <v>8</v>
      </c>
      <c r="B4" s="136" t="s">
        <v>34</v>
      </c>
      <c r="C4" s="136"/>
      <c r="D4" s="62"/>
      <c r="E4" s="136" t="s">
        <v>35</v>
      </c>
      <c r="F4" s="136"/>
      <c r="G4" s="62"/>
      <c r="H4" s="136" t="s">
        <v>36</v>
      </c>
      <c r="I4" s="136"/>
      <c r="J4" s="62"/>
      <c r="K4" s="136" t="s">
        <v>37</v>
      </c>
      <c r="L4" s="136"/>
      <c r="M4" s="62"/>
      <c r="N4" s="136" t="s">
        <v>38</v>
      </c>
      <c r="O4" s="136"/>
      <c r="P4" s="62"/>
      <c r="Q4" s="136" t="s">
        <v>39</v>
      </c>
      <c r="R4" s="136"/>
      <c r="S4" s="62"/>
      <c r="T4" s="136" t="s">
        <v>40</v>
      </c>
      <c r="U4" s="136"/>
      <c r="V4" s="62"/>
      <c r="W4" s="136" t="s">
        <v>41</v>
      </c>
      <c r="X4" s="136"/>
      <c r="Y4" s="62"/>
      <c r="Z4" s="136" t="s">
        <v>42</v>
      </c>
      <c r="AA4" s="136"/>
      <c r="AB4" s="138" t="s">
        <v>9</v>
      </c>
    </row>
    <row r="5" spans="1:29" s="14" customFormat="1" ht="15" customHeight="1" x14ac:dyDescent="0.25">
      <c r="A5" s="133"/>
      <c r="B5" s="135" t="s">
        <v>43</v>
      </c>
      <c r="C5" s="135"/>
      <c r="D5" s="13"/>
      <c r="E5" s="135" t="s">
        <v>44</v>
      </c>
      <c r="F5" s="135"/>
      <c r="G5" s="13"/>
      <c r="H5" s="135" t="s">
        <v>45</v>
      </c>
      <c r="I5" s="135"/>
      <c r="J5" s="13"/>
      <c r="K5" s="135" t="s">
        <v>46</v>
      </c>
      <c r="L5" s="135"/>
      <c r="M5" s="13"/>
      <c r="N5" s="135" t="s">
        <v>47</v>
      </c>
      <c r="O5" s="135"/>
      <c r="P5" s="13"/>
      <c r="Q5" s="135" t="s">
        <v>48</v>
      </c>
      <c r="R5" s="135"/>
      <c r="S5" s="13"/>
      <c r="T5" s="135" t="s">
        <v>49</v>
      </c>
      <c r="U5" s="135"/>
      <c r="V5" s="13"/>
      <c r="W5" s="135" t="s">
        <v>50</v>
      </c>
      <c r="X5" s="135"/>
      <c r="Y5" s="13"/>
      <c r="Z5" s="135" t="s">
        <v>51</v>
      </c>
      <c r="AA5" s="135"/>
      <c r="AB5" s="139"/>
      <c r="AC5" s="2"/>
    </row>
    <row r="6" spans="1:29" s="58" customFormat="1" ht="14.25" x14ac:dyDescent="0.2">
      <c r="A6" s="133"/>
      <c r="B6" s="53" t="s">
        <v>0</v>
      </c>
      <c r="C6" s="53" t="s">
        <v>1</v>
      </c>
      <c r="D6" s="53"/>
      <c r="E6" s="53" t="s">
        <v>0</v>
      </c>
      <c r="F6" s="53" t="s">
        <v>1</v>
      </c>
      <c r="G6" s="53"/>
      <c r="H6" s="53" t="s">
        <v>0</v>
      </c>
      <c r="I6" s="53" t="s">
        <v>1</v>
      </c>
      <c r="J6" s="53"/>
      <c r="K6" s="53" t="s">
        <v>0</v>
      </c>
      <c r="L6" s="53" t="s">
        <v>1</v>
      </c>
      <c r="M6" s="53"/>
      <c r="N6" s="53" t="s">
        <v>0</v>
      </c>
      <c r="O6" s="53" t="s">
        <v>1</v>
      </c>
      <c r="P6" s="53"/>
      <c r="Q6" s="53" t="s">
        <v>0</v>
      </c>
      <c r="R6" s="53" t="s">
        <v>1</v>
      </c>
      <c r="S6" s="53"/>
      <c r="T6" s="53" t="s">
        <v>0</v>
      </c>
      <c r="U6" s="53" t="s">
        <v>1</v>
      </c>
      <c r="V6" s="53"/>
      <c r="W6" s="53" t="s">
        <v>0</v>
      </c>
      <c r="X6" s="53" t="s">
        <v>1</v>
      </c>
      <c r="Y6" s="53"/>
      <c r="Z6" s="53" t="s">
        <v>0</v>
      </c>
      <c r="AA6" s="53" t="s">
        <v>1</v>
      </c>
      <c r="AB6" s="139"/>
    </row>
    <row r="7" spans="1:29" s="14" customFormat="1" ht="14.25" x14ac:dyDescent="0.2">
      <c r="A7" s="134"/>
      <c r="B7" s="55" t="s">
        <v>2</v>
      </c>
      <c r="C7" s="55" t="s">
        <v>3</v>
      </c>
      <c r="D7" s="55"/>
      <c r="E7" s="55" t="s">
        <v>2</v>
      </c>
      <c r="F7" s="55" t="s">
        <v>3</v>
      </c>
      <c r="G7" s="55"/>
      <c r="H7" s="55" t="s">
        <v>2</v>
      </c>
      <c r="I7" s="55" t="s">
        <v>3</v>
      </c>
      <c r="J7" s="55"/>
      <c r="K7" s="55" t="s">
        <v>2</v>
      </c>
      <c r="L7" s="55" t="s">
        <v>3</v>
      </c>
      <c r="M7" s="55"/>
      <c r="N7" s="55" t="s">
        <v>2</v>
      </c>
      <c r="O7" s="55" t="s">
        <v>3</v>
      </c>
      <c r="P7" s="55"/>
      <c r="Q7" s="55" t="s">
        <v>2</v>
      </c>
      <c r="R7" s="55" t="s">
        <v>3</v>
      </c>
      <c r="S7" s="55"/>
      <c r="T7" s="55" t="s">
        <v>2</v>
      </c>
      <c r="U7" s="55" t="s">
        <v>3</v>
      </c>
      <c r="V7" s="55"/>
      <c r="W7" s="55" t="s">
        <v>2</v>
      </c>
      <c r="X7" s="55" t="s">
        <v>3</v>
      </c>
      <c r="Y7" s="55"/>
      <c r="Z7" s="55" t="s">
        <v>2</v>
      </c>
      <c r="AA7" s="55" t="s">
        <v>3</v>
      </c>
      <c r="AB7" s="140"/>
    </row>
    <row r="8" spans="1:29" s="10" customFormat="1" ht="15.75" x14ac:dyDescent="0.15">
      <c r="A8" s="4" t="s">
        <v>4</v>
      </c>
      <c r="B8" s="15">
        <f>SUM(B9:B20)</f>
        <v>0</v>
      </c>
      <c r="C8" s="15">
        <f>SUM(C9:C20)</f>
        <v>0</v>
      </c>
      <c r="D8" s="15"/>
      <c r="E8" s="15">
        <f>SUM(E9:E20)</f>
        <v>0</v>
      </c>
      <c r="F8" s="15">
        <f>SUM(F9:F20)</f>
        <v>0</v>
      </c>
      <c r="G8" s="15"/>
      <c r="H8" s="15">
        <f>SUM(H9:H20)</f>
        <v>0</v>
      </c>
      <c r="I8" s="15">
        <f>SUM(I9:I20)</f>
        <v>0</v>
      </c>
      <c r="J8" s="15"/>
      <c r="K8" s="15">
        <f>SUM(K9:K20)</f>
        <v>0</v>
      </c>
      <c r="L8" s="15">
        <f>SUM(L9:L20)</f>
        <v>0</v>
      </c>
      <c r="M8" s="15"/>
      <c r="N8" s="15">
        <f>SUM(N9:N20)</f>
        <v>0</v>
      </c>
      <c r="O8" s="15">
        <f>SUM(O9:O20)</f>
        <v>0</v>
      </c>
      <c r="P8" s="15"/>
      <c r="Q8" s="15">
        <f>SUM(Q9:Q20)</f>
        <v>0</v>
      </c>
      <c r="R8" s="15">
        <f>SUM(R9:R20)</f>
        <v>0</v>
      </c>
      <c r="S8" s="15"/>
      <c r="T8" s="15">
        <f>SUM(T9:T20)</f>
        <v>0</v>
      </c>
      <c r="U8" s="15">
        <f>SUM(U9:U20)</f>
        <v>0</v>
      </c>
      <c r="V8" s="15"/>
      <c r="W8" s="15">
        <f>SUM(W9:W20)</f>
        <v>0</v>
      </c>
      <c r="X8" s="15">
        <f>SUM(X9:X20)</f>
        <v>0</v>
      </c>
      <c r="Y8" s="16"/>
      <c r="Z8" s="15">
        <f>SUM(Z9:Z20)</f>
        <v>0</v>
      </c>
      <c r="AA8" s="15">
        <f>SUM(AA9:AA20)</f>
        <v>0</v>
      </c>
      <c r="AB8" s="57" t="s">
        <v>5</v>
      </c>
    </row>
    <row r="9" spans="1:29" s="10" customFormat="1" ht="15.75" x14ac:dyDescent="0.4">
      <c r="A9" s="5" t="s">
        <v>10</v>
      </c>
      <c r="B9" s="69"/>
      <c r="C9" s="69"/>
      <c r="D9" s="69"/>
      <c r="E9" s="70"/>
      <c r="F9" s="70"/>
      <c r="G9" s="70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71"/>
      <c r="Z9" s="71"/>
      <c r="AA9" s="71"/>
      <c r="AB9" s="59" t="s">
        <v>11</v>
      </c>
    </row>
    <row r="10" spans="1:29" s="10" customFormat="1" ht="15.75" x14ac:dyDescent="0.4">
      <c r="A10" s="5" t="s">
        <v>12</v>
      </c>
      <c r="B10" s="69"/>
      <c r="C10" s="69"/>
      <c r="D10" s="69"/>
      <c r="E10" s="70"/>
      <c r="F10" s="70"/>
      <c r="G10" s="70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71"/>
      <c r="Z10" s="71"/>
      <c r="AA10" s="71"/>
      <c r="AB10" s="59" t="s">
        <v>13</v>
      </c>
    </row>
    <row r="11" spans="1:29" s="10" customFormat="1" ht="15.75" x14ac:dyDescent="0.4">
      <c r="A11" s="5" t="s">
        <v>14</v>
      </c>
      <c r="B11" s="69"/>
      <c r="C11" s="69"/>
      <c r="D11" s="69"/>
      <c r="E11" s="70"/>
      <c r="F11" s="70"/>
      <c r="G11" s="70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71"/>
      <c r="Z11" s="71"/>
      <c r="AA11" s="71"/>
      <c r="AB11" s="59" t="s">
        <v>15</v>
      </c>
    </row>
    <row r="12" spans="1:29" s="10" customFormat="1" ht="15.75" x14ac:dyDescent="0.4">
      <c r="A12" s="5" t="s">
        <v>16</v>
      </c>
      <c r="B12" s="69"/>
      <c r="C12" s="69"/>
      <c r="D12" s="69"/>
      <c r="E12" s="70"/>
      <c r="F12" s="70"/>
      <c r="G12" s="70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71"/>
      <c r="Z12" s="71"/>
      <c r="AA12" s="71"/>
      <c r="AB12" s="59" t="s">
        <v>17</v>
      </c>
    </row>
    <row r="13" spans="1:29" s="10" customFormat="1" ht="15.75" x14ac:dyDescent="0.4">
      <c r="A13" s="5" t="s">
        <v>18</v>
      </c>
      <c r="B13" s="69"/>
      <c r="C13" s="69"/>
      <c r="D13" s="69"/>
      <c r="E13" s="70"/>
      <c r="F13" s="70"/>
      <c r="G13" s="70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71"/>
      <c r="Z13" s="71"/>
      <c r="AA13" s="71"/>
      <c r="AB13" s="59" t="s">
        <v>19</v>
      </c>
    </row>
    <row r="14" spans="1:29" s="10" customFormat="1" ht="15.75" x14ac:dyDescent="0.4">
      <c r="A14" s="5" t="s">
        <v>20</v>
      </c>
      <c r="B14" s="69"/>
      <c r="C14" s="69"/>
      <c r="D14" s="69"/>
      <c r="E14" s="70"/>
      <c r="F14" s="70"/>
      <c r="G14" s="70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71"/>
      <c r="Z14" s="71"/>
      <c r="AA14" s="71"/>
      <c r="AB14" s="59" t="s">
        <v>21</v>
      </c>
    </row>
    <row r="15" spans="1:29" s="10" customFormat="1" ht="15.75" x14ac:dyDescent="0.4">
      <c r="A15" s="5" t="s">
        <v>22</v>
      </c>
      <c r="B15" s="69"/>
      <c r="C15" s="69"/>
      <c r="D15" s="69"/>
      <c r="E15" s="70"/>
      <c r="F15" s="70"/>
      <c r="G15" s="70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71"/>
      <c r="Z15" s="71"/>
      <c r="AA15" s="71"/>
      <c r="AB15" s="59" t="s">
        <v>23</v>
      </c>
    </row>
    <row r="16" spans="1:29" s="10" customFormat="1" ht="15.75" x14ac:dyDescent="0.4">
      <c r="A16" s="5" t="s">
        <v>24</v>
      </c>
      <c r="B16" s="69"/>
      <c r="C16" s="69"/>
      <c r="D16" s="69"/>
      <c r="E16" s="70"/>
      <c r="F16" s="70"/>
      <c r="G16" s="70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71"/>
      <c r="Z16" s="71"/>
      <c r="AA16" s="71"/>
      <c r="AB16" s="59" t="s">
        <v>25</v>
      </c>
    </row>
    <row r="17" spans="1:44" s="10" customFormat="1" ht="15.75" x14ac:dyDescent="0.4">
      <c r="A17" s="5" t="s">
        <v>26</v>
      </c>
      <c r="B17" s="69"/>
      <c r="C17" s="69"/>
      <c r="D17" s="69"/>
      <c r="E17" s="70"/>
      <c r="F17" s="70"/>
      <c r="G17" s="70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71"/>
      <c r="Z17" s="71"/>
      <c r="AA17" s="71"/>
      <c r="AB17" s="59" t="s">
        <v>27</v>
      </c>
    </row>
    <row r="18" spans="1:44" s="10" customFormat="1" ht="15.75" x14ac:dyDescent="0.4">
      <c r="A18" s="5" t="s">
        <v>28</v>
      </c>
      <c r="B18" s="69"/>
      <c r="C18" s="69"/>
      <c r="D18" s="69"/>
      <c r="E18" s="70"/>
      <c r="F18" s="70"/>
      <c r="G18" s="70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71"/>
      <c r="Z18" s="71"/>
      <c r="AA18" s="71"/>
      <c r="AB18" s="59" t="s">
        <v>29</v>
      </c>
    </row>
    <row r="19" spans="1:44" s="10" customFormat="1" ht="15.75" x14ac:dyDescent="0.4">
      <c r="A19" s="5" t="s">
        <v>30</v>
      </c>
      <c r="B19" s="69"/>
      <c r="C19" s="69"/>
      <c r="D19" s="69"/>
      <c r="E19" s="70"/>
      <c r="F19" s="70"/>
      <c r="G19" s="70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71"/>
      <c r="Z19" s="71"/>
      <c r="AA19" s="71"/>
      <c r="AB19" s="59" t="s">
        <v>31</v>
      </c>
    </row>
    <row r="20" spans="1:44" s="10" customFormat="1" ht="15.75" x14ac:dyDescent="0.4">
      <c r="A20" s="54" t="s">
        <v>32</v>
      </c>
      <c r="B20" s="72"/>
      <c r="C20" s="72"/>
      <c r="D20" s="72"/>
      <c r="E20" s="73"/>
      <c r="F20" s="73"/>
      <c r="G20" s="73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4"/>
      <c r="Z20" s="74"/>
      <c r="AA20" s="74"/>
      <c r="AB20" s="60" t="s">
        <v>33</v>
      </c>
    </row>
    <row r="21" spans="1:44" ht="18.75" x14ac:dyDescent="0.25">
      <c r="A21" s="6" t="s">
        <v>6</v>
      </c>
      <c r="AB21" s="9" t="s">
        <v>7</v>
      </c>
      <c r="AO21" s="10"/>
      <c r="AP21" s="52" t="s">
        <v>2</v>
      </c>
      <c r="AQ21" s="52" t="s">
        <v>3</v>
      </c>
    </row>
    <row r="22" spans="1:44" ht="15" customHeight="1" x14ac:dyDescent="0.25">
      <c r="AN22" s="17"/>
      <c r="AO22" s="17" t="str">
        <f>B5</f>
        <v>L.Kadhdhoo</v>
      </c>
      <c r="AP22" s="1">
        <f>B8</f>
        <v>0</v>
      </c>
      <c r="AQ22" s="1">
        <f>C8</f>
        <v>0</v>
      </c>
    </row>
    <row r="23" spans="1:44" s="10" customFormat="1" ht="17.25" x14ac:dyDescent="0.4">
      <c r="B23" s="18"/>
      <c r="C23" s="19"/>
      <c r="D23" s="19"/>
      <c r="E23" s="19"/>
      <c r="F23" s="20"/>
      <c r="G23" s="20"/>
      <c r="R23" s="21"/>
      <c r="S23" s="21"/>
      <c r="U23" s="21"/>
      <c r="V23" s="21"/>
      <c r="X23" s="21"/>
      <c r="Y23" s="21"/>
      <c r="Z23" s="21"/>
      <c r="AA23" s="21"/>
      <c r="AB23" s="21"/>
      <c r="AE23" s="21"/>
      <c r="AM23" s="1"/>
      <c r="AN23" s="17"/>
      <c r="AO23" s="17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5"/>
      <c r="Q24" s="12"/>
      <c r="T24" s="12"/>
      <c r="W24" s="12"/>
      <c r="AO24" s="10" t="str">
        <f>H5</f>
        <v xml:space="preserve">Gn.Fuvahmulah </v>
      </c>
      <c r="AP24" s="1">
        <f>H8</f>
        <v>0</v>
      </c>
      <c r="AQ24" s="1">
        <f>I8</f>
        <v>0</v>
      </c>
    </row>
    <row r="25" spans="1:44" s="10" customFormat="1" ht="17.25" x14ac:dyDescent="0.4">
      <c r="B25" s="18"/>
      <c r="C25" s="19"/>
      <c r="D25" s="19"/>
      <c r="E25" s="19"/>
      <c r="F25" s="20"/>
      <c r="G25" s="20"/>
      <c r="R25" s="21"/>
      <c r="S25" s="21"/>
      <c r="U25" s="21"/>
      <c r="V25" s="21"/>
      <c r="X25" s="21"/>
      <c r="Y25" s="21"/>
      <c r="Z25" s="21"/>
      <c r="AA25" s="21"/>
      <c r="AB25" s="21"/>
      <c r="AE25" s="21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5"/>
      <c r="Q26" s="12"/>
      <c r="T26" s="12"/>
      <c r="W26" s="12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9"/>
      <c r="E29" s="19"/>
      <c r="F29" s="20"/>
      <c r="G29" s="20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6" customFormat="1" ht="21.75" customHeight="1" x14ac:dyDescent="0.55000000000000004">
      <c r="A44" s="141" t="s">
        <v>8</v>
      </c>
      <c r="B44" s="99"/>
      <c r="D44" s="100"/>
      <c r="F44" s="100"/>
      <c r="G44" s="144" t="s">
        <v>34</v>
      </c>
      <c r="H44" s="145"/>
      <c r="I44" s="145"/>
      <c r="J44" s="145"/>
      <c r="K44" s="146"/>
      <c r="L44" s="65"/>
      <c r="M44" s="101"/>
      <c r="N44" s="65"/>
      <c r="O44" s="101"/>
      <c r="P44" s="147" t="s">
        <v>35</v>
      </c>
      <c r="Q44" s="148"/>
      <c r="R44" s="148"/>
      <c r="S44" s="148"/>
      <c r="T44" s="148"/>
      <c r="U44" s="148"/>
      <c r="V44" s="148"/>
      <c r="W44" s="148"/>
      <c r="X44" s="148"/>
      <c r="Y44" s="148"/>
      <c r="Z44" s="148"/>
      <c r="AA44" s="148"/>
      <c r="AB44" s="100"/>
      <c r="AC44" s="149" t="s">
        <v>36</v>
      </c>
      <c r="AD44" s="150"/>
      <c r="AE44" s="150"/>
      <c r="AF44" s="150"/>
      <c r="AG44" s="150"/>
      <c r="AH44" s="150"/>
      <c r="AI44" s="150"/>
      <c r="AJ44" s="150"/>
      <c r="AK44" s="64"/>
      <c r="AL44" s="149" t="s">
        <v>37</v>
      </c>
      <c r="AM44" s="150"/>
      <c r="AN44" s="150"/>
      <c r="AO44" s="150"/>
      <c r="AP44" s="150"/>
      <c r="AQ44" s="150"/>
      <c r="AR44" s="150"/>
      <c r="AS44" s="64"/>
      <c r="AT44" s="149" t="s">
        <v>38</v>
      </c>
      <c r="AU44" s="150"/>
      <c r="AV44" s="150"/>
      <c r="AW44" s="150"/>
      <c r="AX44" s="150"/>
      <c r="AY44" s="75"/>
      <c r="AZ44" s="64"/>
      <c r="BA44" s="149" t="s">
        <v>39</v>
      </c>
      <c r="BB44" s="150"/>
      <c r="BC44" s="150"/>
      <c r="BD44" s="150"/>
      <c r="BE44" s="167"/>
      <c r="BF44" s="63"/>
      <c r="BG44" s="168" t="s">
        <v>40</v>
      </c>
      <c r="BH44" s="169"/>
      <c r="BI44" s="169"/>
      <c r="BJ44" s="169"/>
      <c r="BK44" s="170"/>
      <c r="BL44" s="149" t="s">
        <v>41</v>
      </c>
      <c r="BM44" s="150"/>
      <c r="BN44" s="150"/>
      <c r="BO44" s="150"/>
      <c r="BP44" s="167"/>
      <c r="BQ44" s="149" t="s">
        <v>42</v>
      </c>
      <c r="BR44" s="150"/>
      <c r="BS44" s="150"/>
      <c r="BT44" s="151" t="s">
        <v>9</v>
      </c>
    </row>
    <row r="45" spans="1:80" s="67" customFormat="1" ht="16.5" customHeight="1" x14ac:dyDescent="0.25">
      <c r="A45" s="142"/>
      <c r="B45" s="102"/>
      <c r="D45" s="103"/>
      <c r="F45" s="103"/>
      <c r="G45" s="154" t="s">
        <v>43</v>
      </c>
      <c r="H45" s="155"/>
      <c r="I45" s="155"/>
      <c r="J45" s="155"/>
      <c r="K45" s="156"/>
      <c r="M45" s="103"/>
      <c r="O45" s="103"/>
      <c r="P45" s="157" t="s">
        <v>44</v>
      </c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03"/>
      <c r="AC45" s="159" t="s">
        <v>55</v>
      </c>
      <c r="AD45" s="160"/>
      <c r="AE45" s="160"/>
      <c r="AF45" s="160"/>
      <c r="AG45" s="160"/>
      <c r="AH45" s="160"/>
      <c r="AI45" s="160"/>
      <c r="AJ45" s="160"/>
      <c r="AK45" s="68"/>
      <c r="AL45" s="159" t="s">
        <v>56</v>
      </c>
      <c r="AM45" s="160"/>
      <c r="AN45" s="160"/>
      <c r="AO45" s="160"/>
      <c r="AP45" s="160"/>
      <c r="AQ45" s="160"/>
      <c r="AR45" s="160"/>
      <c r="AS45" s="68"/>
      <c r="AT45" s="159" t="s">
        <v>57</v>
      </c>
      <c r="AU45" s="160"/>
      <c r="AV45" s="160"/>
      <c r="AW45" s="160"/>
      <c r="AX45" s="160"/>
      <c r="AY45" s="76"/>
      <c r="AZ45" s="68"/>
      <c r="BA45" s="161" t="s">
        <v>58</v>
      </c>
      <c r="BB45" s="162"/>
      <c r="BC45" s="162"/>
      <c r="BD45" s="162"/>
      <c r="BE45" s="163"/>
      <c r="BG45" s="164" t="s">
        <v>59</v>
      </c>
      <c r="BH45" s="165"/>
      <c r="BI45" s="165"/>
      <c r="BJ45" s="165"/>
      <c r="BK45" s="166"/>
      <c r="BL45" s="161" t="s">
        <v>60</v>
      </c>
      <c r="BM45" s="162"/>
      <c r="BN45" s="162"/>
      <c r="BO45" s="162"/>
      <c r="BP45" s="163"/>
      <c r="BQ45" s="161" t="s">
        <v>61</v>
      </c>
      <c r="BR45" s="162"/>
      <c r="BS45" s="162"/>
      <c r="BT45" s="152"/>
    </row>
    <row r="46" spans="1:80" ht="23.25" customHeight="1" x14ac:dyDescent="0.25">
      <c r="A46" s="143"/>
      <c r="B46" s="104"/>
      <c r="C46" s="105">
        <v>2011</v>
      </c>
      <c r="D46" s="105">
        <v>2012</v>
      </c>
      <c r="E46" s="106">
        <v>2013</v>
      </c>
      <c r="F46" s="107">
        <v>2014</v>
      </c>
      <c r="G46" s="108">
        <v>2015</v>
      </c>
      <c r="H46" s="109">
        <v>2016</v>
      </c>
      <c r="I46" s="110">
        <v>2017</v>
      </c>
      <c r="J46" s="110">
        <v>2018</v>
      </c>
      <c r="K46" s="110">
        <v>2019</v>
      </c>
      <c r="L46" s="111">
        <v>2011</v>
      </c>
      <c r="M46" s="111">
        <v>2012</v>
      </c>
      <c r="N46" s="111">
        <v>2013</v>
      </c>
      <c r="O46" s="110">
        <v>2014</v>
      </c>
      <c r="P46" s="108">
        <v>2015</v>
      </c>
      <c r="Q46" s="110">
        <v>2016</v>
      </c>
      <c r="R46" s="111">
        <v>2011</v>
      </c>
      <c r="S46" s="111">
        <v>2012</v>
      </c>
      <c r="T46" s="110">
        <v>2013</v>
      </c>
      <c r="U46" s="110">
        <v>2014</v>
      </c>
      <c r="V46" s="111">
        <v>2011</v>
      </c>
      <c r="W46" s="111">
        <v>2012</v>
      </c>
      <c r="X46" s="110">
        <v>2013</v>
      </c>
      <c r="Y46" s="110">
        <v>2017</v>
      </c>
      <c r="Z46" s="110">
        <v>2018</v>
      </c>
      <c r="AA46" s="112">
        <v>2019</v>
      </c>
      <c r="AB46" s="110">
        <v>2014</v>
      </c>
      <c r="AC46" s="24">
        <v>2015</v>
      </c>
      <c r="AD46" s="24">
        <v>2016</v>
      </c>
      <c r="AE46" s="56">
        <v>2011</v>
      </c>
      <c r="AF46" s="56">
        <v>2012</v>
      </c>
      <c r="AG46" s="56">
        <v>2013</v>
      </c>
      <c r="AH46" s="24">
        <v>2017</v>
      </c>
      <c r="AI46" s="24">
        <v>2018</v>
      </c>
      <c r="AJ46" s="24">
        <v>2019</v>
      </c>
      <c r="AK46" s="24">
        <v>2014</v>
      </c>
      <c r="AL46" s="23">
        <v>2015</v>
      </c>
      <c r="AM46" s="24">
        <v>2016</v>
      </c>
      <c r="AN46" s="24">
        <v>2017</v>
      </c>
      <c r="AO46" s="24">
        <v>2018</v>
      </c>
      <c r="AP46" s="56">
        <v>2012</v>
      </c>
      <c r="AQ46" s="56">
        <v>2013</v>
      </c>
      <c r="AR46" s="24">
        <v>2019</v>
      </c>
      <c r="AS46" s="24">
        <v>2014</v>
      </c>
      <c r="AT46" s="23">
        <v>2015</v>
      </c>
      <c r="AU46" s="24">
        <v>2016</v>
      </c>
      <c r="AV46" s="56">
        <v>2013</v>
      </c>
      <c r="AW46" s="24">
        <v>2017</v>
      </c>
      <c r="AX46" s="24">
        <v>2018</v>
      </c>
      <c r="AY46" s="24">
        <v>2019</v>
      </c>
      <c r="AZ46" s="56">
        <v>2014</v>
      </c>
      <c r="BA46" s="23">
        <v>2015</v>
      </c>
      <c r="BB46" s="24">
        <v>2016</v>
      </c>
      <c r="BC46" s="24">
        <v>2017</v>
      </c>
      <c r="BD46" s="24">
        <v>2018</v>
      </c>
      <c r="BE46" s="24">
        <v>2019</v>
      </c>
      <c r="BF46" s="56">
        <v>2014</v>
      </c>
      <c r="BG46" s="23">
        <v>2015</v>
      </c>
      <c r="BH46" s="24">
        <v>2016</v>
      </c>
      <c r="BI46" s="24">
        <v>2017</v>
      </c>
      <c r="BJ46" s="24">
        <v>2018</v>
      </c>
      <c r="BK46" s="25">
        <v>2019</v>
      </c>
      <c r="BL46" s="26">
        <v>2015</v>
      </c>
      <c r="BM46" s="24">
        <v>2016</v>
      </c>
      <c r="BN46" s="24">
        <v>2017</v>
      </c>
      <c r="BO46" s="24">
        <v>2018</v>
      </c>
      <c r="BP46" s="24">
        <v>2019</v>
      </c>
      <c r="BQ46" s="23">
        <v>2017</v>
      </c>
      <c r="BR46" s="24">
        <v>2018</v>
      </c>
      <c r="BS46" s="24">
        <v>2019</v>
      </c>
      <c r="BT46" s="153"/>
      <c r="BU46" s="2"/>
    </row>
    <row r="47" spans="1:80" ht="23.25" customHeight="1" x14ac:dyDescent="0.4">
      <c r="A47" s="27" t="s">
        <v>4</v>
      </c>
      <c r="B47" s="27"/>
      <c r="C47" s="28">
        <f t="shared" ref="C47:AZ47" si="0">SUM(C48:C59)</f>
        <v>1542</v>
      </c>
      <c r="D47" s="28">
        <f t="shared" si="0"/>
        <v>1816</v>
      </c>
      <c r="E47" s="28">
        <f t="shared" si="0"/>
        <v>2310</v>
      </c>
      <c r="F47" s="29">
        <f t="shared" si="0"/>
        <v>2220</v>
      </c>
      <c r="G47" s="30">
        <f t="shared" si="0"/>
        <v>2088</v>
      </c>
      <c r="H47" s="31">
        <f t="shared" si="0"/>
        <v>2392</v>
      </c>
      <c r="I47" s="32">
        <f t="shared" si="0"/>
        <v>2619</v>
      </c>
      <c r="J47" s="32">
        <f t="shared" si="0"/>
        <v>2559</v>
      </c>
      <c r="K47" s="32">
        <f t="shared" si="0"/>
        <v>2583</v>
      </c>
      <c r="L47" s="32">
        <f t="shared" si="0"/>
        <v>3226</v>
      </c>
      <c r="M47" s="32">
        <f t="shared" si="0"/>
        <v>3982</v>
      </c>
      <c r="N47" s="32">
        <f t="shared" si="0"/>
        <v>4121</v>
      </c>
      <c r="O47" s="32">
        <f t="shared" si="0"/>
        <v>4410</v>
      </c>
      <c r="P47" s="30">
        <f>SUM(P48:P59)</f>
        <v>4290</v>
      </c>
      <c r="Q47" s="32">
        <f t="shared" ref="Q47" si="1">SUM(Q48:Q59)</f>
        <v>4978</v>
      </c>
      <c r="R47" s="32">
        <f t="shared" si="0"/>
        <v>1637</v>
      </c>
      <c r="S47" s="32">
        <f t="shared" si="0"/>
        <v>1397</v>
      </c>
      <c r="T47" s="32">
        <f t="shared" si="0"/>
        <v>1949</v>
      </c>
      <c r="U47" s="32">
        <f t="shared" si="0"/>
        <v>1977</v>
      </c>
      <c r="V47" s="32">
        <f t="shared" si="0"/>
        <v>262</v>
      </c>
      <c r="W47" s="32">
        <f t="shared" si="0"/>
        <v>710</v>
      </c>
      <c r="X47" s="32">
        <f>SUM(X48:X59)</f>
        <v>2432</v>
      </c>
      <c r="Y47" s="32">
        <f t="shared" ref="Y47:AB47" si="2">SUM(Y48:Y59)</f>
        <v>5182</v>
      </c>
      <c r="Z47" s="32">
        <f t="shared" si="2"/>
        <v>4726</v>
      </c>
      <c r="AA47" s="33">
        <f t="shared" si="2"/>
        <v>4794</v>
      </c>
      <c r="AB47" s="32">
        <f t="shared" si="2"/>
        <v>2773</v>
      </c>
      <c r="AC47" s="32">
        <f>SUM(AC48:AC59)</f>
        <v>2151</v>
      </c>
      <c r="AD47" s="32">
        <f t="shared" ref="AD47" si="3">SUM(AD48:AD59)</f>
        <v>1998</v>
      </c>
      <c r="AE47" s="32">
        <f t="shared" si="0"/>
        <v>769</v>
      </c>
      <c r="AF47" s="32">
        <f t="shared" si="0"/>
        <v>3315</v>
      </c>
      <c r="AG47" s="32">
        <f>SUM(AG48:AG59)</f>
        <v>4519</v>
      </c>
      <c r="AH47" s="32">
        <f t="shared" ref="AH47:AK47" si="4">SUM(AH48:AH59)</f>
        <v>1845</v>
      </c>
      <c r="AI47" s="32">
        <f t="shared" si="4"/>
        <v>1799</v>
      </c>
      <c r="AJ47" s="32">
        <f t="shared" si="4"/>
        <v>2485</v>
      </c>
      <c r="AK47" s="32">
        <f t="shared" si="4"/>
        <v>4924</v>
      </c>
      <c r="AL47" s="30">
        <f>SUM(AL48:AL59)</f>
        <v>4265</v>
      </c>
      <c r="AM47" s="32">
        <f t="shared" ref="AM47:AO47" si="5">SUM(AM48:AM59)</f>
        <v>3963</v>
      </c>
      <c r="AN47" s="32">
        <f t="shared" si="5"/>
        <v>4305</v>
      </c>
      <c r="AO47" s="32">
        <f t="shared" si="5"/>
        <v>4824</v>
      </c>
      <c r="AP47" s="32">
        <f t="shared" si="0"/>
        <v>173</v>
      </c>
      <c r="AQ47" s="32">
        <f t="shared" si="0"/>
        <v>3515</v>
      </c>
      <c r="AR47" s="32">
        <f t="shared" si="0"/>
        <v>4798</v>
      </c>
      <c r="AS47" s="32">
        <f t="shared" si="0"/>
        <v>4248</v>
      </c>
      <c r="AT47" s="30">
        <f>SUM(AT48:AT59)</f>
        <v>3934</v>
      </c>
      <c r="AU47" s="32">
        <f t="shared" ref="AU47:AY47" si="6">SUM(AU48:AU59)</f>
        <v>3870</v>
      </c>
      <c r="AV47" s="32">
        <f t="shared" si="0"/>
        <v>2906</v>
      </c>
      <c r="AW47" s="32">
        <f t="shared" si="0"/>
        <v>4198</v>
      </c>
      <c r="AX47" s="32">
        <f t="shared" si="6"/>
        <v>4532</v>
      </c>
      <c r="AY47" s="32">
        <f t="shared" si="6"/>
        <v>5159</v>
      </c>
      <c r="AZ47" s="32">
        <f t="shared" si="0"/>
        <v>2076</v>
      </c>
      <c r="BA47" s="30">
        <f>SUM(BA48:BA59)</f>
        <v>1988</v>
      </c>
      <c r="BB47" s="32">
        <f t="shared" ref="BB47:BF47" si="7">SUM(BB48:BB59)</f>
        <v>1916</v>
      </c>
      <c r="BC47" s="32">
        <f t="shared" si="7"/>
        <v>1916</v>
      </c>
      <c r="BD47" s="32">
        <f t="shared" si="7"/>
        <v>1975</v>
      </c>
      <c r="BE47" s="32">
        <f t="shared" si="7"/>
        <v>2043</v>
      </c>
      <c r="BF47" s="32">
        <f t="shared" si="7"/>
        <v>826</v>
      </c>
      <c r="BG47" s="30">
        <f>SUM(BG48:BG59)</f>
        <v>331</v>
      </c>
      <c r="BH47" s="32">
        <f t="shared" ref="BH47:BK47" si="8">SUM(BH48:BH59)</f>
        <v>269</v>
      </c>
      <c r="BI47" s="32">
        <f t="shared" si="8"/>
        <v>245</v>
      </c>
      <c r="BJ47" s="32">
        <f t="shared" si="8"/>
        <v>246</v>
      </c>
      <c r="BK47" s="33">
        <f t="shared" si="8"/>
        <v>241</v>
      </c>
      <c r="BL47" s="30">
        <f>SUM(BL48:BL59)</f>
        <v>552</v>
      </c>
      <c r="BM47" s="32">
        <f t="shared" ref="BM47:BS47" si="9">SUM(BM48:BM59)</f>
        <v>1475</v>
      </c>
      <c r="BN47" s="32">
        <f t="shared" si="9"/>
        <v>1911</v>
      </c>
      <c r="BO47" s="32">
        <f t="shared" si="9"/>
        <v>1898</v>
      </c>
      <c r="BP47" s="32">
        <f t="shared" si="9"/>
        <v>1940</v>
      </c>
      <c r="BQ47" s="30">
        <f t="shared" si="9"/>
        <v>488</v>
      </c>
      <c r="BR47" s="34">
        <f t="shared" si="9"/>
        <v>1941</v>
      </c>
      <c r="BS47" s="34">
        <f t="shared" si="9"/>
        <v>2224</v>
      </c>
      <c r="BT47" s="61" t="s">
        <v>5</v>
      </c>
    </row>
    <row r="48" spans="1:80" ht="23.25" customHeight="1" x14ac:dyDescent="0.4">
      <c r="A48" s="35" t="s">
        <v>10</v>
      </c>
      <c r="B48" s="35"/>
      <c r="C48" s="36">
        <v>87</v>
      </c>
      <c r="D48" s="36">
        <v>140</v>
      </c>
      <c r="E48" s="36">
        <v>189</v>
      </c>
      <c r="F48" s="37">
        <v>215</v>
      </c>
      <c r="G48" s="38">
        <v>166</v>
      </c>
      <c r="H48" s="39">
        <v>174</v>
      </c>
      <c r="I48" s="40">
        <v>199</v>
      </c>
      <c r="J48" s="40">
        <v>264</v>
      </c>
      <c r="K48" s="40">
        <v>232</v>
      </c>
      <c r="L48" s="41">
        <v>290</v>
      </c>
      <c r="M48" s="41">
        <v>428</v>
      </c>
      <c r="N48" s="41">
        <v>290</v>
      </c>
      <c r="O48" s="40">
        <v>356</v>
      </c>
      <c r="P48" s="38">
        <v>376</v>
      </c>
      <c r="Q48" s="40">
        <v>400</v>
      </c>
      <c r="R48" s="40">
        <v>137</v>
      </c>
      <c r="S48" s="40">
        <v>111</v>
      </c>
      <c r="T48" s="40">
        <v>175</v>
      </c>
      <c r="U48" s="40">
        <v>164</v>
      </c>
      <c r="V48" s="42" t="s">
        <v>53</v>
      </c>
      <c r="W48" s="40">
        <v>48</v>
      </c>
      <c r="X48" s="40">
        <v>115</v>
      </c>
      <c r="Y48" s="40">
        <v>496</v>
      </c>
      <c r="Z48" s="40">
        <v>406</v>
      </c>
      <c r="AA48" s="43">
        <v>408</v>
      </c>
      <c r="AB48" s="40">
        <v>227</v>
      </c>
      <c r="AC48" s="40">
        <v>230</v>
      </c>
      <c r="AD48" s="40">
        <v>166</v>
      </c>
      <c r="AE48" s="42" t="s">
        <v>53</v>
      </c>
      <c r="AF48" s="40">
        <v>351</v>
      </c>
      <c r="AG48" s="40">
        <v>339</v>
      </c>
      <c r="AH48" s="40">
        <v>157</v>
      </c>
      <c r="AI48" s="40">
        <v>117</v>
      </c>
      <c r="AJ48" s="40">
        <v>261</v>
      </c>
      <c r="AK48" s="40">
        <v>400</v>
      </c>
      <c r="AL48" s="38">
        <v>359</v>
      </c>
      <c r="AM48" s="40">
        <v>339</v>
      </c>
      <c r="AN48" s="40">
        <v>321</v>
      </c>
      <c r="AO48" s="40">
        <v>400</v>
      </c>
      <c r="AP48" s="42" t="s">
        <v>53</v>
      </c>
      <c r="AQ48" s="40">
        <v>191</v>
      </c>
      <c r="AR48" s="40">
        <v>441</v>
      </c>
      <c r="AS48" s="40">
        <v>361</v>
      </c>
      <c r="AT48" s="38">
        <v>331</v>
      </c>
      <c r="AU48" s="40">
        <v>342</v>
      </c>
      <c r="AV48" s="40">
        <v>288</v>
      </c>
      <c r="AW48" s="40">
        <v>351</v>
      </c>
      <c r="AX48" s="40">
        <v>415</v>
      </c>
      <c r="AY48" s="40">
        <v>414</v>
      </c>
      <c r="AZ48" s="40">
        <v>174</v>
      </c>
      <c r="BA48" s="38">
        <v>181</v>
      </c>
      <c r="BB48" s="40">
        <v>164</v>
      </c>
      <c r="BC48" s="40">
        <v>155</v>
      </c>
      <c r="BD48" s="40">
        <v>179</v>
      </c>
      <c r="BE48" s="40">
        <v>169</v>
      </c>
      <c r="BF48" s="40">
        <v>57</v>
      </c>
      <c r="BG48" s="38">
        <v>30</v>
      </c>
      <c r="BH48" s="40">
        <v>29</v>
      </c>
      <c r="BI48" s="40">
        <v>19</v>
      </c>
      <c r="BJ48" s="40">
        <v>23</v>
      </c>
      <c r="BK48" s="43">
        <v>24</v>
      </c>
      <c r="BL48" s="38" t="s">
        <v>54</v>
      </c>
      <c r="BM48" s="40">
        <v>124</v>
      </c>
      <c r="BN48" s="40">
        <v>142</v>
      </c>
      <c r="BO48" s="40">
        <v>178</v>
      </c>
      <c r="BP48" s="40">
        <v>156</v>
      </c>
      <c r="BQ48" s="38" t="s">
        <v>54</v>
      </c>
      <c r="BR48" s="40">
        <v>171</v>
      </c>
      <c r="BS48" s="40">
        <v>176</v>
      </c>
      <c r="BT48" s="59" t="s">
        <v>11</v>
      </c>
      <c r="BY48" s="22"/>
      <c r="BZ48" s="22"/>
      <c r="CA48" s="22"/>
      <c r="CB48" s="22"/>
    </row>
    <row r="49" spans="1:80" ht="23.25" customHeight="1" x14ac:dyDescent="0.4">
      <c r="A49" s="35" t="s">
        <v>12</v>
      </c>
      <c r="B49" s="35"/>
      <c r="C49" s="36">
        <v>69</v>
      </c>
      <c r="D49" s="36">
        <v>128</v>
      </c>
      <c r="E49" s="36">
        <v>161</v>
      </c>
      <c r="F49" s="37">
        <v>192</v>
      </c>
      <c r="G49" s="38">
        <v>161</v>
      </c>
      <c r="H49" s="39">
        <v>195</v>
      </c>
      <c r="I49" s="40">
        <v>195</v>
      </c>
      <c r="J49" s="40">
        <v>213</v>
      </c>
      <c r="K49" s="40">
        <v>223</v>
      </c>
      <c r="L49" s="41">
        <v>268</v>
      </c>
      <c r="M49" s="41">
        <v>332</v>
      </c>
      <c r="N49" s="41">
        <v>314</v>
      </c>
      <c r="O49" s="40">
        <v>360</v>
      </c>
      <c r="P49" s="38">
        <v>336</v>
      </c>
      <c r="Q49" s="40">
        <v>428</v>
      </c>
      <c r="R49" s="40">
        <v>185</v>
      </c>
      <c r="S49" s="40">
        <v>109</v>
      </c>
      <c r="T49" s="40">
        <v>158</v>
      </c>
      <c r="U49" s="40">
        <v>176</v>
      </c>
      <c r="V49" s="42" t="s">
        <v>53</v>
      </c>
      <c r="W49" s="40">
        <v>40</v>
      </c>
      <c r="X49" s="40">
        <v>83</v>
      </c>
      <c r="Y49" s="40">
        <v>462</v>
      </c>
      <c r="Z49" s="40">
        <v>408</v>
      </c>
      <c r="AA49" s="43">
        <v>356</v>
      </c>
      <c r="AB49" s="40">
        <v>212</v>
      </c>
      <c r="AC49" s="40">
        <v>199</v>
      </c>
      <c r="AD49" s="40">
        <v>120</v>
      </c>
      <c r="AE49" s="42" t="s">
        <v>53</v>
      </c>
      <c r="AF49" s="40">
        <v>351</v>
      </c>
      <c r="AG49" s="40">
        <v>427</v>
      </c>
      <c r="AH49" s="40">
        <v>102</v>
      </c>
      <c r="AI49" s="40">
        <v>89</v>
      </c>
      <c r="AJ49" s="40">
        <v>221</v>
      </c>
      <c r="AK49" s="40">
        <v>380</v>
      </c>
      <c r="AL49" s="38">
        <v>407</v>
      </c>
      <c r="AM49" s="40">
        <v>323</v>
      </c>
      <c r="AN49" s="40">
        <v>260</v>
      </c>
      <c r="AO49" s="40">
        <v>373</v>
      </c>
      <c r="AP49" s="42" t="s">
        <v>53</v>
      </c>
      <c r="AQ49" s="40">
        <v>213</v>
      </c>
      <c r="AR49" s="40">
        <v>375</v>
      </c>
      <c r="AS49" s="40">
        <v>356</v>
      </c>
      <c r="AT49" s="38">
        <v>304</v>
      </c>
      <c r="AU49" s="40">
        <v>320</v>
      </c>
      <c r="AV49" s="40">
        <v>304</v>
      </c>
      <c r="AW49" s="40">
        <v>308</v>
      </c>
      <c r="AX49" s="40">
        <v>365</v>
      </c>
      <c r="AY49" s="40">
        <v>376</v>
      </c>
      <c r="AZ49" s="40">
        <v>159</v>
      </c>
      <c r="BA49" s="38">
        <v>169</v>
      </c>
      <c r="BB49" s="40">
        <v>159</v>
      </c>
      <c r="BC49" s="40">
        <v>161</v>
      </c>
      <c r="BD49" s="40">
        <v>164</v>
      </c>
      <c r="BE49" s="40">
        <v>164</v>
      </c>
      <c r="BF49" s="40">
        <v>83</v>
      </c>
      <c r="BG49" s="38">
        <v>23</v>
      </c>
      <c r="BH49" s="40">
        <v>23</v>
      </c>
      <c r="BI49" s="40">
        <v>17</v>
      </c>
      <c r="BJ49" s="40">
        <v>15</v>
      </c>
      <c r="BK49" s="43">
        <v>19</v>
      </c>
      <c r="BL49" s="38" t="s">
        <v>54</v>
      </c>
      <c r="BM49" s="40">
        <v>143</v>
      </c>
      <c r="BN49" s="40">
        <v>136</v>
      </c>
      <c r="BO49" s="40">
        <v>180</v>
      </c>
      <c r="BP49" s="40">
        <v>161</v>
      </c>
      <c r="BQ49" s="38" t="s">
        <v>54</v>
      </c>
      <c r="BR49" s="40">
        <v>168</v>
      </c>
      <c r="BS49" s="40">
        <v>181</v>
      </c>
      <c r="BT49" s="59" t="s">
        <v>13</v>
      </c>
    </row>
    <row r="50" spans="1:80" ht="23.25" customHeight="1" x14ac:dyDescent="0.4">
      <c r="A50" s="35" t="s">
        <v>14</v>
      </c>
      <c r="B50" s="35"/>
      <c r="C50" s="36">
        <v>80</v>
      </c>
      <c r="D50" s="36">
        <v>161</v>
      </c>
      <c r="E50" s="36">
        <v>184</v>
      </c>
      <c r="F50" s="37">
        <v>214</v>
      </c>
      <c r="G50" s="38">
        <v>173</v>
      </c>
      <c r="H50" s="39">
        <v>201</v>
      </c>
      <c r="I50" s="40">
        <v>193</v>
      </c>
      <c r="J50" s="40">
        <v>258</v>
      </c>
      <c r="K50" s="40">
        <v>218</v>
      </c>
      <c r="L50" s="41">
        <v>202</v>
      </c>
      <c r="M50" s="41">
        <v>320</v>
      </c>
      <c r="N50" s="41">
        <v>358</v>
      </c>
      <c r="O50" s="40">
        <v>388</v>
      </c>
      <c r="P50" s="38">
        <v>396</v>
      </c>
      <c r="Q50" s="40">
        <v>402</v>
      </c>
      <c r="R50" s="40">
        <v>131</v>
      </c>
      <c r="S50" s="40">
        <v>98</v>
      </c>
      <c r="T50" s="40">
        <v>141</v>
      </c>
      <c r="U50" s="40">
        <v>190</v>
      </c>
      <c r="V50" s="42" t="s">
        <v>53</v>
      </c>
      <c r="W50" s="40">
        <v>56</v>
      </c>
      <c r="X50" s="40">
        <v>197</v>
      </c>
      <c r="Y50" s="40">
        <v>446</v>
      </c>
      <c r="Z50" s="40">
        <v>388</v>
      </c>
      <c r="AA50" s="43">
        <v>400</v>
      </c>
      <c r="AB50" s="40">
        <v>246</v>
      </c>
      <c r="AC50" s="40">
        <v>235</v>
      </c>
      <c r="AD50" s="40">
        <v>168</v>
      </c>
      <c r="AE50" s="42" t="s">
        <v>53</v>
      </c>
      <c r="AF50" s="40">
        <v>233</v>
      </c>
      <c r="AG50" s="40">
        <v>348</v>
      </c>
      <c r="AH50" s="40">
        <v>183</v>
      </c>
      <c r="AI50" s="40">
        <v>149</v>
      </c>
      <c r="AJ50" s="40">
        <v>277</v>
      </c>
      <c r="AK50" s="40">
        <v>391</v>
      </c>
      <c r="AL50" s="38">
        <v>377</v>
      </c>
      <c r="AM50" s="40">
        <v>314</v>
      </c>
      <c r="AN50" s="40">
        <v>281</v>
      </c>
      <c r="AO50" s="40">
        <v>369</v>
      </c>
      <c r="AP50" s="42" t="s">
        <v>53</v>
      </c>
      <c r="AQ50" s="40">
        <v>231</v>
      </c>
      <c r="AR50" s="40">
        <v>436</v>
      </c>
      <c r="AS50" s="40">
        <v>393</v>
      </c>
      <c r="AT50" s="38">
        <v>356</v>
      </c>
      <c r="AU50" s="40">
        <v>343</v>
      </c>
      <c r="AV50" s="40">
        <v>364</v>
      </c>
      <c r="AW50" s="40">
        <v>327</v>
      </c>
      <c r="AX50" s="40">
        <v>397</v>
      </c>
      <c r="AY50" s="40">
        <v>414</v>
      </c>
      <c r="AZ50" s="40">
        <v>176</v>
      </c>
      <c r="BA50" s="38">
        <v>170</v>
      </c>
      <c r="BB50" s="40">
        <v>163</v>
      </c>
      <c r="BC50" s="40">
        <v>174</v>
      </c>
      <c r="BD50" s="40">
        <v>169</v>
      </c>
      <c r="BE50" s="40">
        <v>178</v>
      </c>
      <c r="BF50" s="40">
        <v>108</v>
      </c>
      <c r="BG50" s="38">
        <v>25</v>
      </c>
      <c r="BH50" s="40">
        <v>23</v>
      </c>
      <c r="BI50" s="40">
        <v>20</v>
      </c>
      <c r="BJ50" s="40">
        <v>19</v>
      </c>
      <c r="BK50" s="43">
        <v>17</v>
      </c>
      <c r="BL50" s="38" t="s">
        <v>54</v>
      </c>
      <c r="BM50" s="40">
        <v>114</v>
      </c>
      <c r="BN50" s="40">
        <v>148</v>
      </c>
      <c r="BO50" s="40">
        <v>156</v>
      </c>
      <c r="BP50" s="40">
        <v>160</v>
      </c>
      <c r="BQ50" s="38" t="s">
        <v>54</v>
      </c>
      <c r="BR50" s="40">
        <v>150</v>
      </c>
      <c r="BS50" s="40">
        <v>202</v>
      </c>
      <c r="BT50" s="59" t="s">
        <v>15</v>
      </c>
    </row>
    <row r="51" spans="1:80" ht="23.25" customHeight="1" x14ac:dyDescent="0.4">
      <c r="A51" s="35" t="s">
        <v>16</v>
      </c>
      <c r="B51" s="35"/>
      <c r="C51" s="36">
        <v>147</v>
      </c>
      <c r="D51" s="36">
        <v>149</v>
      </c>
      <c r="E51" s="36">
        <v>190</v>
      </c>
      <c r="F51" s="37">
        <v>192</v>
      </c>
      <c r="G51" s="38">
        <v>173</v>
      </c>
      <c r="H51" s="39">
        <v>192</v>
      </c>
      <c r="I51" s="40">
        <v>211</v>
      </c>
      <c r="J51" s="40">
        <v>245</v>
      </c>
      <c r="K51" s="40">
        <v>213</v>
      </c>
      <c r="L51" s="41">
        <v>192</v>
      </c>
      <c r="M51" s="41">
        <v>358</v>
      </c>
      <c r="N51" s="41">
        <v>268</v>
      </c>
      <c r="O51" s="40">
        <v>354</v>
      </c>
      <c r="P51" s="38">
        <v>390</v>
      </c>
      <c r="Q51" s="40">
        <v>368</v>
      </c>
      <c r="R51" s="40">
        <v>167</v>
      </c>
      <c r="S51" s="40">
        <v>131</v>
      </c>
      <c r="T51" s="40">
        <v>174</v>
      </c>
      <c r="U51" s="40">
        <v>166</v>
      </c>
      <c r="V51" s="42" t="s">
        <v>53</v>
      </c>
      <c r="W51" s="40">
        <v>42</v>
      </c>
      <c r="X51" s="40">
        <v>241</v>
      </c>
      <c r="Y51" s="40">
        <v>436</v>
      </c>
      <c r="Z51" s="40">
        <v>438</v>
      </c>
      <c r="AA51" s="43">
        <v>412</v>
      </c>
      <c r="AB51" s="40">
        <v>230</v>
      </c>
      <c r="AC51" s="40">
        <v>229</v>
      </c>
      <c r="AD51" s="40">
        <v>139</v>
      </c>
      <c r="AE51" s="42" t="s">
        <v>53</v>
      </c>
      <c r="AF51" s="40">
        <v>226</v>
      </c>
      <c r="AG51" s="40">
        <v>284</v>
      </c>
      <c r="AH51" s="40">
        <v>138</v>
      </c>
      <c r="AI51" s="40">
        <v>120</v>
      </c>
      <c r="AJ51" s="40">
        <v>278</v>
      </c>
      <c r="AK51" s="40">
        <v>390</v>
      </c>
      <c r="AL51" s="38">
        <v>367</v>
      </c>
      <c r="AM51" s="40">
        <v>314</v>
      </c>
      <c r="AN51" s="40">
        <v>289</v>
      </c>
      <c r="AO51" s="40">
        <v>346</v>
      </c>
      <c r="AP51" s="42" t="s">
        <v>53</v>
      </c>
      <c r="AQ51" s="40">
        <v>239</v>
      </c>
      <c r="AR51" s="40">
        <v>437</v>
      </c>
      <c r="AS51" s="40">
        <v>358</v>
      </c>
      <c r="AT51" s="38">
        <v>341</v>
      </c>
      <c r="AU51" s="40">
        <v>328</v>
      </c>
      <c r="AV51" s="40">
        <v>289</v>
      </c>
      <c r="AW51" s="40">
        <v>316</v>
      </c>
      <c r="AX51" s="40">
        <v>353</v>
      </c>
      <c r="AY51" s="40">
        <v>471</v>
      </c>
      <c r="AZ51" s="40">
        <v>175</v>
      </c>
      <c r="BA51" s="38">
        <v>175</v>
      </c>
      <c r="BB51" s="40">
        <v>154</v>
      </c>
      <c r="BC51" s="40">
        <v>158</v>
      </c>
      <c r="BD51" s="40">
        <v>164</v>
      </c>
      <c r="BE51" s="40">
        <v>165</v>
      </c>
      <c r="BF51" s="40">
        <v>112</v>
      </c>
      <c r="BG51" s="38">
        <v>26</v>
      </c>
      <c r="BH51" s="40">
        <v>21</v>
      </c>
      <c r="BI51" s="40">
        <v>22</v>
      </c>
      <c r="BJ51" s="40">
        <v>21</v>
      </c>
      <c r="BK51" s="43">
        <v>21</v>
      </c>
      <c r="BL51" s="38" t="s">
        <v>54</v>
      </c>
      <c r="BM51" s="40">
        <v>106</v>
      </c>
      <c r="BN51" s="40">
        <v>156</v>
      </c>
      <c r="BO51" s="40">
        <v>146</v>
      </c>
      <c r="BP51" s="40">
        <v>156</v>
      </c>
      <c r="BQ51" s="38" t="s">
        <v>54</v>
      </c>
      <c r="BR51" s="40">
        <v>161</v>
      </c>
      <c r="BS51" s="40">
        <v>181</v>
      </c>
      <c r="BT51" s="59" t="s">
        <v>17</v>
      </c>
      <c r="BY51" s="22"/>
      <c r="BZ51" s="22"/>
      <c r="CA51" s="22"/>
      <c r="CB51" s="22"/>
    </row>
    <row r="52" spans="1:80" ht="23.25" customHeight="1" x14ac:dyDescent="0.4">
      <c r="A52" s="35" t="s">
        <v>18</v>
      </c>
      <c r="B52" s="35"/>
      <c r="C52" s="36">
        <v>128</v>
      </c>
      <c r="D52" s="36">
        <v>139</v>
      </c>
      <c r="E52" s="36">
        <v>178</v>
      </c>
      <c r="F52" s="37">
        <v>186</v>
      </c>
      <c r="G52" s="38">
        <v>182</v>
      </c>
      <c r="H52" s="39">
        <v>194</v>
      </c>
      <c r="I52" s="40">
        <v>209</v>
      </c>
      <c r="J52" s="40">
        <v>200</v>
      </c>
      <c r="K52" s="40">
        <v>220</v>
      </c>
      <c r="L52" s="41">
        <v>274</v>
      </c>
      <c r="M52" s="41">
        <v>284</v>
      </c>
      <c r="N52" s="41">
        <v>274</v>
      </c>
      <c r="O52" s="40">
        <v>368</v>
      </c>
      <c r="P52" s="38">
        <v>356</v>
      </c>
      <c r="Q52" s="40">
        <v>364</v>
      </c>
      <c r="R52" s="40">
        <v>102</v>
      </c>
      <c r="S52" s="40">
        <v>99</v>
      </c>
      <c r="T52" s="40">
        <v>130</v>
      </c>
      <c r="U52" s="40">
        <v>154</v>
      </c>
      <c r="V52" s="42" t="s">
        <v>53</v>
      </c>
      <c r="W52" s="40">
        <v>68</v>
      </c>
      <c r="X52" s="40">
        <v>233</v>
      </c>
      <c r="Y52" s="40">
        <v>380</v>
      </c>
      <c r="Z52" s="40">
        <v>372</v>
      </c>
      <c r="AA52" s="43">
        <v>426</v>
      </c>
      <c r="AB52" s="40">
        <v>236</v>
      </c>
      <c r="AC52" s="40">
        <v>222</v>
      </c>
      <c r="AD52" s="40">
        <v>136</v>
      </c>
      <c r="AE52" s="42" t="s">
        <v>53</v>
      </c>
      <c r="AF52" s="40">
        <v>180</v>
      </c>
      <c r="AG52" s="40">
        <v>382</v>
      </c>
      <c r="AH52" s="40">
        <v>168</v>
      </c>
      <c r="AI52" s="40">
        <v>147</v>
      </c>
      <c r="AJ52" s="40">
        <v>211</v>
      </c>
      <c r="AK52" s="40">
        <v>411</v>
      </c>
      <c r="AL52" s="38">
        <v>397</v>
      </c>
      <c r="AM52" s="40">
        <v>370</v>
      </c>
      <c r="AN52" s="40">
        <v>325</v>
      </c>
      <c r="AO52" s="40">
        <v>527</v>
      </c>
      <c r="AP52" s="42" t="s">
        <v>53</v>
      </c>
      <c r="AQ52" s="40">
        <v>288</v>
      </c>
      <c r="AR52" s="40">
        <v>454</v>
      </c>
      <c r="AS52" s="40">
        <v>370</v>
      </c>
      <c r="AT52" s="38">
        <v>341</v>
      </c>
      <c r="AU52" s="40">
        <v>321</v>
      </c>
      <c r="AV52" s="40">
        <v>259</v>
      </c>
      <c r="AW52" s="40">
        <v>319</v>
      </c>
      <c r="AX52" s="40">
        <v>336</v>
      </c>
      <c r="AY52" s="40">
        <v>428</v>
      </c>
      <c r="AZ52" s="40">
        <v>181</v>
      </c>
      <c r="BA52" s="38">
        <v>166</v>
      </c>
      <c r="BB52" s="40">
        <v>163</v>
      </c>
      <c r="BC52" s="40">
        <v>142</v>
      </c>
      <c r="BD52" s="40">
        <v>158</v>
      </c>
      <c r="BE52" s="40">
        <v>149</v>
      </c>
      <c r="BF52" s="40">
        <v>91</v>
      </c>
      <c r="BG52" s="38">
        <v>28</v>
      </c>
      <c r="BH52" s="40">
        <v>21</v>
      </c>
      <c r="BI52" s="40">
        <v>20</v>
      </c>
      <c r="BJ52" s="40">
        <v>16</v>
      </c>
      <c r="BK52" s="43">
        <v>15</v>
      </c>
      <c r="BL52" s="38">
        <v>9</v>
      </c>
      <c r="BM52" s="40">
        <v>90</v>
      </c>
      <c r="BN52" s="40">
        <v>160</v>
      </c>
      <c r="BO52" s="40">
        <v>146</v>
      </c>
      <c r="BP52" s="40">
        <v>182</v>
      </c>
      <c r="BQ52" s="38" t="s">
        <v>54</v>
      </c>
      <c r="BR52" s="40">
        <v>148</v>
      </c>
      <c r="BS52" s="40">
        <v>184</v>
      </c>
      <c r="BT52" s="59" t="s">
        <v>19</v>
      </c>
    </row>
    <row r="53" spans="1:80" ht="23.25" customHeight="1" x14ac:dyDescent="0.4">
      <c r="A53" s="35" t="s">
        <v>20</v>
      </c>
      <c r="B53" s="35"/>
      <c r="C53" s="36">
        <v>137</v>
      </c>
      <c r="D53" s="36">
        <v>136</v>
      </c>
      <c r="E53" s="36">
        <v>192</v>
      </c>
      <c r="F53" s="37">
        <v>180</v>
      </c>
      <c r="G53" s="38">
        <v>174</v>
      </c>
      <c r="H53" s="39">
        <v>185</v>
      </c>
      <c r="I53" s="40">
        <v>192</v>
      </c>
      <c r="J53" s="40">
        <v>175</v>
      </c>
      <c r="K53" s="40">
        <v>185</v>
      </c>
      <c r="L53" s="41">
        <v>278</v>
      </c>
      <c r="M53" s="41">
        <v>318</v>
      </c>
      <c r="N53" s="41">
        <v>328</v>
      </c>
      <c r="O53" s="40">
        <v>346</v>
      </c>
      <c r="P53" s="38">
        <v>340</v>
      </c>
      <c r="Q53" s="40">
        <v>336</v>
      </c>
      <c r="R53" s="40">
        <v>127</v>
      </c>
      <c r="S53" s="40">
        <v>102</v>
      </c>
      <c r="T53" s="40">
        <v>173</v>
      </c>
      <c r="U53" s="40">
        <v>169</v>
      </c>
      <c r="V53" s="42" t="s">
        <v>53</v>
      </c>
      <c r="W53" s="40">
        <v>58</v>
      </c>
      <c r="X53" s="40">
        <v>225</v>
      </c>
      <c r="Y53" s="40">
        <v>376</v>
      </c>
      <c r="Z53" s="40">
        <v>356</v>
      </c>
      <c r="AA53" s="43">
        <v>406</v>
      </c>
      <c r="AB53" s="40">
        <v>231</v>
      </c>
      <c r="AC53" s="40">
        <v>138</v>
      </c>
      <c r="AD53" s="40">
        <v>198</v>
      </c>
      <c r="AE53" s="42" t="s">
        <v>53</v>
      </c>
      <c r="AF53" s="40">
        <v>150</v>
      </c>
      <c r="AG53" s="40">
        <v>354</v>
      </c>
      <c r="AH53" s="40">
        <v>168</v>
      </c>
      <c r="AI53" s="40">
        <v>137</v>
      </c>
      <c r="AJ53" s="40">
        <v>190</v>
      </c>
      <c r="AK53" s="40">
        <v>407</v>
      </c>
      <c r="AL53" s="38">
        <v>345</v>
      </c>
      <c r="AM53" s="40">
        <v>327</v>
      </c>
      <c r="AN53" s="40">
        <v>395</v>
      </c>
      <c r="AO53" s="40">
        <v>374</v>
      </c>
      <c r="AP53" s="42" t="s">
        <v>53</v>
      </c>
      <c r="AQ53" s="40">
        <v>292</v>
      </c>
      <c r="AR53" s="40">
        <v>442</v>
      </c>
      <c r="AS53" s="40">
        <v>331</v>
      </c>
      <c r="AT53" s="38">
        <v>302</v>
      </c>
      <c r="AU53" s="40">
        <v>286</v>
      </c>
      <c r="AV53" s="40">
        <v>341</v>
      </c>
      <c r="AW53" s="40">
        <v>310</v>
      </c>
      <c r="AX53" s="40">
        <v>340</v>
      </c>
      <c r="AY53" s="40">
        <v>450</v>
      </c>
      <c r="AZ53" s="40">
        <v>168</v>
      </c>
      <c r="BA53" s="38">
        <v>146</v>
      </c>
      <c r="BB53" s="40">
        <v>144</v>
      </c>
      <c r="BC53" s="40">
        <v>145</v>
      </c>
      <c r="BD53" s="40">
        <v>155</v>
      </c>
      <c r="BE53" s="40">
        <v>153</v>
      </c>
      <c r="BF53" s="40">
        <v>68</v>
      </c>
      <c r="BG53" s="38">
        <v>28</v>
      </c>
      <c r="BH53" s="40">
        <v>18</v>
      </c>
      <c r="BI53" s="40">
        <v>20</v>
      </c>
      <c r="BJ53" s="40">
        <v>19</v>
      </c>
      <c r="BK53" s="43">
        <v>20</v>
      </c>
      <c r="BL53" s="38">
        <v>43</v>
      </c>
      <c r="BM53" s="40">
        <v>86</v>
      </c>
      <c r="BN53" s="40">
        <v>147</v>
      </c>
      <c r="BO53" s="40">
        <v>150</v>
      </c>
      <c r="BP53" s="40">
        <v>151</v>
      </c>
      <c r="BQ53" s="38" t="s">
        <v>54</v>
      </c>
      <c r="BR53" s="40">
        <v>123</v>
      </c>
      <c r="BS53" s="40">
        <v>166</v>
      </c>
      <c r="BT53" s="59" t="s">
        <v>21</v>
      </c>
    </row>
    <row r="54" spans="1:80" ht="23.25" customHeight="1" x14ac:dyDescent="0.4">
      <c r="A54" s="35" t="s">
        <v>22</v>
      </c>
      <c r="B54" s="35"/>
      <c r="C54" s="36">
        <v>178</v>
      </c>
      <c r="D54" s="36">
        <v>154</v>
      </c>
      <c r="E54" s="36">
        <v>189</v>
      </c>
      <c r="F54" s="37">
        <v>178</v>
      </c>
      <c r="G54" s="38">
        <v>168</v>
      </c>
      <c r="H54" s="39">
        <v>193</v>
      </c>
      <c r="I54" s="40">
        <v>215</v>
      </c>
      <c r="J54" s="40">
        <v>195</v>
      </c>
      <c r="K54" s="40">
        <v>195</v>
      </c>
      <c r="L54" s="41">
        <v>322</v>
      </c>
      <c r="M54" s="41">
        <v>372</v>
      </c>
      <c r="N54" s="41">
        <v>308</v>
      </c>
      <c r="O54" s="40">
        <v>362</v>
      </c>
      <c r="P54" s="38">
        <v>356</v>
      </c>
      <c r="Q54" s="40">
        <v>402</v>
      </c>
      <c r="R54" s="40">
        <v>161</v>
      </c>
      <c r="S54" s="40">
        <v>146</v>
      </c>
      <c r="T54" s="40">
        <v>124</v>
      </c>
      <c r="U54" s="40">
        <v>161</v>
      </c>
      <c r="V54" s="42" t="s">
        <v>53</v>
      </c>
      <c r="W54" s="40">
        <v>60</v>
      </c>
      <c r="X54" s="40">
        <v>228</v>
      </c>
      <c r="Y54" s="40">
        <v>442</v>
      </c>
      <c r="Z54" s="40">
        <v>370</v>
      </c>
      <c r="AA54" s="43">
        <v>402</v>
      </c>
      <c r="AB54" s="40">
        <v>247</v>
      </c>
      <c r="AC54" s="40">
        <v>132</v>
      </c>
      <c r="AD54" s="40">
        <v>211</v>
      </c>
      <c r="AE54" s="42" t="s">
        <v>53</v>
      </c>
      <c r="AF54" s="40">
        <v>226</v>
      </c>
      <c r="AG54" s="40">
        <v>337</v>
      </c>
      <c r="AH54" s="40">
        <v>189</v>
      </c>
      <c r="AI54" s="40">
        <v>148</v>
      </c>
      <c r="AJ54" s="40">
        <v>151</v>
      </c>
      <c r="AK54" s="40">
        <v>452</v>
      </c>
      <c r="AL54" s="38">
        <v>353</v>
      </c>
      <c r="AM54" s="40">
        <v>338</v>
      </c>
      <c r="AN54" s="40">
        <v>428</v>
      </c>
      <c r="AO54" s="40">
        <v>403</v>
      </c>
      <c r="AP54" s="42" t="s">
        <v>53</v>
      </c>
      <c r="AQ54" s="40">
        <v>302</v>
      </c>
      <c r="AR54" s="40">
        <v>430</v>
      </c>
      <c r="AS54" s="40">
        <v>346</v>
      </c>
      <c r="AT54" s="38">
        <v>330</v>
      </c>
      <c r="AU54" s="40">
        <v>296</v>
      </c>
      <c r="AV54" s="40">
        <v>254</v>
      </c>
      <c r="AW54" s="40">
        <v>366</v>
      </c>
      <c r="AX54" s="40">
        <v>378</v>
      </c>
      <c r="AY54" s="40">
        <v>478</v>
      </c>
      <c r="AZ54" s="40">
        <v>173</v>
      </c>
      <c r="BA54" s="38">
        <v>152</v>
      </c>
      <c r="BB54" s="40">
        <v>162</v>
      </c>
      <c r="BC54" s="40">
        <v>154</v>
      </c>
      <c r="BD54" s="40">
        <v>166</v>
      </c>
      <c r="BE54" s="40">
        <v>153</v>
      </c>
      <c r="BF54" s="40">
        <v>58</v>
      </c>
      <c r="BG54" s="38">
        <v>26</v>
      </c>
      <c r="BH54" s="40">
        <v>25</v>
      </c>
      <c r="BI54" s="40">
        <v>21</v>
      </c>
      <c r="BJ54" s="40">
        <v>19</v>
      </c>
      <c r="BK54" s="43">
        <v>23</v>
      </c>
      <c r="BL54" s="38">
        <v>39</v>
      </c>
      <c r="BM54" s="40">
        <v>120</v>
      </c>
      <c r="BN54" s="40">
        <v>155</v>
      </c>
      <c r="BO54" s="40">
        <v>169</v>
      </c>
      <c r="BP54" s="40">
        <v>165</v>
      </c>
      <c r="BQ54" s="38" t="s">
        <v>54</v>
      </c>
      <c r="BR54" s="40">
        <v>157</v>
      </c>
      <c r="BS54" s="40">
        <v>176</v>
      </c>
      <c r="BT54" s="59" t="s">
        <v>23</v>
      </c>
      <c r="BY54" s="22"/>
      <c r="BZ54" s="22"/>
      <c r="CA54" s="22"/>
      <c r="CB54" s="22"/>
    </row>
    <row r="55" spans="1:80" ht="23.25" customHeight="1" x14ac:dyDescent="0.4">
      <c r="A55" s="35" t="s">
        <v>24</v>
      </c>
      <c r="B55" s="35"/>
      <c r="C55" s="36">
        <v>139</v>
      </c>
      <c r="D55" s="36">
        <v>153</v>
      </c>
      <c r="E55" s="36">
        <v>200</v>
      </c>
      <c r="F55" s="37">
        <v>189</v>
      </c>
      <c r="G55" s="38">
        <v>173</v>
      </c>
      <c r="H55" s="39">
        <v>214</v>
      </c>
      <c r="I55" s="40">
        <v>217</v>
      </c>
      <c r="J55" s="40">
        <v>210</v>
      </c>
      <c r="K55" s="40">
        <v>221</v>
      </c>
      <c r="L55" s="41">
        <v>254</v>
      </c>
      <c r="M55" s="41">
        <v>362</v>
      </c>
      <c r="N55" s="41">
        <v>464</v>
      </c>
      <c r="O55" s="40">
        <v>392</v>
      </c>
      <c r="P55" s="38">
        <v>346</v>
      </c>
      <c r="Q55" s="40">
        <v>438</v>
      </c>
      <c r="R55" s="40">
        <v>121</v>
      </c>
      <c r="S55" s="40">
        <v>145</v>
      </c>
      <c r="T55" s="40">
        <v>138</v>
      </c>
      <c r="U55" s="40">
        <v>159</v>
      </c>
      <c r="V55" s="42" t="s">
        <v>53</v>
      </c>
      <c r="W55" s="40">
        <v>66</v>
      </c>
      <c r="X55" s="40">
        <v>226</v>
      </c>
      <c r="Y55" s="40">
        <v>436</v>
      </c>
      <c r="Z55" s="40">
        <v>412</v>
      </c>
      <c r="AA55" s="43">
        <v>424</v>
      </c>
      <c r="AB55" s="40">
        <v>226</v>
      </c>
      <c r="AC55" s="40">
        <v>99</v>
      </c>
      <c r="AD55" s="40">
        <v>149</v>
      </c>
      <c r="AE55" s="42" t="s">
        <v>53</v>
      </c>
      <c r="AF55" s="40">
        <v>250</v>
      </c>
      <c r="AG55" s="40">
        <v>402</v>
      </c>
      <c r="AH55" s="40">
        <v>146</v>
      </c>
      <c r="AI55" s="40">
        <v>180</v>
      </c>
      <c r="AJ55" s="40">
        <v>177</v>
      </c>
      <c r="AK55" s="40">
        <v>464</v>
      </c>
      <c r="AL55" s="38">
        <v>365</v>
      </c>
      <c r="AM55" s="40">
        <v>381</v>
      </c>
      <c r="AN55" s="40">
        <v>421</v>
      </c>
      <c r="AO55" s="40">
        <v>450</v>
      </c>
      <c r="AP55" s="42" t="s">
        <v>53</v>
      </c>
      <c r="AQ55" s="40">
        <v>333</v>
      </c>
      <c r="AR55" s="40">
        <v>420</v>
      </c>
      <c r="AS55" s="40">
        <v>370</v>
      </c>
      <c r="AT55" s="38">
        <v>341</v>
      </c>
      <c r="AU55" s="40">
        <v>329</v>
      </c>
      <c r="AV55" s="40">
        <v>159</v>
      </c>
      <c r="AW55" s="40">
        <v>397</v>
      </c>
      <c r="AX55" s="40">
        <v>430</v>
      </c>
      <c r="AY55" s="40">
        <v>480</v>
      </c>
      <c r="AZ55" s="40">
        <v>172</v>
      </c>
      <c r="BA55" s="38">
        <v>163</v>
      </c>
      <c r="BB55" s="40">
        <v>156</v>
      </c>
      <c r="BC55" s="40">
        <v>148</v>
      </c>
      <c r="BD55" s="40">
        <v>165</v>
      </c>
      <c r="BE55" s="40">
        <v>161</v>
      </c>
      <c r="BF55" s="40">
        <v>60</v>
      </c>
      <c r="BG55" s="38">
        <v>26</v>
      </c>
      <c r="BH55" s="40">
        <v>19</v>
      </c>
      <c r="BI55" s="40">
        <v>22</v>
      </c>
      <c r="BJ55" s="40">
        <v>27</v>
      </c>
      <c r="BK55" s="43">
        <v>30</v>
      </c>
      <c r="BL55" s="38">
        <v>54</v>
      </c>
      <c r="BM55" s="40">
        <v>149</v>
      </c>
      <c r="BN55" s="40">
        <v>173</v>
      </c>
      <c r="BO55" s="40">
        <v>147</v>
      </c>
      <c r="BP55" s="40">
        <v>155</v>
      </c>
      <c r="BQ55" s="38" t="s">
        <v>54</v>
      </c>
      <c r="BR55" s="40">
        <v>172</v>
      </c>
      <c r="BS55" s="40">
        <v>189</v>
      </c>
      <c r="BT55" s="59" t="s">
        <v>25</v>
      </c>
    </row>
    <row r="56" spans="1:80" ht="23.25" customHeight="1" x14ac:dyDescent="0.4">
      <c r="A56" s="35" t="s">
        <v>26</v>
      </c>
      <c r="B56" s="35"/>
      <c r="C56" s="36">
        <v>148</v>
      </c>
      <c r="D56" s="36">
        <v>155</v>
      </c>
      <c r="E56" s="36">
        <v>200</v>
      </c>
      <c r="F56" s="37">
        <v>185</v>
      </c>
      <c r="G56" s="38">
        <v>177</v>
      </c>
      <c r="H56" s="39">
        <v>233</v>
      </c>
      <c r="I56" s="40">
        <v>242</v>
      </c>
      <c r="J56" s="40">
        <v>215</v>
      </c>
      <c r="K56" s="40">
        <v>228</v>
      </c>
      <c r="L56" s="41">
        <v>272</v>
      </c>
      <c r="M56" s="41">
        <v>286</v>
      </c>
      <c r="N56" s="41">
        <v>376</v>
      </c>
      <c r="O56" s="40">
        <v>346</v>
      </c>
      <c r="P56" s="38">
        <v>320</v>
      </c>
      <c r="Q56" s="40">
        <v>432</v>
      </c>
      <c r="R56" s="40">
        <v>139</v>
      </c>
      <c r="S56" s="40">
        <v>100</v>
      </c>
      <c r="T56" s="40">
        <v>202</v>
      </c>
      <c r="U56" s="40">
        <v>139</v>
      </c>
      <c r="V56" s="42" t="s">
        <v>53</v>
      </c>
      <c r="W56" s="40">
        <v>54</v>
      </c>
      <c r="X56" s="40">
        <v>199</v>
      </c>
      <c r="Y56" s="40">
        <v>434</v>
      </c>
      <c r="Z56" s="40">
        <v>402</v>
      </c>
      <c r="AA56" s="43">
        <v>392</v>
      </c>
      <c r="AB56" s="40">
        <v>223</v>
      </c>
      <c r="AC56" s="40">
        <v>185</v>
      </c>
      <c r="AD56" s="40">
        <v>167</v>
      </c>
      <c r="AE56" s="42" t="s">
        <v>53</v>
      </c>
      <c r="AF56" s="40">
        <v>308</v>
      </c>
      <c r="AG56" s="40">
        <v>387</v>
      </c>
      <c r="AH56" s="40">
        <v>172</v>
      </c>
      <c r="AI56" s="40">
        <v>191</v>
      </c>
      <c r="AJ56" s="40">
        <v>178</v>
      </c>
      <c r="AK56" s="40">
        <v>409</v>
      </c>
      <c r="AL56" s="38">
        <v>341</v>
      </c>
      <c r="AM56" s="40">
        <v>317</v>
      </c>
      <c r="AN56" s="40">
        <v>419</v>
      </c>
      <c r="AO56" s="40">
        <v>375</v>
      </c>
      <c r="AP56" s="42" t="s">
        <v>53</v>
      </c>
      <c r="AQ56" s="40">
        <v>335</v>
      </c>
      <c r="AR56" s="40">
        <v>318</v>
      </c>
      <c r="AS56" s="40">
        <v>357</v>
      </c>
      <c r="AT56" s="38">
        <v>314</v>
      </c>
      <c r="AU56" s="40">
        <v>331</v>
      </c>
      <c r="AV56" s="40">
        <v>159</v>
      </c>
      <c r="AW56" s="40">
        <v>362</v>
      </c>
      <c r="AX56" s="40">
        <v>360</v>
      </c>
      <c r="AY56" s="40">
        <v>380</v>
      </c>
      <c r="AZ56" s="40">
        <v>166</v>
      </c>
      <c r="BA56" s="38">
        <v>151</v>
      </c>
      <c r="BB56" s="40">
        <v>155</v>
      </c>
      <c r="BC56" s="40">
        <v>166</v>
      </c>
      <c r="BD56" s="40">
        <v>158</v>
      </c>
      <c r="BE56" s="40">
        <v>154</v>
      </c>
      <c r="BF56" s="40">
        <v>46</v>
      </c>
      <c r="BG56" s="38">
        <v>32</v>
      </c>
      <c r="BH56" s="40">
        <v>24</v>
      </c>
      <c r="BI56" s="40">
        <v>21</v>
      </c>
      <c r="BJ56" s="40">
        <v>23</v>
      </c>
      <c r="BK56" s="43">
        <v>21</v>
      </c>
      <c r="BL56" s="38">
        <v>69</v>
      </c>
      <c r="BM56" s="40">
        <v>130</v>
      </c>
      <c r="BN56" s="40">
        <v>173</v>
      </c>
      <c r="BO56" s="40">
        <v>141</v>
      </c>
      <c r="BP56" s="40">
        <v>154</v>
      </c>
      <c r="BQ56" s="38" t="s">
        <v>54</v>
      </c>
      <c r="BR56" s="40">
        <v>165</v>
      </c>
      <c r="BS56" s="40">
        <v>161</v>
      </c>
      <c r="BT56" s="59" t="s">
        <v>27</v>
      </c>
    </row>
    <row r="57" spans="1:80" ht="23.25" customHeight="1" x14ac:dyDescent="0.4">
      <c r="A57" s="35" t="s">
        <v>28</v>
      </c>
      <c r="B57" s="35"/>
      <c r="C57" s="36">
        <v>144</v>
      </c>
      <c r="D57" s="36">
        <v>157</v>
      </c>
      <c r="E57" s="36">
        <v>204</v>
      </c>
      <c r="F57" s="37">
        <v>180</v>
      </c>
      <c r="G57" s="38">
        <v>163</v>
      </c>
      <c r="H57" s="39">
        <v>228</v>
      </c>
      <c r="I57" s="40">
        <v>238</v>
      </c>
      <c r="J57" s="40">
        <v>168</v>
      </c>
      <c r="K57" s="40">
        <v>217</v>
      </c>
      <c r="L57" s="41">
        <v>190</v>
      </c>
      <c r="M57" s="41">
        <v>272</v>
      </c>
      <c r="N57" s="41">
        <v>380</v>
      </c>
      <c r="O57" s="40">
        <v>366</v>
      </c>
      <c r="P57" s="38">
        <v>334</v>
      </c>
      <c r="Q57" s="40">
        <v>492</v>
      </c>
      <c r="R57" s="40">
        <v>104</v>
      </c>
      <c r="S57" s="40">
        <v>122</v>
      </c>
      <c r="T57" s="40">
        <v>165</v>
      </c>
      <c r="U57" s="40">
        <v>177</v>
      </c>
      <c r="V57" s="40">
        <v>4</v>
      </c>
      <c r="W57" s="40">
        <v>52</v>
      </c>
      <c r="X57" s="40">
        <v>210</v>
      </c>
      <c r="Y57" s="40">
        <v>446</v>
      </c>
      <c r="Z57" s="40">
        <v>394</v>
      </c>
      <c r="AA57" s="43">
        <v>408</v>
      </c>
      <c r="AB57" s="40">
        <v>251</v>
      </c>
      <c r="AC57" s="40">
        <v>104</v>
      </c>
      <c r="AD57" s="40">
        <v>172</v>
      </c>
      <c r="AE57" s="40">
        <v>186</v>
      </c>
      <c r="AF57" s="40">
        <v>365</v>
      </c>
      <c r="AG57" s="40">
        <v>439</v>
      </c>
      <c r="AH57" s="40">
        <v>122</v>
      </c>
      <c r="AI57" s="40">
        <v>105</v>
      </c>
      <c r="AJ57" s="40">
        <v>151</v>
      </c>
      <c r="AK57" s="40">
        <v>451</v>
      </c>
      <c r="AL57" s="38">
        <v>336</v>
      </c>
      <c r="AM57" s="40">
        <v>326</v>
      </c>
      <c r="AN57" s="40">
        <v>402</v>
      </c>
      <c r="AO57" s="40">
        <v>414</v>
      </c>
      <c r="AP57" s="40">
        <v>30</v>
      </c>
      <c r="AQ57" s="40">
        <v>357</v>
      </c>
      <c r="AR57" s="40">
        <v>350</v>
      </c>
      <c r="AS57" s="40">
        <v>368</v>
      </c>
      <c r="AT57" s="38">
        <v>328</v>
      </c>
      <c r="AU57" s="40">
        <v>321</v>
      </c>
      <c r="AV57" s="40">
        <v>160</v>
      </c>
      <c r="AW57" s="40">
        <v>387</v>
      </c>
      <c r="AX57" s="40">
        <v>392</v>
      </c>
      <c r="AY57" s="40">
        <v>441</v>
      </c>
      <c r="AZ57" s="40">
        <v>185</v>
      </c>
      <c r="BA57" s="38">
        <v>173</v>
      </c>
      <c r="BB57" s="40">
        <v>167</v>
      </c>
      <c r="BC57" s="40">
        <v>163</v>
      </c>
      <c r="BD57" s="40">
        <v>167</v>
      </c>
      <c r="BE57" s="40">
        <v>165</v>
      </c>
      <c r="BF57" s="40">
        <v>54</v>
      </c>
      <c r="BG57" s="38">
        <v>27</v>
      </c>
      <c r="BH57" s="40">
        <v>20</v>
      </c>
      <c r="BI57" s="40">
        <v>19</v>
      </c>
      <c r="BJ57" s="40">
        <v>18</v>
      </c>
      <c r="BK57" s="43">
        <v>19</v>
      </c>
      <c r="BL57" s="38">
        <v>87</v>
      </c>
      <c r="BM57" s="40">
        <v>150</v>
      </c>
      <c r="BN57" s="40">
        <v>188</v>
      </c>
      <c r="BO57" s="40">
        <v>171</v>
      </c>
      <c r="BP57" s="40">
        <v>171</v>
      </c>
      <c r="BQ57" s="38">
        <v>132</v>
      </c>
      <c r="BR57" s="40">
        <v>180</v>
      </c>
      <c r="BS57" s="40">
        <v>186</v>
      </c>
      <c r="BT57" s="59" t="s">
        <v>29</v>
      </c>
      <c r="BY57" s="22"/>
      <c r="BZ57" s="22"/>
      <c r="CA57" s="22"/>
      <c r="CB57" s="22"/>
    </row>
    <row r="58" spans="1:80" ht="23.25" customHeight="1" x14ac:dyDescent="0.4">
      <c r="A58" s="35" t="s">
        <v>30</v>
      </c>
      <c r="B58" s="35"/>
      <c r="C58" s="36">
        <v>151</v>
      </c>
      <c r="D58" s="36">
        <v>170</v>
      </c>
      <c r="E58" s="36">
        <v>203</v>
      </c>
      <c r="F58" s="37">
        <v>147</v>
      </c>
      <c r="G58" s="38">
        <v>179</v>
      </c>
      <c r="H58" s="39">
        <v>202</v>
      </c>
      <c r="I58" s="40">
        <v>241</v>
      </c>
      <c r="J58" s="40">
        <v>204</v>
      </c>
      <c r="K58" s="40">
        <v>226</v>
      </c>
      <c r="L58" s="41">
        <v>354</v>
      </c>
      <c r="M58" s="41">
        <v>282</v>
      </c>
      <c r="N58" s="41">
        <v>390</v>
      </c>
      <c r="O58" s="40">
        <v>374</v>
      </c>
      <c r="P58" s="38">
        <v>334</v>
      </c>
      <c r="Q58" s="40">
        <v>458</v>
      </c>
      <c r="R58" s="40">
        <v>142</v>
      </c>
      <c r="S58" s="40">
        <v>129</v>
      </c>
      <c r="T58" s="40">
        <v>199</v>
      </c>
      <c r="U58" s="40">
        <v>160</v>
      </c>
      <c r="V58" s="40">
        <v>144</v>
      </c>
      <c r="W58" s="40">
        <v>84</v>
      </c>
      <c r="X58" s="40">
        <v>253</v>
      </c>
      <c r="Y58" s="40">
        <v>410</v>
      </c>
      <c r="Z58" s="40">
        <v>390</v>
      </c>
      <c r="AA58" s="43">
        <v>348</v>
      </c>
      <c r="AB58" s="40">
        <v>224</v>
      </c>
      <c r="AC58" s="40">
        <v>162</v>
      </c>
      <c r="AD58" s="40">
        <v>177</v>
      </c>
      <c r="AE58" s="40">
        <v>275</v>
      </c>
      <c r="AF58" s="40">
        <v>325</v>
      </c>
      <c r="AG58" s="40">
        <v>415</v>
      </c>
      <c r="AH58" s="40">
        <v>133</v>
      </c>
      <c r="AI58" s="40">
        <v>148</v>
      </c>
      <c r="AJ58" s="40">
        <v>173</v>
      </c>
      <c r="AK58" s="40">
        <v>375</v>
      </c>
      <c r="AL58" s="38">
        <v>304</v>
      </c>
      <c r="AM58" s="40">
        <v>298</v>
      </c>
      <c r="AN58" s="40">
        <v>365</v>
      </c>
      <c r="AO58" s="40">
        <v>383</v>
      </c>
      <c r="AP58" s="40">
        <v>49</v>
      </c>
      <c r="AQ58" s="40">
        <v>365</v>
      </c>
      <c r="AR58" s="40">
        <v>349</v>
      </c>
      <c r="AS58" s="40">
        <v>309</v>
      </c>
      <c r="AT58" s="38">
        <v>319</v>
      </c>
      <c r="AU58" s="40">
        <v>324</v>
      </c>
      <c r="AV58" s="40">
        <v>159</v>
      </c>
      <c r="AW58" s="40">
        <v>370</v>
      </c>
      <c r="AX58" s="40">
        <v>379</v>
      </c>
      <c r="AY58" s="40">
        <v>374</v>
      </c>
      <c r="AZ58" s="40">
        <v>169</v>
      </c>
      <c r="BA58" s="38">
        <v>164</v>
      </c>
      <c r="BB58" s="40">
        <v>160</v>
      </c>
      <c r="BC58" s="40">
        <v>170</v>
      </c>
      <c r="BD58" s="40">
        <v>159</v>
      </c>
      <c r="BE58" s="40">
        <v>177</v>
      </c>
      <c r="BF58" s="40">
        <v>50</v>
      </c>
      <c r="BG58" s="38">
        <v>30</v>
      </c>
      <c r="BH58" s="40">
        <v>22</v>
      </c>
      <c r="BI58" s="40">
        <v>21</v>
      </c>
      <c r="BJ58" s="40">
        <v>24</v>
      </c>
      <c r="BK58" s="43">
        <v>17</v>
      </c>
      <c r="BL58" s="38">
        <v>127</v>
      </c>
      <c r="BM58" s="40">
        <v>132</v>
      </c>
      <c r="BN58" s="40">
        <v>164</v>
      </c>
      <c r="BO58" s="40">
        <v>156</v>
      </c>
      <c r="BP58" s="40">
        <v>168</v>
      </c>
      <c r="BQ58" s="38">
        <v>178</v>
      </c>
      <c r="BR58" s="40">
        <v>175</v>
      </c>
      <c r="BS58" s="40">
        <v>210</v>
      </c>
      <c r="BT58" s="59" t="s">
        <v>31</v>
      </c>
    </row>
    <row r="59" spans="1:80" ht="23.25" customHeight="1" x14ac:dyDescent="0.4">
      <c r="A59" s="44" t="s">
        <v>32</v>
      </c>
      <c r="B59" s="44"/>
      <c r="C59" s="45">
        <v>134</v>
      </c>
      <c r="D59" s="45">
        <v>174</v>
      </c>
      <c r="E59" s="45">
        <v>220</v>
      </c>
      <c r="F59" s="46">
        <v>162</v>
      </c>
      <c r="G59" s="47">
        <v>199</v>
      </c>
      <c r="H59" s="48">
        <v>181</v>
      </c>
      <c r="I59" s="49">
        <v>267</v>
      </c>
      <c r="J59" s="49">
        <v>212</v>
      </c>
      <c r="K59" s="49">
        <v>205</v>
      </c>
      <c r="L59" s="50">
        <v>330</v>
      </c>
      <c r="M59" s="50">
        <v>368</v>
      </c>
      <c r="N59" s="50">
        <v>371</v>
      </c>
      <c r="O59" s="49">
        <v>398</v>
      </c>
      <c r="P59" s="47">
        <v>406</v>
      </c>
      <c r="Q59" s="49">
        <v>458</v>
      </c>
      <c r="R59" s="49">
        <v>121</v>
      </c>
      <c r="S59" s="49">
        <v>105</v>
      </c>
      <c r="T59" s="49">
        <v>170</v>
      </c>
      <c r="U59" s="49">
        <v>162</v>
      </c>
      <c r="V59" s="49">
        <v>114</v>
      </c>
      <c r="W59" s="49">
        <v>82</v>
      </c>
      <c r="X59" s="49">
        <v>222</v>
      </c>
      <c r="Y59" s="49">
        <v>418</v>
      </c>
      <c r="Z59" s="49">
        <v>390</v>
      </c>
      <c r="AA59" s="51">
        <v>412</v>
      </c>
      <c r="AB59" s="49">
        <v>220</v>
      </c>
      <c r="AC59" s="49">
        <v>216</v>
      </c>
      <c r="AD59" s="49">
        <v>195</v>
      </c>
      <c r="AE59" s="49">
        <v>308</v>
      </c>
      <c r="AF59" s="49">
        <v>350</v>
      </c>
      <c r="AG59" s="49">
        <v>405</v>
      </c>
      <c r="AH59" s="49">
        <v>167</v>
      </c>
      <c r="AI59" s="49">
        <v>268</v>
      </c>
      <c r="AJ59" s="49">
        <v>217</v>
      </c>
      <c r="AK59" s="49">
        <v>394</v>
      </c>
      <c r="AL59" s="47">
        <v>314</v>
      </c>
      <c r="AM59" s="49">
        <v>316</v>
      </c>
      <c r="AN59" s="49">
        <v>399</v>
      </c>
      <c r="AO59" s="49">
        <v>410</v>
      </c>
      <c r="AP59" s="49">
        <v>94</v>
      </c>
      <c r="AQ59" s="49">
        <v>369</v>
      </c>
      <c r="AR59" s="49">
        <v>346</v>
      </c>
      <c r="AS59" s="49">
        <v>329</v>
      </c>
      <c r="AT59" s="47">
        <v>327</v>
      </c>
      <c r="AU59" s="49">
        <v>329</v>
      </c>
      <c r="AV59" s="49">
        <v>170</v>
      </c>
      <c r="AW59" s="49">
        <v>385</v>
      </c>
      <c r="AX59" s="49">
        <v>387</v>
      </c>
      <c r="AY59" s="49">
        <v>453</v>
      </c>
      <c r="AZ59" s="49">
        <v>178</v>
      </c>
      <c r="BA59" s="47">
        <v>178</v>
      </c>
      <c r="BB59" s="49">
        <v>169</v>
      </c>
      <c r="BC59" s="49">
        <v>180</v>
      </c>
      <c r="BD59" s="49">
        <v>171</v>
      </c>
      <c r="BE59" s="49">
        <v>255</v>
      </c>
      <c r="BF59" s="49">
        <v>39</v>
      </c>
      <c r="BG59" s="47">
        <v>30</v>
      </c>
      <c r="BH59" s="49">
        <v>24</v>
      </c>
      <c r="BI59" s="49">
        <v>23</v>
      </c>
      <c r="BJ59" s="49">
        <v>22</v>
      </c>
      <c r="BK59" s="51">
        <v>15</v>
      </c>
      <c r="BL59" s="47">
        <v>124</v>
      </c>
      <c r="BM59" s="49">
        <v>131</v>
      </c>
      <c r="BN59" s="49">
        <v>169</v>
      </c>
      <c r="BO59" s="49">
        <v>158</v>
      </c>
      <c r="BP59" s="49">
        <v>161</v>
      </c>
      <c r="BQ59" s="47">
        <v>178</v>
      </c>
      <c r="BR59" s="49">
        <v>171</v>
      </c>
      <c r="BS59" s="49">
        <v>212</v>
      </c>
      <c r="BT59" s="60" t="s">
        <v>33</v>
      </c>
    </row>
    <row r="60" spans="1:80" ht="18.75" x14ac:dyDescent="0.25">
      <c r="A60" s="6" t="s">
        <v>6</v>
      </c>
      <c r="B60" s="6"/>
      <c r="C60" s="8"/>
      <c r="D60" s="8"/>
      <c r="E60" s="8"/>
      <c r="F60" s="8"/>
      <c r="G60" s="8"/>
      <c r="H60" s="8"/>
      <c r="I60" s="8"/>
      <c r="J60" s="8"/>
      <c r="K60" s="8"/>
      <c r="BT60" s="9" t="s">
        <v>7</v>
      </c>
      <c r="BX60" s="17"/>
      <c r="BY60" s="22"/>
      <c r="BZ60" s="22"/>
      <c r="CA60" s="22"/>
      <c r="CB60" s="22"/>
    </row>
  </sheetData>
  <mergeCells count="42"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  <mergeCell ref="A44:A46"/>
    <mergeCell ref="G44:K44"/>
    <mergeCell ref="P44:AA44"/>
    <mergeCell ref="AC44:AJ44"/>
    <mergeCell ref="AL44:AR44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W5:X5"/>
    <mergeCell ref="Z5:AA5"/>
    <mergeCell ref="W4:X4"/>
    <mergeCell ref="Z4:AA4"/>
    <mergeCell ref="Q5:R5"/>
    <mergeCell ref="T5:U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T140"/>
  <sheetViews>
    <sheetView tabSelected="1" zoomScale="98" zoomScaleNormal="98" workbookViewId="0">
      <selection activeCell="A141" sqref="A141:XFD390"/>
    </sheetView>
  </sheetViews>
  <sheetFormatPr defaultColWidth="9.140625" defaultRowHeight="15" x14ac:dyDescent="0.25"/>
  <cols>
    <col min="1" max="1" width="13.42578125" style="77" customWidth="1"/>
    <col min="2" max="8" width="10.5703125" style="77" customWidth="1"/>
    <col min="9" max="9" width="1.140625" style="77" customWidth="1"/>
    <col min="10" max="12" width="1.28515625" style="77" customWidth="1"/>
    <col min="13" max="13" width="13.42578125" style="77" customWidth="1"/>
    <col min="14" max="20" width="10.5703125" style="77" customWidth="1"/>
    <col min="21" max="16384" width="9.140625" style="77"/>
  </cols>
  <sheetData>
    <row r="1" spans="1:20" s="115" customFormat="1" x14ac:dyDescent="0.25">
      <c r="A1" s="181" t="s">
        <v>96</v>
      </c>
      <c r="B1" s="181"/>
      <c r="C1" s="181"/>
      <c r="D1" s="181"/>
      <c r="E1" s="181"/>
      <c r="F1" s="181"/>
      <c r="G1" s="181"/>
      <c r="H1" s="181"/>
      <c r="I1" s="128"/>
      <c r="J1" s="129"/>
      <c r="K1" s="129"/>
      <c r="L1" s="129"/>
      <c r="M1" s="181" t="s">
        <v>84</v>
      </c>
      <c r="N1" s="181"/>
      <c r="O1" s="181"/>
      <c r="P1" s="181"/>
      <c r="Q1" s="181"/>
      <c r="R1" s="181"/>
      <c r="S1" s="181"/>
      <c r="T1" s="181"/>
    </row>
    <row r="2" spans="1:20" x14ac:dyDescent="0.25">
      <c r="M2" s="79"/>
      <c r="N2" s="78"/>
      <c r="O2" s="78"/>
      <c r="P2" s="78"/>
      <c r="Q2" s="78"/>
      <c r="R2" s="78"/>
      <c r="S2" s="78"/>
      <c r="T2" s="78"/>
    </row>
    <row r="3" spans="1:20" x14ac:dyDescent="0.25">
      <c r="A3" s="172" t="s">
        <v>64</v>
      </c>
      <c r="B3" s="174" t="s">
        <v>65</v>
      </c>
      <c r="C3" s="176" t="s">
        <v>66</v>
      </c>
      <c r="D3" s="176"/>
      <c r="E3" s="177" t="s">
        <v>67</v>
      </c>
      <c r="F3" s="178"/>
      <c r="G3" s="176" t="s">
        <v>68</v>
      </c>
      <c r="H3" s="176"/>
      <c r="I3" s="121"/>
      <c r="J3" s="78"/>
      <c r="K3" s="78"/>
      <c r="L3" s="78"/>
      <c r="M3" s="172" t="s">
        <v>64</v>
      </c>
      <c r="N3" s="174" t="s">
        <v>65</v>
      </c>
      <c r="O3" s="176" t="s">
        <v>66</v>
      </c>
      <c r="P3" s="176"/>
      <c r="Q3" s="177" t="s">
        <v>67</v>
      </c>
      <c r="R3" s="178"/>
      <c r="S3" s="176" t="s">
        <v>68</v>
      </c>
      <c r="T3" s="176"/>
    </row>
    <row r="4" spans="1:20" x14ac:dyDescent="0.25">
      <c r="A4" s="173"/>
      <c r="B4" s="175"/>
      <c r="C4" s="85" t="s">
        <v>69</v>
      </c>
      <c r="D4" s="85" t="s">
        <v>70</v>
      </c>
      <c r="E4" s="88" t="s">
        <v>69</v>
      </c>
      <c r="F4" s="89" t="s">
        <v>70</v>
      </c>
      <c r="G4" s="85" t="s">
        <v>69</v>
      </c>
      <c r="H4" s="85" t="s">
        <v>70</v>
      </c>
      <c r="I4" s="122"/>
      <c r="J4" s="78"/>
      <c r="K4" s="78"/>
      <c r="L4" s="78"/>
      <c r="M4" s="173"/>
      <c r="N4" s="175"/>
      <c r="O4" s="85" t="s">
        <v>69</v>
      </c>
      <c r="P4" s="85" t="s">
        <v>70</v>
      </c>
      <c r="Q4" s="88" t="s">
        <v>69</v>
      </c>
      <c r="R4" s="89" t="s">
        <v>70</v>
      </c>
      <c r="S4" s="85" t="s">
        <v>69</v>
      </c>
      <c r="T4" s="85" t="s">
        <v>70</v>
      </c>
    </row>
    <row r="5" spans="1:20" x14ac:dyDescent="0.25">
      <c r="A5" s="84" t="s">
        <v>4</v>
      </c>
      <c r="B5" s="86"/>
      <c r="C5" s="86"/>
      <c r="D5" s="86"/>
      <c r="E5" s="90"/>
      <c r="F5" s="91"/>
      <c r="G5" s="86"/>
      <c r="H5" s="86"/>
      <c r="I5" s="123"/>
      <c r="J5" s="78"/>
      <c r="K5" s="78"/>
      <c r="L5" s="78"/>
      <c r="M5" s="84" t="s">
        <v>4</v>
      </c>
      <c r="N5" s="86"/>
      <c r="O5" s="86"/>
      <c r="P5" s="86"/>
      <c r="Q5" s="90"/>
      <c r="R5" s="91"/>
      <c r="S5" s="86"/>
      <c r="T5" s="86"/>
    </row>
    <row r="6" spans="1:20" x14ac:dyDescent="0.25">
      <c r="A6" s="116" t="s">
        <v>10</v>
      </c>
      <c r="B6" s="87">
        <v>332</v>
      </c>
      <c r="C6" s="87">
        <v>2315</v>
      </c>
      <c r="D6" s="87">
        <v>2878</v>
      </c>
      <c r="E6" s="92">
        <v>6383</v>
      </c>
      <c r="F6" s="93">
        <v>5208</v>
      </c>
      <c r="G6" s="87">
        <v>190</v>
      </c>
      <c r="H6" s="87">
        <v>9</v>
      </c>
      <c r="I6" s="87"/>
      <c r="J6" s="78"/>
      <c r="K6" s="78"/>
      <c r="L6" s="78"/>
      <c r="M6" s="116" t="s">
        <v>10</v>
      </c>
      <c r="N6" s="87">
        <v>176</v>
      </c>
      <c r="O6" s="87">
        <v>1760</v>
      </c>
      <c r="P6" s="87">
        <v>2275</v>
      </c>
      <c r="Q6" s="92">
        <v>2020</v>
      </c>
      <c r="R6" s="93">
        <v>4411</v>
      </c>
      <c r="S6" s="87">
        <v>14</v>
      </c>
      <c r="T6" s="87">
        <v>6</v>
      </c>
    </row>
    <row r="7" spans="1:20" x14ac:dyDescent="0.25">
      <c r="A7" s="116" t="s">
        <v>12</v>
      </c>
      <c r="B7" s="87">
        <v>278</v>
      </c>
      <c r="C7" s="87">
        <v>2283</v>
      </c>
      <c r="D7" s="87">
        <v>2270</v>
      </c>
      <c r="E7" s="92">
        <v>4102</v>
      </c>
      <c r="F7" s="93">
        <v>4982</v>
      </c>
      <c r="G7" s="87">
        <v>2</v>
      </c>
      <c r="H7" s="87">
        <v>3</v>
      </c>
      <c r="I7" s="87"/>
      <c r="J7" s="78"/>
      <c r="K7" s="78"/>
      <c r="L7" s="78"/>
      <c r="M7" s="116" t="s">
        <v>12</v>
      </c>
      <c r="N7" s="87">
        <v>144</v>
      </c>
      <c r="O7" s="87">
        <v>1199</v>
      </c>
      <c r="P7" s="87">
        <v>1130</v>
      </c>
      <c r="Q7" s="92">
        <v>1768</v>
      </c>
      <c r="R7" s="93">
        <v>4707</v>
      </c>
      <c r="S7" s="87">
        <v>4</v>
      </c>
      <c r="T7" s="87">
        <v>3</v>
      </c>
    </row>
    <row r="8" spans="1:20" x14ac:dyDescent="0.25">
      <c r="A8" s="116" t="s">
        <v>14</v>
      </c>
      <c r="B8" s="87">
        <v>292</v>
      </c>
      <c r="C8" s="87">
        <v>2366</v>
      </c>
      <c r="D8" s="87">
        <v>2680</v>
      </c>
      <c r="E8" s="92">
        <v>5394</v>
      </c>
      <c r="F8" s="93">
        <v>3716</v>
      </c>
      <c r="G8" s="87">
        <v>11</v>
      </c>
      <c r="H8" s="87">
        <v>322</v>
      </c>
      <c r="I8" s="87"/>
      <c r="J8" s="78"/>
      <c r="K8" s="78"/>
      <c r="L8" s="78"/>
      <c r="M8" s="116" t="s">
        <v>14</v>
      </c>
      <c r="N8" s="87">
        <v>180</v>
      </c>
      <c r="O8" s="87">
        <v>1344</v>
      </c>
      <c r="P8" s="87">
        <v>1262</v>
      </c>
      <c r="Q8" s="92">
        <v>2049</v>
      </c>
      <c r="R8" s="93">
        <v>6338</v>
      </c>
      <c r="S8" s="87">
        <v>11</v>
      </c>
      <c r="T8" s="87">
        <v>8</v>
      </c>
    </row>
    <row r="9" spans="1:20" x14ac:dyDescent="0.25">
      <c r="A9" s="116" t="s">
        <v>16</v>
      </c>
      <c r="B9" s="87">
        <v>280</v>
      </c>
      <c r="C9" s="87">
        <v>2122</v>
      </c>
      <c r="D9" s="87">
        <v>2232</v>
      </c>
      <c r="E9" s="92">
        <v>5379</v>
      </c>
      <c r="F9" s="93">
        <v>3583</v>
      </c>
      <c r="G9" s="87">
        <v>85</v>
      </c>
      <c r="H9" s="87">
        <v>3</v>
      </c>
      <c r="I9" s="87"/>
      <c r="J9" s="78"/>
      <c r="K9" s="78"/>
      <c r="L9" s="78"/>
      <c r="M9" s="116" t="s">
        <v>16</v>
      </c>
      <c r="N9" s="87">
        <v>168</v>
      </c>
      <c r="O9" s="87">
        <v>1197</v>
      </c>
      <c r="P9" s="87">
        <v>1245</v>
      </c>
      <c r="Q9" s="92">
        <v>3801</v>
      </c>
      <c r="R9" s="93">
        <v>9484</v>
      </c>
      <c r="S9" s="87">
        <v>6</v>
      </c>
      <c r="T9" s="87">
        <v>14</v>
      </c>
    </row>
    <row r="10" spans="1:20" x14ac:dyDescent="0.25">
      <c r="A10" s="116" t="s">
        <v>18</v>
      </c>
      <c r="B10" s="87">
        <v>240</v>
      </c>
      <c r="C10" s="87">
        <v>1439</v>
      </c>
      <c r="D10" s="87">
        <v>1649</v>
      </c>
      <c r="E10" s="92">
        <v>4128</v>
      </c>
      <c r="F10" s="93">
        <v>3909</v>
      </c>
      <c r="G10" s="87">
        <v>4</v>
      </c>
      <c r="H10" s="87">
        <v>1</v>
      </c>
      <c r="I10" s="87"/>
      <c r="J10" s="78"/>
      <c r="K10" s="78"/>
      <c r="L10" s="78"/>
      <c r="M10" s="116" t="s">
        <v>18</v>
      </c>
      <c r="N10" s="87">
        <v>140</v>
      </c>
      <c r="O10" s="87">
        <v>697</v>
      </c>
      <c r="P10" s="87">
        <v>802</v>
      </c>
      <c r="Q10" s="92">
        <v>3480</v>
      </c>
      <c r="R10" s="93">
        <v>9668</v>
      </c>
      <c r="S10" s="87">
        <v>7</v>
      </c>
      <c r="T10" s="87">
        <v>3</v>
      </c>
    </row>
    <row r="11" spans="1:20" x14ac:dyDescent="0.25">
      <c r="A11" s="116" t="s">
        <v>20</v>
      </c>
      <c r="B11" s="87">
        <v>172</v>
      </c>
      <c r="C11" s="87">
        <v>1550</v>
      </c>
      <c r="D11" s="87">
        <v>1232</v>
      </c>
      <c r="E11" s="92">
        <v>2941</v>
      </c>
      <c r="F11" s="93">
        <v>3869</v>
      </c>
      <c r="G11" s="87">
        <v>14</v>
      </c>
      <c r="H11" s="87">
        <v>4</v>
      </c>
      <c r="I11" s="87"/>
      <c r="J11" s="81"/>
      <c r="K11" s="81"/>
      <c r="L11" s="78"/>
      <c r="M11" s="116" t="s">
        <v>20</v>
      </c>
      <c r="N11" s="87">
        <v>127</v>
      </c>
      <c r="O11" s="87">
        <v>1018</v>
      </c>
      <c r="P11" s="87">
        <v>990</v>
      </c>
      <c r="Q11" s="92">
        <v>2136</v>
      </c>
      <c r="R11" s="93">
        <v>10457</v>
      </c>
      <c r="S11" s="87">
        <v>9</v>
      </c>
      <c r="T11" s="87">
        <v>4</v>
      </c>
    </row>
    <row r="12" spans="1:20" x14ac:dyDescent="0.25">
      <c r="A12" s="116" t="s">
        <v>22</v>
      </c>
      <c r="B12" s="87">
        <v>264</v>
      </c>
      <c r="C12" s="87">
        <v>2840</v>
      </c>
      <c r="D12" s="87">
        <v>3066</v>
      </c>
      <c r="E12" s="92">
        <v>4828</v>
      </c>
      <c r="F12" s="93">
        <v>2516</v>
      </c>
      <c r="G12" s="87">
        <v>10</v>
      </c>
      <c r="H12" s="87">
        <v>0</v>
      </c>
      <c r="I12" s="87"/>
      <c r="J12" s="78"/>
      <c r="K12" s="78"/>
      <c r="L12" s="78"/>
      <c r="M12" s="116" t="s">
        <v>22</v>
      </c>
      <c r="N12" s="87">
        <v>139</v>
      </c>
      <c r="O12" s="87">
        <v>2552</v>
      </c>
      <c r="P12" s="87">
        <v>2205</v>
      </c>
      <c r="Q12" s="92">
        <v>2169</v>
      </c>
      <c r="R12" s="93">
        <v>9256</v>
      </c>
      <c r="S12" s="87">
        <v>37</v>
      </c>
      <c r="T12" s="87">
        <v>4</v>
      </c>
    </row>
    <row r="13" spans="1:20" x14ac:dyDescent="0.25">
      <c r="A13" s="116" t="s">
        <v>24</v>
      </c>
      <c r="B13" s="87">
        <v>292</v>
      </c>
      <c r="C13" s="87">
        <v>3202</v>
      </c>
      <c r="D13" s="87">
        <v>3854</v>
      </c>
      <c r="E13" s="92">
        <v>4539</v>
      </c>
      <c r="F13" s="93">
        <v>4632</v>
      </c>
      <c r="G13" s="87">
        <v>3</v>
      </c>
      <c r="H13" s="87">
        <v>22</v>
      </c>
      <c r="I13" s="87"/>
      <c r="J13" s="78"/>
      <c r="K13" s="78"/>
      <c r="L13" s="78"/>
      <c r="M13" s="116" t="s">
        <v>24</v>
      </c>
      <c r="N13" s="87">
        <v>181</v>
      </c>
      <c r="O13" s="87">
        <v>2215</v>
      </c>
      <c r="P13" s="87">
        <v>2970</v>
      </c>
      <c r="Q13" s="92">
        <v>2349</v>
      </c>
      <c r="R13" s="93">
        <v>10419</v>
      </c>
      <c r="S13" s="87">
        <v>2</v>
      </c>
      <c r="T13" s="87">
        <v>6</v>
      </c>
    </row>
    <row r="14" spans="1:20" x14ac:dyDescent="0.25">
      <c r="A14" s="116" t="s">
        <v>26</v>
      </c>
      <c r="B14" s="94">
        <v>276</v>
      </c>
      <c r="C14" s="94">
        <v>3034</v>
      </c>
      <c r="D14" s="94">
        <v>3083</v>
      </c>
      <c r="E14" s="95">
        <v>2890</v>
      </c>
      <c r="F14" s="96">
        <v>3334</v>
      </c>
      <c r="G14" s="97">
        <v>13</v>
      </c>
      <c r="H14" s="97">
        <v>3</v>
      </c>
      <c r="I14" s="97"/>
      <c r="J14" s="78"/>
      <c r="K14" s="78"/>
      <c r="L14" s="78"/>
      <c r="M14" s="116" t="s">
        <v>26</v>
      </c>
      <c r="N14" s="94">
        <v>169</v>
      </c>
      <c r="O14" s="94">
        <v>1999</v>
      </c>
      <c r="P14" s="94">
        <v>2129</v>
      </c>
      <c r="Q14" s="95">
        <v>1579</v>
      </c>
      <c r="R14" s="96">
        <v>8327</v>
      </c>
      <c r="S14" s="97">
        <v>5</v>
      </c>
      <c r="T14" s="97">
        <v>10</v>
      </c>
    </row>
    <row r="15" spans="1:20" x14ac:dyDescent="0.25">
      <c r="A15" s="116" t="s">
        <v>28</v>
      </c>
      <c r="B15" s="97">
        <v>340</v>
      </c>
      <c r="C15" s="97">
        <v>3842</v>
      </c>
      <c r="D15" s="97">
        <v>3780</v>
      </c>
      <c r="E15" s="95">
        <v>4517</v>
      </c>
      <c r="F15" s="96">
        <v>4422</v>
      </c>
      <c r="G15" s="97">
        <v>6</v>
      </c>
      <c r="H15" s="97">
        <v>7</v>
      </c>
      <c r="I15" s="97"/>
      <c r="J15" s="78"/>
      <c r="K15" s="78"/>
      <c r="L15" s="78"/>
      <c r="M15" s="116" t="s">
        <v>28</v>
      </c>
      <c r="N15" s="97">
        <v>203</v>
      </c>
      <c r="O15" s="97">
        <v>2739</v>
      </c>
      <c r="P15" s="97">
        <v>2839</v>
      </c>
      <c r="Q15" s="95">
        <v>1761</v>
      </c>
      <c r="R15" s="96">
        <v>8208</v>
      </c>
      <c r="S15" s="97">
        <v>5</v>
      </c>
      <c r="T15" s="97">
        <v>3</v>
      </c>
    </row>
    <row r="16" spans="1:20" x14ac:dyDescent="0.25">
      <c r="A16" s="116" t="s">
        <v>30</v>
      </c>
      <c r="B16" s="87">
        <v>314</v>
      </c>
      <c r="C16" s="87">
        <v>3396</v>
      </c>
      <c r="D16" s="87">
        <v>3528</v>
      </c>
      <c r="E16" s="92">
        <v>4676</v>
      </c>
      <c r="F16" s="93">
        <v>4060</v>
      </c>
      <c r="G16" s="87">
        <v>22</v>
      </c>
      <c r="H16" s="87">
        <v>205</v>
      </c>
      <c r="I16" s="87"/>
      <c r="J16" s="78"/>
      <c r="K16" s="78"/>
      <c r="L16" s="78"/>
      <c r="M16" s="116" t="s">
        <v>30</v>
      </c>
      <c r="N16" s="87">
        <v>183</v>
      </c>
      <c r="O16" s="87">
        <v>2922</v>
      </c>
      <c r="P16" s="87">
        <v>2825</v>
      </c>
      <c r="Q16" s="92">
        <v>1608</v>
      </c>
      <c r="R16" s="93">
        <v>10992</v>
      </c>
      <c r="S16" s="87">
        <v>30</v>
      </c>
      <c r="T16" s="87">
        <v>10</v>
      </c>
    </row>
    <row r="17" spans="1:20" x14ac:dyDescent="0.25">
      <c r="A17" s="117" t="s">
        <v>32</v>
      </c>
      <c r="B17" s="118">
        <v>392</v>
      </c>
      <c r="C17" s="118">
        <v>4433</v>
      </c>
      <c r="D17" s="118">
        <v>4946</v>
      </c>
      <c r="E17" s="119">
        <v>7463</v>
      </c>
      <c r="F17" s="120">
        <v>3462</v>
      </c>
      <c r="G17" s="118">
        <v>21</v>
      </c>
      <c r="H17" s="118">
        <v>125</v>
      </c>
      <c r="I17" s="124"/>
      <c r="J17" s="78"/>
      <c r="K17" s="78"/>
      <c r="M17" s="117" t="s">
        <v>32</v>
      </c>
      <c r="N17" s="118">
        <v>234</v>
      </c>
      <c r="O17" s="118">
        <v>3797</v>
      </c>
      <c r="P17" s="118">
        <v>4019</v>
      </c>
      <c r="Q17" s="119">
        <v>2887</v>
      </c>
      <c r="R17" s="120">
        <v>8339</v>
      </c>
      <c r="S17" s="118">
        <v>23</v>
      </c>
      <c r="T17" s="118">
        <v>10</v>
      </c>
    </row>
    <row r="18" spans="1:20" ht="18.75" x14ac:dyDescent="0.25">
      <c r="A18" s="6" t="s">
        <v>6</v>
      </c>
      <c r="B18" s="3"/>
      <c r="C18" s="3"/>
      <c r="D18" s="7"/>
      <c r="E18" s="1"/>
      <c r="H18" s="11" t="s">
        <v>7</v>
      </c>
      <c r="I18" s="12"/>
      <c r="M18" s="6" t="s">
        <v>6</v>
      </c>
      <c r="N18" s="3"/>
      <c r="O18" s="3"/>
      <c r="P18" s="7"/>
      <c r="Q18" s="1"/>
      <c r="T18" s="11" t="s">
        <v>7</v>
      </c>
    </row>
    <row r="19" spans="1:20" x14ac:dyDescent="0.25">
      <c r="A19" s="79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</row>
    <row r="21" spans="1:20" x14ac:dyDescent="0.25">
      <c r="A21" s="171" t="s">
        <v>86</v>
      </c>
      <c r="B21" s="171"/>
      <c r="C21" s="171"/>
      <c r="D21" s="171"/>
      <c r="E21" s="171"/>
      <c r="F21" s="171"/>
      <c r="G21" s="171"/>
      <c r="H21" s="171"/>
      <c r="I21" s="114"/>
      <c r="J21" s="78"/>
      <c r="K21" s="78"/>
      <c r="L21" s="78"/>
      <c r="M21" s="171" t="s">
        <v>85</v>
      </c>
      <c r="N21" s="171"/>
      <c r="O21" s="171"/>
      <c r="P21" s="171"/>
      <c r="Q21" s="171"/>
      <c r="R21" s="171"/>
      <c r="S21" s="171"/>
      <c r="T21" s="171"/>
    </row>
    <row r="22" spans="1:20" x14ac:dyDescent="0.25">
      <c r="A22" s="79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9"/>
      <c r="N22" s="78"/>
      <c r="O22" s="78"/>
      <c r="P22" s="78"/>
      <c r="Q22" s="78"/>
      <c r="R22" s="78"/>
      <c r="S22" s="78"/>
      <c r="T22" s="78"/>
    </row>
    <row r="23" spans="1:20" x14ac:dyDescent="0.25">
      <c r="A23" s="172" t="s">
        <v>64</v>
      </c>
      <c r="B23" s="174" t="s">
        <v>65</v>
      </c>
      <c r="C23" s="176" t="s">
        <v>66</v>
      </c>
      <c r="D23" s="176"/>
      <c r="E23" s="177" t="s">
        <v>67</v>
      </c>
      <c r="F23" s="178"/>
      <c r="G23" s="176" t="s">
        <v>68</v>
      </c>
      <c r="H23" s="176"/>
      <c r="I23" s="121"/>
      <c r="J23" s="78"/>
      <c r="K23" s="78"/>
      <c r="L23" s="78"/>
      <c r="M23" s="172" t="s">
        <v>64</v>
      </c>
      <c r="N23" s="174" t="s">
        <v>65</v>
      </c>
      <c r="O23" s="176" t="s">
        <v>66</v>
      </c>
      <c r="P23" s="176"/>
      <c r="Q23" s="177" t="s">
        <v>67</v>
      </c>
      <c r="R23" s="178"/>
      <c r="S23" s="176" t="s">
        <v>68</v>
      </c>
      <c r="T23" s="176"/>
    </row>
    <row r="24" spans="1:20" x14ac:dyDescent="0.25">
      <c r="A24" s="173"/>
      <c r="B24" s="175"/>
      <c r="C24" s="85" t="s">
        <v>69</v>
      </c>
      <c r="D24" s="85" t="s">
        <v>70</v>
      </c>
      <c r="E24" s="88" t="s">
        <v>69</v>
      </c>
      <c r="F24" s="89" t="s">
        <v>70</v>
      </c>
      <c r="G24" s="85" t="s">
        <v>69</v>
      </c>
      <c r="H24" s="85" t="s">
        <v>70</v>
      </c>
      <c r="I24" s="122"/>
      <c r="J24" s="78"/>
      <c r="K24" s="78"/>
      <c r="L24" s="78"/>
      <c r="M24" s="173"/>
      <c r="N24" s="175"/>
      <c r="O24" s="85" t="s">
        <v>69</v>
      </c>
      <c r="P24" s="85" t="s">
        <v>70</v>
      </c>
      <c r="Q24" s="88" t="s">
        <v>69</v>
      </c>
      <c r="R24" s="89" t="s">
        <v>70</v>
      </c>
      <c r="S24" s="85" t="s">
        <v>69</v>
      </c>
      <c r="T24" s="85" t="s">
        <v>70</v>
      </c>
    </row>
    <row r="25" spans="1:20" x14ac:dyDescent="0.25">
      <c r="A25" s="84" t="s">
        <v>4</v>
      </c>
      <c r="B25" s="86"/>
      <c r="C25" s="86"/>
      <c r="D25" s="86"/>
      <c r="E25" s="90"/>
      <c r="F25" s="91"/>
      <c r="G25" s="86"/>
      <c r="H25" s="86"/>
      <c r="I25" s="123"/>
      <c r="J25" s="78"/>
      <c r="K25" s="78"/>
      <c r="L25" s="78"/>
      <c r="M25" s="84" t="s">
        <v>4</v>
      </c>
      <c r="N25" s="86"/>
      <c r="O25" s="86"/>
      <c r="P25" s="86"/>
      <c r="Q25" s="90"/>
      <c r="R25" s="91"/>
      <c r="S25" s="86"/>
      <c r="T25" s="86"/>
    </row>
    <row r="26" spans="1:20" x14ac:dyDescent="0.25">
      <c r="A26" s="116" t="s">
        <v>10</v>
      </c>
      <c r="B26" s="87">
        <v>212</v>
      </c>
      <c r="C26" s="87">
        <v>896</v>
      </c>
      <c r="D26" s="87">
        <v>1224</v>
      </c>
      <c r="E26" s="92">
        <v>1427</v>
      </c>
      <c r="F26" s="93">
        <v>751</v>
      </c>
      <c r="G26" s="87">
        <v>8</v>
      </c>
      <c r="H26" s="87">
        <v>15</v>
      </c>
      <c r="I26" s="87"/>
      <c r="J26" s="78"/>
      <c r="K26" s="78"/>
      <c r="L26" s="78"/>
      <c r="M26" s="116" t="s">
        <v>10</v>
      </c>
      <c r="N26" s="87">
        <v>108</v>
      </c>
      <c r="O26" s="87">
        <v>2593</v>
      </c>
      <c r="P26" s="87">
        <v>2684</v>
      </c>
      <c r="Q26" s="92">
        <v>183</v>
      </c>
      <c r="R26" s="93">
        <v>63</v>
      </c>
      <c r="S26" s="87">
        <v>0</v>
      </c>
      <c r="T26" s="87">
        <v>0</v>
      </c>
    </row>
    <row r="27" spans="1:20" x14ac:dyDescent="0.25">
      <c r="A27" s="116" t="s">
        <v>12</v>
      </c>
      <c r="B27" s="87">
        <v>88</v>
      </c>
      <c r="C27" s="87">
        <v>453</v>
      </c>
      <c r="D27" s="87">
        <v>431</v>
      </c>
      <c r="E27" s="92">
        <v>1274</v>
      </c>
      <c r="F27" s="93">
        <v>127</v>
      </c>
      <c r="G27" s="87">
        <v>1</v>
      </c>
      <c r="H27" s="87">
        <v>6</v>
      </c>
      <c r="I27" s="87"/>
      <c r="J27" s="78"/>
      <c r="K27" s="78"/>
      <c r="L27" s="78"/>
      <c r="M27" s="116" t="s">
        <v>12</v>
      </c>
      <c r="N27" s="87">
        <v>105</v>
      </c>
      <c r="O27" s="87">
        <v>2808</v>
      </c>
      <c r="P27" s="87">
        <v>2403</v>
      </c>
      <c r="Q27" s="92">
        <v>0</v>
      </c>
      <c r="R27" s="93">
        <v>0</v>
      </c>
      <c r="S27" s="87">
        <v>0</v>
      </c>
      <c r="T27" s="87">
        <v>0</v>
      </c>
    </row>
    <row r="28" spans="1:20" x14ac:dyDescent="0.25">
      <c r="A28" s="116" t="s">
        <v>14</v>
      </c>
      <c r="B28" s="87">
        <v>190</v>
      </c>
      <c r="C28" s="87">
        <v>666</v>
      </c>
      <c r="D28" s="87">
        <v>713</v>
      </c>
      <c r="E28" s="92">
        <v>1728</v>
      </c>
      <c r="F28" s="93">
        <v>806</v>
      </c>
      <c r="G28" s="87">
        <v>5</v>
      </c>
      <c r="H28" s="87">
        <v>6</v>
      </c>
      <c r="I28" s="87"/>
      <c r="J28" s="78"/>
      <c r="K28" s="78"/>
      <c r="L28" s="78"/>
      <c r="M28" s="116" t="s">
        <v>14</v>
      </c>
      <c r="N28" s="87">
        <v>112</v>
      </c>
      <c r="O28" s="87">
        <v>2831</v>
      </c>
      <c r="P28" s="87">
        <v>2488</v>
      </c>
      <c r="Q28" s="92">
        <v>0</v>
      </c>
      <c r="R28" s="93">
        <v>25</v>
      </c>
      <c r="S28" s="87">
        <v>0</v>
      </c>
      <c r="T28" s="87">
        <v>0</v>
      </c>
    </row>
    <row r="29" spans="1:20" x14ac:dyDescent="0.25">
      <c r="A29" s="116" t="s">
        <v>16</v>
      </c>
      <c r="B29" s="87">
        <v>170</v>
      </c>
      <c r="C29" s="87">
        <v>732</v>
      </c>
      <c r="D29" s="87">
        <v>620</v>
      </c>
      <c r="E29" s="92">
        <v>3601</v>
      </c>
      <c r="F29" s="93">
        <v>1768</v>
      </c>
      <c r="G29" s="87">
        <v>54</v>
      </c>
      <c r="H29" s="87">
        <v>11</v>
      </c>
      <c r="I29" s="87"/>
      <c r="J29" s="78"/>
      <c r="K29" s="78"/>
      <c r="L29" s="78"/>
      <c r="M29" s="116" t="s">
        <v>16</v>
      </c>
      <c r="N29" s="87">
        <v>101</v>
      </c>
      <c r="O29" s="87">
        <v>2471</v>
      </c>
      <c r="P29" s="87">
        <v>2263</v>
      </c>
      <c r="Q29" s="92">
        <v>0</v>
      </c>
      <c r="R29" s="93">
        <v>0</v>
      </c>
      <c r="S29" s="87">
        <v>0</v>
      </c>
      <c r="T29" s="87">
        <v>0</v>
      </c>
    </row>
    <row r="30" spans="1:20" x14ac:dyDescent="0.25">
      <c r="A30" s="116" t="s">
        <v>18</v>
      </c>
      <c r="B30" s="87">
        <v>152</v>
      </c>
      <c r="C30" s="87">
        <v>391</v>
      </c>
      <c r="D30" s="87">
        <v>431</v>
      </c>
      <c r="E30" s="92">
        <v>888</v>
      </c>
      <c r="F30" s="93">
        <v>701</v>
      </c>
      <c r="G30" s="87">
        <v>4</v>
      </c>
      <c r="H30" s="87">
        <v>6</v>
      </c>
      <c r="I30" s="87"/>
      <c r="J30" s="78"/>
      <c r="K30" s="78"/>
      <c r="L30" s="78"/>
      <c r="M30" s="116" t="s">
        <v>18</v>
      </c>
      <c r="N30" s="87">
        <v>101</v>
      </c>
      <c r="O30" s="87">
        <v>2533</v>
      </c>
      <c r="P30" s="87">
        <v>2364</v>
      </c>
      <c r="Q30" s="92">
        <v>0</v>
      </c>
      <c r="R30" s="93">
        <v>0</v>
      </c>
      <c r="S30" s="87">
        <v>0</v>
      </c>
      <c r="T30" s="87">
        <v>0</v>
      </c>
    </row>
    <row r="31" spans="1:20" x14ac:dyDescent="0.25">
      <c r="A31" s="116" t="s">
        <v>20</v>
      </c>
      <c r="B31" s="87">
        <v>147</v>
      </c>
      <c r="C31" s="87">
        <v>576</v>
      </c>
      <c r="D31" s="87">
        <v>739</v>
      </c>
      <c r="E31" s="92">
        <v>2099</v>
      </c>
      <c r="F31" s="93">
        <v>447</v>
      </c>
      <c r="G31" s="87">
        <v>8</v>
      </c>
      <c r="H31" s="87">
        <v>12</v>
      </c>
      <c r="I31" s="87"/>
      <c r="J31" s="81"/>
      <c r="K31" s="81"/>
      <c r="L31" s="78"/>
      <c r="M31" s="116" t="s">
        <v>20</v>
      </c>
      <c r="N31" s="87">
        <v>80</v>
      </c>
      <c r="O31" s="87">
        <v>2385</v>
      </c>
      <c r="P31" s="87">
        <v>1829</v>
      </c>
      <c r="Q31" s="92">
        <v>0</v>
      </c>
      <c r="R31" s="93">
        <v>0</v>
      </c>
      <c r="S31" s="87">
        <v>0</v>
      </c>
      <c r="T31" s="87">
        <v>0</v>
      </c>
    </row>
    <row r="32" spans="1:20" x14ac:dyDescent="0.25">
      <c r="A32" s="116" t="s">
        <v>22</v>
      </c>
      <c r="B32" s="87">
        <v>202</v>
      </c>
      <c r="C32" s="87">
        <v>1592</v>
      </c>
      <c r="D32" s="87">
        <v>1592</v>
      </c>
      <c r="E32" s="92">
        <v>1858</v>
      </c>
      <c r="F32" s="93">
        <v>847</v>
      </c>
      <c r="G32" s="87">
        <v>15</v>
      </c>
      <c r="H32" s="87">
        <v>11</v>
      </c>
      <c r="I32" s="87"/>
      <c r="J32" s="78"/>
      <c r="K32" s="78"/>
      <c r="L32" s="78"/>
      <c r="M32" s="116" t="s">
        <v>22</v>
      </c>
      <c r="N32" s="87">
        <v>135</v>
      </c>
      <c r="O32" s="87">
        <v>5539</v>
      </c>
      <c r="P32" s="87">
        <v>4496</v>
      </c>
      <c r="Q32" s="92">
        <v>0</v>
      </c>
      <c r="R32" s="93">
        <v>0</v>
      </c>
      <c r="S32" s="87">
        <v>0</v>
      </c>
      <c r="T32" s="87">
        <v>0</v>
      </c>
    </row>
    <row r="33" spans="1:20" x14ac:dyDescent="0.25">
      <c r="A33" s="116" t="s">
        <v>24</v>
      </c>
      <c r="B33" s="87">
        <v>236</v>
      </c>
      <c r="C33" s="87">
        <v>1871</v>
      </c>
      <c r="D33" s="87">
        <v>2031</v>
      </c>
      <c r="E33" s="92">
        <v>2882</v>
      </c>
      <c r="F33" s="93">
        <v>928</v>
      </c>
      <c r="G33" s="87">
        <v>15</v>
      </c>
      <c r="H33" s="87">
        <v>9</v>
      </c>
      <c r="I33" s="87"/>
      <c r="J33" s="78"/>
      <c r="K33" s="78"/>
      <c r="L33" s="78"/>
      <c r="M33" s="116" t="s">
        <v>24</v>
      </c>
      <c r="N33" s="87">
        <v>138</v>
      </c>
      <c r="O33" s="87">
        <v>5620</v>
      </c>
      <c r="P33" s="87">
        <v>5239</v>
      </c>
      <c r="Q33" s="92">
        <v>0</v>
      </c>
      <c r="R33" s="93">
        <v>0</v>
      </c>
      <c r="S33" s="87">
        <v>0</v>
      </c>
      <c r="T33" s="87">
        <v>0</v>
      </c>
    </row>
    <row r="34" spans="1:20" x14ac:dyDescent="0.25">
      <c r="A34" s="116" t="s">
        <v>26</v>
      </c>
      <c r="B34" s="94">
        <v>202</v>
      </c>
      <c r="C34" s="94">
        <v>1221</v>
      </c>
      <c r="D34" s="94">
        <v>1580</v>
      </c>
      <c r="E34" s="95">
        <v>3751</v>
      </c>
      <c r="F34" s="96">
        <v>1003</v>
      </c>
      <c r="G34" s="97">
        <v>10</v>
      </c>
      <c r="H34" s="97">
        <v>10</v>
      </c>
      <c r="I34" s="97"/>
      <c r="J34" s="78"/>
      <c r="K34" s="78"/>
      <c r="L34" s="78"/>
      <c r="M34" s="116" t="s">
        <v>26</v>
      </c>
      <c r="N34" s="94">
        <v>135</v>
      </c>
      <c r="O34" s="94">
        <v>5017</v>
      </c>
      <c r="P34" s="94">
        <v>4396</v>
      </c>
      <c r="Q34" s="95">
        <v>0</v>
      </c>
      <c r="R34" s="96">
        <v>0</v>
      </c>
      <c r="S34" s="97">
        <v>0</v>
      </c>
      <c r="T34" s="97">
        <v>0</v>
      </c>
    </row>
    <row r="35" spans="1:20" x14ac:dyDescent="0.25">
      <c r="A35" s="116" t="s">
        <v>28</v>
      </c>
      <c r="B35" s="97">
        <v>224</v>
      </c>
      <c r="C35" s="97">
        <v>1816</v>
      </c>
      <c r="D35" s="97">
        <v>1857</v>
      </c>
      <c r="E35" s="95">
        <v>3037</v>
      </c>
      <c r="F35" s="96">
        <v>442</v>
      </c>
      <c r="G35" s="97">
        <v>8</v>
      </c>
      <c r="H35" s="97">
        <v>13</v>
      </c>
      <c r="I35" s="97"/>
      <c r="J35" s="78"/>
      <c r="K35" s="78"/>
      <c r="L35" s="78"/>
      <c r="M35" s="116" t="s">
        <v>28</v>
      </c>
      <c r="N35" s="97">
        <v>160</v>
      </c>
      <c r="O35" s="97">
        <v>6754</v>
      </c>
      <c r="P35" s="97">
        <v>5340</v>
      </c>
      <c r="Q35" s="95">
        <v>0</v>
      </c>
      <c r="R35" s="96">
        <v>0</v>
      </c>
      <c r="S35" s="97">
        <v>0</v>
      </c>
      <c r="T35" s="97">
        <v>0</v>
      </c>
    </row>
    <row r="36" spans="1:20" x14ac:dyDescent="0.25">
      <c r="A36" s="116" t="s">
        <v>30</v>
      </c>
      <c r="B36" s="87">
        <v>241</v>
      </c>
      <c r="C36" s="87">
        <v>1525</v>
      </c>
      <c r="D36" s="87">
        <v>1657</v>
      </c>
      <c r="E36" s="92">
        <v>2947</v>
      </c>
      <c r="F36" s="93">
        <v>1059</v>
      </c>
      <c r="G36" s="87">
        <v>23</v>
      </c>
      <c r="H36" s="87">
        <v>16</v>
      </c>
      <c r="I36" s="87"/>
      <c r="J36" s="78"/>
      <c r="K36" s="78"/>
      <c r="L36" s="78"/>
      <c r="M36" s="116" t="s">
        <v>30</v>
      </c>
      <c r="N36" s="87">
        <v>182</v>
      </c>
      <c r="O36" s="87">
        <v>7008</v>
      </c>
      <c r="P36" s="87">
        <v>5843</v>
      </c>
      <c r="Q36" s="92">
        <v>0</v>
      </c>
      <c r="R36" s="93">
        <v>0</v>
      </c>
      <c r="S36" s="87">
        <v>0</v>
      </c>
      <c r="T36" s="87">
        <v>0</v>
      </c>
    </row>
    <row r="37" spans="1:20" x14ac:dyDescent="0.25">
      <c r="A37" s="117" t="s">
        <v>32</v>
      </c>
      <c r="B37" s="118">
        <v>137</v>
      </c>
      <c r="C37" s="118">
        <v>1781</v>
      </c>
      <c r="D37" s="118">
        <v>2305</v>
      </c>
      <c r="E37" s="119">
        <v>2679</v>
      </c>
      <c r="F37" s="120">
        <v>441</v>
      </c>
      <c r="G37" s="118">
        <v>23</v>
      </c>
      <c r="H37" s="118">
        <v>11</v>
      </c>
      <c r="I37" s="124"/>
      <c r="J37" s="78"/>
      <c r="K37" s="78"/>
      <c r="M37" s="117" t="s">
        <v>32</v>
      </c>
      <c r="N37" s="118">
        <v>196</v>
      </c>
      <c r="O37" s="118">
        <v>7468</v>
      </c>
      <c r="P37" s="118">
        <v>5818</v>
      </c>
      <c r="Q37" s="119">
        <v>131</v>
      </c>
      <c r="R37" s="120">
        <v>0</v>
      </c>
      <c r="S37" s="118">
        <v>0</v>
      </c>
      <c r="T37" s="118">
        <v>0</v>
      </c>
    </row>
    <row r="38" spans="1:20" ht="18.75" x14ac:dyDescent="0.25">
      <c r="A38" s="6" t="s">
        <v>6</v>
      </c>
      <c r="B38" s="3"/>
      <c r="C38" s="3"/>
      <c r="D38" s="7"/>
      <c r="E38" s="1"/>
      <c r="H38" s="11" t="s">
        <v>7</v>
      </c>
      <c r="I38" s="12"/>
      <c r="J38" s="78"/>
      <c r="K38" s="78"/>
      <c r="L38" s="78"/>
      <c r="M38" s="6" t="s">
        <v>6</v>
      </c>
      <c r="N38" s="3"/>
      <c r="O38" s="3"/>
      <c r="P38" s="7"/>
      <c r="Q38" s="1"/>
      <c r="T38" s="11" t="s">
        <v>7</v>
      </c>
    </row>
    <row r="39" spans="1:20" x14ac:dyDescent="0.25">
      <c r="A39" s="78"/>
      <c r="J39" s="78"/>
      <c r="K39" s="78"/>
      <c r="L39" s="78"/>
      <c r="M39" s="78"/>
      <c r="N39" s="78"/>
      <c r="O39" s="78"/>
    </row>
    <row r="41" spans="1:20" x14ac:dyDescent="0.25">
      <c r="A41" s="171" t="s">
        <v>87</v>
      </c>
      <c r="B41" s="171"/>
      <c r="C41" s="171"/>
      <c r="D41" s="171"/>
      <c r="E41" s="171"/>
      <c r="F41" s="171"/>
      <c r="G41" s="171"/>
      <c r="H41" s="171"/>
      <c r="I41" s="114"/>
      <c r="J41" s="78"/>
      <c r="K41" s="78"/>
      <c r="M41" s="171" t="s">
        <v>88</v>
      </c>
      <c r="N41" s="171"/>
      <c r="O41" s="171"/>
      <c r="P41" s="171"/>
      <c r="Q41" s="171"/>
      <c r="R41" s="171"/>
      <c r="S41" s="171"/>
      <c r="T41" s="171"/>
    </row>
    <row r="42" spans="1:20" x14ac:dyDescent="0.25">
      <c r="A42" s="79"/>
      <c r="B42" s="78"/>
      <c r="C42" s="78"/>
      <c r="D42" s="78"/>
      <c r="E42" s="78"/>
      <c r="F42" s="78"/>
      <c r="G42" s="78"/>
      <c r="H42" s="78"/>
      <c r="I42" s="78"/>
      <c r="J42" s="78"/>
      <c r="K42" s="78"/>
      <c r="M42" s="79"/>
      <c r="N42" s="78"/>
      <c r="O42" s="78"/>
      <c r="P42" s="78"/>
      <c r="Q42" s="78"/>
      <c r="R42" s="78"/>
      <c r="S42" s="78"/>
      <c r="T42" s="78"/>
    </row>
    <row r="43" spans="1:20" x14ac:dyDescent="0.25">
      <c r="A43" s="172" t="s">
        <v>64</v>
      </c>
      <c r="B43" s="174" t="s">
        <v>65</v>
      </c>
      <c r="C43" s="176" t="s">
        <v>66</v>
      </c>
      <c r="D43" s="176"/>
      <c r="E43" s="177" t="s">
        <v>67</v>
      </c>
      <c r="F43" s="178"/>
      <c r="G43" s="176" t="s">
        <v>68</v>
      </c>
      <c r="H43" s="176"/>
      <c r="I43" s="121"/>
      <c r="J43" s="78"/>
      <c r="K43" s="78"/>
      <c r="L43" s="78"/>
      <c r="M43" s="172" t="s">
        <v>64</v>
      </c>
      <c r="N43" s="174" t="s">
        <v>65</v>
      </c>
      <c r="O43" s="176" t="s">
        <v>66</v>
      </c>
      <c r="P43" s="176"/>
      <c r="Q43" s="177" t="s">
        <v>67</v>
      </c>
      <c r="R43" s="178"/>
      <c r="S43" s="176" t="s">
        <v>68</v>
      </c>
      <c r="T43" s="176"/>
    </row>
    <row r="44" spans="1:20" x14ac:dyDescent="0.25">
      <c r="A44" s="173"/>
      <c r="B44" s="175"/>
      <c r="C44" s="85" t="s">
        <v>69</v>
      </c>
      <c r="D44" s="85" t="s">
        <v>70</v>
      </c>
      <c r="E44" s="88" t="s">
        <v>69</v>
      </c>
      <c r="F44" s="89" t="s">
        <v>70</v>
      </c>
      <c r="G44" s="85" t="s">
        <v>69</v>
      </c>
      <c r="H44" s="85" t="s">
        <v>70</v>
      </c>
      <c r="I44" s="122"/>
      <c r="J44" s="78"/>
      <c r="K44" s="78"/>
      <c r="L44" s="78"/>
      <c r="M44" s="173"/>
      <c r="N44" s="175"/>
      <c r="O44" s="85" t="s">
        <v>69</v>
      </c>
      <c r="P44" s="85" t="s">
        <v>70</v>
      </c>
      <c r="Q44" s="88" t="s">
        <v>69</v>
      </c>
      <c r="R44" s="89" t="s">
        <v>70</v>
      </c>
      <c r="S44" s="85" t="s">
        <v>69</v>
      </c>
      <c r="T44" s="85" t="s">
        <v>70</v>
      </c>
    </row>
    <row r="45" spans="1:20" x14ac:dyDescent="0.25">
      <c r="A45" s="84" t="s">
        <v>4</v>
      </c>
      <c r="B45" s="86"/>
      <c r="C45" s="86"/>
      <c r="D45" s="86"/>
      <c r="E45" s="90"/>
      <c r="F45" s="91"/>
      <c r="G45" s="86"/>
      <c r="H45" s="86"/>
      <c r="I45" s="123"/>
      <c r="J45" s="78"/>
      <c r="K45" s="78"/>
      <c r="L45" s="78"/>
      <c r="M45" s="84" t="s">
        <v>4</v>
      </c>
      <c r="N45" s="86"/>
      <c r="O45" s="86"/>
      <c r="P45" s="86"/>
      <c r="Q45" s="90"/>
      <c r="R45" s="91"/>
      <c r="S45" s="86"/>
      <c r="T45" s="86"/>
    </row>
    <row r="46" spans="1:20" x14ac:dyDescent="0.25">
      <c r="A46" s="116" t="s">
        <v>10</v>
      </c>
      <c r="B46" s="87">
        <v>161</v>
      </c>
      <c r="C46" s="87">
        <v>2663</v>
      </c>
      <c r="D46" s="87">
        <v>3048</v>
      </c>
      <c r="E46" s="92">
        <v>3950</v>
      </c>
      <c r="F46" s="93">
        <v>949.7</v>
      </c>
      <c r="G46" s="87">
        <v>10</v>
      </c>
      <c r="H46" s="87">
        <v>5</v>
      </c>
      <c r="I46" s="87"/>
      <c r="J46" s="78" t="s">
        <v>83</v>
      </c>
      <c r="K46" s="78"/>
      <c r="L46" s="78"/>
      <c r="M46" s="116" t="s">
        <v>10</v>
      </c>
      <c r="N46" s="87">
        <v>18</v>
      </c>
      <c r="O46" s="87">
        <v>161</v>
      </c>
      <c r="P46" s="87">
        <v>176</v>
      </c>
      <c r="Q46" s="92">
        <v>83</v>
      </c>
      <c r="R46" s="93">
        <v>53</v>
      </c>
      <c r="S46" s="87">
        <v>0</v>
      </c>
      <c r="T46" s="87">
        <v>0</v>
      </c>
    </row>
    <row r="47" spans="1:20" x14ac:dyDescent="0.25">
      <c r="A47" s="116" t="s">
        <v>12</v>
      </c>
      <c r="B47" s="87">
        <v>141</v>
      </c>
      <c r="C47" s="87">
        <v>2815</v>
      </c>
      <c r="D47" s="87">
        <v>2635</v>
      </c>
      <c r="E47" s="92">
        <v>7713.7</v>
      </c>
      <c r="F47" s="93">
        <v>776.3</v>
      </c>
      <c r="G47" s="87">
        <v>7</v>
      </c>
      <c r="H47" s="87">
        <v>2</v>
      </c>
      <c r="I47" s="87"/>
      <c r="J47" s="78"/>
      <c r="K47" s="78"/>
      <c r="L47" s="78"/>
      <c r="M47" s="116" t="s">
        <v>12</v>
      </c>
      <c r="N47" s="87">
        <v>8</v>
      </c>
      <c r="O47" s="87">
        <v>39</v>
      </c>
      <c r="P47" s="87">
        <v>25</v>
      </c>
      <c r="Q47" s="92">
        <v>13</v>
      </c>
      <c r="R47" s="93">
        <v>16</v>
      </c>
      <c r="S47" s="87">
        <v>0</v>
      </c>
      <c r="T47" s="87">
        <v>0</v>
      </c>
    </row>
    <row r="48" spans="1:20" x14ac:dyDescent="0.25">
      <c r="A48" s="116" t="s">
        <v>14</v>
      </c>
      <c r="B48" s="87">
        <v>159</v>
      </c>
      <c r="C48" s="87">
        <v>3005</v>
      </c>
      <c r="D48" s="87">
        <v>2913</v>
      </c>
      <c r="E48" s="92">
        <v>5875</v>
      </c>
      <c r="F48" s="93">
        <v>1160.4000000000001</v>
      </c>
      <c r="G48" s="87">
        <v>8</v>
      </c>
      <c r="H48" s="87">
        <v>17</v>
      </c>
      <c r="I48" s="87"/>
      <c r="J48" s="78"/>
      <c r="K48" s="78"/>
      <c r="L48" s="78"/>
      <c r="M48" s="116" t="s">
        <v>14</v>
      </c>
      <c r="N48" s="87">
        <v>6</v>
      </c>
      <c r="O48" s="87">
        <v>50</v>
      </c>
      <c r="P48" s="87">
        <v>38</v>
      </c>
      <c r="Q48" s="92">
        <v>127</v>
      </c>
      <c r="R48" s="93">
        <v>53</v>
      </c>
      <c r="S48" s="87">
        <v>0</v>
      </c>
      <c r="T48" s="87">
        <v>0</v>
      </c>
    </row>
    <row r="49" spans="1:20" x14ac:dyDescent="0.25">
      <c r="A49" s="116" t="s">
        <v>16</v>
      </c>
      <c r="B49" s="87">
        <v>148</v>
      </c>
      <c r="C49" s="87">
        <v>1886</v>
      </c>
      <c r="D49" s="87">
        <v>2197</v>
      </c>
      <c r="E49" s="92">
        <v>5209</v>
      </c>
      <c r="F49" s="93">
        <v>2345.1999999999998</v>
      </c>
      <c r="G49" s="87">
        <v>12</v>
      </c>
      <c r="H49" s="87">
        <v>4</v>
      </c>
      <c r="I49" s="87"/>
      <c r="J49" s="78"/>
      <c r="K49" s="78"/>
      <c r="L49" s="78"/>
      <c r="M49" s="116" t="s">
        <v>16</v>
      </c>
      <c r="N49" s="87">
        <v>10</v>
      </c>
      <c r="O49" s="87">
        <v>96</v>
      </c>
      <c r="P49" s="87">
        <v>53</v>
      </c>
      <c r="Q49" s="92">
        <v>181</v>
      </c>
      <c r="R49" s="93">
        <v>53</v>
      </c>
      <c r="S49" s="87">
        <v>0</v>
      </c>
      <c r="T49" s="87">
        <v>0</v>
      </c>
    </row>
    <row r="50" spans="1:20" x14ac:dyDescent="0.25">
      <c r="A50" s="116" t="s">
        <v>18</v>
      </c>
      <c r="B50" s="87">
        <v>111</v>
      </c>
      <c r="C50" s="87">
        <v>1243</v>
      </c>
      <c r="D50" s="87">
        <v>1371</v>
      </c>
      <c r="E50" s="92">
        <v>3456</v>
      </c>
      <c r="F50" s="93">
        <v>4176.8999999999996</v>
      </c>
      <c r="G50" s="87">
        <v>4</v>
      </c>
      <c r="H50" s="87">
        <v>4.2</v>
      </c>
      <c r="I50" s="87"/>
      <c r="J50" s="78"/>
      <c r="K50" s="78"/>
      <c r="L50" s="78"/>
      <c r="M50" s="116" t="s">
        <v>18</v>
      </c>
      <c r="N50" s="87">
        <v>6</v>
      </c>
      <c r="O50" s="87">
        <v>44</v>
      </c>
      <c r="P50" s="87">
        <v>18</v>
      </c>
      <c r="Q50" s="92">
        <v>57</v>
      </c>
      <c r="R50" s="93">
        <v>55</v>
      </c>
      <c r="S50" s="87">
        <v>0</v>
      </c>
      <c r="T50" s="87">
        <v>0</v>
      </c>
    </row>
    <row r="51" spans="1:20" x14ac:dyDescent="0.25">
      <c r="A51" s="116" t="s">
        <v>20</v>
      </c>
      <c r="B51" s="87">
        <v>89</v>
      </c>
      <c r="C51" s="87">
        <v>1610</v>
      </c>
      <c r="D51" s="87">
        <v>1419</v>
      </c>
      <c r="E51" s="92">
        <v>2584</v>
      </c>
      <c r="F51" s="93">
        <v>502.5</v>
      </c>
      <c r="G51" s="87">
        <v>9</v>
      </c>
      <c r="H51" s="87">
        <v>10</v>
      </c>
      <c r="I51" s="87"/>
      <c r="J51" s="81"/>
      <c r="K51" s="81"/>
      <c r="L51" s="78"/>
      <c r="M51" s="116" t="s">
        <v>20</v>
      </c>
      <c r="N51" s="87">
        <v>8</v>
      </c>
      <c r="O51" s="87">
        <v>102</v>
      </c>
      <c r="P51" s="87">
        <v>74</v>
      </c>
      <c r="Q51" s="92">
        <v>0</v>
      </c>
      <c r="R51" s="93">
        <v>37</v>
      </c>
      <c r="S51" s="87">
        <v>0</v>
      </c>
      <c r="T51" s="87">
        <v>0</v>
      </c>
    </row>
    <row r="52" spans="1:20" x14ac:dyDescent="0.25">
      <c r="A52" s="116" t="s">
        <v>22</v>
      </c>
      <c r="B52" s="87">
        <v>152</v>
      </c>
      <c r="C52" s="87">
        <v>3487</v>
      </c>
      <c r="D52" s="87">
        <v>3200</v>
      </c>
      <c r="E52" s="92">
        <v>3016</v>
      </c>
      <c r="F52" s="93">
        <v>614.70000000000005</v>
      </c>
      <c r="G52" s="87">
        <v>6</v>
      </c>
      <c r="H52" s="87">
        <v>5</v>
      </c>
      <c r="I52" s="87"/>
      <c r="J52" s="78"/>
      <c r="K52" s="78"/>
      <c r="L52" s="78"/>
      <c r="M52" s="116" t="s">
        <v>22</v>
      </c>
      <c r="N52" s="87">
        <v>14</v>
      </c>
      <c r="O52" s="87">
        <v>250</v>
      </c>
      <c r="P52" s="87">
        <v>234</v>
      </c>
      <c r="Q52" s="92">
        <v>0</v>
      </c>
      <c r="R52" s="93">
        <v>28</v>
      </c>
      <c r="S52" s="87">
        <v>0</v>
      </c>
      <c r="T52" s="87">
        <v>0</v>
      </c>
    </row>
    <row r="53" spans="1:20" x14ac:dyDescent="0.25">
      <c r="A53" s="116" t="s">
        <v>24</v>
      </c>
      <c r="B53" s="87">
        <v>156</v>
      </c>
      <c r="C53" s="87">
        <v>3572</v>
      </c>
      <c r="D53" s="87">
        <v>3998</v>
      </c>
      <c r="E53" s="92">
        <v>3746</v>
      </c>
      <c r="F53" s="93">
        <v>1009.8</v>
      </c>
      <c r="G53" s="87">
        <v>5</v>
      </c>
      <c r="H53" s="87">
        <v>10</v>
      </c>
      <c r="I53" s="87"/>
      <c r="J53" s="78"/>
      <c r="K53" s="78"/>
      <c r="L53" s="78"/>
      <c r="M53" s="116" t="s">
        <v>24</v>
      </c>
      <c r="N53" s="87">
        <v>14</v>
      </c>
      <c r="O53" s="87">
        <v>194</v>
      </c>
      <c r="P53" s="87">
        <v>182</v>
      </c>
      <c r="Q53" s="92">
        <v>57</v>
      </c>
      <c r="R53" s="93">
        <v>55</v>
      </c>
      <c r="S53" s="87">
        <v>0</v>
      </c>
      <c r="T53" s="87">
        <v>0</v>
      </c>
    </row>
    <row r="54" spans="1:20" x14ac:dyDescent="0.25">
      <c r="A54" s="116" t="s">
        <v>26</v>
      </c>
      <c r="B54" s="94">
        <v>160</v>
      </c>
      <c r="C54" s="94">
        <v>3485</v>
      </c>
      <c r="D54" s="94">
        <v>3303</v>
      </c>
      <c r="E54" s="95">
        <v>2253</v>
      </c>
      <c r="F54" s="96">
        <v>2121.1</v>
      </c>
      <c r="G54" s="97">
        <v>27</v>
      </c>
      <c r="H54" s="97">
        <v>7</v>
      </c>
      <c r="I54" s="97"/>
      <c r="J54" s="78"/>
      <c r="K54" s="78"/>
      <c r="L54" s="78"/>
      <c r="M54" s="116" t="s">
        <v>26</v>
      </c>
      <c r="N54" s="94">
        <v>10</v>
      </c>
      <c r="O54" s="94">
        <v>228</v>
      </c>
      <c r="P54" s="94">
        <v>200</v>
      </c>
      <c r="Q54" s="95">
        <v>0</v>
      </c>
      <c r="R54" s="96">
        <v>24</v>
      </c>
      <c r="S54" s="97">
        <v>0</v>
      </c>
      <c r="T54" s="97">
        <v>0</v>
      </c>
    </row>
    <row r="55" spans="1:20" x14ac:dyDescent="0.25">
      <c r="A55" s="116" t="s">
        <v>28</v>
      </c>
      <c r="B55" s="97">
        <v>169</v>
      </c>
      <c r="C55" s="97">
        <v>4320</v>
      </c>
      <c r="D55" s="97">
        <v>4079</v>
      </c>
      <c r="E55" s="95">
        <v>3560</v>
      </c>
      <c r="F55" s="96">
        <v>1846.9</v>
      </c>
      <c r="G55" s="97">
        <v>9</v>
      </c>
      <c r="H55" s="97">
        <v>4</v>
      </c>
      <c r="I55" s="97"/>
      <c r="J55" s="78"/>
      <c r="K55" s="78"/>
      <c r="L55" s="78"/>
      <c r="M55" s="116" t="s">
        <v>28</v>
      </c>
      <c r="N55" s="97">
        <v>22</v>
      </c>
      <c r="O55" s="97">
        <v>406</v>
      </c>
      <c r="P55" s="97">
        <v>458</v>
      </c>
      <c r="Q55" s="95">
        <v>2</v>
      </c>
      <c r="R55" s="96">
        <v>17</v>
      </c>
      <c r="S55" s="97">
        <v>0</v>
      </c>
      <c r="T55" s="97">
        <v>0</v>
      </c>
    </row>
    <row r="56" spans="1:20" x14ac:dyDescent="0.25">
      <c r="A56" s="116" t="s">
        <v>30</v>
      </c>
      <c r="B56" s="87">
        <v>171</v>
      </c>
      <c r="C56" s="87">
        <v>4694</v>
      </c>
      <c r="D56" s="87">
        <v>4600</v>
      </c>
      <c r="E56" s="92">
        <v>5788.5</v>
      </c>
      <c r="F56" s="93">
        <v>2458.8000000000002</v>
      </c>
      <c r="G56" s="87">
        <v>9</v>
      </c>
      <c r="H56" s="87">
        <v>4</v>
      </c>
      <c r="I56" s="87"/>
      <c r="J56" s="78"/>
      <c r="K56" s="78"/>
      <c r="L56" s="78"/>
      <c r="M56" s="116" t="s">
        <v>30</v>
      </c>
      <c r="N56" s="87">
        <v>12</v>
      </c>
      <c r="O56" s="87">
        <v>246</v>
      </c>
      <c r="P56" s="87">
        <v>237</v>
      </c>
      <c r="Q56" s="92">
        <v>21</v>
      </c>
      <c r="R56" s="93">
        <v>495</v>
      </c>
      <c r="S56" s="87">
        <v>0</v>
      </c>
      <c r="T56" s="87">
        <v>0</v>
      </c>
    </row>
    <row r="57" spans="1:20" x14ac:dyDescent="0.25">
      <c r="A57" s="117" t="s">
        <v>32</v>
      </c>
      <c r="B57" s="118">
        <v>216</v>
      </c>
      <c r="C57" s="118">
        <v>5125</v>
      </c>
      <c r="D57" s="118">
        <v>5087</v>
      </c>
      <c r="E57" s="119">
        <v>11250</v>
      </c>
      <c r="F57" s="120">
        <v>2891.4</v>
      </c>
      <c r="G57" s="118">
        <v>15</v>
      </c>
      <c r="H57" s="118">
        <v>1</v>
      </c>
      <c r="I57" s="124"/>
      <c r="J57" s="78"/>
      <c r="K57" s="78"/>
      <c r="M57" s="117" t="s">
        <v>32</v>
      </c>
      <c r="N57" s="118">
        <v>18</v>
      </c>
      <c r="O57" s="118">
        <v>342</v>
      </c>
      <c r="P57" s="118">
        <v>388</v>
      </c>
      <c r="Q57" s="119">
        <v>59</v>
      </c>
      <c r="R57" s="120">
        <v>90</v>
      </c>
      <c r="S57" s="118">
        <v>0</v>
      </c>
      <c r="T57" s="118">
        <v>0</v>
      </c>
    </row>
    <row r="58" spans="1:20" ht="18.75" x14ac:dyDescent="0.25">
      <c r="A58" s="6" t="s">
        <v>6</v>
      </c>
      <c r="B58" s="3"/>
      <c r="C58" s="3"/>
      <c r="D58" s="7"/>
      <c r="E58" s="1"/>
      <c r="H58" s="11" t="s">
        <v>7</v>
      </c>
      <c r="I58" s="12"/>
      <c r="J58" s="78"/>
      <c r="K58" s="78"/>
      <c r="M58" s="6" t="s">
        <v>6</v>
      </c>
      <c r="N58" s="3"/>
      <c r="O58" s="3"/>
      <c r="P58" s="7"/>
      <c r="Q58" s="1"/>
      <c r="T58" s="11" t="s">
        <v>7</v>
      </c>
    </row>
    <row r="59" spans="1:20" x14ac:dyDescent="0.25">
      <c r="A59" s="78"/>
      <c r="J59" s="78"/>
      <c r="K59" s="78"/>
    </row>
    <row r="60" spans="1:20" x14ac:dyDescent="0.25">
      <c r="A60" s="171" t="s">
        <v>90</v>
      </c>
      <c r="B60" s="171"/>
      <c r="C60" s="171"/>
      <c r="D60" s="171"/>
      <c r="E60" s="171"/>
      <c r="F60" s="171"/>
      <c r="G60" s="171"/>
      <c r="H60" s="171"/>
      <c r="I60" s="114"/>
      <c r="M60" s="171" t="s">
        <v>89</v>
      </c>
      <c r="N60" s="171"/>
      <c r="O60" s="171"/>
      <c r="P60" s="171"/>
      <c r="Q60" s="171"/>
      <c r="R60" s="171"/>
      <c r="S60" s="171"/>
      <c r="T60" s="171"/>
    </row>
    <row r="61" spans="1:20" x14ac:dyDescent="0.25">
      <c r="A61" s="79"/>
      <c r="B61" s="78"/>
      <c r="C61" s="78"/>
      <c r="D61" s="78"/>
      <c r="E61" s="78"/>
      <c r="F61" s="78"/>
      <c r="G61" s="78"/>
      <c r="H61" s="78"/>
      <c r="I61" s="114"/>
      <c r="M61" s="79"/>
      <c r="N61" s="78"/>
      <c r="O61" s="78"/>
      <c r="P61" s="78"/>
      <c r="Q61" s="78"/>
      <c r="R61" s="78"/>
      <c r="S61" s="78"/>
      <c r="T61" s="78"/>
    </row>
    <row r="62" spans="1:20" x14ac:dyDescent="0.25">
      <c r="A62" s="172" t="s">
        <v>64</v>
      </c>
      <c r="B62" s="174" t="s">
        <v>65</v>
      </c>
      <c r="C62" s="176" t="s">
        <v>66</v>
      </c>
      <c r="D62" s="176"/>
      <c r="E62" s="177" t="s">
        <v>67</v>
      </c>
      <c r="F62" s="178"/>
      <c r="G62" s="176" t="s">
        <v>68</v>
      </c>
      <c r="H62" s="176"/>
      <c r="I62" s="121"/>
      <c r="M62" s="172" t="s">
        <v>64</v>
      </c>
      <c r="N62" s="174" t="s">
        <v>65</v>
      </c>
      <c r="O62" s="176" t="s">
        <v>66</v>
      </c>
      <c r="P62" s="176"/>
      <c r="Q62" s="177" t="s">
        <v>67</v>
      </c>
      <c r="R62" s="178"/>
      <c r="S62" s="176" t="s">
        <v>68</v>
      </c>
      <c r="T62" s="176"/>
    </row>
    <row r="63" spans="1:20" x14ac:dyDescent="0.25">
      <c r="A63" s="173"/>
      <c r="B63" s="175"/>
      <c r="C63" s="85" t="s">
        <v>69</v>
      </c>
      <c r="D63" s="85" t="s">
        <v>70</v>
      </c>
      <c r="E63" s="88" t="s">
        <v>69</v>
      </c>
      <c r="F63" s="89" t="s">
        <v>70</v>
      </c>
      <c r="G63" s="85" t="s">
        <v>69</v>
      </c>
      <c r="H63" s="85" t="s">
        <v>70</v>
      </c>
      <c r="I63" s="122"/>
      <c r="J63" s="78"/>
      <c r="K63" s="78"/>
      <c r="M63" s="173"/>
      <c r="N63" s="175"/>
      <c r="O63" s="85" t="s">
        <v>69</v>
      </c>
      <c r="P63" s="85" t="s">
        <v>70</v>
      </c>
      <c r="Q63" s="88" t="s">
        <v>69</v>
      </c>
      <c r="R63" s="89" t="s">
        <v>70</v>
      </c>
      <c r="S63" s="85" t="s">
        <v>69</v>
      </c>
      <c r="T63" s="85" t="s">
        <v>70</v>
      </c>
    </row>
    <row r="64" spans="1:20" x14ac:dyDescent="0.25">
      <c r="A64" s="84" t="s">
        <v>4</v>
      </c>
      <c r="B64" s="86"/>
      <c r="C64" s="86"/>
      <c r="D64" s="86"/>
      <c r="E64" s="90"/>
      <c r="F64" s="91"/>
      <c r="G64" s="86"/>
      <c r="H64" s="86"/>
      <c r="I64" s="123"/>
      <c r="J64" s="78"/>
      <c r="K64" s="78"/>
      <c r="M64" s="84" t="s">
        <v>4</v>
      </c>
      <c r="N64" s="86"/>
      <c r="O64" s="86"/>
      <c r="P64" s="86"/>
      <c r="Q64" s="90"/>
      <c r="R64" s="91"/>
      <c r="S64" s="86"/>
      <c r="T64" s="86"/>
    </row>
    <row r="65" spans="1:20" x14ac:dyDescent="0.25">
      <c r="A65" s="82" t="s">
        <v>71</v>
      </c>
      <c r="B65" s="87">
        <v>36</v>
      </c>
      <c r="C65" s="87">
        <v>335</v>
      </c>
      <c r="D65" s="87">
        <v>435</v>
      </c>
      <c r="E65" s="92">
        <v>346</v>
      </c>
      <c r="F65" s="93">
        <v>147</v>
      </c>
      <c r="G65" s="87">
        <v>0</v>
      </c>
      <c r="H65" s="87">
        <v>0</v>
      </c>
      <c r="I65" s="87"/>
      <c r="J65" s="81" t="s">
        <v>83</v>
      </c>
      <c r="K65" s="81"/>
      <c r="M65" s="82" t="s">
        <v>71</v>
      </c>
      <c r="N65" s="87">
        <v>307</v>
      </c>
      <c r="O65" s="87">
        <v>2476</v>
      </c>
      <c r="P65" s="87">
        <v>2763</v>
      </c>
      <c r="Q65" s="92">
        <v>0</v>
      </c>
      <c r="R65" s="93">
        <v>0</v>
      </c>
      <c r="S65" s="87">
        <v>0</v>
      </c>
      <c r="T65" s="87">
        <v>0</v>
      </c>
    </row>
    <row r="66" spans="1:20" x14ac:dyDescent="0.25">
      <c r="A66" s="82" t="s">
        <v>72</v>
      </c>
      <c r="B66" s="87">
        <v>29</v>
      </c>
      <c r="C66" s="87">
        <v>268</v>
      </c>
      <c r="D66" s="87">
        <v>228</v>
      </c>
      <c r="E66" s="92">
        <v>167</v>
      </c>
      <c r="F66" s="93">
        <v>196</v>
      </c>
      <c r="G66" s="87">
        <v>0</v>
      </c>
      <c r="H66" s="87">
        <v>0</v>
      </c>
      <c r="I66" s="87"/>
      <c r="J66" s="78"/>
      <c r="K66" s="78"/>
      <c r="M66" s="82" t="s">
        <v>72</v>
      </c>
      <c r="N66" s="87">
        <v>230</v>
      </c>
      <c r="O66" s="87">
        <v>2531</v>
      </c>
      <c r="P66" s="87">
        <v>2082</v>
      </c>
      <c r="Q66" s="92">
        <v>0</v>
      </c>
      <c r="R66" s="93">
        <v>0</v>
      </c>
      <c r="S66" s="87">
        <v>0</v>
      </c>
      <c r="T66" s="87">
        <v>0</v>
      </c>
    </row>
    <row r="67" spans="1:20" x14ac:dyDescent="0.25">
      <c r="A67" s="82" t="s">
        <v>73</v>
      </c>
      <c r="B67" s="87">
        <v>30</v>
      </c>
      <c r="C67" s="87">
        <v>323</v>
      </c>
      <c r="D67" s="87">
        <v>290</v>
      </c>
      <c r="E67" s="92">
        <v>155</v>
      </c>
      <c r="F67" s="93">
        <v>51</v>
      </c>
      <c r="G67" s="87">
        <v>0</v>
      </c>
      <c r="H67" s="87">
        <v>0</v>
      </c>
      <c r="I67" s="87"/>
      <c r="J67" s="78"/>
      <c r="K67" s="78"/>
      <c r="M67" s="82" t="s">
        <v>73</v>
      </c>
      <c r="N67" s="87">
        <v>251</v>
      </c>
      <c r="O67" s="87">
        <v>2976</v>
      </c>
      <c r="P67" s="87">
        <v>2633</v>
      </c>
      <c r="Q67" s="92">
        <v>0</v>
      </c>
      <c r="R67" s="93">
        <v>0</v>
      </c>
      <c r="S67" s="87">
        <v>0</v>
      </c>
      <c r="T67" s="87">
        <v>0</v>
      </c>
    </row>
    <row r="68" spans="1:20" x14ac:dyDescent="0.25">
      <c r="A68" s="82" t="s">
        <v>74</v>
      </c>
      <c r="B68" s="87">
        <v>31</v>
      </c>
      <c r="C68" s="87">
        <v>263</v>
      </c>
      <c r="D68" s="87">
        <v>259</v>
      </c>
      <c r="E68" s="92">
        <v>626</v>
      </c>
      <c r="F68" s="93">
        <v>117</v>
      </c>
      <c r="G68" s="87">
        <v>0</v>
      </c>
      <c r="H68" s="87">
        <v>0</v>
      </c>
      <c r="I68" s="87"/>
      <c r="J68" s="78"/>
      <c r="K68" s="78"/>
      <c r="M68" s="82" t="s">
        <v>74</v>
      </c>
      <c r="N68" s="87">
        <v>221</v>
      </c>
      <c r="O68" s="87">
        <v>2181</v>
      </c>
      <c r="P68" s="87">
        <v>2220</v>
      </c>
      <c r="Q68" s="92">
        <v>0</v>
      </c>
      <c r="R68" s="93">
        <v>0</v>
      </c>
      <c r="S68" s="87">
        <v>0</v>
      </c>
      <c r="T68" s="87">
        <v>0</v>
      </c>
    </row>
    <row r="69" spans="1:20" x14ac:dyDescent="0.25">
      <c r="A69" s="82" t="s">
        <v>75</v>
      </c>
      <c r="B69" s="87">
        <v>15</v>
      </c>
      <c r="C69" s="87">
        <v>231</v>
      </c>
      <c r="D69" s="87">
        <v>161</v>
      </c>
      <c r="E69" s="92">
        <v>69</v>
      </c>
      <c r="F69" s="93">
        <v>12</v>
      </c>
      <c r="G69" s="87">
        <v>0</v>
      </c>
      <c r="H69" s="87">
        <v>0</v>
      </c>
      <c r="I69" s="87"/>
      <c r="J69" s="78"/>
      <c r="K69" s="78"/>
      <c r="M69" s="82" t="s">
        <v>75</v>
      </c>
      <c r="N69" s="87">
        <v>188</v>
      </c>
      <c r="O69" s="87">
        <v>1503</v>
      </c>
      <c r="P69" s="87">
        <v>1533</v>
      </c>
      <c r="Q69" s="92">
        <v>0</v>
      </c>
      <c r="R69" s="93">
        <v>0</v>
      </c>
      <c r="S69" s="87">
        <v>0</v>
      </c>
      <c r="T69" s="87">
        <v>0</v>
      </c>
    </row>
    <row r="70" spans="1:20" x14ac:dyDescent="0.25">
      <c r="A70" s="82" t="s">
        <v>76</v>
      </c>
      <c r="B70" s="87">
        <v>14</v>
      </c>
      <c r="C70" s="87">
        <v>244</v>
      </c>
      <c r="D70" s="87">
        <v>206</v>
      </c>
      <c r="E70" s="92">
        <v>31</v>
      </c>
      <c r="F70" s="93">
        <v>57</v>
      </c>
      <c r="G70" s="87">
        <v>0</v>
      </c>
      <c r="H70" s="87">
        <v>0</v>
      </c>
      <c r="I70" s="87"/>
      <c r="J70" s="78"/>
      <c r="K70" s="78"/>
      <c r="M70" s="82" t="s">
        <v>76</v>
      </c>
      <c r="N70" s="87">
        <v>171</v>
      </c>
      <c r="O70" s="87">
        <v>2113</v>
      </c>
      <c r="P70" s="87">
        <v>1734</v>
      </c>
      <c r="Q70" s="92">
        <v>0</v>
      </c>
      <c r="R70" s="93">
        <v>0</v>
      </c>
      <c r="S70" s="87">
        <v>0</v>
      </c>
      <c r="T70" s="87">
        <v>0</v>
      </c>
    </row>
    <row r="71" spans="1:20" x14ac:dyDescent="0.25">
      <c r="A71" s="82" t="s">
        <v>77</v>
      </c>
      <c r="B71" s="87">
        <v>37</v>
      </c>
      <c r="C71" s="87">
        <v>826</v>
      </c>
      <c r="D71" s="87">
        <v>653</v>
      </c>
      <c r="E71" s="92">
        <v>240</v>
      </c>
      <c r="F71" s="93">
        <v>180</v>
      </c>
      <c r="G71" s="87">
        <v>0</v>
      </c>
      <c r="H71" s="87">
        <v>0</v>
      </c>
      <c r="I71" s="87"/>
      <c r="J71" s="78"/>
      <c r="K71" s="78"/>
      <c r="M71" s="82" t="s">
        <v>77</v>
      </c>
      <c r="N71" s="87">
        <v>248</v>
      </c>
      <c r="O71" s="87">
        <v>4376</v>
      </c>
      <c r="P71" s="87">
        <v>3910</v>
      </c>
      <c r="Q71" s="92">
        <v>0</v>
      </c>
      <c r="R71" s="93">
        <v>0</v>
      </c>
      <c r="S71" s="87">
        <v>0</v>
      </c>
      <c r="T71" s="87">
        <v>0</v>
      </c>
    </row>
    <row r="72" spans="1:20" x14ac:dyDescent="0.25">
      <c r="A72" s="82" t="s">
        <v>78</v>
      </c>
      <c r="B72" s="87">
        <v>30</v>
      </c>
      <c r="C72" s="87">
        <v>516</v>
      </c>
      <c r="D72" s="87">
        <v>729</v>
      </c>
      <c r="E72" s="92">
        <v>119</v>
      </c>
      <c r="F72" s="93">
        <v>164</v>
      </c>
      <c r="G72" s="87">
        <v>0</v>
      </c>
      <c r="H72" s="87">
        <v>0</v>
      </c>
      <c r="I72" s="87"/>
      <c r="J72" s="78"/>
      <c r="K72" s="78"/>
      <c r="M72" s="82" t="s">
        <v>78</v>
      </c>
      <c r="N72" s="87">
        <v>268</v>
      </c>
      <c r="O72" s="87">
        <v>3826</v>
      </c>
      <c r="P72" s="87">
        <v>4199</v>
      </c>
      <c r="Q72" s="92">
        <v>0</v>
      </c>
      <c r="R72" s="93">
        <v>0</v>
      </c>
      <c r="S72" s="87">
        <v>0</v>
      </c>
      <c r="T72" s="87">
        <v>0</v>
      </c>
    </row>
    <row r="73" spans="1:20" x14ac:dyDescent="0.25">
      <c r="A73" s="82" t="s">
        <v>79</v>
      </c>
      <c r="B73" s="94">
        <v>32</v>
      </c>
      <c r="C73" s="94">
        <v>558</v>
      </c>
      <c r="D73" s="94">
        <v>437</v>
      </c>
      <c r="E73" s="95">
        <v>175</v>
      </c>
      <c r="F73" s="96">
        <v>212</v>
      </c>
      <c r="G73" s="97">
        <v>0</v>
      </c>
      <c r="H73" s="97">
        <v>0</v>
      </c>
      <c r="I73" s="97"/>
      <c r="J73" s="78"/>
      <c r="K73" s="78"/>
      <c r="M73" s="82" t="s">
        <v>79</v>
      </c>
      <c r="N73" s="94">
        <v>214</v>
      </c>
      <c r="O73" s="94">
        <v>3187</v>
      </c>
      <c r="P73" s="94">
        <v>3266</v>
      </c>
      <c r="Q73" s="95">
        <v>0</v>
      </c>
      <c r="R73" s="96">
        <v>0</v>
      </c>
      <c r="S73" s="97">
        <v>0</v>
      </c>
      <c r="T73" s="97">
        <v>0</v>
      </c>
    </row>
    <row r="74" spans="1:20" x14ac:dyDescent="0.25">
      <c r="A74" s="82" t="s">
        <v>80</v>
      </c>
      <c r="B74" s="97">
        <v>48</v>
      </c>
      <c r="C74" s="97">
        <v>518</v>
      </c>
      <c r="D74" s="97">
        <v>609</v>
      </c>
      <c r="E74" s="95">
        <v>62</v>
      </c>
      <c r="F74" s="96">
        <v>70</v>
      </c>
      <c r="G74" s="97">
        <v>0</v>
      </c>
      <c r="H74" s="97">
        <v>0</v>
      </c>
      <c r="I74" s="97"/>
      <c r="J74" s="78"/>
      <c r="K74" s="78"/>
      <c r="M74" s="82" t="s">
        <v>80</v>
      </c>
      <c r="N74" s="97">
        <v>301</v>
      </c>
      <c r="O74" s="97">
        <v>5702</v>
      </c>
      <c r="P74" s="97">
        <v>4924</v>
      </c>
      <c r="Q74" s="95">
        <v>0</v>
      </c>
      <c r="R74" s="96">
        <v>0</v>
      </c>
      <c r="S74" s="97">
        <v>0</v>
      </c>
      <c r="T74" s="97">
        <v>0</v>
      </c>
    </row>
    <row r="75" spans="1:20" x14ac:dyDescent="0.25">
      <c r="A75" s="82" t="s">
        <v>81</v>
      </c>
      <c r="B75" s="87">
        <v>71</v>
      </c>
      <c r="C75" s="87">
        <v>662</v>
      </c>
      <c r="D75" s="87">
        <v>793</v>
      </c>
      <c r="E75" s="92">
        <v>351</v>
      </c>
      <c r="F75" s="93">
        <v>173</v>
      </c>
      <c r="G75" s="87">
        <v>0</v>
      </c>
      <c r="H75" s="87">
        <v>0</v>
      </c>
      <c r="I75" s="87"/>
      <c r="J75" s="78"/>
      <c r="K75" s="78"/>
      <c r="M75" s="82" t="s">
        <v>81</v>
      </c>
      <c r="N75" s="87">
        <v>322</v>
      </c>
      <c r="O75" s="87">
        <v>5958</v>
      </c>
      <c r="P75" s="87">
        <v>5329</v>
      </c>
      <c r="Q75" s="92">
        <v>0</v>
      </c>
      <c r="R75" s="93">
        <v>0</v>
      </c>
      <c r="S75" s="87">
        <v>0</v>
      </c>
      <c r="T75" s="87">
        <v>0</v>
      </c>
    </row>
    <row r="76" spans="1:20" x14ac:dyDescent="0.25">
      <c r="A76" s="83" t="s">
        <v>82</v>
      </c>
      <c r="B76" s="118">
        <v>96</v>
      </c>
      <c r="C76" s="118">
        <v>1151</v>
      </c>
      <c r="D76" s="118">
        <v>1034</v>
      </c>
      <c r="E76" s="119">
        <v>482</v>
      </c>
      <c r="F76" s="120">
        <v>232</v>
      </c>
      <c r="G76" s="118">
        <v>0</v>
      </c>
      <c r="H76" s="118">
        <v>0</v>
      </c>
      <c r="I76" s="124"/>
      <c r="J76" s="78"/>
      <c r="K76" s="78"/>
      <c r="M76" s="83" t="s">
        <v>82</v>
      </c>
      <c r="N76" s="118">
        <v>333</v>
      </c>
      <c r="O76" s="118">
        <v>5853</v>
      </c>
      <c r="P76" s="118">
        <v>5749</v>
      </c>
      <c r="Q76" s="119">
        <v>0</v>
      </c>
      <c r="R76" s="120">
        <v>0</v>
      </c>
      <c r="S76" s="118">
        <v>0</v>
      </c>
      <c r="T76" s="118">
        <v>0</v>
      </c>
    </row>
    <row r="77" spans="1:20" ht="18.75" x14ac:dyDescent="0.25">
      <c r="A77" s="6" t="s">
        <v>6</v>
      </c>
      <c r="B77" s="3"/>
      <c r="C77" s="3"/>
      <c r="D77" s="7"/>
      <c r="E77" s="1"/>
      <c r="H77" s="11" t="s">
        <v>7</v>
      </c>
      <c r="I77" s="80"/>
      <c r="J77" s="78"/>
      <c r="K77" s="78"/>
      <c r="M77" s="6" t="s">
        <v>6</v>
      </c>
      <c r="N77" s="3"/>
      <c r="O77" s="3"/>
      <c r="P77" s="7"/>
      <c r="Q77" s="1"/>
      <c r="T77" s="11" t="s">
        <v>7</v>
      </c>
    </row>
    <row r="78" spans="1:20" x14ac:dyDescent="0.25">
      <c r="A78" s="78"/>
      <c r="J78" s="78"/>
      <c r="K78" s="78"/>
    </row>
    <row r="80" spans="1:20" x14ac:dyDescent="0.25">
      <c r="A80" s="171" t="s">
        <v>91</v>
      </c>
      <c r="B80" s="171"/>
      <c r="C80" s="171"/>
      <c r="D80" s="171"/>
      <c r="E80" s="171"/>
      <c r="F80" s="171"/>
      <c r="G80" s="171"/>
      <c r="H80" s="171"/>
      <c r="I80" s="114"/>
      <c r="J80" s="78"/>
      <c r="K80" s="78"/>
      <c r="M80" s="171" t="s">
        <v>92</v>
      </c>
      <c r="N80" s="171"/>
      <c r="O80" s="171"/>
      <c r="P80" s="171"/>
      <c r="Q80" s="171"/>
      <c r="R80" s="171"/>
      <c r="S80" s="171"/>
      <c r="T80" s="171"/>
    </row>
    <row r="81" spans="1:20" x14ac:dyDescent="0.25">
      <c r="A81" s="79"/>
      <c r="B81" s="78"/>
      <c r="C81" s="78"/>
      <c r="D81" s="78"/>
      <c r="E81" s="78"/>
      <c r="F81" s="78"/>
      <c r="G81" s="78"/>
      <c r="H81" s="78"/>
      <c r="I81" s="78"/>
      <c r="J81" s="78"/>
      <c r="K81" s="78"/>
      <c r="M81" s="79"/>
      <c r="N81" s="78"/>
      <c r="O81" s="78"/>
      <c r="P81" s="78"/>
      <c r="Q81" s="78"/>
      <c r="R81" s="78"/>
      <c r="S81" s="78"/>
      <c r="T81" s="78"/>
    </row>
    <row r="82" spans="1:20" x14ac:dyDescent="0.25">
      <c r="A82" s="172" t="s">
        <v>64</v>
      </c>
      <c r="B82" s="174" t="s">
        <v>65</v>
      </c>
      <c r="C82" s="176" t="s">
        <v>66</v>
      </c>
      <c r="D82" s="176"/>
      <c r="E82" s="177" t="s">
        <v>67</v>
      </c>
      <c r="F82" s="178"/>
      <c r="G82" s="176" t="s">
        <v>68</v>
      </c>
      <c r="H82" s="176"/>
      <c r="I82" s="121"/>
      <c r="J82" s="78"/>
      <c r="K82" s="78"/>
      <c r="M82" s="172" t="s">
        <v>64</v>
      </c>
      <c r="N82" s="174" t="s">
        <v>65</v>
      </c>
      <c r="O82" s="176" t="s">
        <v>66</v>
      </c>
      <c r="P82" s="176"/>
      <c r="Q82" s="177" t="s">
        <v>67</v>
      </c>
      <c r="R82" s="178"/>
      <c r="S82" s="176" t="s">
        <v>68</v>
      </c>
      <c r="T82" s="176"/>
    </row>
    <row r="83" spans="1:20" x14ac:dyDescent="0.25">
      <c r="A83" s="173"/>
      <c r="B83" s="175"/>
      <c r="C83" s="85" t="s">
        <v>69</v>
      </c>
      <c r="D83" s="85" t="s">
        <v>70</v>
      </c>
      <c r="E83" s="88" t="s">
        <v>69</v>
      </c>
      <c r="F83" s="89" t="s">
        <v>70</v>
      </c>
      <c r="G83" s="85" t="s">
        <v>69</v>
      </c>
      <c r="H83" s="85" t="s">
        <v>70</v>
      </c>
      <c r="I83" s="122"/>
      <c r="J83" s="78"/>
      <c r="K83" s="78"/>
      <c r="M83" s="173"/>
      <c r="N83" s="175"/>
      <c r="O83" s="85" t="s">
        <v>69</v>
      </c>
      <c r="P83" s="85" t="s">
        <v>70</v>
      </c>
      <c r="Q83" s="88" t="s">
        <v>69</v>
      </c>
      <c r="R83" s="89" t="s">
        <v>70</v>
      </c>
      <c r="S83" s="85" t="s">
        <v>69</v>
      </c>
      <c r="T83" s="85" t="s">
        <v>70</v>
      </c>
    </row>
    <row r="84" spans="1:20" x14ac:dyDescent="0.25">
      <c r="A84" s="84" t="s">
        <v>4</v>
      </c>
      <c r="B84" s="86"/>
      <c r="C84" s="86"/>
      <c r="D84" s="86"/>
      <c r="E84" s="90"/>
      <c r="F84" s="91"/>
      <c r="G84" s="86"/>
      <c r="H84" s="86"/>
      <c r="I84" s="123"/>
      <c r="J84" s="78"/>
      <c r="K84" s="78"/>
      <c r="M84" s="84" t="s">
        <v>4</v>
      </c>
      <c r="N84" s="86"/>
      <c r="O84" s="86"/>
      <c r="P84" s="86"/>
      <c r="Q84" s="90"/>
      <c r="R84" s="91"/>
      <c r="S84" s="86"/>
      <c r="T84" s="86"/>
    </row>
    <row r="85" spans="1:20" x14ac:dyDescent="0.25">
      <c r="A85" s="82" t="s">
        <v>71</v>
      </c>
      <c r="B85" s="87">
        <v>219</v>
      </c>
      <c r="C85" s="87">
        <v>3933</v>
      </c>
      <c r="D85" s="87">
        <v>3806</v>
      </c>
      <c r="E85" s="92">
        <v>0</v>
      </c>
      <c r="F85" s="93">
        <v>0</v>
      </c>
      <c r="G85" s="87">
        <v>0</v>
      </c>
      <c r="H85" s="87">
        <v>0</v>
      </c>
      <c r="I85" s="87"/>
      <c r="J85" s="81" t="s">
        <v>83</v>
      </c>
      <c r="K85" s="81"/>
      <c r="M85" s="82" t="s">
        <v>71</v>
      </c>
      <c r="N85" s="87">
        <v>100</v>
      </c>
      <c r="O85" s="87">
        <v>648</v>
      </c>
      <c r="P85" s="87">
        <v>800</v>
      </c>
      <c r="Q85" s="92">
        <v>1332</v>
      </c>
      <c r="R85" s="93">
        <v>98</v>
      </c>
      <c r="S85" s="87">
        <v>0</v>
      </c>
      <c r="T85" s="87">
        <v>0</v>
      </c>
    </row>
    <row r="86" spans="1:20" x14ac:dyDescent="0.25">
      <c r="A86" s="82" t="s">
        <v>72</v>
      </c>
      <c r="B86" s="87">
        <v>208</v>
      </c>
      <c r="C86" s="87">
        <v>3681</v>
      </c>
      <c r="D86" s="87">
        <v>3668</v>
      </c>
      <c r="E86" s="92">
        <v>0</v>
      </c>
      <c r="F86" s="93">
        <v>0</v>
      </c>
      <c r="G86" s="87">
        <v>0</v>
      </c>
      <c r="H86" s="87">
        <v>0</v>
      </c>
      <c r="I86" s="87"/>
      <c r="J86" s="78"/>
      <c r="K86" s="78"/>
      <c r="M86" s="82" t="s">
        <v>72</v>
      </c>
      <c r="N86" s="87">
        <v>70</v>
      </c>
      <c r="O86" s="87">
        <v>619</v>
      </c>
      <c r="P86" s="87">
        <v>392</v>
      </c>
      <c r="Q86" s="92">
        <v>0</v>
      </c>
      <c r="R86" s="93">
        <v>0</v>
      </c>
      <c r="S86" s="87">
        <v>0</v>
      </c>
      <c r="T86" s="87">
        <v>0</v>
      </c>
    </row>
    <row r="87" spans="1:20" x14ac:dyDescent="0.25">
      <c r="A87" s="82" t="s">
        <v>73</v>
      </c>
      <c r="B87" s="87">
        <v>194</v>
      </c>
      <c r="C87" s="87">
        <v>3994</v>
      </c>
      <c r="D87" s="87">
        <v>3832</v>
      </c>
      <c r="E87" s="92">
        <v>0</v>
      </c>
      <c r="F87" s="93">
        <v>0</v>
      </c>
      <c r="G87" s="87">
        <v>0</v>
      </c>
      <c r="H87" s="87">
        <v>0</v>
      </c>
      <c r="I87" s="87"/>
      <c r="J87" s="78"/>
      <c r="K87" s="78"/>
      <c r="M87" s="82" t="s">
        <v>73</v>
      </c>
      <c r="N87" s="87">
        <v>98</v>
      </c>
      <c r="O87" s="87">
        <v>1091</v>
      </c>
      <c r="P87" s="87">
        <v>631</v>
      </c>
      <c r="Q87" s="92">
        <v>1625</v>
      </c>
      <c r="R87" s="93">
        <v>80</v>
      </c>
      <c r="S87" s="87">
        <v>0</v>
      </c>
      <c r="T87" s="87">
        <v>3</v>
      </c>
    </row>
    <row r="88" spans="1:20" x14ac:dyDescent="0.25">
      <c r="A88" s="82" t="s">
        <v>74</v>
      </c>
      <c r="B88" s="87">
        <v>203</v>
      </c>
      <c r="C88" s="87">
        <v>3600</v>
      </c>
      <c r="D88" s="87">
        <v>3723</v>
      </c>
      <c r="E88" s="92">
        <v>0</v>
      </c>
      <c r="F88" s="93">
        <v>0</v>
      </c>
      <c r="G88" s="87">
        <v>0</v>
      </c>
      <c r="H88" s="87">
        <v>0</v>
      </c>
      <c r="I88" s="87"/>
      <c r="J88" s="78"/>
      <c r="K88" s="78"/>
      <c r="M88" s="82" t="s">
        <v>74</v>
      </c>
      <c r="N88" s="87">
        <v>70</v>
      </c>
      <c r="O88" s="87">
        <v>579</v>
      </c>
      <c r="P88" s="87">
        <v>570</v>
      </c>
      <c r="Q88" s="92">
        <v>901</v>
      </c>
      <c r="R88" s="93">
        <v>155</v>
      </c>
      <c r="S88" s="87">
        <v>0</v>
      </c>
      <c r="T88" s="87">
        <v>0</v>
      </c>
    </row>
    <row r="89" spans="1:20" x14ac:dyDescent="0.25">
      <c r="A89" s="82" t="s">
        <v>75</v>
      </c>
      <c r="B89" s="87">
        <v>180</v>
      </c>
      <c r="C89" s="87">
        <v>3681</v>
      </c>
      <c r="D89" s="87">
        <v>3827</v>
      </c>
      <c r="E89" s="92">
        <v>0</v>
      </c>
      <c r="F89" s="93">
        <v>0</v>
      </c>
      <c r="G89" s="87">
        <v>0</v>
      </c>
      <c r="H89" s="87">
        <v>0</v>
      </c>
      <c r="I89" s="87"/>
      <c r="J89" s="78"/>
      <c r="K89" s="78"/>
      <c r="M89" s="82" t="s">
        <v>75</v>
      </c>
      <c r="N89" s="87">
        <v>36</v>
      </c>
      <c r="O89" s="87">
        <v>281</v>
      </c>
      <c r="P89" s="87">
        <v>283</v>
      </c>
      <c r="Q89" s="92">
        <v>287</v>
      </c>
      <c r="R89" s="93">
        <v>159</v>
      </c>
      <c r="S89" s="87">
        <v>0</v>
      </c>
      <c r="T89" s="87">
        <v>0</v>
      </c>
    </row>
    <row r="90" spans="1:20" x14ac:dyDescent="0.25">
      <c r="A90" s="82" t="s">
        <v>76</v>
      </c>
      <c r="B90" s="87">
        <v>156</v>
      </c>
      <c r="C90" s="87">
        <v>3499</v>
      </c>
      <c r="D90" s="87">
        <v>3380</v>
      </c>
      <c r="E90" s="92">
        <v>0</v>
      </c>
      <c r="F90" s="93">
        <v>0</v>
      </c>
      <c r="G90" s="87">
        <v>0</v>
      </c>
      <c r="H90" s="87">
        <v>0</v>
      </c>
      <c r="I90" s="87"/>
      <c r="J90" s="78"/>
      <c r="K90" s="78"/>
      <c r="M90" s="82" t="s">
        <v>76</v>
      </c>
      <c r="N90" s="87">
        <v>42</v>
      </c>
      <c r="O90" s="87">
        <v>413</v>
      </c>
      <c r="P90" s="87">
        <v>285</v>
      </c>
      <c r="Q90" s="92">
        <v>453</v>
      </c>
      <c r="R90" s="93">
        <v>16</v>
      </c>
      <c r="S90" s="87">
        <v>0</v>
      </c>
      <c r="T90" s="87">
        <v>0</v>
      </c>
    </row>
    <row r="91" spans="1:20" x14ac:dyDescent="0.25">
      <c r="A91" s="82" t="s">
        <v>77</v>
      </c>
      <c r="B91" s="87">
        <v>204</v>
      </c>
      <c r="C91" s="87">
        <v>4716</v>
      </c>
      <c r="D91" s="87">
        <v>4614</v>
      </c>
      <c r="E91" s="92">
        <v>0</v>
      </c>
      <c r="F91" s="93">
        <v>0</v>
      </c>
      <c r="G91" s="87">
        <v>0</v>
      </c>
      <c r="H91" s="87">
        <v>0</v>
      </c>
      <c r="I91" s="87"/>
      <c r="J91" s="78"/>
      <c r="K91" s="78"/>
      <c r="M91" s="82" t="s">
        <v>77</v>
      </c>
      <c r="N91" s="87">
        <v>104</v>
      </c>
      <c r="O91" s="87">
        <v>1305</v>
      </c>
      <c r="P91" s="87">
        <v>1049</v>
      </c>
      <c r="Q91" s="92">
        <v>765</v>
      </c>
      <c r="R91" s="93">
        <v>172</v>
      </c>
      <c r="S91" s="87">
        <v>0</v>
      </c>
      <c r="T91" s="87">
        <v>0</v>
      </c>
    </row>
    <row r="92" spans="1:20" x14ac:dyDescent="0.25">
      <c r="A92" s="82" t="s">
        <v>78</v>
      </c>
      <c r="B92" s="87">
        <v>202</v>
      </c>
      <c r="C92" s="87">
        <v>4966</v>
      </c>
      <c r="D92" s="87">
        <v>4668</v>
      </c>
      <c r="E92" s="92">
        <v>0</v>
      </c>
      <c r="F92" s="93">
        <v>0</v>
      </c>
      <c r="G92" s="87">
        <v>0</v>
      </c>
      <c r="H92" s="87">
        <v>0</v>
      </c>
      <c r="I92" s="87"/>
      <c r="M92" s="82" t="s">
        <v>78</v>
      </c>
      <c r="N92" s="87">
        <v>97</v>
      </c>
      <c r="O92" s="87">
        <v>1101</v>
      </c>
      <c r="P92" s="87">
        <v>1136</v>
      </c>
      <c r="Q92" s="92">
        <v>827</v>
      </c>
      <c r="R92" s="93">
        <v>386</v>
      </c>
      <c r="S92" s="87">
        <v>0</v>
      </c>
      <c r="T92" s="87">
        <v>0</v>
      </c>
    </row>
    <row r="93" spans="1:20" x14ac:dyDescent="0.25">
      <c r="A93" s="82" t="s">
        <v>79</v>
      </c>
      <c r="B93" s="94">
        <v>205</v>
      </c>
      <c r="C93" s="94">
        <v>4439</v>
      </c>
      <c r="D93" s="94">
        <v>4596</v>
      </c>
      <c r="E93" s="95">
        <v>0</v>
      </c>
      <c r="F93" s="96">
        <v>0</v>
      </c>
      <c r="G93" s="97">
        <v>0</v>
      </c>
      <c r="H93" s="97">
        <v>0</v>
      </c>
      <c r="I93" s="97"/>
      <c r="M93" s="82" t="s">
        <v>79</v>
      </c>
      <c r="N93" s="94">
        <v>70</v>
      </c>
      <c r="O93" s="94">
        <v>869</v>
      </c>
      <c r="P93" s="94">
        <v>678</v>
      </c>
      <c r="Q93" s="95">
        <v>413</v>
      </c>
      <c r="R93" s="96">
        <v>405</v>
      </c>
      <c r="S93" s="97">
        <v>0</v>
      </c>
      <c r="T93" s="97">
        <v>0</v>
      </c>
    </row>
    <row r="94" spans="1:20" x14ac:dyDescent="0.25">
      <c r="A94" s="82" t="s">
        <v>80</v>
      </c>
      <c r="B94" s="97">
        <v>224</v>
      </c>
      <c r="C94" s="97">
        <v>5544</v>
      </c>
      <c r="D94" s="97">
        <v>4937</v>
      </c>
      <c r="E94" s="95">
        <v>0</v>
      </c>
      <c r="F94" s="96">
        <v>0</v>
      </c>
      <c r="G94" s="97">
        <v>0</v>
      </c>
      <c r="H94" s="97">
        <v>0</v>
      </c>
      <c r="I94" s="97"/>
      <c r="M94" s="82" t="s">
        <v>80</v>
      </c>
      <c r="N94" s="97">
        <v>47</v>
      </c>
      <c r="O94" s="97">
        <v>947</v>
      </c>
      <c r="P94" s="97">
        <v>830</v>
      </c>
      <c r="Q94" s="95">
        <v>468</v>
      </c>
      <c r="R94" s="96">
        <v>363</v>
      </c>
      <c r="S94" s="97">
        <v>0</v>
      </c>
      <c r="T94" s="97">
        <v>0</v>
      </c>
    </row>
    <row r="95" spans="1:20" x14ac:dyDescent="0.25">
      <c r="A95" s="82" t="s">
        <v>81</v>
      </c>
      <c r="B95" s="87">
        <v>234</v>
      </c>
      <c r="C95" s="87">
        <v>5751</v>
      </c>
      <c r="D95" s="87">
        <v>5200</v>
      </c>
      <c r="E95" s="92">
        <v>0</v>
      </c>
      <c r="F95" s="93">
        <v>0</v>
      </c>
      <c r="G95" s="87">
        <v>0</v>
      </c>
      <c r="H95" s="87">
        <v>0</v>
      </c>
      <c r="I95" s="87"/>
      <c r="M95" s="82" t="s">
        <v>81</v>
      </c>
      <c r="N95" s="87">
        <v>45</v>
      </c>
      <c r="O95" s="87">
        <v>911</v>
      </c>
      <c r="P95" s="87">
        <v>515</v>
      </c>
      <c r="Q95" s="92">
        <v>468</v>
      </c>
      <c r="R95" s="93">
        <v>363</v>
      </c>
      <c r="S95" s="87">
        <v>0</v>
      </c>
      <c r="T95" s="87">
        <v>0</v>
      </c>
    </row>
    <row r="96" spans="1:20" x14ac:dyDescent="0.25">
      <c r="A96" s="83" t="s">
        <v>82</v>
      </c>
      <c r="B96" s="118">
        <v>271</v>
      </c>
      <c r="C96" s="118">
        <v>6363</v>
      </c>
      <c r="D96" s="118">
        <v>5486</v>
      </c>
      <c r="E96" s="119">
        <v>0</v>
      </c>
      <c r="F96" s="120">
        <v>0</v>
      </c>
      <c r="G96" s="118">
        <v>0</v>
      </c>
      <c r="H96" s="118">
        <v>0</v>
      </c>
      <c r="I96" s="124"/>
      <c r="M96" s="83" t="s">
        <v>82</v>
      </c>
      <c r="N96" s="118">
        <v>64</v>
      </c>
      <c r="O96" s="118">
        <v>1240</v>
      </c>
      <c r="P96" s="118">
        <v>1132</v>
      </c>
      <c r="Q96" s="119">
        <v>1531</v>
      </c>
      <c r="R96" s="120">
        <v>46</v>
      </c>
      <c r="S96" s="118">
        <v>0</v>
      </c>
      <c r="T96" s="118">
        <v>0</v>
      </c>
    </row>
    <row r="97" spans="1:20" ht="18.75" x14ac:dyDescent="0.25">
      <c r="A97" s="6" t="s">
        <v>6</v>
      </c>
      <c r="B97" s="3"/>
      <c r="C97" s="3"/>
      <c r="D97" s="7"/>
      <c r="E97" s="1"/>
      <c r="H97" s="11" t="s">
        <v>7</v>
      </c>
      <c r="I97" s="80"/>
      <c r="M97" s="6" t="s">
        <v>6</v>
      </c>
      <c r="N97" s="3"/>
      <c r="O97" s="3"/>
      <c r="P97" s="7"/>
      <c r="Q97" s="1"/>
      <c r="T97" s="11" t="s">
        <v>7</v>
      </c>
    </row>
    <row r="98" spans="1:20" x14ac:dyDescent="0.25">
      <c r="A98" s="78"/>
    </row>
    <row r="99" spans="1:20" x14ac:dyDescent="0.25">
      <c r="A99" s="78"/>
    </row>
    <row r="100" spans="1:20" x14ac:dyDescent="0.25">
      <c r="A100" s="171" t="s">
        <v>95</v>
      </c>
      <c r="B100" s="171"/>
      <c r="C100" s="171"/>
      <c r="D100" s="171"/>
      <c r="E100" s="171"/>
      <c r="F100" s="171"/>
      <c r="G100" s="171"/>
      <c r="H100" s="171"/>
      <c r="I100" s="114"/>
      <c r="J100" s="78"/>
      <c r="K100" s="78"/>
      <c r="M100" s="171" t="s">
        <v>94</v>
      </c>
      <c r="N100" s="171"/>
      <c r="O100" s="171"/>
      <c r="P100" s="171"/>
      <c r="Q100" s="171"/>
      <c r="R100" s="171"/>
      <c r="S100" s="171"/>
      <c r="T100" s="171"/>
    </row>
    <row r="101" spans="1:20" x14ac:dyDescent="0.25">
      <c r="A101" s="79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M101" s="79"/>
      <c r="N101" s="78"/>
      <c r="O101" s="78"/>
      <c r="P101" s="78"/>
      <c r="Q101" s="78"/>
      <c r="R101" s="78"/>
      <c r="S101" s="78"/>
      <c r="T101" s="78"/>
    </row>
    <row r="102" spans="1:20" x14ac:dyDescent="0.25">
      <c r="A102" s="172" t="s">
        <v>64</v>
      </c>
      <c r="B102" s="174" t="s">
        <v>65</v>
      </c>
      <c r="C102" s="176" t="s">
        <v>66</v>
      </c>
      <c r="D102" s="176"/>
      <c r="E102" s="177" t="s">
        <v>67</v>
      </c>
      <c r="F102" s="178"/>
      <c r="G102" s="176" t="s">
        <v>68</v>
      </c>
      <c r="H102" s="176"/>
      <c r="I102" s="121"/>
      <c r="J102" s="78"/>
      <c r="K102" s="78"/>
      <c r="M102" s="172" t="s">
        <v>64</v>
      </c>
      <c r="N102" s="174" t="s">
        <v>65</v>
      </c>
      <c r="O102" s="176" t="s">
        <v>66</v>
      </c>
      <c r="P102" s="176"/>
      <c r="Q102" s="177" t="s">
        <v>67</v>
      </c>
      <c r="R102" s="178"/>
      <c r="S102" s="176" t="s">
        <v>68</v>
      </c>
      <c r="T102" s="176"/>
    </row>
    <row r="103" spans="1:20" x14ac:dyDescent="0.25">
      <c r="A103" s="173"/>
      <c r="B103" s="175"/>
      <c r="C103" s="85" t="s">
        <v>69</v>
      </c>
      <c r="D103" s="85" t="s">
        <v>70</v>
      </c>
      <c r="E103" s="88" t="s">
        <v>69</v>
      </c>
      <c r="F103" s="89" t="s">
        <v>70</v>
      </c>
      <c r="G103" s="85" t="s">
        <v>69</v>
      </c>
      <c r="H103" s="85" t="s">
        <v>70</v>
      </c>
      <c r="I103" s="122"/>
      <c r="J103" s="78"/>
      <c r="K103" s="78"/>
      <c r="M103" s="173"/>
      <c r="N103" s="175"/>
      <c r="O103" s="85" t="s">
        <v>69</v>
      </c>
      <c r="P103" s="85" t="s">
        <v>70</v>
      </c>
      <c r="Q103" s="88" t="s">
        <v>69</v>
      </c>
      <c r="R103" s="89" t="s">
        <v>70</v>
      </c>
      <c r="S103" s="85" t="s">
        <v>69</v>
      </c>
      <c r="T103" s="85" t="s">
        <v>70</v>
      </c>
    </row>
    <row r="104" spans="1:20" x14ac:dyDescent="0.25">
      <c r="A104" s="84" t="s">
        <v>4</v>
      </c>
      <c r="B104" s="86"/>
      <c r="C104" s="86"/>
      <c r="D104" s="86"/>
      <c r="E104" s="90"/>
      <c r="F104" s="91"/>
      <c r="G104" s="86"/>
      <c r="H104" s="86"/>
      <c r="I104" s="123"/>
      <c r="J104" s="78"/>
      <c r="K104" s="78"/>
      <c r="M104" s="84" t="s">
        <v>4</v>
      </c>
      <c r="N104" s="86"/>
      <c r="O104" s="86"/>
      <c r="P104" s="86"/>
      <c r="Q104" s="90"/>
      <c r="R104" s="91"/>
      <c r="S104" s="86"/>
      <c r="T104" s="86"/>
    </row>
    <row r="105" spans="1:20" x14ac:dyDescent="0.25">
      <c r="A105" s="82" t="s">
        <v>71</v>
      </c>
      <c r="B105" s="87">
        <v>18</v>
      </c>
      <c r="C105" s="87">
        <v>161</v>
      </c>
      <c r="D105" s="87">
        <v>238</v>
      </c>
      <c r="E105" s="92">
        <v>12</v>
      </c>
      <c r="F105" s="93">
        <v>13.5</v>
      </c>
      <c r="G105" s="87">
        <v>0</v>
      </c>
      <c r="H105" s="87">
        <v>0</v>
      </c>
      <c r="I105" s="87"/>
      <c r="J105" s="81" t="s">
        <v>83</v>
      </c>
      <c r="K105" s="81"/>
      <c r="M105" s="82" t="s">
        <v>71</v>
      </c>
      <c r="N105" s="87">
        <v>50</v>
      </c>
      <c r="O105" s="87">
        <v>709</v>
      </c>
      <c r="P105" s="87">
        <v>921</v>
      </c>
      <c r="Q105" s="92">
        <v>258</v>
      </c>
      <c r="R105" s="93">
        <v>131</v>
      </c>
      <c r="S105" s="87">
        <v>0</v>
      </c>
      <c r="T105" s="87">
        <v>0</v>
      </c>
    </row>
    <row r="106" spans="1:20" x14ac:dyDescent="0.25">
      <c r="A106" s="82" t="s">
        <v>72</v>
      </c>
      <c r="B106" s="87">
        <v>16</v>
      </c>
      <c r="C106" s="87">
        <v>135</v>
      </c>
      <c r="D106" s="87">
        <v>90</v>
      </c>
      <c r="E106" s="92">
        <v>67</v>
      </c>
      <c r="F106" s="93">
        <v>86</v>
      </c>
      <c r="G106" s="87">
        <v>0</v>
      </c>
      <c r="H106" s="87">
        <v>0</v>
      </c>
      <c r="I106" s="87"/>
      <c r="J106" s="78"/>
      <c r="K106" s="78"/>
      <c r="M106" s="82" t="s">
        <v>72</v>
      </c>
      <c r="N106" s="87">
        <v>42</v>
      </c>
      <c r="O106" s="87">
        <v>519</v>
      </c>
      <c r="P106" s="87">
        <v>514</v>
      </c>
      <c r="Q106" s="92">
        <v>1599</v>
      </c>
      <c r="R106" s="93">
        <v>245</v>
      </c>
      <c r="S106" s="87">
        <v>0</v>
      </c>
      <c r="T106" s="87">
        <v>0</v>
      </c>
    </row>
    <row r="107" spans="1:20" x14ac:dyDescent="0.25">
      <c r="A107" s="82" t="s">
        <v>73</v>
      </c>
      <c r="B107" s="87">
        <v>18</v>
      </c>
      <c r="C107" s="87">
        <v>164</v>
      </c>
      <c r="D107" s="87">
        <v>161</v>
      </c>
      <c r="E107" s="92">
        <v>39</v>
      </c>
      <c r="F107" s="93">
        <v>14</v>
      </c>
      <c r="G107" s="87">
        <v>0</v>
      </c>
      <c r="H107" s="87">
        <v>0</v>
      </c>
      <c r="I107" s="87"/>
      <c r="J107" s="78"/>
      <c r="K107" s="78"/>
      <c r="M107" s="82" t="s">
        <v>73</v>
      </c>
      <c r="N107" s="87">
        <v>54</v>
      </c>
      <c r="O107" s="87">
        <v>598</v>
      </c>
      <c r="P107" s="87">
        <v>506</v>
      </c>
      <c r="Q107" s="92">
        <v>685</v>
      </c>
      <c r="R107" s="93">
        <v>394</v>
      </c>
      <c r="S107" s="87">
        <v>2</v>
      </c>
      <c r="T107" s="87">
        <v>0</v>
      </c>
    </row>
    <row r="108" spans="1:20" x14ac:dyDescent="0.25">
      <c r="A108" s="82" t="s">
        <v>74</v>
      </c>
      <c r="B108" s="87">
        <v>14</v>
      </c>
      <c r="C108" s="87">
        <v>112</v>
      </c>
      <c r="D108" s="87">
        <v>100</v>
      </c>
      <c r="E108" s="92">
        <v>266</v>
      </c>
      <c r="F108" s="93">
        <v>10</v>
      </c>
      <c r="G108" s="87">
        <v>0</v>
      </c>
      <c r="H108" s="87">
        <v>0</v>
      </c>
      <c r="I108" s="87"/>
      <c r="J108" s="78"/>
      <c r="K108" s="78"/>
      <c r="M108" s="82" t="s">
        <v>74</v>
      </c>
      <c r="N108" s="87">
        <v>42</v>
      </c>
      <c r="O108" s="87">
        <v>437</v>
      </c>
      <c r="P108" s="87">
        <v>538</v>
      </c>
      <c r="Q108" s="92">
        <v>1004</v>
      </c>
      <c r="R108" s="93">
        <v>340</v>
      </c>
      <c r="S108" s="87">
        <v>15</v>
      </c>
      <c r="T108" s="87">
        <v>0</v>
      </c>
    </row>
    <row r="109" spans="1:20" x14ac:dyDescent="0.25">
      <c r="A109" s="82" t="s">
        <v>75</v>
      </c>
      <c r="B109" s="87">
        <v>10</v>
      </c>
      <c r="C109" s="87">
        <v>69</v>
      </c>
      <c r="D109" s="87">
        <v>71</v>
      </c>
      <c r="E109" s="92">
        <v>144</v>
      </c>
      <c r="F109" s="93">
        <v>2</v>
      </c>
      <c r="G109" s="87">
        <v>0</v>
      </c>
      <c r="H109" s="87">
        <v>0</v>
      </c>
      <c r="I109" s="87"/>
      <c r="J109" s="78"/>
      <c r="K109" s="78"/>
      <c r="M109" s="82" t="s">
        <v>75</v>
      </c>
      <c r="N109" s="87">
        <v>20</v>
      </c>
      <c r="O109" s="87">
        <v>307</v>
      </c>
      <c r="P109" s="87">
        <v>250</v>
      </c>
      <c r="Q109" s="92">
        <v>317</v>
      </c>
      <c r="R109" s="93">
        <v>191</v>
      </c>
      <c r="S109" s="87">
        <v>10</v>
      </c>
      <c r="T109" s="87">
        <v>0</v>
      </c>
    </row>
    <row r="110" spans="1:20" x14ac:dyDescent="0.25">
      <c r="A110" s="82" t="s">
        <v>76</v>
      </c>
      <c r="B110" s="87">
        <v>6</v>
      </c>
      <c r="C110" s="87">
        <v>75</v>
      </c>
      <c r="D110" s="87">
        <v>61</v>
      </c>
      <c r="E110" s="92">
        <v>2</v>
      </c>
      <c r="F110" s="93">
        <v>16</v>
      </c>
      <c r="G110" s="87">
        <v>0</v>
      </c>
      <c r="H110" s="87">
        <v>0</v>
      </c>
      <c r="I110" s="87"/>
      <c r="J110" s="78"/>
      <c r="K110" s="78"/>
      <c r="M110" s="82" t="s">
        <v>76</v>
      </c>
      <c r="N110" s="87">
        <v>30</v>
      </c>
      <c r="O110" s="87">
        <v>567</v>
      </c>
      <c r="P110" s="87">
        <v>430</v>
      </c>
      <c r="Q110" s="92">
        <v>334</v>
      </c>
      <c r="R110" s="93">
        <v>19</v>
      </c>
      <c r="S110" s="87">
        <v>6</v>
      </c>
      <c r="T110" s="87">
        <v>0</v>
      </c>
    </row>
    <row r="111" spans="1:20" x14ac:dyDescent="0.25">
      <c r="A111" s="82" t="s">
        <v>77</v>
      </c>
      <c r="B111" s="87">
        <v>20</v>
      </c>
      <c r="C111" s="87">
        <v>389</v>
      </c>
      <c r="D111" s="87">
        <v>323</v>
      </c>
      <c r="E111" s="92">
        <v>119</v>
      </c>
      <c r="F111" s="93">
        <v>2</v>
      </c>
      <c r="G111" s="87">
        <v>0</v>
      </c>
      <c r="H111" s="87">
        <v>0</v>
      </c>
      <c r="I111" s="87"/>
      <c r="J111" s="78"/>
      <c r="K111" s="78"/>
      <c r="M111" s="82" t="s">
        <v>77</v>
      </c>
      <c r="N111" s="87">
        <v>50</v>
      </c>
      <c r="O111" s="87">
        <v>1064</v>
      </c>
      <c r="P111" s="87">
        <v>992</v>
      </c>
      <c r="Q111" s="92">
        <v>901</v>
      </c>
      <c r="R111" s="93">
        <v>17</v>
      </c>
      <c r="S111" s="87">
        <v>0</v>
      </c>
      <c r="T111" s="87">
        <v>0</v>
      </c>
    </row>
    <row r="112" spans="1:20" x14ac:dyDescent="0.25">
      <c r="A112" s="82" t="s">
        <v>78</v>
      </c>
      <c r="B112" s="87">
        <v>20</v>
      </c>
      <c r="C112" s="87">
        <v>278</v>
      </c>
      <c r="D112" s="87">
        <v>413</v>
      </c>
      <c r="E112" s="92">
        <v>64</v>
      </c>
      <c r="F112" s="93">
        <v>12</v>
      </c>
      <c r="G112" s="87">
        <v>0</v>
      </c>
      <c r="H112" s="87">
        <v>0</v>
      </c>
      <c r="I112" s="87"/>
      <c r="M112" s="82" t="s">
        <v>78</v>
      </c>
      <c r="N112" s="87">
        <v>44</v>
      </c>
      <c r="O112" s="87">
        <v>880</v>
      </c>
      <c r="P112" s="87">
        <v>1093</v>
      </c>
      <c r="Q112" s="92">
        <v>1385</v>
      </c>
      <c r="R112" s="93">
        <v>41</v>
      </c>
      <c r="S112" s="87">
        <v>0</v>
      </c>
      <c r="T112" s="87">
        <v>0</v>
      </c>
    </row>
    <row r="113" spans="1:20" x14ac:dyDescent="0.25">
      <c r="A113" s="82" t="s">
        <v>79</v>
      </c>
      <c r="B113" s="94">
        <v>20</v>
      </c>
      <c r="C113" s="94">
        <v>320</v>
      </c>
      <c r="D113" s="94">
        <v>278</v>
      </c>
      <c r="E113" s="95">
        <v>134</v>
      </c>
      <c r="F113" s="96">
        <v>73</v>
      </c>
      <c r="G113" s="97">
        <v>0</v>
      </c>
      <c r="H113" s="97">
        <v>0</v>
      </c>
      <c r="I113" s="97"/>
      <c r="M113" s="82" t="s">
        <v>79</v>
      </c>
      <c r="N113" s="94">
        <v>52</v>
      </c>
      <c r="O113" s="94">
        <v>935</v>
      </c>
      <c r="P113" s="94">
        <v>1095</v>
      </c>
      <c r="Q113" s="95">
        <v>771</v>
      </c>
      <c r="R113" s="96">
        <v>55</v>
      </c>
      <c r="S113" s="97">
        <v>341</v>
      </c>
      <c r="T113" s="97">
        <v>124</v>
      </c>
    </row>
    <row r="114" spans="1:20" x14ac:dyDescent="0.25">
      <c r="A114" s="82" t="s">
        <v>80</v>
      </c>
      <c r="B114" s="97">
        <v>22</v>
      </c>
      <c r="C114" s="97">
        <v>427</v>
      </c>
      <c r="D114" s="97">
        <v>410</v>
      </c>
      <c r="E114" s="95">
        <v>107</v>
      </c>
      <c r="F114" s="96">
        <v>2</v>
      </c>
      <c r="G114" s="97">
        <v>0</v>
      </c>
      <c r="H114" s="97">
        <v>0</v>
      </c>
      <c r="I114" s="97"/>
      <c r="M114" s="82" t="s">
        <v>80</v>
      </c>
      <c r="N114" s="97">
        <v>64</v>
      </c>
      <c r="O114" s="97">
        <v>1280</v>
      </c>
      <c r="P114" s="97">
        <v>1349</v>
      </c>
      <c r="Q114" s="95">
        <v>1587</v>
      </c>
      <c r="R114" s="96">
        <v>283</v>
      </c>
      <c r="S114" s="97">
        <v>3</v>
      </c>
      <c r="T114" s="97">
        <v>4</v>
      </c>
    </row>
    <row r="115" spans="1:20" x14ac:dyDescent="0.25">
      <c r="A115" s="82" t="s">
        <v>81</v>
      </c>
      <c r="B115" s="87">
        <v>16</v>
      </c>
      <c r="C115" s="87">
        <v>266</v>
      </c>
      <c r="D115" s="87">
        <v>301</v>
      </c>
      <c r="E115" s="92">
        <v>82</v>
      </c>
      <c r="F115" s="93">
        <v>1</v>
      </c>
      <c r="G115" s="87">
        <v>0</v>
      </c>
      <c r="H115" s="87">
        <v>0</v>
      </c>
      <c r="I115" s="87"/>
      <c r="M115" s="82" t="s">
        <v>81</v>
      </c>
      <c r="N115" s="87">
        <v>50</v>
      </c>
      <c r="O115" s="87">
        <v>1061</v>
      </c>
      <c r="P115" s="87">
        <v>1114</v>
      </c>
      <c r="Q115" s="92">
        <v>1133</v>
      </c>
      <c r="R115" s="93">
        <v>244</v>
      </c>
      <c r="S115" s="87">
        <v>26</v>
      </c>
      <c r="T115" s="87">
        <v>4</v>
      </c>
    </row>
    <row r="116" spans="1:20" x14ac:dyDescent="0.25">
      <c r="A116" s="83" t="s">
        <v>82</v>
      </c>
      <c r="B116" s="118">
        <v>18</v>
      </c>
      <c r="C116" s="118">
        <v>420</v>
      </c>
      <c r="D116" s="118">
        <v>460</v>
      </c>
      <c r="E116" s="119">
        <v>97</v>
      </c>
      <c r="F116" s="120">
        <v>66</v>
      </c>
      <c r="G116" s="118">
        <v>0</v>
      </c>
      <c r="H116" s="118">
        <v>0</v>
      </c>
      <c r="I116" s="124"/>
      <c r="M116" s="83" t="s">
        <v>82</v>
      </c>
      <c r="N116" s="118">
        <v>52</v>
      </c>
      <c r="O116" s="118">
        <v>1133</v>
      </c>
      <c r="P116" s="118">
        <v>1158</v>
      </c>
      <c r="Q116" s="119">
        <v>983</v>
      </c>
      <c r="R116" s="120">
        <v>103</v>
      </c>
      <c r="S116" s="118">
        <v>34</v>
      </c>
      <c r="T116" s="118">
        <v>8</v>
      </c>
    </row>
    <row r="117" spans="1:20" ht="18.75" x14ac:dyDescent="0.25">
      <c r="A117" s="6" t="s">
        <v>6</v>
      </c>
      <c r="B117" s="3"/>
      <c r="C117" s="3"/>
      <c r="D117" s="7"/>
      <c r="E117" s="1"/>
      <c r="H117" s="11" t="s">
        <v>7</v>
      </c>
      <c r="I117" s="80"/>
      <c r="M117" s="6" t="s">
        <v>6</v>
      </c>
      <c r="N117" s="3"/>
      <c r="O117" s="3"/>
      <c r="P117" s="7"/>
      <c r="Q117" s="1"/>
      <c r="T117" s="11" t="s">
        <v>7</v>
      </c>
    </row>
    <row r="118" spans="1:20" ht="18.75" x14ac:dyDescent="0.25">
      <c r="A118" s="6"/>
      <c r="B118" s="3"/>
      <c r="C118" s="3"/>
      <c r="D118" s="7"/>
      <c r="E118" s="1"/>
      <c r="H118" s="12"/>
      <c r="I118" s="80"/>
      <c r="M118" s="6"/>
      <c r="N118" s="3"/>
      <c r="O118" s="3"/>
      <c r="P118" s="7"/>
      <c r="Q118" s="1"/>
      <c r="T118" s="12"/>
    </row>
    <row r="119" spans="1:20" ht="18.75" x14ac:dyDescent="0.25">
      <c r="A119" s="6"/>
      <c r="B119" s="3"/>
      <c r="C119" s="3"/>
      <c r="D119" s="7"/>
      <c r="E119" s="1"/>
      <c r="H119" s="12"/>
      <c r="I119" s="80"/>
      <c r="M119" s="6"/>
      <c r="N119" s="3"/>
      <c r="O119" s="3"/>
      <c r="P119" s="7"/>
      <c r="Q119" s="1"/>
      <c r="T119" s="12"/>
    </row>
    <row r="120" spans="1:20" x14ac:dyDescent="0.25">
      <c r="A120" s="171" t="s">
        <v>93</v>
      </c>
      <c r="B120" s="171"/>
      <c r="C120" s="171"/>
      <c r="D120" s="171"/>
      <c r="E120" s="171"/>
      <c r="F120" s="171"/>
      <c r="G120" s="171"/>
      <c r="H120" s="171"/>
      <c r="I120" s="114"/>
      <c r="J120" s="78"/>
      <c r="K120" s="78"/>
      <c r="M120" s="171"/>
      <c r="N120" s="171"/>
      <c r="O120" s="171"/>
      <c r="P120" s="171"/>
      <c r="Q120" s="171"/>
      <c r="R120" s="171"/>
      <c r="S120" s="171"/>
      <c r="T120" s="171"/>
    </row>
    <row r="121" spans="1:20" x14ac:dyDescent="0.25">
      <c r="A121" s="79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M121" s="79"/>
      <c r="N121" s="78"/>
      <c r="O121" s="78"/>
      <c r="P121" s="78"/>
      <c r="Q121" s="78"/>
      <c r="R121" s="78"/>
      <c r="S121" s="78"/>
      <c r="T121" s="78"/>
    </row>
    <row r="122" spans="1:20" x14ac:dyDescent="0.25">
      <c r="A122" s="172" t="s">
        <v>64</v>
      </c>
      <c r="B122" s="174" t="s">
        <v>65</v>
      </c>
      <c r="C122" s="176" t="s">
        <v>66</v>
      </c>
      <c r="D122" s="176"/>
      <c r="E122" s="177" t="s">
        <v>67</v>
      </c>
      <c r="F122" s="178"/>
      <c r="G122" s="176" t="s">
        <v>68</v>
      </c>
      <c r="H122" s="176"/>
      <c r="I122" s="121"/>
      <c r="J122" s="78"/>
      <c r="K122" s="78"/>
      <c r="M122" s="179"/>
      <c r="N122" s="180"/>
      <c r="O122" s="179"/>
      <c r="P122" s="179"/>
      <c r="Q122" s="179"/>
      <c r="R122" s="179"/>
      <c r="S122" s="179"/>
      <c r="T122" s="179"/>
    </row>
    <row r="123" spans="1:20" x14ac:dyDescent="0.25">
      <c r="A123" s="173"/>
      <c r="B123" s="175"/>
      <c r="C123" s="85" t="s">
        <v>69</v>
      </c>
      <c r="D123" s="85" t="s">
        <v>70</v>
      </c>
      <c r="E123" s="88" t="s">
        <v>69</v>
      </c>
      <c r="F123" s="89" t="s">
        <v>70</v>
      </c>
      <c r="G123" s="85" t="s">
        <v>69</v>
      </c>
      <c r="H123" s="85" t="s">
        <v>70</v>
      </c>
      <c r="I123" s="122"/>
      <c r="J123" s="78"/>
      <c r="K123" s="78"/>
      <c r="M123" s="179"/>
      <c r="N123" s="180"/>
      <c r="O123" s="122"/>
      <c r="P123" s="122"/>
      <c r="Q123" s="122"/>
      <c r="R123" s="122"/>
      <c r="S123" s="122"/>
      <c r="T123" s="122"/>
    </row>
    <row r="124" spans="1:20" x14ac:dyDescent="0.25">
      <c r="A124" s="84" t="s">
        <v>4</v>
      </c>
      <c r="B124" s="86"/>
      <c r="C124" s="86"/>
      <c r="D124" s="86"/>
      <c r="E124" s="90"/>
      <c r="F124" s="91"/>
      <c r="G124" s="86"/>
      <c r="H124" s="86"/>
      <c r="I124" s="123"/>
      <c r="J124" s="78"/>
      <c r="K124" s="78"/>
      <c r="M124" s="127"/>
      <c r="N124" s="123"/>
      <c r="O124" s="123"/>
      <c r="P124" s="123"/>
      <c r="Q124" s="123"/>
      <c r="R124" s="123"/>
      <c r="S124" s="123"/>
      <c r="T124" s="123"/>
    </row>
    <row r="125" spans="1:20" x14ac:dyDescent="0.25">
      <c r="A125" s="82" t="s">
        <v>71</v>
      </c>
      <c r="B125" s="87">
        <v>58</v>
      </c>
      <c r="C125" s="87">
        <v>385</v>
      </c>
      <c r="D125" s="87">
        <v>550</v>
      </c>
      <c r="E125" s="92">
        <v>474</v>
      </c>
      <c r="F125" s="93">
        <v>96.4</v>
      </c>
      <c r="G125" s="87">
        <v>0</v>
      </c>
      <c r="H125" s="87">
        <v>0</v>
      </c>
      <c r="I125" s="87"/>
      <c r="J125" s="81" t="s">
        <v>83</v>
      </c>
      <c r="K125" s="81"/>
      <c r="M125" s="82"/>
      <c r="N125" s="124"/>
      <c r="O125" s="124"/>
      <c r="P125" s="124"/>
      <c r="Q125" s="124"/>
      <c r="R125" s="124"/>
      <c r="S125" s="124"/>
      <c r="T125" s="124"/>
    </row>
    <row r="126" spans="1:20" x14ac:dyDescent="0.25">
      <c r="A126" s="82" t="s">
        <v>72</v>
      </c>
      <c r="B126" s="87">
        <v>40</v>
      </c>
      <c r="C126" s="87">
        <v>249</v>
      </c>
      <c r="D126" s="87">
        <v>218</v>
      </c>
      <c r="E126" s="92">
        <v>292</v>
      </c>
      <c r="F126" s="93">
        <v>75</v>
      </c>
      <c r="G126" s="87">
        <v>0</v>
      </c>
      <c r="H126" s="87">
        <v>0</v>
      </c>
      <c r="I126" s="87"/>
      <c r="J126" s="78"/>
      <c r="K126" s="78"/>
      <c r="M126" s="82"/>
      <c r="N126" s="124"/>
      <c r="O126" s="124"/>
      <c r="P126" s="124"/>
      <c r="Q126" s="124"/>
      <c r="R126" s="124"/>
      <c r="S126" s="124"/>
      <c r="T126" s="124"/>
    </row>
    <row r="127" spans="1:20" x14ac:dyDescent="0.25">
      <c r="A127" s="82" t="s">
        <v>73</v>
      </c>
      <c r="B127" s="87">
        <v>40</v>
      </c>
      <c r="C127" s="87">
        <v>313</v>
      </c>
      <c r="D127" s="87">
        <v>256</v>
      </c>
      <c r="E127" s="92">
        <v>58</v>
      </c>
      <c r="F127" s="93">
        <v>55</v>
      </c>
      <c r="G127" s="87">
        <v>0</v>
      </c>
      <c r="H127" s="87">
        <v>0</v>
      </c>
      <c r="I127" s="87"/>
      <c r="J127" s="78"/>
      <c r="K127" s="78"/>
      <c r="M127" s="82"/>
      <c r="N127" s="124"/>
      <c r="O127" s="124"/>
      <c r="P127" s="124"/>
      <c r="Q127" s="124"/>
      <c r="R127" s="124"/>
      <c r="S127" s="124"/>
      <c r="T127" s="124"/>
    </row>
    <row r="128" spans="1:20" x14ac:dyDescent="0.25">
      <c r="A128" s="82" t="s">
        <v>74</v>
      </c>
      <c r="B128" s="87">
        <v>26</v>
      </c>
      <c r="C128" s="87">
        <v>221</v>
      </c>
      <c r="D128" s="87">
        <v>209</v>
      </c>
      <c r="E128" s="92">
        <v>240</v>
      </c>
      <c r="F128" s="93">
        <v>107</v>
      </c>
      <c r="G128" s="87">
        <v>0</v>
      </c>
      <c r="H128" s="87">
        <v>0</v>
      </c>
      <c r="I128" s="87"/>
      <c r="J128" s="78"/>
      <c r="K128" s="78"/>
      <c r="M128" s="82"/>
      <c r="N128" s="124"/>
      <c r="O128" s="124"/>
      <c r="P128" s="124"/>
      <c r="Q128" s="124"/>
      <c r="R128" s="124"/>
      <c r="S128" s="124"/>
      <c r="T128" s="124"/>
    </row>
    <row r="129" spans="1:20" x14ac:dyDescent="0.25">
      <c r="A129" s="82" t="s">
        <v>75</v>
      </c>
      <c r="B129" s="87">
        <v>2</v>
      </c>
      <c r="C129" s="87">
        <v>28</v>
      </c>
      <c r="D129" s="87">
        <v>19</v>
      </c>
      <c r="E129" s="92">
        <v>49</v>
      </c>
      <c r="F129" s="93">
        <v>41</v>
      </c>
      <c r="G129" s="87">
        <v>0</v>
      </c>
      <c r="H129" s="87">
        <v>0</v>
      </c>
      <c r="I129" s="87"/>
      <c r="J129" s="78"/>
      <c r="K129" s="78"/>
      <c r="M129" s="82"/>
      <c r="N129" s="124"/>
      <c r="O129" s="124"/>
      <c r="P129" s="124"/>
      <c r="Q129" s="124"/>
      <c r="R129" s="124"/>
      <c r="S129" s="124"/>
      <c r="T129" s="124"/>
    </row>
    <row r="130" spans="1:20" x14ac:dyDescent="0.25">
      <c r="A130" s="82" t="s">
        <v>76</v>
      </c>
      <c r="B130" s="87">
        <v>12</v>
      </c>
      <c r="C130" s="87">
        <v>272</v>
      </c>
      <c r="D130" s="87">
        <v>183</v>
      </c>
      <c r="E130" s="92">
        <v>4</v>
      </c>
      <c r="F130" s="93">
        <v>230</v>
      </c>
      <c r="G130" s="87">
        <v>0</v>
      </c>
      <c r="H130" s="87">
        <v>0</v>
      </c>
      <c r="I130" s="87"/>
      <c r="J130" s="78"/>
      <c r="K130" s="78"/>
      <c r="M130" s="82"/>
      <c r="N130" s="124"/>
      <c r="O130" s="124"/>
      <c r="P130" s="124"/>
      <c r="Q130" s="124"/>
      <c r="R130" s="124"/>
      <c r="S130" s="124"/>
      <c r="T130" s="124"/>
    </row>
    <row r="131" spans="1:20" x14ac:dyDescent="0.25">
      <c r="A131" s="82" t="s">
        <v>77</v>
      </c>
      <c r="B131" s="87">
        <v>44</v>
      </c>
      <c r="C131" s="87">
        <v>682</v>
      </c>
      <c r="D131" s="87">
        <v>483</v>
      </c>
      <c r="E131" s="92">
        <v>287</v>
      </c>
      <c r="F131" s="93">
        <v>56</v>
      </c>
      <c r="G131" s="87">
        <v>18</v>
      </c>
      <c r="H131" s="87">
        <v>31</v>
      </c>
      <c r="I131" s="87"/>
      <c r="J131" s="78"/>
      <c r="K131" s="78"/>
      <c r="M131" s="82"/>
      <c r="N131" s="124"/>
      <c r="O131" s="124"/>
      <c r="P131" s="124"/>
      <c r="Q131" s="124"/>
      <c r="R131" s="124"/>
      <c r="S131" s="124"/>
      <c r="T131" s="124"/>
    </row>
    <row r="132" spans="1:20" x14ac:dyDescent="0.25">
      <c r="A132" s="82" t="s">
        <v>78</v>
      </c>
      <c r="B132" s="87">
        <v>27</v>
      </c>
      <c r="C132" s="87">
        <v>531</v>
      </c>
      <c r="D132" s="87">
        <v>1015</v>
      </c>
      <c r="E132" s="92">
        <v>365</v>
      </c>
      <c r="F132" s="93">
        <v>281</v>
      </c>
      <c r="G132" s="87">
        <v>0</v>
      </c>
      <c r="H132" s="87">
        <v>0</v>
      </c>
      <c r="I132" s="87"/>
      <c r="M132" s="82"/>
      <c r="N132" s="124"/>
      <c r="O132" s="124"/>
      <c r="P132" s="124"/>
      <c r="Q132" s="124"/>
      <c r="R132" s="124"/>
      <c r="S132" s="124"/>
      <c r="T132" s="124"/>
    </row>
    <row r="133" spans="1:20" x14ac:dyDescent="0.25">
      <c r="A133" s="82" t="s">
        <v>79</v>
      </c>
      <c r="B133" s="94">
        <v>13</v>
      </c>
      <c r="C133" s="94">
        <v>466</v>
      </c>
      <c r="D133" s="94">
        <v>456</v>
      </c>
      <c r="E133" s="95">
        <v>157</v>
      </c>
      <c r="F133" s="96">
        <v>72</v>
      </c>
      <c r="G133" s="97">
        <v>0</v>
      </c>
      <c r="H133" s="97">
        <v>0</v>
      </c>
      <c r="I133" s="97"/>
      <c r="M133" s="82"/>
      <c r="N133" s="125"/>
      <c r="O133" s="125"/>
      <c r="P133" s="125"/>
      <c r="Q133" s="126"/>
      <c r="R133" s="126"/>
      <c r="S133" s="126"/>
      <c r="T133" s="126"/>
    </row>
    <row r="134" spans="1:20" x14ac:dyDescent="0.25">
      <c r="A134" s="82" t="s">
        <v>80</v>
      </c>
      <c r="B134" s="97">
        <v>16</v>
      </c>
      <c r="C134" s="97">
        <v>611</v>
      </c>
      <c r="D134" s="97">
        <v>666</v>
      </c>
      <c r="E134" s="95">
        <v>408</v>
      </c>
      <c r="F134" s="96">
        <v>92</v>
      </c>
      <c r="G134" s="97">
        <v>18</v>
      </c>
      <c r="H134" s="97">
        <v>12</v>
      </c>
      <c r="I134" s="97"/>
      <c r="M134" s="82"/>
      <c r="N134" s="126"/>
      <c r="O134" s="126"/>
      <c r="P134" s="126"/>
      <c r="Q134" s="126"/>
      <c r="R134" s="126"/>
      <c r="S134" s="126"/>
      <c r="T134" s="126"/>
    </row>
    <row r="135" spans="1:20" x14ac:dyDescent="0.25">
      <c r="A135" s="82" t="s">
        <v>81</v>
      </c>
      <c r="B135" s="87">
        <v>15</v>
      </c>
      <c r="C135" s="87">
        <v>548</v>
      </c>
      <c r="D135" s="87">
        <v>524</v>
      </c>
      <c r="E135" s="92">
        <v>173</v>
      </c>
      <c r="F135" s="93">
        <v>53</v>
      </c>
      <c r="G135" s="87">
        <v>212</v>
      </c>
      <c r="H135" s="87">
        <v>35</v>
      </c>
      <c r="I135" s="87"/>
      <c r="M135" s="82"/>
      <c r="N135" s="124"/>
      <c r="O135" s="124"/>
      <c r="P135" s="124"/>
      <c r="Q135" s="124"/>
      <c r="R135" s="124"/>
      <c r="S135" s="124"/>
      <c r="T135" s="124"/>
    </row>
    <row r="136" spans="1:20" x14ac:dyDescent="0.25">
      <c r="A136" s="83" t="s">
        <v>82</v>
      </c>
      <c r="B136" s="118">
        <v>14</v>
      </c>
      <c r="C136" s="118">
        <v>647</v>
      </c>
      <c r="D136" s="118">
        <v>660</v>
      </c>
      <c r="E136" s="119">
        <v>186</v>
      </c>
      <c r="F136" s="120">
        <v>66</v>
      </c>
      <c r="G136" s="118">
        <v>169</v>
      </c>
      <c r="H136" s="118">
        <v>29</v>
      </c>
      <c r="I136" s="124"/>
      <c r="M136" s="82"/>
      <c r="N136" s="124"/>
      <c r="O136" s="124"/>
      <c r="P136" s="124"/>
      <c r="Q136" s="124"/>
      <c r="R136" s="124"/>
      <c r="S136" s="124"/>
      <c r="T136" s="124"/>
    </row>
    <row r="137" spans="1:20" ht="18.75" x14ac:dyDescent="0.25">
      <c r="A137" s="6" t="s">
        <v>6</v>
      </c>
      <c r="B137" s="3"/>
      <c r="C137" s="3"/>
      <c r="D137" s="7"/>
      <c r="E137" s="1"/>
      <c r="H137" s="11" t="s">
        <v>7</v>
      </c>
      <c r="I137" s="80"/>
      <c r="M137" s="6"/>
      <c r="N137" s="3"/>
      <c r="O137" s="3"/>
      <c r="P137" s="7"/>
      <c r="Q137" s="1"/>
      <c r="T137" s="12"/>
    </row>
    <row r="138" spans="1:20" x14ac:dyDescent="0.25">
      <c r="A138" s="78"/>
    </row>
    <row r="140" spans="1:20" ht="18" x14ac:dyDescent="0.25">
      <c r="A140" s="131"/>
      <c r="B140" s="131"/>
      <c r="C140" s="131"/>
      <c r="D140" s="131"/>
      <c r="E140" s="131"/>
      <c r="F140" s="131"/>
      <c r="G140" s="131"/>
      <c r="H140" s="131"/>
      <c r="I140" s="113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</row>
  </sheetData>
  <mergeCells count="85">
    <mergeCell ref="M80:T80"/>
    <mergeCell ref="M82:M83"/>
    <mergeCell ref="N82:N83"/>
    <mergeCell ref="O82:P82"/>
    <mergeCell ref="Q82:R82"/>
    <mergeCell ref="S82:T82"/>
    <mergeCell ref="A60:H60"/>
    <mergeCell ref="M60:T60"/>
    <mergeCell ref="A62:A63"/>
    <mergeCell ref="B62:B63"/>
    <mergeCell ref="C62:D62"/>
    <mergeCell ref="E62:F62"/>
    <mergeCell ref="G62:H62"/>
    <mergeCell ref="M62:M63"/>
    <mergeCell ref="N62:N63"/>
    <mergeCell ref="O62:P62"/>
    <mergeCell ref="Q62:R62"/>
    <mergeCell ref="S62:T62"/>
    <mergeCell ref="A80:H80"/>
    <mergeCell ref="A82:A83"/>
    <mergeCell ref="B82:B83"/>
    <mergeCell ref="C82:D82"/>
    <mergeCell ref="E82:F82"/>
    <mergeCell ref="G82:H82"/>
    <mergeCell ref="M43:M44"/>
    <mergeCell ref="N43:N44"/>
    <mergeCell ref="O43:P43"/>
    <mergeCell ref="Q43:R43"/>
    <mergeCell ref="S43:T43"/>
    <mergeCell ref="A43:A44"/>
    <mergeCell ref="B43:B44"/>
    <mergeCell ref="C43:D43"/>
    <mergeCell ref="E43:F43"/>
    <mergeCell ref="G43:H43"/>
    <mergeCell ref="N23:N24"/>
    <mergeCell ref="O23:P23"/>
    <mergeCell ref="Q23:R23"/>
    <mergeCell ref="S23:T23"/>
    <mergeCell ref="A41:H41"/>
    <mergeCell ref="M41:T41"/>
    <mergeCell ref="B23:B24"/>
    <mergeCell ref="C23:D23"/>
    <mergeCell ref="E23:F23"/>
    <mergeCell ref="G23:H23"/>
    <mergeCell ref="M23:M24"/>
    <mergeCell ref="A140:H140"/>
    <mergeCell ref="A1:H1"/>
    <mergeCell ref="M1:T1"/>
    <mergeCell ref="A3:A4"/>
    <mergeCell ref="B3:B4"/>
    <mergeCell ref="C3:D3"/>
    <mergeCell ref="E3:F3"/>
    <mergeCell ref="G3:H3"/>
    <mergeCell ref="M3:M4"/>
    <mergeCell ref="N3:N4"/>
    <mergeCell ref="O3:P3"/>
    <mergeCell ref="Q3:R3"/>
    <mergeCell ref="S3:T3"/>
    <mergeCell ref="A21:H21"/>
    <mergeCell ref="M21:T21"/>
    <mergeCell ref="A23:A24"/>
    <mergeCell ref="A100:H100"/>
    <mergeCell ref="M100:T100"/>
    <mergeCell ref="A102:A103"/>
    <mergeCell ref="B102:B103"/>
    <mergeCell ref="C102:D102"/>
    <mergeCell ref="E102:F102"/>
    <mergeCell ref="G102:H102"/>
    <mergeCell ref="M102:M103"/>
    <mergeCell ref="N102:N103"/>
    <mergeCell ref="O102:P102"/>
    <mergeCell ref="Q102:R102"/>
    <mergeCell ref="S102:T102"/>
    <mergeCell ref="A120:H120"/>
    <mergeCell ref="M120:T120"/>
    <mergeCell ref="A122:A123"/>
    <mergeCell ref="B122:B123"/>
    <mergeCell ref="C122:D122"/>
    <mergeCell ref="E122:F122"/>
    <mergeCell ref="G122:H122"/>
    <mergeCell ref="M122:M123"/>
    <mergeCell ref="N122:N123"/>
    <mergeCell ref="O122:P122"/>
    <mergeCell ref="Q122:R122"/>
    <mergeCell ref="S122:T122"/>
  </mergeCells>
  <pageMargins left="0.7" right="0.7" top="0.75" bottom="0.75" header="0.3" footer="0.3"/>
  <pageSetup paperSize="9" scale="46" orientation="portrait" horizontalDpi="4294967295" verticalDpi="4294967295" r:id="rId1"/>
  <rowBreaks count="1" manualBreakCount="1">
    <brk id="9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11.15</vt:lpstr>
      <vt:lpstr>11.26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2023-03-15T04:10:18Z</cp:lastPrinted>
  <dcterms:created xsi:type="dcterms:W3CDTF">2019-03-24T03:32:16Z</dcterms:created>
  <dcterms:modified xsi:type="dcterms:W3CDTF">2023-03-15T04:10:34Z</dcterms:modified>
</cp:coreProperties>
</file>