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3BE30275-125A-41EC-9956-088FC65CA078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6 " sheetId="26" r:id="rId1"/>
  </sheets>
  <externalReferences>
    <externalReference r:id="rId2"/>
  </externalReferences>
  <definedNames>
    <definedName name="_xlnm.Print_Area" localSheetId="0">'18.16 '!$A$1:$Z$58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6" l="1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B7" i="26"/>
</calcChain>
</file>

<file path=xl/sharedStrings.xml><?xml version="1.0" encoding="utf-8"?>
<sst xmlns="http://schemas.openxmlformats.org/spreadsheetml/2006/main" count="78" uniqueCount="45">
  <si>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</si>
  <si>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</si>
  <si>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</si>
  <si>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</si>
  <si>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</si>
  <si>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</si>
  <si>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</si>
  <si>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</si>
  <si>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</si>
  <si>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</si>
  <si>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</si>
  <si>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</si>
  <si>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</si>
  <si>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Agriculture</t>
  </si>
  <si>
    <t>Air Transportation</t>
  </si>
  <si>
    <t>Clothing industry</t>
  </si>
  <si>
    <t>Coffee, tea shops</t>
  </si>
  <si>
    <t>Construction</t>
  </si>
  <si>
    <t>Electricity</t>
  </si>
  <si>
    <t>Fishing Industry</t>
  </si>
  <si>
    <t>Garbage, and Recycling industry</t>
  </si>
  <si>
    <t>Health Sector, hospitals, clinics</t>
  </si>
  <si>
    <t>Hotels, Tourist resorts, travel agencies</t>
  </si>
  <si>
    <t xml:space="preserve">Housing Development </t>
  </si>
  <si>
    <t>Land Transportation, taxis, buses etc</t>
  </si>
  <si>
    <t>Mining Industry</t>
  </si>
  <si>
    <t>Pharmacies</t>
  </si>
  <si>
    <t>Restaurants</t>
  </si>
  <si>
    <t>Sales of Motor Vehicles</t>
  </si>
  <si>
    <t>Schools and educational centers</t>
  </si>
  <si>
    <t>Sea Transportation, shipping</t>
  </si>
  <si>
    <t>Shops, small and medium commercial retail</t>
  </si>
  <si>
    <t>Telecommunications</t>
  </si>
  <si>
    <t>Water processing</t>
  </si>
  <si>
    <t>Wholesale retailers</t>
  </si>
  <si>
    <t>Others</t>
  </si>
  <si>
    <t>Establishments</t>
  </si>
  <si>
    <t>Employment</t>
  </si>
  <si>
    <t xml:space="preserve">Financial sector, Banks, Investment Funds, Insurance </t>
  </si>
  <si>
    <t>Govt. agencies, public institutions</t>
  </si>
  <si>
    <t>Passenger Ferries</t>
  </si>
  <si>
    <t>Source: Maldives Pension Administration Office</t>
  </si>
  <si>
    <t>Note: The Difference between values in this table is due to some members having multiple contracts with more than one employer</t>
  </si>
  <si>
    <t xml:space="preserve">Jan </t>
  </si>
  <si>
    <t>TABLE  18.16: EMPLOYEES AND ESTABLISHMENTS REGISTERED IN THE RETIREMENT PENSION SCHEME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</si>
</sst>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71" formatCode="#,###,##0"/>
  </numFmts>
  <fonts count="1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164" fontId="10" fillId="0" borderId="9"/>
    <xf numFmtId="0" fontId="1" fillId="0" borderId="9"/>
    <xf numFmtId="0" fontId="1" fillId="0" borderId="9"/>
    <xf numFmtId="43" fontId="7" fillId="0" borderId="9" applyFont="0" applyFill="0" applyBorder="0" applyAlignment="0" applyProtection="0"/>
    <xf numFmtId="43" fontId="7" fillId="0" borderId="9" applyFont="0" applyFill="0" applyBorder="0" applyAlignment="0" applyProtection="0"/>
    <xf numFmtId="0" fontId="7" fillId="0" borderId="9"/>
    <xf numFmtId="0" fontId="12" fillId="0" borderId="9"/>
    <xf numFmtId="0" fontId="15" fillId="0" borderId="9" applyFill="0" applyProtection="0"/>
    <xf numFmtId="0" fontId="16" fillId="0" borderId="9"/>
    <xf numFmtId="0" fontId="16" fillId="0" borderId="9"/>
    <xf numFmtId="0" fontId="7" fillId="0" borderId="9"/>
    <xf numFmtId="0" fontId="7" fillId="0" borderId="9"/>
    <xf numFmtId="0" fontId="7" fillId="0" borderId="9"/>
    <xf numFmtId="0" fontId="7" fillId="0" borderId="9"/>
    <xf numFmtId="0" fontId="7" fillId="0" borderId="9"/>
    <xf numFmtId="0" fontId="7" fillId="0" borderId="9"/>
    <xf numFmtId="0" fontId="7" fillId="0" borderId="9"/>
    <xf numFmtId="0" fontId="7" fillId="0" borderId="9"/>
    <xf numFmtId="0" fontId="7" fillId="0" borderId="9"/>
  </cellStyleXfs>
  <cellXfs count="55">
    <xf numFmtId="0" fontId="0" fillId="0" borderId="0" xfId="0"/>
    <xf numFmtId="0" fontId="0" fillId="2" borderId="0" xfId="0" applyFill="1"/>
    <xf numFmtId="0" fontId="8" fillId="4" borderId="9" xfId="7" applyFont="1" applyFill="1"/>
    <xf numFmtId="0" fontId="4" fillId="4" borderId="10" xfId="7" applyFont="1" applyFill="1" applyBorder="1" applyAlignment="1">
      <alignment horizontal="right" vertical="center"/>
    </xf>
    <xf numFmtId="0" fontId="4" fillId="4" borderId="9" xfId="7" applyFont="1" applyFill="1" applyAlignment="1">
      <alignment horizontal="left" vertical="center"/>
    </xf>
    <xf numFmtId="3" fontId="4" fillId="4" borderId="9" xfId="7" applyNumberFormat="1" applyFont="1" applyFill="1" applyAlignment="1">
      <alignment horizontal="right" vertical="center" wrapText="1"/>
    </xf>
    <xf numFmtId="3" fontId="12" fillId="3" borderId="9" xfId="7" applyNumberFormat="1" applyFill="1" applyAlignment="1">
      <alignment horizontal="right" vertical="center"/>
    </xf>
    <xf numFmtId="3" fontId="8" fillId="3" borderId="9" xfId="7" applyNumberFormat="1" applyFont="1" applyFill="1" applyAlignment="1">
      <alignment horizontal="right" vertical="center"/>
    </xf>
    <xf numFmtId="171" fontId="8" fillId="3" borderId="9" xfId="7" applyNumberFormat="1" applyFont="1" applyFill="1" applyAlignment="1">
      <alignment horizontal="right"/>
    </xf>
    <xf numFmtId="171" fontId="2" fillId="3" borderId="9" xfId="7" applyNumberFormat="1" applyFont="1" applyFill="1" applyAlignment="1">
      <alignment horizontal="right"/>
    </xf>
    <xf numFmtId="3" fontId="12" fillId="3" borderId="10" xfId="7" applyNumberFormat="1" applyFill="1" applyBorder="1" applyAlignment="1">
      <alignment horizontal="right" vertical="center"/>
    </xf>
    <xf numFmtId="3" fontId="8" fillId="3" borderId="10" xfId="7" applyNumberFormat="1" applyFont="1" applyFill="1" applyBorder="1" applyAlignment="1">
      <alignment horizontal="right" vertical="center"/>
    </xf>
    <xf numFmtId="171" fontId="8" fillId="3" borderId="10" xfId="7" applyNumberFormat="1" applyFont="1" applyFill="1" applyBorder="1" applyAlignment="1">
      <alignment horizontal="right"/>
    </xf>
    <xf numFmtId="171" fontId="2" fillId="3" borderId="10" xfId="7" applyNumberFormat="1" applyFont="1" applyFill="1" applyBorder="1" applyAlignment="1">
      <alignment horizontal="right"/>
    </xf>
    <xf numFmtId="0" fontId="4" fillId="4" borderId="2" xfId="7" applyFont="1" applyFill="1" applyBorder="1" applyAlignment="1">
      <alignment horizontal="right" vertical="center"/>
    </xf>
    <xf numFmtId="0" fontId="4" fillId="4" borderId="3" xfId="7" applyFont="1" applyFill="1" applyBorder="1" applyAlignment="1">
      <alignment horizontal="right" vertical="center"/>
    </xf>
    <xf numFmtId="3" fontId="4" fillId="4" borderId="7" xfId="7" applyNumberFormat="1" applyFont="1" applyFill="1" applyBorder="1" applyAlignment="1">
      <alignment horizontal="right" vertical="center" wrapText="1"/>
    </xf>
    <xf numFmtId="3" fontId="4" fillId="4" borderId="6" xfId="7" applyNumberFormat="1" applyFont="1" applyFill="1" applyBorder="1" applyAlignment="1">
      <alignment horizontal="right" vertical="center" wrapText="1"/>
    </xf>
    <xf numFmtId="3" fontId="8" fillId="3" borderId="7" xfId="7" applyNumberFormat="1" applyFont="1" applyFill="1" applyBorder="1" applyAlignment="1">
      <alignment horizontal="right" vertical="center"/>
    </xf>
    <xf numFmtId="3" fontId="12" fillId="3" borderId="6" xfId="7" applyNumberFormat="1" applyFill="1" applyBorder="1" applyAlignment="1">
      <alignment horizontal="right" vertical="center"/>
    </xf>
    <xf numFmtId="3" fontId="8" fillId="3" borderId="2" xfId="7" applyNumberFormat="1" applyFont="1" applyFill="1" applyBorder="1" applyAlignment="1">
      <alignment horizontal="right" vertical="center"/>
    </xf>
    <xf numFmtId="3" fontId="12" fillId="3" borderId="3" xfId="7" applyNumberFormat="1" applyFill="1" applyBorder="1" applyAlignment="1">
      <alignment horizontal="right" vertical="center"/>
    </xf>
    <xf numFmtId="3" fontId="7" fillId="3" borderId="7" xfId="7" applyNumberFormat="1" applyFont="1" applyFill="1" applyBorder="1" applyAlignment="1">
      <alignment horizontal="right" vertical="center"/>
    </xf>
    <xf numFmtId="3" fontId="11" fillId="3" borderId="6" xfId="7" applyNumberFormat="1" applyFont="1" applyFill="1" applyBorder="1" applyAlignment="1">
      <alignment horizontal="right" vertical="center"/>
    </xf>
    <xf numFmtId="3" fontId="7" fillId="3" borderId="2" xfId="7" applyNumberFormat="1" applyFont="1" applyFill="1" applyBorder="1" applyAlignment="1">
      <alignment horizontal="right" vertical="center"/>
    </xf>
    <xf numFmtId="3" fontId="11" fillId="3" borderId="3" xfId="7" applyNumberFormat="1" applyFont="1" applyFill="1" applyBorder="1" applyAlignment="1">
      <alignment horizontal="right" vertical="center"/>
    </xf>
    <xf numFmtId="171" fontId="8" fillId="3" borderId="7" xfId="7" applyNumberFormat="1" applyFont="1" applyFill="1" applyBorder="1" applyAlignment="1">
      <alignment horizontal="right"/>
    </xf>
    <xf numFmtId="171" fontId="8" fillId="3" borderId="6" xfId="7" applyNumberFormat="1" applyFont="1" applyFill="1" applyBorder="1" applyAlignment="1">
      <alignment horizontal="right"/>
    </xf>
    <xf numFmtId="171" fontId="8" fillId="3" borderId="2" xfId="7" applyNumberFormat="1" applyFont="1" applyFill="1" applyBorder="1" applyAlignment="1">
      <alignment horizontal="right"/>
    </xf>
    <xf numFmtId="171" fontId="8" fillId="3" borderId="3" xfId="7" applyNumberFormat="1" applyFont="1" applyFill="1" applyBorder="1" applyAlignment="1">
      <alignment horizontal="right"/>
    </xf>
    <xf numFmtId="171" fontId="2" fillId="3" borderId="7" xfId="7" applyNumberFormat="1" applyFont="1" applyFill="1" applyBorder="1" applyAlignment="1">
      <alignment horizontal="right"/>
    </xf>
    <xf numFmtId="171" fontId="2" fillId="3" borderId="2" xfId="7" applyNumberFormat="1" applyFont="1" applyFill="1" applyBorder="1" applyAlignment="1">
      <alignment horizontal="right"/>
    </xf>
    <xf numFmtId="171" fontId="8" fillId="3" borderId="9" xfId="7" applyNumberFormat="1" applyFont="1" applyFill="1" applyAlignment="1">
      <alignment horizontal="right" vertical="center"/>
    </xf>
    <xf numFmtId="171" fontId="8" fillId="3" borderId="7" xfId="7" applyNumberFormat="1" applyFont="1" applyFill="1" applyBorder="1" applyAlignment="1">
      <alignment horizontal="right" vertical="center"/>
    </xf>
    <xf numFmtId="171" fontId="8" fillId="3" borderId="6" xfId="7" applyNumberFormat="1" applyFont="1" applyFill="1" applyBorder="1" applyAlignment="1">
      <alignment horizontal="right" vertical="center"/>
    </xf>
    <xf numFmtId="171" fontId="2" fillId="3" borderId="7" xfId="7" applyNumberFormat="1" applyFont="1" applyFill="1" applyBorder="1" applyAlignment="1">
      <alignment horizontal="right" vertical="center"/>
    </xf>
    <xf numFmtId="171" fontId="2" fillId="3" borderId="9" xfId="7" applyNumberFormat="1" applyFont="1" applyFill="1" applyAlignment="1">
      <alignment horizontal="right" vertical="center"/>
    </xf>
    <xf numFmtId="0" fontId="7" fillId="4" borderId="9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vertical="center"/>
    </xf>
    <xf numFmtId="0" fontId="5" fillId="2" borderId="9" xfId="0" applyFont="1" applyFill="1" applyBorder="1"/>
    <xf numFmtId="3" fontId="11" fillId="3" borderId="9" xfId="7" applyNumberFormat="1" applyFont="1" applyFill="1" applyAlignment="1">
      <alignment horizontal="right" vertical="center"/>
    </xf>
    <xf numFmtId="0" fontId="14" fillId="2" borderId="9" xfId="7" applyFont="1" applyFill="1"/>
    <xf numFmtId="0" fontId="4" fillId="4" borderId="9" xfId="7" applyFont="1" applyFill="1" applyAlignment="1">
      <alignment horizontal="right" vertical="center"/>
    </xf>
    <xf numFmtId="0" fontId="7" fillId="2" borderId="0" xfId="0" applyFont="1" applyFill="1"/>
    <xf numFmtId="0" fontId="4" fillId="4" borderId="9" xfId="7" applyFont="1" applyFill="1" applyAlignment="1">
      <alignment horizontal="center" vertical="center"/>
    </xf>
    <xf numFmtId="0" fontId="13" fillId="4" borderId="4" xfId="7" applyFont="1" applyFill="1" applyBorder="1" applyAlignment="1">
      <alignment horizontal="center" vertical="center"/>
    </xf>
    <xf numFmtId="0" fontId="14" fillId="2" borderId="4" xfId="7" applyFont="1" applyFill="1" applyBorder="1"/>
    <xf numFmtId="0" fontId="13" fillId="4" borderId="5" xfId="7" applyFont="1" applyFill="1" applyBorder="1" applyAlignment="1">
      <alignment horizontal="center" vertical="center"/>
    </xf>
    <xf numFmtId="0" fontId="4" fillId="4" borderId="1" xfId="7" applyFont="1" applyFill="1" applyBorder="1" applyAlignment="1">
      <alignment horizontal="left" vertical="center"/>
    </xf>
    <xf numFmtId="0" fontId="14" fillId="2" borderId="10" xfId="7" applyFont="1" applyFill="1" applyBorder="1"/>
    <xf numFmtId="0" fontId="3" fillId="4" borderId="5" xfId="7" applyFont="1" applyFill="1" applyBorder="1" applyAlignment="1">
      <alignment horizontal="center" vertical="center"/>
    </xf>
    <xf numFmtId="0" fontId="14" fillId="2" borderId="8" xfId="7" applyFont="1" applyFill="1" applyBorder="1"/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effectLst/>
              </a:rPr>
              <a:t>Figure 18.17: Employees registered in the retirement pension scheme by month, 2021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14640268700173054"/>
          <c:y val="4.6879770133417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79956648771143E-2"/>
          <c:y val="0.15195187976892671"/>
          <c:w val="0.91122734133053795"/>
          <c:h val="0.711009766578555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'18.16 '!$BD$24:$BO$24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'18.16 '!$BD$25:$BO$25</c:f>
              <c:numCache>
                <c:formatCode>#,##0</c:formatCode>
                <c:ptCount val="12"/>
                <c:pt idx="0">
                  <c:v>93933</c:v>
                </c:pt>
                <c:pt idx="1">
                  <c:v>93645</c:v>
                </c:pt>
                <c:pt idx="2">
                  <c:v>99633</c:v>
                </c:pt>
                <c:pt idx="3">
                  <c:v>94229</c:v>
                </c:pt>
                <c:pt idx="4">
                  <c:v>95011</c:v>
                </c:pt>
                <c:pt idx="5">
                  <c:v>96032</c:v>
                </c:pt>
                <c:pt idx="6">
                  <c:v>77370</c:v>
                </c:pt>
                <c:pt idx="7">
                  <c:v>98918</c:v>
                </c:pt>
                <c:pt idx="8">
                  <c:v>96839</c:v>
                </c:pt>
                <c:pt idx="9">
                  <c:v>95843</c:v>
                </c:pt>
                <c:pt idx="10">
                  <c:v>99440</c:v>
                </c:pt>
                <c:pt idx="11">
                  <c:v>103925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5-45BC-88DE-C876495E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827088"/>
        <c:axId val="260825008"/>
      </c:barChart>
      <c:catAx>
        <c:axId val="26082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25008"/>
        <c:crosses val="autoZero"/>
        <c:auto val="1"/>
        <c:lblAlgn val="ctr"/>
        <c:lblOffset val="100"/>
        <c:noMultiLvlLbl val="0"/>
      </c:catAx>
      <c:valAx>
        <c:axId val="2608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D9D9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2708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424810</xdr:colOff>
      <xdr:row>35</xdr:row>
      <xdr:rowOff>67043</xdr:rowOff>
    </xdr:from>
    <xdr:to>
      <xdr:col>18</xdr:col>
      <xdr:colOff>148503</xdr:colOff>
      <xdr:row>55</xdr:row>
      <xdr:rowOff>104295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B2389-D40C-D006-7F82-948B1E157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O76"/>
  <sheetViews>
    <sheetView tabSelected="1" view="pageBreakPreview" zoomScale="60" zoomScaleNormal="57" workbookViewId="0">
      <selection activeCell="V45" sqref="V45"/>
    </sheetView>
  </sheetViews>
  <sheetFormatPr defaultRowHeight="15" x14ac:dyDescent="0.25"/>
  <cols>
    <col min="1" max="1" width="39.140625" style="1" customWidth="1"/>
    <col min="2" max="25" width="13.85546875" style="1" customWidth="1"/>
    <col min="26" max="16384" width="9.140625" style="1"/>
  </cols>
  <sheetData>
    <row r="1" spans="1:44" ht="18" customHeight="1" x14ac:dyDescent="0.25"/>
    <row r="2" spans="1:44" ht="18" customHeight="1" x14ac:dyDescent="0.25"/>
    <row r="3" spans="1:44" x14ac:dyDescent="0.25">
      <c r="A3" s="47" t="s">
        <v>44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5" spans="1:44" ht="15.75" x14ac:dyDescent="0.25">
      <c r="A5" s="51"/>
      <c r="B5" s="48" t="s">
        <v>1</v>
      </c>
      <c r="C5" s="54"/>
      <c r="D5" s="50" t="s">
        <v>2</v>
      </c>
      <c r="E5" s="54"/>
      <c r="F5" s="48" t="s">
        <v>3</v>
      </c>
      <c r="G5" s="49"/>
      <c r="H5" s="50" t="s">
        <v>4</v>
      </c>
      <c r="I5" s="54"/>
      <c r="J5" s="48" t="s">
        <v>5</v>
      </c>
      <c r="K5" s="49"/>
      <c r="L5" s="53" t="s">
        <v>6</v>
      </c>
      <c r="M5" s="54"/>
      <c r="N5" s="48" t="s">
        <v>7</v>
      </c>
      <c r="O5" s="49"/>
      <c r="P5" s="50" t="s">
        <v>8</v>
      </c>
      <c r="Q5" s="54"/>
      <c r="R5" s="48" t="s">
        <v>9</v>
      </c>
      <c r="S5" s="49"/>
      <c r="T5" s="50" t="s">
        <v>10</v>
      </c>
      <c r="U5" s="54"/>
      <c r="V5" s="48" t="s">
        <v>11</v>
      </c>
      <c r="W5" s="49"/>
      <c r="X5" s="50" t="s">
        <v>12</v>
      </c>
      <c r="Y5" s="49"/>
    </row>
    <row r="6" spans="1:44" x14ac:dyDescent="0.25">
      <c r="A6" s="52"/>
      <c r="B6" s="3" t="s">
        <v>36</v>
      </c>
      <c r="C6" s="15" t="s">
        <v>37</v>
      </c>
      <c r="D6" s="14" t="s">
        <v>36</v>
      </c>
      <c r="E6" s="15" t="s">
        <v>37</v>
      </c>
      <c r="F6" s="3" t="s">
        <v>36</v>
      </c>
      <c r="G6" s="3" t="s">
        <v>37</v>
      </c>
      <c r="H6" s="14" t="s">
        <v>36</v>
      </c>
      <c r="I6" s="15" t="s">
        <v>37</v>
      </c>
      <c r="J6" s="3" t="s">
        <v>36</v>
      </c>
      <c r="K6" s="3" t="s">
        <v>37</v>
      </c>
      <c r="L6" s="14" t="s">
        <v>36</v>
      </c>
      <c r="M6" s="15" t="s">
        <v>37</v>
      </c>
      <c r="N6" s="3" t="s">
        <v>36</v>
      </c>
      <c r="O6" s="3" t="s">
        <v>37</v>
      </c>
      <c r="P6" s="14" t="s">
        <v>36</v>
      </c>
      <c r="Q6" s="15" t="s">
        <v>37</v>
      </c>
      <c r="R6" s="3" t="s">
        <v>36</v>
      </c>
      <c r="S6" s="3" t="s">
        <v>37</v>
      </c>
      <c r="T6" s="14" t="s">
        <v>36</v>
      </c>
      <c r="U6" s="15" t="s">
        <v>37</v>
      </c>
      <c r="V6" s="3" t="s">
        <v>36</v>
      </c>
      <c r="W6" s="3" t="s">
        <v>37</v>
      </c>
      <c r="X6" s="14" t="s">
        <v>36</v>
      </c>
      <c r="Y6" s="3" t="s">
        <v>37</v>
      </c>
    </row>
    <row r="7" spans="1:44" x14ac:dyDescent="0.25">
      <c r="A7" s="4" t="s">
        <v>0</v>
      </c>
      <c r="B7" s="5">
        <f>SUM(B8:B33)</f>
        <v>1917</v>
      </c>
      <c r="C7" s="17">
        <f t="shared" ref="C7:Y7" si="0">SUM(C8:C33)</f>
        <v>93933</v>
      </c>
      <c r="D7" s="16">
        <f t="shared" si="0"/>
        <v>2004</v>
      </c>
      <c r="E7" s="17">
        <f t="shared" si="0"/>
        <v>93645</v>
      </c>
      <c r="F7" s="5">
        <f t="shared" si="0"/>
        <v>2108</v>
      </c>
      <c r="G7" s="5">
        <f t="shared" si="0"/>
        <v>99633</v>
      </c>
      <c r="H7" s="16">
        <f t="shared" si="0"/>
        <v>2004</v>
      </c>
      <c r="I7" s="17">
        <f t="shared" si="0"/>
        <v>94229</v>
      </c>
      <c r="J7" s="5">
        <f t="shared" si="0"/>
        <v>1985</v>
      </c>
      <c r="K7" s="5">
        <f t="shared" si="0"/>
        <v>95011</v>
      </c>
      <c r="L7" s="16">
        <f t="shared" si="0"/>
        <v>2031</v>
      </c>
      <c r="M7" s="17">
        <f t="shared" si="0"/>
        <v>96032</v>
      </c>
      <c r="N7" s="5">
        <f t="shared" si="0"/>
        <v>1422</v>
      </c>
      <c r="O7" s="5">
        <f t="shared" si="0"/>
        <v>77370</v>
      </c>
      <c r="P7" s="16">
        <f t="shared" si="0"/>
        <v>2179</v>
      </c>
      <c r="Q7" s="17">
        <f t="shared" si="0"/>
        <v>98918</v>
      </c>
      <c r="R7" s="5">
        <f t="shared" si="0"/>
        <v>2056</v>
      </c>
      <c r="S7" s="5">
        <f t="shared" si="0"/>
        <v>96839</v>
      </c>
      <c r="T7" s="16">
        <f t="shared" si="0"/>
        <v>2104</v>
      </c>
      <c r="U7" s="17">
        <f t="shared" si="0"/>
        <v>95843</v>
      </c>
      <c r="V7" s="5">
        <f t="shared" si="0"/>
        <v>2086</v>
      </c>
      <c r="W7" s="5">
        <f t="shared" si="0"/>
        <v>99440</v>
      </c>
      <c r="X7" s="16">
        <f t="shared" si="0"/>
        <v>2104</v>
      </c>
      <c r="Y7" s="5">
        <f t="shared" si="0"/>
        <v>103925</v>
      </c>
    </row>
    <row r="8" spans="1:44" x14ac:dyDescent="0.25">
      <c r="A8" s="39" t="s">
        <v>13</v>
      </c>
      <c r="B8" s="7">
        <v>10</v>
      </c>
      <c r="C8" s="19">
        <v>132</v>
      </c>
      <c r="D8" s="18">
        <v>11</v>
      </c>
      <c r="E8" s="19">
        <v>139</v>
      </c>
      <c r="F8" s="7">
        <v>13</v>
      </c>
      <c r="G8" s="6">
        <v>191</v>
      </c>
      <c r="H8" s="22">
        <v>14</v>
      </c>
      <c r="I8" s="23">
        <v>187</v>
      </c>
      <c r="J8" s="8">
        <v>11</v>
      </c>
      <c r="K8" s="8">
        <v>168</v>
      </c>
      <c r="L8" s="26">
        <v>12</v>
      </c>
      <c r="M8" s="27">
        <v>165</v>
      </c>
      <c r="N8" s="8">
        <v>8</v>
      </c>
      <c r="O8" s="8">
        <v>143</v>
      </c>
      <c r="P8" s="26">
        <v>12</v>
      </c>
      <c r="Q8" s="27">
        <v>145</v>
      </c>
      <c r="R8" s="8">
        <v>13</v>
      </c>
      <c r="S8" s="8">
        <v>188</v>
      </c>
      <c r="T8" s="26">
        <v>14</v>
      </c>
      <c r="U8" s="27">
        <v>184</v>
      </c>
      <c r="V8" s="8">
        <v>13</v>
      </c>
      <c r="W8" s="8">
        <v>172</v>
      </c>
      <c r="X8" s="30">
        <v>12</v>
      </c>
      <c r="Y8" s="9">
        <v>167</v>
      </c>
    </row>
    <row r="9" spans="1:44" x14ac:dyDescent="0.25">
      <c r="A9" s="39" t="s">
        <v>14</v>
      </c>
      <c r="B9" s="7">
        <v>13</v>
      </c>
      <c r="C9" s="19">
        <v>4599</v>
      </c>
      <c r="D9" s="18">
        <v>14</v>
      </c>
      <c r="E9" s="19">
        <v>4590</v>
      </c>
      <c r="F9" s="7">
        <v>15</v>
      </c>
      <c r="G9" s="6">
        <v>4800</v>
      </c>
      <c r="H9" s="22">
        <v>16</v>
      </c>
      <c r="I9" s="23">
        <v>4798</v>
      </c>
      <c r="J9" s="8">
        <v>15</v>
      </c>
      <c r="K9" s="8">
        <v>4753</v>
      </c>
      <c r="L9" s="26">
        <v>14</v>
      </c>
      <c r="M9" s="27">
        <v>4837</v>
      </c>
      <c r="N9" s="8">
        <v>10</v>
      </c>
      <c r="O9" s="8">
        <v>3834</v>
      </c>
      <c r="P9" s="26">
        <v>14</v>
      </c>
      <c r="Q9" s="27">
        <v>5081</v>
      </c>
      <c r="R9" s="8">
        <v>15</v>
      </c>
      <c r="S9" s="8">
        <v>4662</v>
      </c>
      <c r="T9" s="26">
        <v>16</v>
      </c>
      <c r="U9" s="27">
        <v>5098</v>
      </c>
      <c r="V9" s="8">
        <v>18</v>
      </c>
      <c r="W9" s="8">
        <v>5150</v>
      </c>
      <c r="X9" s="30">
        <v>19</v>
      </c>
      <c r="Y9" s="9">
        <v>5526</v>
      </c>
    </row>
    <row r="10" spans="1:44" x14ac:dyDescent="0.25">
      <c r="A10" s="39" t="s">
        <v>15</v>
      </c>
      <c r="B10" s="7">
        <v>1</v>
      </c>
      <c r="C10" s="19">
        <v>1</v>
      </c>
      <c r="D10" s="18">
        <v>1</v>
      </c>
      <c r="E10" s="19">
        <v>7</v>
      </c>
      <c r="F10" s="7">
        <v>0</v>
      </c>
      <c r="G10" s="6">
        <v>0</v>
      </c>
      <c r="H10" s="22">
        <v>1</v>
      </c>
      <c r="I10" s="23">
        <v>6</v>
      </c>
      <c r="J10" s="8">
        <v>0</v>
      </c>
      <c r="K10" s="8">
        <v>0</v>
      </c>
      <c r="L10" s="26">
        <v>1</v>
      </c>
      <c r="M10" s="27">
        <v>6</v>
      </c>
      <c r="N10" s="8">
        <v>1</v>
      </c>
      <c r="O10" s="8">
        <v>6</v>
      </c>
      <c r="P10" s="26">
        <v>1</v>
      </c>
      <c r="Q10" s="27">
        <v>6</v>
      </c>
      <c r="R10" s="8">
        <v>1</v>
      </c>
      <c r="S10" s="8">
        <v>5</v>
      </c>
      <c r="T10" s="26">
        <v>2</v>
      </c>
      <c r="U10" s="27">
        <v>6</v>
      </c>
      <c r="V10" s="8">
        <v>4</v>
      </c>
      <c r="W10" s="8">
        <v>10</v>
      </c>
      <c r="X10" s="30">
        <v>4</v>
      </c>
      <c r="Y10" s="9">
        <v>10</v>
      </c>
    </row>
    <row r="11" spans="1:44" x14ac:dyDescent="0.25">
      <c r="A11" s="39" t="s">
        <v>16</v>
      </c>
      <c r="B11" s="7">
        <v>20</v>
      </c>
      <c r="C11" s="19">
        <v>68</v>
      </c>
      <c r="D11" s="18">
        <v>16</v>
      </c>
      <c r="E11" s="19">
        <v>49</v>
      </c>
      <c r="F11" s="7">
        <v>17</v>
      </c>
      <c r="G11" s="6">
        <v>57</v>
      </c>
      <c r="H11" s="22">
        <v>12</v>
      </c>
      <c r="I11" s="23">
        <v>47</v>
      </c>
      <c r="J11" s="8">
        <v>13</v>
      </c>
      <c r="K11" s="8">
        <v>36</v>
      </c>
      <c r="L11" s="26">
        <v>12</v>
      </c>
      <c r="M11" s="27">
        <v>49</v>
      </c>
      <c r="N11" s="8">
        <v>4</v>
      </c>
      <c r="O11" s="8">
        <v>17</v>
      </c>
      <c r="P11" s="26">
        <v>17</v>
      </c>
      <c r="Q11" s="27">
        <v>54</v>
      </c>
      <c r="R11" s="8">
        <v>13</v>
      </c>
      <c r="S11" s="8">
        <v>48</v>
      </c>
      <c r="T11" s="26">
        <v>14</v>
      </c>
      <c r="U11" s="27">
        <v>49</v>
      </c>
      <c r="V11" s="8">
        <v>13</v>
      </c>
      <c r="W11" s="8">
        <v>53</v>
      </c>
      <c r="X11" s="30">
        <v>14</v>
      </c>
      <c r="Y11" s="9">
        <v>52</v>
      </c>
    </row>
    <row r="12" spans="1:44" x14ac:dyDescent="0.25">
      <c r="A12" s="39" t="s">
        <v>17</v>
      </c>
      <c r="B12" s="7">
        <v>137</v>
      </c>
      <c r="C12" s="19">
        <v>2403</v>
      </c>
      <c r="D12" s="18">
        <v>143</v>
      </c>
      <c r="E12" s="19">
        <v>2445</v>
      </c>
      <c r="F12" s="7">
        <v>147</v>
      </c>
      <c r="G12" s="6">
        <v>2511</v>
      </c>
      <c r="H12" s="22">
        <v>140</v>
      </c>
      <c r="I12" s="23">
        <v>2548</v>
      </c>
      <c r="J12" s="8">
        <v>129</v>
      </c>
      <c r="K12" s="8">
        <v>2372</v>
      </c>
      <c r="L12" s="26">
        <v>131</v>
      </c>
      <c r="M12" s="27">
        <v>2529</v>
      </c>
      <c r="N12" s="8">
        <v>76</v>
      </c>
      <c r="O12" s="8">
        <v>1891</v>
      </c>
      <c r="P12" s="26">
        <v>137</v>
      </c>
      <c r="Q12" s="27">
        <v>2542</v>
      </c>
      <c r="R12" s="8">
        <v>132</v>
      </c>
      <c r="S12" s="8">
        <v>2497</v>
      </c>
      <c r="T12" s="26">
        <v>137</v>
      </c>
      <c r="U12" s="27">
        <v>2607</v>
      </c>
      <c r="V12" s="8">
        <v>133</v>
      </c>
      <c r="W12" s="8">
        <v>2563</v>
      </c>
      <c r="X12" s="30">
        <v>134</v>
      </c>
      <c r="Y12" s="9">
        <v>2630</v>
      </c>
    </row>
    <row r="13" spans="1:44" x14ac:dyDescent="0.25">
      <c r="A13" s="39" t="s">
        <v>18</v>
      </c>
      <c r="B13" s="7">
        <v>16</v>
      </c>
      <c r="C13" s="19">
        <v>230</v>
      </c>
      <c r="D13" s="18">
        <v>18</v>
      </c>
      <c r="E13" s="19">
        <v>243</v>
      </c>
      <c r="F13" s="7">
        <v>20</v>
      </c>
      <c r="G13" s="6">
        <v>244</v>
      </c>
      <c r="H13" s="22">
        <v>15</v>
      </c>
      <c r="I13" s="23">
        <v>224</v>
      </c>
      <c r="J13" s="8">
        <v>17</v>
      </c>
      <c r="K13" s="8">
        <v>238</v>
      </c>
      <c r="L13" s="26">
        <v>20</v>
      </c>
      <c r="M13" s="27">
        <v>244</v>
      </c>
      <c r="N13" s="8">
        <v>14</v>
      </c>
      <c r="O13" s="8">
        <v>181</v>
      </c>
      <c r="P13" s="26">
        <v>18</v>
      </c>
      <c r="Q13" s="27">
        <v>235</v>
      </c>
      <c r="R13" s="8">
        <v>17</v>
      </c>
      <c r="S13" s="8">
        <v>222</v>
      </c>
      <c r="T13" s="26">
        <v>21</v>
      </c>
      <c r="U13" s="27">
        <v>245</v>
      </c>
      <c r="V13" s="8">
        <v>19</v>
      </c>
      <c r="W13" s="8">
        <v>237</v>
      </c>
      <c r="X13" s="30">
        <v>16</v>
      </c>
      <c r="Y13" s="9">
        <v>175</v>
      </c>
    </row>
    <row r="14" spans="1:44" ht="31.5" x14ac:dyDescent="0.25">
      <c r="A14" s="38" t="s">
        <v>38</v>
      </c>
      <c r="B14" s="7">
        <v>61</v>
      </c>
      <c r="C14" s="19">
        <v>3764</v>
      </c>
      <c r="D14" s="18">
        <v>70</v>
      </c>
      <c r="E14" s="19">
        <v>4982</v>
      </c>
      <c r="F14" s="7">
        <v>70</v>
      </c>
      <c r="G14" s="6">
        <v>5053</v>
      </c>
      <c r="H14" s="22">
        <v>65</v>
      </c>
      <c r="I14" s="23">
        <v>5025</v>
      </c>
      <c r="J14" s="32">
        <v>65</v>
      </c>
      <c r="K14" s="32">
        <v>5087</v>
      </c>
      <c r="L14" s="33">
        <v>66</v>
      </c>
      <c r="M14" s="34">
        <v>5082</v>
      </c>
      <c r="N14" s="32">
        <v>48</v>
      </c>
      <c r="O14" s="32">
        <v>4931</v>
      </c>
      <c r="P14" s="33">
        <v>70</v>
      </c>
      <c r="Q14" s="34">
        <v>5277</v>
      </c>
      <c r="R14" s="32">
        <v>70</v>
      </c>
      <c r="S14" s="32">
        <v>5276</v>
      </c>
      <c r="T14" s="33">
        <v>62</v>
      </c>
      <c r="U14" s="34">
        <v>4238</v>
      </c>
      <c r="V14" s="32">
        <v>64</v>
      </c>
      <c r="W14" s="32">
        <v>5280</v>
      </c>
      <c r="X14" s="35">
        <v>62</v>
      </c>
      <c r="Y14" s="36">
        <v>5362</v>
      </c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</row>
    <row r="15" spans="1:44" x14ac:dyDescent="0.25">
      <c r="A15" s="39" t="s">
        <v>19</v>
      </c>
      <c r="B15" s="7">
        <v>14</v>
      </c>
      <c r="C15" s="19">
        <v>1298</v>
      </c>
      <c r="D15" s="18">
        <v>14</v>
      </c>
      <c r="E15" s="19">
        <v>1235</v>
      </c>
      <c r="F15" s="7">
        <v>13</v>
      </c>
      <c r="G15" s="6">
        <v>1248</v>
      </c>
      <c r="H15" s="22">
        <v>13</v>
      </c>
      <c r="I15" s="23">
        <v>1262</v>
      </c>
      <c r="J15" s="8">
        <v>13</v>
      </c>
      <c r="K15" s="8">
        <v>1261</v>
      </c>
      <c r="L15" s="26">
        <v>15</v>
      </c>
      <c r="M15" s="27">
        <v>1268</v>
      </c>
      <c r="N15" s="8">
        <v>11</v>
      </c>
      <c r="O15" s="8">
        <v>1126</v>
      </c>
      <c r="P15" s="26">
        <v>14</v>
      </c>
      <c r="Q15" s="27">
        <v>1226</v>
      </c>
      <c r="R15" s="8">
        <v>13</v>
      </c>
      <c r="S15" s="8">
        <v>1301</v>
      </c>
      <c r="T15" s="26">
        <v>16</v>
      </c>
      <c r="U15" s="27">
        <v>1305</v>
      </c>
      <c r="V15" s="8">
        <v>14</v>
      </c>
      <c r="W15" s="8">
        <v>1298</v>
      </c>
      <c r="X15" s="30">
        <v>14</v>
      </c>
      <c r="Y15" s="9">
        <v>1292</v>
      </c>
    </row>
    <row r="16" spans="1:44" x14ac:dyDescent="0.25">
      <c r="A16" s="39" t="s">
        <v>20</v>
      </c>
      <c r="B16" s="7">
        <v>7</v>
      </c>
      <c r="C16" s="19">
        <v>169</v>
      </c>
      <c r="D16" s="18">
        <v>8</v>
      </c>
      <c r="E16" s="19">
        <v>174</v>
      </c>
      <c r="F16" s="7">
        <v>7</v>
      </c>
      <c r="G16" s="6">
        <v>171</v>
      </c>
      <c r="H16" s="22">
        <v>7</v>
      </c>
      <c r="I16" s="23">
        <v>165</v>
      </c>
      <c r="J16" s="8">
        <v>7</v>
      </c>
      <c r="K16" s="8">
        <v>162</v>
      </c>
      <c r="L16" s="26">
        <v>8</v>
      </c>
      <c r="M16" s="27">
        <v>193</v>
      </c>
      <c r="N16" s="8">
        <v>6</v>
      </c>
      <c r="O16" s="8">
        <v>123</v>
      </c>
      <c r="P16" s="26">
        <v>9</v>
      </c>
      <c r="Q16" s="27">
        <v>198</v>
      </c>
      <c r="R16" s="8">
        <v>5</v>
      </c>
      <c r="S16" s="8">
        <v>126</v>
      </c>
      <c r="T16" s="26">
        <v>9</v>
      </c>
      <c r="U16" s="27">
        <v>208</v>
      </c>
      <c r="V16" s="8">
        <v>8</v>
      </c>
      <c r="W16" s="8">
        <v>206</v>
      </c>
      <c r="X16" s="30">
        <v>8</v>
      </c>
      <c r="Y16" s="9">
        <v>207</v>
      </c>
    </row>
    <row r="17" spans="1:67" x14ac:dyDescent="0.25">
      <c r="A17" s="39" t="s">
        <v>39</v>
      </c>
      <c r="B17" s="7">
        <v>346</v>
      </c>
      <c r="C17" s="19">
        <v>40579</v>
      </c>
      <c r="D17" s="18">
        <v>377</v>
      </c>
      <c r="E17" s="19">
        <v>38885</v>
      </c>
      <c r="F17" s="7">
        <v>416</v>
      </c>
      <c r="G17" s="6">
        <v>39149</v>
      </c>
      <c r="H17" s="22">
        <v>384</v>
      </c>
      <c r="I17" s="23">
        <v>37363</v>
      </c>
      <c r="J17" s="8">
        <v>386</v>
      </c>
      <c r="K17" s="8">
        <v>38332</v>
      </c>
      <c r="L17" s="26">
        <v>409</v>
      </c>
      <c r="M17" s="27">
        <v>39110</v>
      </c>
      <c r="N17" s="8">
        <v>354</v>
      </c>
      <c r="O17" s="8">
        <v>38849</v>
      </c>
      <c r="P17" s="26">
        <v>431</v>
      </c>
      <c r="Q17" s="27">
        <v>39451</v>
      </c>
      <c r="R17" s="8">
        <v>393</v>
      </c>
      <c r="S17" s="8">
        <v>38461</v>
      </c>
      <c r="T17" s="26">
        <v>400</v>
      </c>
      <c r="U17" s="27">
        <v>36894</v>
      </c>
      <c r="V17" s="8">
        <v>394</v>
      </c>
      <c r="W17" s="8">
        <v>40155</v>
      </c>
      <c r="X17" s="30">
        <v>422</v>
      </c>
      <c r="Y17" s="9">
        <v>41454</v>
      </c>
      <c r="AG17" s="6"/>
      <c r="AH17" s="6"/>
      <c r="AI17" s="6"/>
      <c r="AJ17" s="43"/>
      <c r="AK17" s="8"/>
      <c r="AL17" s="8"/>
      <c r="AM17" s="8"/>
      <c r="AN17" s="8"/>
      <c r="AO17" s="8"/>
      <c r="AP17" s="8"/>
      <c r="AQ17" s="8"/>
      <c r="AR17" s="9"/>
    </row>
    <row r="18" spans="1:67" x14ac:dyDescent="0.25">
      <c r="A18" s="39" t="s">
        <v>21</v>
      </c>
      <c r="B18" s="7">
        <v>34</v>
      </c>
      <c r="C18" s="19">
        <v>1231</v>
      </c>
      <c r="D18" s="18">
        <v>37</v>
      </c>
      <c r="E18" s="19">
        <v>1274</v>
      </c>
      <c r="F18" s="7">
        <v>40</v>
      </c>
      <c r="G18" s="6">
        <v>1328</v>
      </c>
      <c r="H18" s="22">
        <v>39</v>
      </c>
      <c r="I18" s="23">
        <v>1349</v>
      </c>
      <c r="J18" s="8">
        <v>39</v>
      </c>
      <c r="K18" s="8">
        <v>1336</v>
      </c>
      <c r="L18" s="26">
        <v>38</v>
      </c>
      <c r="M18" s="27">
        <v>1380</v>
      </c>
      <c r="N18" s="8">
        <v>18</v>
      </c>
      <c r="O18" s="8">
        <v>386</v>
      </c>
      <c r="P18" s="26">
        <v>40</v>
      </c>
      <c r="Q18" s="27">
        <v>1455</v>
      </c>
      <c r="R18" s="8">
        <v>37</v>
      </c>
      <c r="S18" s="8">
        <v>1050</v>
      </c>
      <c r="T18" s="26">
        <v>39</v>
      </c>
      <c r="U18" s="27">
        <v>1398</v>
      </c>
      <c r="V18" s="8">
        <v>39</v>
      </c>
      <c r="W18" s="8">
        <v>1452</v>
      </c>
      <c r="X18" s="30">
        <v>36</v>
      </c>
      <c r="Y18" s="9">
        <v>1437</v>
      </c>
      <c r="AG18" s="6"/>
      <c r="AH18" s="6"/>
      <c r="AI18" s="6"/>
      <c r="AJ18" s="43"/>
      <c r="AK18" s="8"/>
      <c r="AL18" s="8"/>
      <c r="AM18" s="8"/>
      <c r="AN18" s="8"/>
      <c r="AO18" s="8"/>
      <c r="AP18" s="8"/>
      <c r="AQ18" s="8"/>
      <c r="AR18" s="9"/>
    </row>
    <row r="19" spans="1:67" x14ac:dyDescent="0.25">
      <c r="A19" s="39" t="s">
        <v>22</v>
      </c>
      <c r="B19" s="7">
        <v>319</v>
      </c>
      <c r="C19" s="19">
        <v>16633</v>
      </c>
      <c r="D19" s="18">
        <v>313</v>
      </c>
      <c r="E19" s="19">
        <v>17249</v>
      </c>
      <c r="F19" s="7">
        <v>335</v>
      </c>
      <c r="G19" s="6">
        <v>17345</v>
      </c>
      <c r="H19" s="22">
        <v>323</v>
      </c>
      <c r="I19" s="23">
        <v>17457</v>
      </c>
      <c r="J19" s="8">
        <v>326</v>
      </c>
      <c r="K19" s="8">
        <v>17296</v>
      </c>
      <c r="L19" s="26">
        <v>331</v>
      </c>
      <c r="M19" s="27">
        <v>17140</v>
      </c>
      <c r="N19" s="8">
        <v>226</v>
      </c>
      <c r="O19" s="8">
        <v>12383</v>
      </c>
      <c r="P19" s="26">
        <v>353</v>
      </c>
      <c r="Q19" s="27">
        <v>17856</v>
      </c>
      <c r="R19" s="8">
        <v>348</v>
      </c>
      <c r="S19" s="8">
        <v>17977</v>
      </c>
      <c r="T19" s="26">
        <v>345</v>
      </c>
      <c r="U19" s="27">
        <v>18078</v>
      </c>
      <c r="V19" s="8">
        <v>342</v>
      </c>
      <c r="W19" s="8">
        <v>18758</v>
      </c>
      <c r="X19" s="30">
        <v>352</v>
      </c>
      <c r="Y19" s="9">
        <v>18554</v>
      </c>
      <c r="AG19" s="6"/>
      <c r="AH19" s="6"/>
      <c r="AI19" s="6"/>
      <c r="AJ19" s="43"/>
      <c r="AK19" s="8"/>
      <c r="AL19" s="8"/>
      <c r="AM19" s="8"/>
      <c r="AN19" s="8"/>
      <c r="AO19" s="8"/>
      <c r="AP19" s="8"/>
      <c r="AQ19" s="8"/>
      <c r="AR19" s="9"/>
    </row>
    <row r="20" spans="1:67" x14ac:dyDescent="0.25">
      <c r="A20" s="39" t="s">
        <v>23</v>
      </c>
      <c r="B20" s="7">
        <v>8</v>
      </c>
      <c r="C20" s="19">
        <v>71</v>
      </c>
      <c r="D20" s="18">
        <v>8</v>
      </c>
      <c r="E20" s="19">
        <v>68</v>
      </c>
      <c r="F20" s="7">
        <v>8</v>
      </c>
      <c r="G20" s="6">
        <v>65</v>
      </c>
      <c r="H20" s="22">
        <v>8</v>
      </c>
      <c r="I20" s="23">
        <v>64</v>
      </c>
      <c r="J20" s="8">
        <v>9</v>
      </c>
      <c r="K20" s="8">
        <v>68</v>
      </c>
      <c r="L20" s="26">
        <v>9</v>
      </c>
      <c r="M20" s="27">
        <v>68</v>
      </c>
      <c r="N20" s="8">
        <v>4</v>
      </c>
      <c r="O20" s="8">
        <v>43</v>
      </c>
      <c r="P20" s="26">
        <v>10</v>
      </c>
      <c r="Q20" s="27">
        <v>70</v>
      </c>
      <c r="R20" s="8">
        <v>9</v>
      </c>
      <c r="S20" s="8">
        <v>70</v>
      </c>
      <c r="T20" s="26">
        <v>9</v>
      </c>
      <c r="U20" s="27">
        <v>71</v>
      </c>
      <c r="V20" s="8">
        <v>9</v>
      </c>
      <c r="W20" s="8">
        <v>76</v>
      </c>
      <c r="X20" s="30">
        <v>9</v>
      </c>
      <c r="Y20" s="9">
        <v>78</v>
      </c>
      <c r="AG20" s="6"/>
      <c r="AH20" s="6"/>
      <c r="AI20" s="6"/>
      <c r="AJ20" s="43"/>
      <c r="AK20" s="8"/>
      <c r="AL20" s="8"/>
      <c r="AM20" s="8"/>
      <c r="AN20" s="8"/>
      <c r="AO20" s="8"/>
      <c r="AP20" s="8"/>
      <c r="AQ20" s="8"/>
      <c r="AR20" s="9"/>
    </row>
    <row r="21" spans="1:67" x14ac:dyDescent="0.25">
      <c r="A21" s="39" t="s">
        <v>24</v>
      </c>
      <c r="B21" s="7">
        <v>4</v>
      </c>
      <c r="C21" s="19">
        <v>608</v>
      </c>
      <c r="D21" s="18">
        <v>3</v>
      </c>
      <c r="E21" s="19">
        <v>602</v>
      </c>
      <c r="F21" s="7">
        <v>3</v>
      </c>
      <c r="G21" s="6">
        <v>589</v>
      </c>
      <c r="H21" s="22">
        <v>5</v>
      </c>
      <c r="I21" s="23">
        <v>622</v>
      </c>
      <c r="J21" s="8">
        <v>5</v>
      </c>
      <c r="K21" s="8">
        <v>624</v>
      </c>
      <c r="L21" s="26">
        <v>5</v>
      </c>
      <c r="M21" s="27">
        <v>644</v>
      </c>
      <c r="N21" s="8">
        <v>3</v>
      </c>
      <c r="O21" s="8">
        <v>633</v>
      </c>
      <c r="P21" s="26">
        <v>5</v>
      </c>
      <c r="Q21" s="27">
        <v>644</v>
      </c>
      <c r="R21" s="8">
        <v>5</v>
      </c>
      <c r="S21" s="8">
        <v>639</v>
      </c>
      <c r="T21" s="26">
        <v>5</v>
      </c>
      <c r="U21" s="27">
        <v>642</v>
      </c>
      <c r="V21" s="8">
        <v>3</v>
      </c>
      <c r="W21" s="8">
        <v>36</v>
      </c>
      <c r="X21" s="30">
        <v>3</v>
      </c>
      <c r="Y21" s="9">
        <v>642</v>
      </c>
      <c r="AG21" s="6"/>
      <c r="AH21" s="6"/>
      <c r="AI21" s="6"/>
      <c r="AJ21" s="43"/>
      <c r="AK21" s="8"/>
      <c r="AL21" s="8"/>
      <c r="AM21" s="8"/>
      <c r="AN21" s="8"/>
      <c r="AO21" s="8"/>
      <c r="AP21" s="8"/>
      <c r="AQ21" s="8"/>
      <c r="AR21" s="9"/>
    </row>
    <row r="22" spans="1:67" x14ac:dyDescent="0.25">
      <c r="A22" s="39" t="s">
        <v>25</v>
      </c>
      <c r="B22" s="7">
        <v>1</v>
      </c>
      <c r="C22" s="19">
        <v>6</v>
      </c>
      <c r="D22" s="18">
        <v>1</v>
      </c>
      <c r="E22" s="19">
        <v>6</v>
      </c>
      <c r="F22" s="7">
        <v>1</v>
      </c>
      <c r="G22" s="6">
        <v>6</v>
      </c>
      <c r="H22" s="22">
        <v>0</v>
      </c>
      <c r="I22" s="23">
        <v>0</v>
      </c>
      <c r="J22" s="8">
        <v>1</v>
      </c>
      <c r="K22" s="8">
        <v>6</v>
      </c>
      <c r="L22" s="26">
        <v>0</v>
      </c>
      <c r="M22" s="27">
        <v>0</v>
      </c>
      <c r="N22" s="8">
        <v>1</v>
      </c>
      <c r="O22" s="8">
        <v>6</v>
      </c>
      <c r="P22" s="26">
        <v>1</v>
      </c>
      <c r="Q22" s="27">
        <v>6</v>
      </c>
      <c r="R22" s="8">
        <v>1</v>
      </c>
      <c r="S22" s="8">
        <v>7</v>
      </c>
      <c r="T22" s="26">
        <v>1</v>
      </c>
      <c r="U22" s="27">
        <v>7</v>
      </c>
      <c r="V22" s="8">
        <v>1</v>
      </c>
      <c r="W22" s="8">
        <v>7</v>
      </c>
      <c r="X22" s="30">
        <v>1</v>
      </c>
      <c r="Y22" s="9">
        <v>6</v>
      </c>
      <c r="AG22" s="6"/>
      <c r="AH22" s="6"/>
      <c r="AI22" s="6"/>
      <c r="AJ22" s="43"/>
      <c r="AK22" s="8"/>
      <c r="AL22" s="8"/>
      <c r="AM22" s="8"/>
      <c r="AN22" s="8"/>
      <c r="AO22" s="8"/>
      <c r="AP22" s="8"/>
      <c r="AQ22" s="8"/>
      <c r="AR22" s="9"/>
    </row>
    <row r="23" spans="1:67" x14ac:dyDescent="0.25">
      <c r="A23" s="39" t="s">
        <v>35</v>
      </c>
      <c r="B23" s="7">
        <v>357</v>
      </c>
      <c r="C23" s="19">
        <v>8328</v>
      </c>
      <c r="D23" s="18">
        <v>367</v>
      </c>
      <c r="E23" s="19">
        <v>7527</v>
      </c>
      <c r="F23" s="7">
        <v>387</v>
      </c>
      <c r="G23" s="6">
        <v>12253</v>
      </c>
      <c r="H23" s="22">
        <v>390</v>
      </c>
      <c r="I23" s="23">
        <v>8930</v>
      </c>
      <c r="J23" s="8">
        <v>371</v>
      </c>
      <c r="K23" s="8">
        <v>8839</v>
      </c>
      <c r="L23" s="26">
        <v>378</v>
      </c>
      <c r="M23" s="27">
        <v>9075</v>
      </c>
      <c r="N23" s="8">
        <v>268</v>
      </c>
      <c r="O23" s="8">
        <v>2664</v>
      </c>
      <c r="P23" s="26">
        <v>418</v>
      </c>
      <c r="Q23" s="27">
        <v>9629</v>
      </c>
      <c r="R23" s="8">
        <v>393</v>
      </c>
      <c r="S23" s="8">
        <v>9657</v>
      </c>
      <c r="T23" s="26">
        <v>391</v>
      </c>
      <c r="U23" s="27">
        <v>9629</v>
      </c>
      <c r="V23" s="8">
        <v>407</v>
      </c>
      <c r="W23" s="8">
        <v>10253</v>
      </c>
      <c r="X23" s="30">
        <v>413</v>
      </c>
      <c r="Y23" s="9">
        <v>10466</v>
      </c>
      <c r="AG23" s="6"/>
      <c r="AH23" s="6"/>
      <c r="AI23" s="6"/>
      <c r="AJ23" s="43"/>
      <c r="AK23" s="32"/>
      <c r="AL23" s="32"/>
      <c r="AM23" s="32"/>
      <c r="AN23" s="32"/>
      <c r="AO23" s="32"/>
      <c r="AP23" s="32"/>
      <c r="AQ23" s="32"/>
      <c r="AR23" s="36"/>
    </row>
    <row r="24" spans="1:67" x14ac:dyDescent="0.25">
      <c r="A24" s="37" t="s">
        <v>40</v>
      </c>
      <c r="B24" s="7">
        <v>1</v>
      </c>
      <c r="C24" s="19">
        <v>1</v>
      </c>
      <c r="D24" s="18">
        <v>2</v>
      </c>
      <c r="E24" s="19">
        <v>2</v>
      </c>
      <c r="F24" s="7">
        <v>2</v>
      </c>
      <c r="G24" s="6">
        <v>2</v>
      </c>
      <c r="H24" s="22">
        <v>2</v>
      </c>
      <c r="I24" s="23">
        <v>2</v>
      </c>
      <c r="J24" s="8">
        <v>2</v>
      </c>
      <c r="K24" s="8">
        <v>2</v>
      </c>
      <c r="L24" s="26">
        <v>2</v>
      </c>
      <c r="M24" s="27">
        <v>2</v>
      </c>
      <c r="N24" s="8">
        <v>1</v>
      </c>
      <c r="O24" s="8">
        <v>1</v>
      </c>
      <c r="P24" s="26">
        <v>1</v>
      </c>
      <c r="Q24" s="27">
        <v>1</v>
      </c>
      <c r="R24" s="8">
        <v>2</v>
      </c>
      <c r="S24" s="8">
        <v>3</v>
      </c>
      <c r="T24" s="26">
        <v>2</v>
      </c>
      <c r="U24" s="27">
        <v>2</v>
      </c>
      <c r="V24" s="8">
        <v>1</v>
      </c>
      <c r="W24" s="8">
        <v>1</v>
      </c>
      <c r="X24" s="30">
        <v>1</v>
      </c>
      <c r="Y24" s="9">
        <v>1</v>
      </c>
      <c r="AG24" s="6"/>
      <c r="AH24" s="6"/>
      <c r="AI24" s="6"/>
      <c r="AJ24" s="43"/>
      <c r="AK24" s="8"/>
      <c r="AL24" s="8"/>
      <c r="AM24" s="8"/>
      <c r="AN24" s="8"/>
      <c r="AO24" s="8"/>
      <c r="AP24" s="8"/>
      <c r="AQ24" s="8"/>
      <c r="AR24" s="9"/>
      <c r="BD24" s="45" t="s">
        <v>43</v>
      </c>
      <c r="BE24" s="45" t="s">
        <v>2</v>
      </c>
      <c r="BF24" s="45" t="s">
        <v>3</v>
      </c>
      <c r="BG24" s="45" t="s">
        <v>4</v>
      </c>
      <c r="BH24" s="45" t="s">
        <v>5</v>
      </c>
      <c r="BI24" s="45" t="s">
        <v>6</v>
      </c>
      <c r="BJ24" s="45" t="s">
        <v>7</v>
      </c>
      <c r="BK24" s="45" t="s">
        <v>8</v>
      </c>
      <c r="BL24" s="45" t="s">
        <v>9</v>
      </c>
      <c r="BM24" s="45" t="s">
        <v>10</v>
      </c>
      <c r="BN24" s="45" t="s">
        <v>11</v>
      </c>
      <c r="BO24" s="45" t="s">
        <v>12</v>
      </c>
    </row>
    <row r="25" spans="1:67" x14ac:dyDescent="0.25">
      <c r="A25" s="39" t="s">
        <v>26</v>
      </c>
      <c r="B25" s="7">
        <v>7</v>
      </c>
      <c r="C25" s="19">
        <v>48</v>
      </c>
      <c r="D25" s="18">
        <v>7</v>
      </c>
      <c r="E25" s="19">
        <v>49</v>
      </c>
      <c r="F25" s="7">
        <v>8</v>
      </c>
      <c r="G25" s="6">
        <v>58</v>
      </c>
      <c r="H25" s="22">
        <v>8</v>
      </c>
      <c r="I25" s="23">
        <v>65</v>
      </c>
      <c r="J25" s="8">
        <v>6</v>
      </c>
      <c r="K25" s="8">
        <v>50</v>
      </c>
      <c r="L25" s="26">
        <v>7</v>
      </c>
      <c r="M25" s="27">
        <v>53</v>
      </c>
      <c r="N25" s="8">
        <v>6</v>
      </c>
      <c r="O25" s="8">
        <v>56</v>
      </c>
      <c r="P25" s="26">
        <v>6</v>
      </c>
      <c r="Q25" s="27">
        <v>54</v>
      </c>
      <c r="R25" s="8">
        <v>7</v>
      </c>
      <c r="S25" s="8">
        <v>65</v>
      </c>
      <c r="T25" s="26">
        <v>7</v>
      </c>
      <c r="U25" s="27">
        <v>63</v>
      </c>
      <c r="V25" s="8">
        <v>9</v>
      </c>
      <c r="W25" s="8">
        <v>82</v>
      </c>
      <c r="X25" s="30">
        <v>8</v>
      </c>
      <c r="Y25" s="9">
        <v>73</v>
      </c>
      <c r="AG25" s="6"/>
      <c r="AH25" s="6"/>
      <c r="AI25" s="6"/>
      <c r="AJ25" s="43"/>
      <c r="AK25" s="8"/>
      <c r="AL25" s="8"/>
      <c r="AM25" s="8"/>
      <c r="AN25" s="8"/>
      <c r="AO25" s="8"/>
      <c r="AP25" s="8"/>
      <c r="AQ25" s="8"/>
      <c r="AR25" s="9"/>
      <c r="BD25" s="5">
        <v>93933</v>
      </c>
      <c r="BE25" s="5">
        <v>93645</v>
      </c>
      <c r="BF25" s="5">
        <v>99633</v>
      </c>
      <c r="BG25" s="5">
        <v>94229</v>
      </c>
      <c r="BH25" s="5">
        <v>95011</v>
      </c>
      <c r="BI25" s="5">
        <v>96032</v>
      </c>
      <c r="BJ25" s="5">
        <v>77370</v>
      </c>
      <c r="BK25" s="5">
        <v>98918</v>
      </c>
      <c r="BL25" s="5">
        <v>96839</v>
      </c>
      <c r="BM25" s="5">
        <v>95843</v>
      </c>
      <c r="BN25" s="5">
        <v>99440</v>
      </c>
      <c r="BO25" s="5">
        <v>103925</v>
      </c>
    </row>
    <row r="26" spans="1:67" x14ac:dyDescent="0.25">
      <c r="A26" s="39" t="s">
        <v>27</v>
      </c>
      <c r="B26" s="7">
        <v>27</v>
      </c>
      <c r="C26" s="19">
        <v>181</v>
      </c>
      <c r="D26" s="18">
        <v>20</v>
      </c>
      <c r="E26" s="19">
        <v>135</v>
      </c>
      <c r="F26" s="7">
        <v>22</v>
      </c>
      <c r="G26" s="6">
        <v>146</v>
      </c>
      <c r="H26" s="22">
        <v>24</v>
      </c>
      <c r="I26" s="23">
        <v>152</v>
      </c>
      <c r="J26" s="8">
        <v>22</v>
      </c>
      <c r="K26" s="8">
        <v>115</v>
      </c>
      <c r="L26" s="26">
        <v>24</v>
      </c>
      <c r="M26" s="27">
        <v>101</v>
      </c>
      <c r="N26" s="8">
        <v>15</v>
      </c>
      <c r="O26" s="8">
        <v>69</v>
      </c>
      <c r="P26" s="26">
        <v>25</v>
      </c>
      <c r="Q26" s="27">
        <v>113</v>
      </c>
      <c r="R26" s="8">
        <v>24</v>
      </c>
      <c r="S26" s="8">
        <v>125</v>
      </c>
      <c r="T26" s="26">
        <v>20</v>
      </c>
      <c r="U26" s="27">
        <v>106</v>
      </c>
      <c r="V26" s="8">
        <v>22</v>
      </c>
      <c r="W26" s="8">
        <v>97</v>
      </c>
      <c r="X26" s="30">
        <v>19</v>
      </c>
      <c r="Y26" s="9">
        <v>87</v>
      </c>
      <c r="AG26" s="6"/>
      <c r="AH26" s="6"/>
      <c r="AI26" s="6"/>
      <c r="AJ26" s="43"/>
      <c r="AK26" s="8"/>
      <c r="AL26" s="8"/>
      <c r="AM26" s="8"/>
      <c r="AN26" s="8"/>
      <c r="AO26" s="8"/>
      <c r="AP26" s="8"/>
      <c r="AQ26" s="8"/>
      <c r="AR26" s="9"/>
    </row>
    <row r="27" spans="1:67" x14ac:dyDescent="0.25">
      <c r="A27" s="39" t="s">
        <v>28</v>
      </c>
      <c r="B27" s="7">
        <v>2</v>
      </c>
      <c r="C27" s="19">
        <v>79</v>
      </c>
      <c r="D27" s="18">
        <v>2</v>
      </c>
      <c r="E27" s="19">
        <v>83</v>
      </c>
      <c r="F27" s="7">
        <v>2</v>
      </c>
      <c r="G27" s="6">
        <v>83</v>
      </c>
      <c r="H27" s="22">
        <v>2</v>
      </c>
      <c r="I27" s="23">
        <v>84</v>
      </c>
      <c r="J27" s="8">
        <v>2</v>
      </c>
      <c r="K27" s="8">
        <v>84</v>
      </c>
      <c r="L27" s="26">
        <v>2</v>
      </c>
      <c r="M27" s="27">
        <v>85</v>
      </c>
      <c r="N27" s="8">
        <v>1</v>
      </c>
      <c r="O27" s="8">
        <v>66</v>
      </c>
      <c r="P27" s="26">
        <v>2</v>
      </c>
      <c r="Q27" s="27">
        <v>88</v>
      </c>
      <c r="R27" s="8">
        <v>2</v>
      </c>
      <c r="S27" s="8">
        <v>88</v>
      </c>
      <c r="T27" s="26">
        <v>2</v>
      </c>
      <c r="U27" s="27">
        <v>87</v>
      </c>
      <c r="V27" s="8">
        <v>2</v>
      </c>
      <c r="W27" s="8">
        <v>92</v>
      </c>
      <c r="X27" s="30">
        <v>2</v>
      </c>
      <c r="Y27" s="9">
        <v>89</v>
      </c>
      <c r="AG27" s="6"/>
      <c r="AH27" s="6"/>
      <c r="AI27" s="6"/>
      <c r="AJ27" s="43"/>
      <c r="AK27" s="8"/>
      <c r="AL27" s="8"/>
      <c r="AM27" s="8"/>
      <c r="AN27" s="8"/>
      <c r="AO27" s="8"/>
      <c r="AP27" s="8"/>
      <c r="AQ27" s="8"/>
      <c r="AR27" s="9"/>
    </row>
    <row r="28" spans="1:67" x14ac:dyDescent="0.25">
      <c r="A28" s="39" t="s">
        <v>29</v>
      </c>
      <c r="B28" s="7">
        <v>60</v>
      </c>
      <c r="C28" s="19">
        <v>1851</v>
      </c>
      <c r="D28" s="18">
        <v>66</v>
      </c>
      <c r="E28" s="19">
        <v>2090</v>
      </c>
      <c r="F28" s="7">
        <v>66</v>
      </c>
      <c r="G28" s="6">
        <v>2067</v>
      </c>
      <c r="H28" s="22">
        <v>58</v>
      </c>
      <c r="I28" s="23">
        <v>1944</v>
      </c>
      <c r="J28" s="8">
        <v>59</v>
      </c>
      <c r="K28" s="8">
        <v>2002</v>
      </c>
      <c r="L28" s="26">
        <v>59</v>
      </c>
      <c r="M28" s="27">
        <v>1835</v>
      </c>
      <c r="N28" s="8">
        <v>46</v>
      </c>
      <c r="O28" s="8">
        <v>1634</v>
      </c>
      <c r="P28" s="26">
        <v>69</v>
      </c>
      <c r="Q28" s="27">
        <v>2194</v>
      </c>
      <c r="R28" s="8">
        <v>62</v>
      </c>
      <c r="S28" s="8">
        <v>2097</v>
      </c>
      <c r="T28" s="26">
        <v>67</v>
      </c>
      <c r="U28" s="27">
        <v>2111</v>
      </c>
      <c r="V28" s="8">
        <v>67</v>
      </c>
      <c r="W28" s="8">
        <v>2744</v>
      </c>
      <c r="X28" s="30">
        <v>66</v>
      </c>
      <c r="Y28" s="9">
        <v>2804</v>
      </c>
      <c r="AG28" s="6"/>
      <c r="AH28" s="6"/>
      <c r="AI28" s="6"/>
      <c r="AJ28" s="43"/>
      <c r="AK28" s="8"/>
      <c r="AL28" s="8"/>
      <c r="AM28" s="8"/>
      <c r="AN28" s="8"/>
      <c r="AO28" s="8"/>
      <c r="AP28" s="8"/>
      <c r="AQ28" s="8"/>
      <c r="AR28" s="9"/>
    </row>
    <row r="29" spans="1:67" x14ac:dyDescent="0.25">
      <c r="A29" s="39" t="s">
        <v>30</v>
      </c>
      <c r="B29" s="7">
        <v>48</v>
      </c>
      <c r="C29" s="19">
        <v>3642</v>
      </c>
      <c r="D29" s="18">
        <v>52</v>
      </c>
      <c r="E29" s="19">
        <v>3622</v>
      </c>
      <c r="F29" s="7">
        <v>51</v>
      </c>
      <c r="G29" s="6">
        <v>3741</v>
      </c>
      <c r="H29" s="22">
        <v>49</v>
      </c>
      <c r="I29" s="23">
        <v>3703</v>
      </c>
      <c r="J29" s="8">
        <v>48</v>
      </c>
      <c r="K29" s="8">
        <v>3862</v>
      </c>
      <c r="L29" s="26">
        <v>45</v>
      </c>
      <c r="M29" s="27">
        <v>3804</v>
      </c>
      <c r="N29" s="8">
        <v>25</v>
      </c>
      <c r="O29" s="8">
        <v>2238</v>
      </c>
      <c r="P29" s="26">
        <v>47</v>
      </c>
      <c r="Q29" s="27">
        <v>4006</v>
      </c>
      <c r="R29" s="8">
        <v>46</v>
      </c>
      <c r="S29" s="8">
        <v>3986</v>
      </c>
      <c r="T29" s="26">
        <v>50</v>
      </c>
      <c r="U29" s="27">
        <v>4100</v>
      </c>
      <c r="V29" s="8">
        <v>46</v>
      </c>
      <c r="W29" s="8">
        <v>2369</v>
      </c>
      <c r="X29" s="30">
        <v>49</v>
      </c>
      <c r="Y29" s="9">
        <v>4156</v>
      </c>
      <c r="AG29" s="6"/>
      <c r="AH29" s="6"/>
      <c r="AI29" s="6"/>
      <c r="AJ29" s="43"/>
      <c r="AK29" s="8"/>
      <c r="AL29" s="8"/>
      <c r="AM29" s="8"/>
      <c r="AN29" s="8"/>
      <c r="AO29" s="8"/>
      <c r="AP29" s="8"/>
      <c r="AQ29" s="8"/>
      <c r="AR29" s="9"/>
    </row>
    <row r="30" spans="1:67" x14ac:dyDescent="0.25">
      <c r="A30" s="39" t="s">
        <v>31</v>
      </c>
      <c r="B30" s="7">
        <v>252</v>
      </c>
      <c r="C30" s="19">
        <v>2928</v>
      </c>
      <c r="D30" s="18">
        <v>280</v>
      </c>
      <c r="E30" s="19">
        <v>3183</v>
      </c>
      <c r="F30" s="7">
        <v>280</v>
      </c>
      <c r="G30" s="6">
        <v>3310</v>
      </c>
      <c r="H30" s="22">
        <v>258</v>
      </c>
      <c r="I30" s="23">
        <v>3131</v>
      </c>
      <c r="J30" s="8">
        <v>264</v>
      </c>
      <c r="K30" s="8">
        <v>3185</v>
      </c>
      <c r="L30" s="26">
        <v>256</v>
      </c>
      <c r="M30" s="27">
        <v>3160</v>
      </c>
      <c r="N30" s="8">
        <v>159</v>
      </c>
      <c r="O30" s="8">
        <v>1851</v>
      </c>
      <c r="P30" s="26">
        <v>286</v>
      </c>
      <c r="Q30" s="27">
        <v>3343</v>
      </c>
      <c r="R30" s="8">
        <v>266</v>
      </c>
      <c r="S30" s="8">
        <v>3022</v>
      </c>
      <c r="T30" s="26">
        <v>284</v>
      </c>
      <c r="U30" s="27">
        <v>3461</v>
      </c>
      <c r="V30" s="8">
        <v>267</v>
      </c>
      <c r="W30" s="8">
        <v>3092</v>
      </c>
      <c r="X30" s="30">
        <v>264</v>
      </c>
      <c r="Y30" s="9">
        <v>3389</v>
      </c>
      <c r="AG30" s="6"/>
      <c r="AH30" s="6"/>
      <c r="AI30" s="6"/>
      <c r="AJ30" s="43"/>
      <c r="AK30" s="8"/>
      <c r="AL30" s="8"/>
      <c r="AM30" s="8"/>
      <c r="AN30" s="8"/>
      <c r="AO30" s="8"/>
      <c r="AP30" s="8"/>
      <c r="AQ30" s="8"/>
      <c r="AR30" s="9"/>
    </row>
    <row r="31" spans="1:67" x14ac:dyDescent="0.25">
      <c r="A31" s="39" t="s">
        <v>32</v>
      </c>
      <c r="B31" s="7">
        <v>17</v>
      </c>
      <c r="C31" s="19">
        <v>1529</v>
      </c>
      <c r="D31" s="18">
        <v>19</v>
      </c>
      <c r="E31" s="19">
        <v>1538</v>
      </c>
      <c r="F31" s="7">
        <v>20</v>
      </c>
      <c r="G31" s="6">
        <v>1583</v>
      </c>
      <c r="H31" s="22">
        <v>18</v>
      </c>
      <c r="I31" s="23">
        <v>1498</v>
      </c>
      <c r="J31" s="8">
        <v>19</v>
      </c>
      <c r="K31" s="8">
        <v>1492</v>
      </c>
      <c r="L31" s="26">
        <v>20</v>
      </c>
      <c r="M31" s="27">
        <v>1560</v>
      </c>
      <c r="N31" s="8">
        <v>12</v>
      </c>
      <c r="O31" s="8">
        <v>1325</v>
      </c>
      <c r="P31" s="26">
        <v>20</v>
      </c>
      <c r="Q31" s="27">
        <v>1541</v>
      </c>
      <c r="R31" s="8">
        <v>18</v>
      </c>
      <c r="S31" s="8">
        <v>1517</v>
      </c>
      <c r="T31" s="26">
        <v>18</v>
      </c>
      <c r="U31" s="27">
        <v>1510</v>
      </c>
      <c r="V31" s="8">
        <v>17</v>
      </c>
      <c r="W31" s="8">
        <v>1457</v>
      </c>
      <c r="X31" s="30">
        <v>18</v>
      </c>
      <c r="Y31" s="9">
        <v>1535</v>
      </c>
      <c r="AG31" s="6"/>
      <c r="AH31" s="6"/>
      <c r="AI31" s="6"/>
      <c r="AJ31" s="43"/>
      <c r="AK31" s="8"/>
      <c r="AL31" s="8"/>
      <c r="AM31" s="8"/>
      <c r="AN31" s="8"/>
      <c r="AO31" s="8"/>
      <c r="AP31" s="8"/>
      <c r="AQ31" s="8"/>
      <c r="AR31" s="9"/>
    </row>
    <row r="32" spans="1:67" x14ac:dyDescent="0.25">
      <c r="A32" s="39" t="s">
        <v>33</v>
      </c>
      <c r="B32" s="7">
        <v>4</v>
      </c>
      <c r="C32" s="19">
        <v>32</v>
      </c>
      <c r="D32" s="18">
        <v>4</v>
      </c>
      <c r="E32" s="19">
        <v>33</v>
      </c>
      <c r="F32" s="7">
        <v>4</v>
      </c>
      <c r="G32" s="6">
        <v>33</v>
      </c>
      <c r="H32" s="22">
        <v>3</v>
      </c>
      <c r="I32" s="23">
        <v>30</v>
      </c>
      <c r="J32" s="8">
        <v>3</v>
      </c>
      <c r="K32" s="8">
        <v>29</v>
      </c>
      <c r="L32" s="26">
        <v>4</v>
      </c>
      <c r="M32" s="27">
        <v>34</v>
      </c>
      <c r="N32" s="8">
        <v>3</v>
      </c>
      <c r="O32" s="8">
        <v>17</v>
      </c>
      <c r="P32" s="26">
        <v>4</v>
      </c>
      <c r="Q32" s="27">
        <v>36</v>
      </c>
      <c r="R32" s="8">
        <v>3</v>
      </c>
      <c r="S32" s="8">
        <v>31</v>
      </c>
      <c r="T32" s="26">
        <v>4</v>
      </c>
      <c r="U32" s="27">
        <v>38</v>
      </c>
      <c r="V32" s="8">
        <v>4</v>
      </c>
      <c r="W32" s="8">
        <v>37</v>
      </c>
      <c r="X32" s="30">
        <v>4</v>
      </c>
      <c r="Y32" s="9">
        <v>37</v>
      </c>
      <c r="AG32" s="6"/>
      <c r="AH32" s="6"/>
      <c r="AI32" s="6"/>
      <c r="AJ32" s="43"/>
      <c r="AK32" s="8"/>
      <c r="AL32" s="8"/>
      <c r="AM32" s="8"/>
      <c r="AN32" s="8"/>
      <c r="AO32" s="8"/>
      <c r="AP32" s="8"/>
      <c r="AQ32" s="8"/>
      <c r="AR32" s="9"/>
    </row>
    <row r="33" spans="1:44" x14ac:dyDescent="0.25">
      <c r="A33" s="40" t="s">
        <v>34</v>
      </c>
      <c r="B33" s="11">
        <v>151</v>
      </c>
      <c r="C33" s="21">
        <v>3522</v>
      </c>
      <c r="D33" s="20">
        <v>151</v>
      </c>
      <c r="E33" s="21">
        <v>3435</v>
      </c>
      <c r="F33" s="11">
        <v>161</v>
      </c>
      <c r="G33" s="10">
        <v>3600</v>
      </c>
      <c r="H33" s="24">
        <v>150</v>
      </c>
      <c r="I33" s="25">
        <v>3573</v>
      </c>
      <c r="J33" s="12">
        <v>153</v>
      </c>
      <c r="K33" s="12">
        <v>3612</v>
      </c>
      <c r="L33" s="28">
        <v>163</v>
      </c>
      <c r="M33" s="29">
        <v>3608</v>
      </c>
      <c r="N33" s="12">
        <v>102</v>
      </c>
      <c r="O33" s="12">
        <v>2897</v>
      </c>
      <c r="P33" s="28">
        <v>169</v>
      </c>
      <c r="Q33" s="29">
        <v>3667</v>
      </c>
      <c r="R33" s="12">
        <v>161</v>
      </c>
      <c r="S33" s="12">
        <v>3719</v>
      </c>
      <c r="T33" s="28">
        <v>169</v>
      </c>
      <c r="U33" s="29">
        <v>3706</v>
      </c>
      <c r="V33" s="12">
        <v>170</v>
      </c>
      <c r="W33" s="12">
        <v>3763</v>
      </c>
      <c r="X33" s="31">
        <v>154</v>
      </c>
      <c r="Y33" s="13">
        <v>3696</v>
      </c>
      <c r="AG33" s="6"/>
      <c r="AH33" s="6"/>
      <c r="AI33" s="6"/>
      <c r="AJ33" s="43"/>
      <c r="AK33" s="8"/>
      <c r="AL33" s="8"/>
      <c r="AM33" s="8"/>
      <c r="AN33" s="8"/>
      <c r="AO33" s="8"/>
      <c r="AP33" s="8"/>
      <c r="AQ33" s="8"/>
      <c r="AR33" s="9"/>
    </row>
    <row r="34" spans="1:44" ht="19.5" customHeight="1" x14ac:dyDescent="0.25">
      <c r="A34" s="41" t="s">
        <v>42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AG34" s="6"/>
      <c r="AH34" s="6"/>
      <c r="AI34" s="6"/>
      <c r="AJ34" s="43"/>
      <c r="AK34" s="8"/>
      <c r="AL34" s="8"/>
      <c r="AM34" s="8"/>
      <c r="AN34" s="8"/>
      <c r="AO34" s="8"/>
      <c r="AP34" s="8"/>
      <c r="AQ34" s="8"/>
      <c r="AR34" s="9"/>
    </row>
    <row r="35" spans="1:44" ht="14.25" customHeight="1" x14ac:dyDescent="0.25">
      <c r="A35" s="42" t="s">
        <v>41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AG35" s="6"/>
      <c r="AH35" s="6"/>
      <c r="AI35" s="6"/>
      <c r="AJ35" s="43"/>
      <c r="AK35" s="8"/>
      <c r="AL35" s="8"/>
      <c r="AM35" s="8"/>
      <c r="AN35" s="8"/>
      <c r="AO35" s="8"/>
      <c r="AP35" s="8"/>
      <c r="AQ35" s="8"/>
      <c r="AR35" s="9"/>
    </row>
    <row r="36" spans="1:4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AG36" s="6"/>
      <c r="AH36" s="6"/>
      <c r="AI36" s="6"/>
      <c r="AJ36" s="43"/>
      <c r="AK36" s="8"/>
      <c r="AL36" s="8"/>
      <c r="AM36" s="8"/>
      <c r="AN36" s="8"/>
      <c r="AO36" s="8"/>
      <c r="AP36" s="8"/>
      <c r="AQ36" s="8"/>
      <c r="AR36" s="9"/>
    </row>
    <row r="37" spans="1:44" ht="30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AG37" s="6"/>
      <c r="AH37" s="6"/>
      <c r="AI37" s="6"/>
      <c r="AJ37" s="43"/>
      <c r="AK37" s="8"/>
      <c r="AL37" s="8"/>
      <c r="AM37" s="8"/>
      <c r="AN37" s="8"/>
      <c r="AO37" s="8"/>
      <c r="AP37" s="8"/>
      <c r="AQ37" s="8"/>
      <c r="AR37" s="9"/>
    </row>
    <row r="38" spans="1:44" x14ac:dyDescent="0.25">
      <c r="AG38" s="6"/>
      <c r="AH38" s="6"/>
      <c r="AI38" s="6"/>
      <c r="AJ38" s="43"/>
      <c r="AK38" s="8"/>
      <c r="AL38" s="8"/>
      <c r="AM38" s="8"/>
      <c r="AN38" s="8"/>
      <c r="AO38" s="8"/>
      <c r="AP38" s="8"/>
      <c r="AQ38" s="8"/>
      <c r="AR38" s="9"/>
    </row>
    <row r="39" spans="1:44" x14ac:dyDescent="0.25">
      <c r="AG39" s="6"/>
      <c r="AH39" s="6"/>
      <c r="AI39" s="6"/>
      <c r="AJ39" s="43"/>
      <c r="AK39" s="8"/>
      <c r="AL39" s="8"/>
      <c r="AM39" s="8"/>
      <c r="AN39" s="8"/>
      <c r="AO39" s="8"/>
      <c r="AP39" s="8"/>
      <c r="AQ39" s="8"/>
      <c r="AR39" s="9"/>
    </row>
    <row r="40" spans="1:44" x14ac:dyDescent="0.25">
      <c r="AG40" s="6"/>
      <c r="AH40" s="6"/>
      <c r="AI40" s="6"/>
      <c r="AJ40" s="43"/>
      <c r="AK40" s="8"/>
      <c r="AL40" s="8"/>
      <c r="AM40" s="8"/>
      <c r="AN40" s="8"/>
      <c r="AO40" s="8"/>
      <c r="AP40" s="8"/>
      <c r="AQ40" s="8"/>
      <c r="AR40" s="9"/>
    </row>
    <row r="41" spans="1:44" x14ac:dyDescent="0.25">
      <c r="AG41" s="6"/>
      <c r="AH41" s="6"/>
      <c r="AI41" s="6"/>
      <c r="AJ41" s="43"/>
      <c r="AK41" s="8"/>
      <c r="AL41" s="8"/>
      <c r="AM41" s="8"/>
      <c r="AN41" s="8"/>
      <c r="AO41" s="8"/>
      <c r="AP41" s="8"/>
      <c r="AQ41" s="8"/>
      <c r="AR41" s="9"/>
    </row>
    <row r="42" spans="1:44" x14ac:dyDescent="0.25">
      <c r="AG42" s="6"/>
      <c r="AH42" s="6"/>
      <c r="AI42" s="6"/>
      <c r="AJ42" s="43"/>
      <c r="AK42" s="8"/>
      <c r="AL42" s="8"/>
      <c r="AM42" s="8"/>
      <c r="AN42" s="8"/>
      <c r="AO42" s="8"/>
      <c r="AP42" s="8"/>
      <c r="AQ42" s="8"/>
      <c r="AR42" s="9"/>
    </row>
    <row r="76" spans="7:7" x14ac:dyDescent="0.25">
      <c r="G76" s="46"/>
    </row>
  </sheetData>
  <mergeCells count="14">
    <mergeCell ref="A3:Y3"/>
    <mergeCell ref="V5:W5"/>
    <mergeCell ref="X5:Y5"/>
    <mergeCell ref="A5:A6"/>
    <mergeCell ref="L5:M5"/>
    <mergeCell ref="N5:O5"/>
    <mergeCell ref="P5:Q5"/>
    <mergeCell ref="R5:S5"/>
    <mergeCell ref="T5:U5"/>
    <mergeCell ref="B5:C5"/>
    <mergeCell ref="D5:E5"/>
    <mergeCell ref="F5:G5"/>
    <mergeCell ref="H5:I5"/>
    <mergeCell ref="J5:K5"/>
  </mergeCells>
  <phoneticPr fontId="17" type="noConversion"/>
  <pageMargins left="0.7" right="0.7" top="0.75" bottom="0.75" header="0.3" footer="0.3"/>
  <pageSetup paperSize="9" scale="2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 </vt:lpstr>
      <vt:lpstr>'18.16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2023-03-16T03:40:09Z</cp:lastPrinted>
  <dcterms:created xsi:type="dcterms:W3CDTF">2019-02-21T04:10:17Z</dcterms:created>
  <dcterms:modified xsi:type="dcterms:W3CDTF">2023-03-16T03:40:15Z</dcterms:modified>
</cp:coreProperties>
</file>