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192.168.1.8\st4\Dissemination\Publications\Statistical Year Book\YEARBOOK 2022\Final\web\Pension and Social Protection\"/>
    </mc:Choice>
  </mc:AlternateContent>
  <xr:revisionPtr revIDLastSave="0" documentId="13_ncr:1_{5FE2FC78-2108-456C-B88B-B791539F4FB6}" xr6:coauthVersionLast="47" xr6:coauthVersionMax="47" xr10:uidLastSave="{00000000-0000-0000-0000-000000000000}"/>
  <bookViews>
    <workbookView xWindow="-120" yWindow="-120" windowWidth="29040" windowHeight="15840" tabRatio="894" xr2:uid="{00000000-000D-0000-FFFF-FFFF00000000}"/>
  </bookViews>
  <sheets>
    <sheet name="11.27" sheetId="27"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7" l="1"/>
  <c r="E6" i="27" s="1"/>
  <c r="D8" i="27"/>
  <c r="D6" i="27" s="1"/>
  <c r="B8" i="27"/>
  <c r="B6" i="27" s="1"/>
  <c r="C6" i="27"/>
</calcChain>
</file>

<file path=xl/sharedStrings.xml><?xml version="1.0" encoding="utf-8"?>
<sst xmlns="http://schemas.openxmlformats.org/spreadsheetml/2006/main" count="34" uniqueCount="33">
  <si>
    <t>Republic</t>
  </si>
  <si>
    <t xml:space="preserve">Male' </t>
  </si>
  <si>
    <t>Atolls</t>
  </si>
  <si>
    <t>North Thiladhunmathi (HA)</t>
  </si>
  <si>
    <t>South Thiladhunmathi (HDh)</t>
  </si>
  <si>
    <t>North Miladhunmadulu (Sh)</t>
  </si>
  <si>
    <t>South Miladhunmadulu (N)</t>
  </si>
  <si>
    <t>North Maalhosmadulu (R)</t>
  </si>
  <si>
    <t>South Maalhosmadulu (B)</t>
  </si>
  <si>
    <t>Faadhippolhu (Lh)</t>
  </si>
  <si>
    <t>Male' Atoll (K)</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</si>
  <si>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</si>
  <si>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</si>
  <si>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</si>
  <si>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</si>
  <si>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</si>
  <si>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</si>
  <si>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</si>
  <si>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</si>
  <si>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</si>
  <si>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</si>
  <si>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</si>
  <si>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</si>
  <si>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Emergency Evacuation</t>
  </si>
  <si>
    <t>Sent Abroad</t>
  </si>
  <si>
    <t>Empaneled Pharmacies</t>
  </si>
  <si>
    <t>Abroad</t>
  </si>
  <si>
    <t>Source:  Aasandha Pvt Ltd</t>
  </si>
  <si>
    <t xml:space="preserve">މަޢުލޫމާތު ދެއްވީ:  އާސަންދަ ޕްރައިވެޓް ލިމިޓެޑް </t>
  </si>
  <si>
    <t xml:space="preserve">Number of </t>
  </si>
  <si>
    <t>Empaneled Hospitals and clinics</t>
  </si>
  <si>
    <t>Note: Both Emergency evacuation and sent abroad figures had been given by number of cases, and may include multiple cases of same patient. Sent abroad cases includes both cases referred from Maldives and patient's who seeked treatment from abroad.</t>
  </si>
  <si>
    <t>Table 18.27: Aasandha Services provided by type and Atoll,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</si>
</sst>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7" formatCode="General_)"/>
  </numFmts>
  <fonts count="17" x14ac:knownFonts="1">
    <font>
      <sz val="11"/>
      <color rgb="FF000000"/>
      <name val="Calibri"/>
    </font>
    <font>
      <sz val="11"/>
      <color theme="1"/>
      <name val="Calibri"/>
      <family val="2"/>
      <scheme val="minor"/>
    </font>
    <font>
      <b/>
      <sz val="11"/>
      <color rgb="FF000000"/>
      <name val="Calibri"/>
      <family val="2"/>
    </font>
    <font>
      <sz val="11"/>
      <color rgb="FF000000"/>
      <name val="Calibri"/>
      <family val="2"/>
    </font>
    <font>
      <sz val="10"/>
      <name val="Arial"/>
      <family val="2"/>
    </font>
    <font>
      <sz val="9"/>
      <color theme="1"/>
      <name val="Faruma"/>
    </font>
    <font>
      <sz val="10"/>
      <name val="Courier"/>
      <family val="3"/>
    </font>
    <font>
      <b/>
      <sz val="10"/>
      <name val="Calibri"/>
      <family val="2"/>
      <scheme val="minor"/>
    </font>
    <font>
      <b/>
      <sz val="10"/>
      <color theme="1" tint="0.14999847407452621"/>
      <name val="Calibri"/>
      <family val="2"/>
      <scheme val="minor"/>
    </font>
    <font>
      <sz val="10"/>
      <color theme="1" tint="0.14999847407452621"/>
      <name val="Calibri"/>
      <family val="2"/>
      <scheme val="minor"/>
    </font>
    <font>
      <i/>
      <sz val="9"/>
      <name val="Calibri"/>
      <family val="2"/>
      <scheme val="minor"/>
    </font>
    <font>
      <sz val="10"/>
      <name val="Calibri"/>
      <family val="2"/>
      <charset val="1"/>
      <scheme val="minor"/>
    </font>
    <font>
      <sz val="11"/>
      <color theme="1"/>
      <name val="Arial"/>
      <family val="2"/>
    </font>
    <font>
      <b/>
      <sz val="10"/>
      <color rgb="FF000000"/>
      <name val="Calibri"/>
      <family val="2"/>
      <scheme val="minor"/>
    </font>
    <font>
      <sz val="10"/>
      <color rgb="FF000000"/>
      <name val="Calibri"/>
      <family val="2"/>
      <scheme val="minor"/>
    </font>
    <font>
      <sz val="11"/>
      <color indexed="8"/>
      <name val="Calibri"/>
      <family val="2"/>
    </font>
    <font>
      <sz val="11"/>
      <color rgb="FF000000"/>
      <name val="Calibri"/>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22">
    <xf numFmtId="0" fontId="0" fillId="0" borderId="0"/>
    <xf numFmtId="0" fontId="4" fillId="0" borderId="1"/>
    <xf numFmtId="164" fontId="6" fillId="0" borderId="1"/>
    <xf numFmtId="0" fontId="1" fillId="0" borderId="1"/>
    <xf numFmtId="0" fontId="6" fillId="0" borderId="1"/>
    <xf numFmtId="0" fontId="1"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12" fillId="0" borderId="1"/>
    <xf numFmtId="0" fontId="15" fillId="0" borderId="1" applyFill="0" applyProtection="0"/>
    <xf numFmtId="0" fontId="16" fillId="0" borderId="1"/>
    <xf numFmtId="0" fontId="16"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21">
    <xf numFmtId="0" fontId="0" fillId="0" borderId="0" xfId="0"/>
    <xf numFmtId="0" fontId="0" fillId="2" borderId="0" xfId="0" applyFill="1"/>
    <xf numFmtId="167" fontId="7" fillId="2" borderId="1" xfId="2" applyNumberFormat="1" applyFont="1" applyFill="1" applyAlignment="1">
      <alignment horizontal="left" vertical="center"/>
    </xf>
    <xf numFmtId="3" fontId="8" fillId="2" borderId="1" xfId="1" applyNumberFormat="1" applyFont="1" applyFill="1"/>
    <xf numFmtId="167" fontId="10" fillId="2" borderId="1" xfId="2" applyNumberFormat="1" applyFont="1" applyFill="1" applyAlignment="1">
      <alignment horizontal="left" vertical="center"/>
    </xf>
    <xf numFmtId="0" fontId="0" fillId="2" borderId="0" xfId="0" applyFill="1" applyAlignment="1">
      <alignment vertical="center" wrapText="1"/>
    </xf>
    <xf numFmtId="167" fontId="5" fillId="2" borderId="1" xfId="4" applyNumberFormat="1" applyFont="1" applyFill="1" applyAlignment="1">
      <alignment horizontal="right" vertical="center"/>
    </xf>
    <xf numFmtId="0" fontId="2" fillId="2" borderId="1" xfId="0" applyFont="1" applyFill="1" applyBorder="1" applyAlignment="1">
      <alignment horizontal="left" vertical="center"/>
    </xf>
    <xf numFmtId="3" fontId="9" fillId="2" borderId="1" xfId="1" applyNumberFormat="1" applyFont="1" applyFill="1" applyAlignment="1">
      <alignment horizontal="left" vertical="center" indent="1"/>
    </xf>
    <xf numFmtId="164" fontId="11" fillId="2" borderId="1" xfId="6" applyNumberFormat="1" applyFont="1" applyFill="1" applyBorder="1" applyAlignment="1">
      <alignment horizontal="right" vertical="center"/>
    </xf>
    <xf numFmtId="164" fontId="11" fillId="2" borderId="2" xfId="6" applyNumberFormat="1" applyFont="1" applyFill="1" applyBorder="1" applyAlignment="1">
      <alignment horizontal="right" vertical="center"/>
    </xf>
    <xf numFmtId="0" fontId="2" fillId="2" borderId="2" xfId="0" applyFont="1" applyFill="1" applyBorder="1" applyAlignment="1">
      <alignment horizontal="right" vertical="center" wrapText="1"/>
    </xf>
    <xf numFmtId="164" fontId="13" fillId="2" borderId="1" xfId="7" applyNumberFormat="1" applyFont="1" applyFill="1" applyBorder="1" applyAlignment="1">
      <alignment vertical="center" wrapText="1"/>
    </xf>
    <xf numFmtId="164" fontId="14" fillId="2" borderId="1" xfId="7" applyNumberFormat="1" applyFont="1" applyFill="1" applyBorder="1" applyAlignment="1">
      <alignment vertical="center" wrapText="1"/>
    </xf>
    <xf numFmtId="164" fontId="14" fillId="2" borderId="2" xfId="7" applyNumberFormat="1" applyFont="1" applyFill="1" applyBorder="1" applyAlignment="1">
      <alignment vertical="center" wrapText="1"/>
    </xf>
    <xf numFmtId="3" fontId="8" fillId="2" borderId="2" xfId="1" applyNumberFormat="1" applyFont="1" applyFill="1" applyBorder="1" applyAlignment="1">
      <alignment vertical="center"/>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2" borderId="4" xfId="0" applyFont="1" applyFill="1" applyBorder="1" applyAlignment="1">
      <alignment horizontal="center" vertical="center" wrapText="1"/>
    </xf>
    <xf numFmtId="167" fontId="10" fillId="2" borderId="1" xfId="2" applyNumberFormat="1" applyFont="1" applyFill="1" applyAlignment="1">
      <alignment horizontal="left" vertical="center" wrapText="1"/>
    </xf>
    <xf numFmtId="0" fontId="2" fillId="2" borderId="1" xfId="0" applyFont="1" applyFill="1" applyBorder="1" applyAlignment="1">
      <alignment horizontal="center" vertical="center"/>
    </xf>
  </cellXfs>
  <cellStyles count="22">
    <cellStyle name="Comma 23" xfId="7" xr:uid="{00000000-0005-0000-0000-000001000000}"/>
    <cellStyle name="Comma 3" xfId="6" xr:uid="{00000000-0005-0000-0000-000002000000}"/>
    <cellStyle name="Normal" xfId="0" builtinId="0"/>
    <cellStyle name="Normal 10" xfId="12" xr:uid="{00000000-0005-0000-0000-000004000000}"/>
    <cellStyle name="Normal 12" xfId="5" xr:uid="{00000000-0005-0000-0000-000005000000}"/>
    <cellStyle name="Normal 2" xfId="2" xr:uid="{00000000-0005-0000-0000-000006000000}"/>
    <cellStyle name="Normal 25" xfId="16" xr:uid="{00000000-0005-0000-0000-000007000000}"/>
    <cellStyle name="Normal 3" xfId="9" xr:uid="{00000000-0005-0000-0000-000008000000}"/>
    <cellStyle name="Normal 3 2" xfId="3" xr:uid="{00000000-0005-0000-0000-000009000000}"/>
    <cellStyle name="Normal 30" xfId="11" xr:uid="{00000000-0005-0000-0000-00000A000000}"/>
    <cellStyle name="Normal 30 2" xfId="17" xr:uid="{8CB7D01C-DD85-496B-BD11-D1776558F3C4}"/>
    <cellStyle name="Normal 39" xfId="18" xr:uid="{972F4BFA-9C5F-4CF5-816F-EC252FFDB201}"/>
    <cellStyle name="Normal 4" xfId="10" xr:uid="{00000000-0005-0000-0000-00000B000000}"/>
    <cellStyle name="Normal 40" xfId="19" xr:uid="{0613AE2C-83BE-4A4F-B0CC-2949951A75EC}"/>
    <cellStyle name="Normal 41" xfId="20" xr:uid="{425B46FD-B8A3-4FE6-AAF2-306F2E07F751}"/>
    <cellStyle name="Normal 44" xfId="21" xr:uid="{6C5CDDC4-C000-432D-BE85-6FFEDE896A02}"/>
    <cellStyle name="Normal 54" xfId="13" xr:uid="{00000000-0005-0000-0000-00000C000000}"/>
    <cellStyle name="Normal 58" xfId="15" xr:uid="{00000000-0005-0000-0000-00000D000000}"/>
    <cellStyle name="Normal 59" xfId="14" xr:uid="{00000000-0005-0000-0000-00000E000000}"/>
    <cellStyle name="Normal 8" xfId="8" xr:uid="{00000000-0005-0000-0000-00000F000000}"/>
    <cellStyle name="Normal_3 Population." xfId="4" xr:uid="{00000000-0005-0000-0000-000010000000}"/>
    <cellStyle name="Normal_II-15(Population) 2" xfId="1" xr:uid="{00000000-0005-0000-0000-000011000000}"/>
  </cellStyles>
  <dxfs count="0"/>
  <tableStyles count="0" defaultTableStyle="TableStyleMedium2" defaultPivotStyle="PivotStyleLight16"/>
  <colors>
    <mruColors>
      <color rgb="FFFFA3A3"/>
      <color rgb="FFFFD9D9"/>
      <color rgb="FFFFEBEB"/>
      <color rgb="FFFFCCCC"/>
      <color rgb="FFFFD5D5"/>
      <color rgb="FFFFB7B7"/>
      <color rgb="FFB2EDEC"/>
      <color rgb="FF249390"/>
      <color rgb="FF33CCCC"/>
      <color rgb="FFFFBC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2:F31"/>
  <sheetViews>
    <sheetView tabSelected="1" zoomScaleNormal="100" workbookViewId="0">
      <selection activeCell="H8" sqref="H8"/>
    </sheetView>
  </sheetViews>
  <sheetFormatPr defaultColWidth="16.85546875" defaultRowHeight="15" x14ac:dyDescent="0.25"/>
  <cols>
    <col min="1" max="1" width="24.85546875" style="1" customWidth="1"/>
    <col min="2" max="3" width="16.28515625" style="5" customWidth="1"/>
    <col min="4" max="5" width="20" style="5" customWidth="1"/>
    <col min="6" max="6" width="13.7109375" style="5" customWidth="1"/>
    <col min="7" max="16384" width="16.85546875" style="1"/>
  </cols>
  <sheetData>
    <row r="2" spans="1:5" x14ac:dyDescent="0.25">
      <c r="A2" s="20" t="s">
        <v>32</v>
      </c>
      <c r="B2" s="20"/>
      <c r="C2" s="20"/>
      <c r="D2" s="20"/>
      <c r="E2" s="20"/>
    </row>
    <row r="3" spans="1:5" x14ac:dyDescent="0.25">
      <c r="B3" s="1"/>
      <c r="C3" s="1"/>
      <c r="D3" s="1"/>
      <c r="E3" s="1"/>
    </row>
    <row r="4" spans="1:5" x14ac:dyDescent="0.25">
      <c r="A4" s="16" t="s">
        <v>2</v>
      </c>
      <c r="B4" s="18" t="s">
        <v>29</v>
      </c>
      <c r="C4" s="18"/>
      <c r="D4" s="18"/>
      <c r="E4" s="18"/>
    </row>
    <row r="5" spans="1:5" ht="30" x14ac:dyDescent="0.25">
      <c r="A5" s="17"/>
      <c r="B5" s="11" t="s">
        <v>23</v>
      </c>
      <c r="C5" s="11" t="s">
        <v>24</v>
      </c>
      <c r="D5" s="11" t="s">
        <v>30</v>
      </c>
      <c r="E5" s="11" t="s">
        <v>25</v>
      </c>
    </row>
    <row r="6" spans="1:5" x14ac:dyDescent="0.25">
      <c r="A6" s="7" t="s">
        <v>0</v>
      </c>
      <c r="B6" s="12">
        <f>B7+B8</f>
        <v>3700</v>
      </c>
      <c r="C6" s="12">
        <f>C29</f>
        <v>3249</v>
      </c>
      <c r="D6" s="12">
        <f>D7+D8+D29</f>
        <v>365</v>
      </c>
      <c r="E6" s="12">
        <f>E7+E8</f>
        <v>364</v>
      </c>
    </row>
    <row r="7" spans="1:5" x14ac:dyDescent="0.25">
      <c r="A7" s="3" t="s">
        <v>1</v>
      </c>
      <c r="B7" s="12">
        <v>1749</v>
      </c>
      <c r="C7" s="9">
        <v>0</v>
      </c>
      <c r="D7" s="12">
        <v>68</v>
      </c>
      <c r="E7" s="12">
        <v>93</v>
      </c>
    </row>
    <row r="8" spans="1:5" x14ac:dyDescent="0.25">
      <c r="A8" s="2" t="s">
        <v>2</v>
      </c>
      <c r="B8" s="12">
        <f>SUM(B9:B29)</f>
        <v>1951</v>
      </c>
      <c r="C8" s="9">
        <v>0</v>
      </c>
      <c r="D8" s="12">
        <f>SUM(D9:D29)</f>
        <v>251</v>
      </c>
      <c r="E8" s="12">
        <f t="shared" ref="E8" si="0">SUM(E9:E29)</f>
        <v>271</v>
      </c>
    </row>
    <row r="9" spans="1:5" x14ac:dyDescent="0.25">
      <c r="A9" s="8" t="s">
        <v>3</v>
      </c>
      <c r="B9" s="13">
        <v>234</v>
      </c>
      <c r="C9" s="9">
        <v>0</v>
      </c>
      <c r="D9" s="13">
        <v>14</v>
      </c>
      <c r="E9" s="13">
        <v>18</v>
      </c>
    </row>
    <row r="10" spans="1:5" x14ac:dyDescent="0.25">
      <c r="A10" s="8" t="s">
        <v>4</v>
      </c>
      <c r="B10" s="13">
        <v>161</v>
      </c>
      <c r="C10" s="9">
        <v>0</v>
      </c>
      <c r="D10" s="13">
        <v>15</v>
      </c>
      <c r="E10" s="13">
        <v>21</v>
      </c>
    </row>
    <row r="11" spans="1:5" x14ac:dyDescent="0.25">
      <c r="A11" s="8" t="s">
        <v>5</v>
      </c>
      <c r="B11" s="13">
        <v>248</v>
      </c>
      <c r="C11" s="9">
        <v>0</v>
      </c>
      <c r="D11" s="13">
        <v>14</v>
      </c>
      <c r="E11" s="13">
        <v>20</v>
      </c>
    </row>
    <row r="12" spans="1:5" x14ac:dyDescent="0.25">
      <c r="A12" s="8" t="s">
        <v>6</v>
      </c>
      <c r="B12" s="13">
        <v>110</v>
      </c>
      <c r="C12" s="9">
        <v>0</v>
      </c>
      <c r="D12" s="13">
        <v>13</v>
      </c>
      <c r="E12" s="13">
        <v>15</v>
      </c>
    </row>
    <row r="13" spans="1:5" x14ac:dyDescent="0.25">
      <c r="A13" s="8" t="s">
        <v>7</v>
      </c>
      <c r="B13" s="13">
        <v>203</v>
      </c>
      <c r="C13" s="9">
        <v>0</v>
      </c>
      <c r="D13" s="13">
        <v>15</v>
      </c>
      <c r="E13" s="13">
        <v>24</v>
      </c>
    </row>
    <row r="14" spans="1:5" x14ac:dyDescent="0.25">
      <c r="A14" s="8" t="s">
        <v>8</v>
      </c>
      <c r="B14" s="13">
        <v>64</v>
      </c>
      <c r="C14" s="9">
        <v>0</v>
      </c>
      <c r="D14" s="13">
        <v>14</v>
      </c>
      <c r="E14" s="13">
        <v>17</v>
      </c>
    </row>
    <row r="15" spans="1:5" x14ac:dyDescent="0.25">
      <c r="A15" s="8" t="s">
        <v>9</v>
      </c>
      <c r="B15" s="13">
        <v>20</v>
      </c>
      <c r="C15" s="9">
        <v>0</v>
      </c>
      <c r="D15" s="13">
        <v>5</v>
      </c>
      <c r="E15" s="13">
        <v>9</v>
      </c>
    </row>
    <row r="16" spans="1:5" x14ac:dyDescent="0.25">
      <c r="A16" s="8" t="s">
        <v>10</v>
      </c>
      <c r="B16" s="13">
        <v>16</v>
      </c>
      <c r="C16" s="9">
        <v>0</v>
      </c>
      <c r="D16" s="13">
        <v>11</v>
      </c>
      <c r="E16" s="13">
        <v>12</v>
      </c>
    </row>
    <row r="17" spans="1:5" x14ac:dyDescent="0.25">
      <c r="A17" s="8" t="s">
        <v>11</v>
      </c>
      <c r="B17" s="13">
        <v>30</v>
      </c>
      <c r="C17" s="9">
        <v>0</v>
      </c>
      <c r="D17" s="13">
        <v>8</v>
      </c>
      <c r="E17" s="13">
        <v>9</v>
      </c>
    </row>
    <row r="18" spans="1:5" x14ac:dyDescent="0.25">
      <c r="A18" s="8" t="s">
        <v>12</v>
      </c>
      <c r="B18" s="13">
        <v>67</v>
      </c>
      <c r="C18" s="9">
        <v>0</v>
      </c>
      <c r="D18" s="13">
        <v>12</v>
      </c>
      <c r="E18" s="13">
        <v>18</v>
      </c>
    </row>
    <row r="19" spans="1:5" x14ac:dyDescent="0.25">
      <c r="A19" s="8" t="s">
        <v>13</v>
      </c>
      <c r="B19" s="13">
        <v>2</v>
      </c>
      <c r="C19" s="9">
        <v>0</v>
      </c>
      <c r="D19" s="13">
        <v>5</v>
      </c>
      <c r="E19" s="13">
        <v>5</v>
      </c>
    </row>
    <row r="20" spans="1:5" x14ac:dyDescent="0.25">
      <c r="A20" s="8" t="s">
        <v>14</v>
      </c>
      <c r="B20" s="13">
        <v>30</v>
      </c>
      <c r="C20" s="9">
        <v>0</v>
      </c>
      <c r="D20" s="13">
        <v>8</v>
      </c>
      <c r="E20" s="13">
        <v>10</v>
      </c>
    </row>
    <row r="21" spans="1:5" x14ac:dyDescent="0.25">
      <c r="A21" s="8" t="s">
        <v>15</v>
      </c>
      <c r="B21" s="13">
        <v>11</v>
      </c>
      <c r="C21" s="9">
        <v>0</v>
      </c>
      <c r="D21" s="13">
        <v>5</v>
      </c>
      <c r="E21" s="13">
        <v>6</v>
      </c>
    </row>
    <row r="22" spans="1:5" x14ac:dyDescent="0.25">
      <c r="A22" s="8" t="s">
        <v>16</v>
      </c>
      <c r="B22" s="13">
        <v>25</v>
      </c>
      <c r="C22" s="9">
        <v>0</v>
      </c>
      <c r="D22" s="13">
        <v>6</v>
      </c>
      <c r="E22" s="13">
        <v>7</v>
      </c>
    </row>
    <row r="23" spans="1:5" x14ac:dyDescent="0.25">
      <c r="A23" s="8" t="s">
        <v>17</v>
      </c>
      <c r="B23" s="13">
        <v>143</v>
      </c>
      <c r="C23" s="9">
        <v>0</v>
      </c>
      <c r="D23" s="13">
        <v>14</v>
      </c>
      <c r="E23" s="13">
        <v>14</v>
      </c>
    </row>
    <row r="24" spans="1:5" x14ac:dyDescent="0.25">
      <c r="A24" s="8" t="s">
        <v>18</v>
      </c>
      <c r="B24" s="13">
        <v>49</v>
      </c>
      <c r="C24" s="9">
        <v>0</v>
      </c>
      <c r="D24" s="13">
        <v>10</v>
      </c>
      <c r="E24" s="13">
        <v>13</v>
      </c>
    </row>
    <row r="25" spans="1:5" x14ac:dyDescent="0.25">
      <c r="A25" s="8" t="s">
        <v>19</v>
      </c>
      <c r="B25" s="13">
        <v>196</v>
      </c>
      <c r="C25" s="9">
        <v>0</v>
      </c>
      <c r="D25" s="13">
        <v>10</v>
      </c>
      <c r="E25" s="13">
        <v>12</v>
      </c>
    </row>
    <row r="26" spans="1:5" x14ac:dyDescent="0.25">
      <c r="A26" s="8" t="s">
        <v>20</v>
      </c>
      <c r="B26" s="13">
        <v>180</v>
      </c>
      <c r="C26" s="9">
        <v>0</v>
      </c>
      <c r="D26" s="13">
        <v>10</v>
      </c>
      <c r="E26" s="13">
        <v>14</v>
      </c>
    </row>
    <row r="27" spans="1:5" x14ac:dyDescent="0.25">
      <c r="A27" s="8" t="s">
        <v>21</v>
      </c>
      <c r="B27" s="13">
        <v>49</v>
      </c>
      <c r="C27" s="9">
        <v>0</v>
      </c>
      <c r="D27" s="13">
        <v>2</v>
      </c>
      <c r="E27" s="13">
        <v>5</v>
      </c>
    </row>
    <row r="28" spans="1:5" x14ac:dyDescent="0.25">
      <c r="A28" s="8" t="s">
        <v>22</v>
      </c>
      <c r="B28" s="13">
        <v>113</v>
      </c>
      <c r="C28" s="9">
        <v>0</v>
      </c>
      <c r="D28" s="13">
        <v>14</v>
      </c>
      <c r="E28" s="13">
        <v>22</v>
      </c>
    </row>
    <row r="29" spans="1:5" x14ac:dyDescent="0.25">
      <c r="A29" s="15" t="s">
        <v>26</v>
      </c>
      <c r="B29" s="10">
        <v>0</v>
      </c>
      <c r="C29" s="14">
        <v>3249</v>
      </c>
      <c r="D29" s="14">
        <v>46</v>
      </c>
      <c r="E29" s="10">
        <v>0</v>
      </c>
    </row>
    <row r="30" spans="1:5" ht="24.75" customHeight="1" x14ac:dyDescent="0.25">
      <c r="A30" s="19" t="s">
        <v>31</v>
      </c>
      <c r="B30" s="19"/>
      <c r="C30" s="19"/>
      <c r="D30" s="19"/>
    </row>
    <row r="31" spans="1:5" ht="17.25" x14ac:dyDescent="0.25">
      <c r="A31" s="4" t="s">
        <v>27</v>
      </c>
      <c r="E31" s="6" t="s">
        <v>28</v>
      </c>
    </row>
  </sheetData>
  <mergeCells count="4">
    <mergeCell ref="A4:A5"/>
    <mergeCell ref="B4:E4"/>
    <mergeCell ref="A30:D30"/>
    <mergeCell ref="A2:E2"/>
  </mergeCells>
  <pageMargins left="0.7" right="0.7" top="0.75" bottom="0.75" header="0.3" footer="0.3"/>
  <pageSetup paperSize="9" scale="8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2023-03-16T03:48:07Z</cp:lastPrinted>
  <dcterms:created xsi:type="dcterms:W3CDTF">2019-02-21T04:10:17Z</dcterms:created>
  <dcterms:modified xsi:type="dcterms:W3CDTF">2023-03-16T03:48:24Z</dcterms:modified>
</cp:coreProperties>
</file>