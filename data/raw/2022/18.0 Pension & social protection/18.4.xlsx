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25D6B1AE-624D-407B-A756-145C267C51CA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4" sheetId="4" r:id="rId1"/>
  </sheets>
  <externalReferences>
    <externalReference r:id="rId2"/>
  </externalReferences>
  <definedNames>
    <definedName name="_xlnm.Print_Area" localSheetId="0">'18.4'!$A$1:$K$38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9" i="4" l="1"/>
  <c r="AM19" i="4"/>
  <c r="AK19" i="4"/>
  <c r="F19" i="4"/>
  <c r="F18" i="4"/>
  <c r="F17" i="4"/>
  <c r="F16" i="4"/>
  <c r="F15" i="4"/>
  <c r="F14" i="4"/>
  <c r="F13" i="4"/>
  <c r="F12" i="4"/>
  <c r="F11" i="4"/>
  <c r="F10" i="4"/>
  <c r="F9" i="4"/>
  <c r="F8" i="4"/>
  <c r="B19" i="4" l="1"/>
  <c r="B18" i="4"/>
  <c r="B17" i="4"/>
  <c r="B16" i="4"/>
  <c r="B15" i="4"/>
  <c r="B14" i="4"/>
  <c r="B13" i="4"/>
  <c r="B12" i="4"/>
  <c r="B11" i="4"/>
  <c r="B10" i="4"/>
  <c r="B9" i="4"/>
  <c r="B8" i="4"/>
</calcChain>
</file>

<file path=xl/sharedStrings.xml><?xml version="1.0" encoding="utf-8"?>
<sst xmlns="http://schemas.openxmlformats.org/spreadsheetml/2006/main" count="42" uniqueCount="38">
  <si>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</si>
  <si>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</si>
  <si>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</si>
  <si>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</si>
  <si>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</si>
  <si>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</si>
  <si>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</si>
  <si>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</si>
  <si>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</si>
  <si>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</si>
  <si>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</si>
  <si>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</si>
  <si>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</si>
  <si>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</si>
  <si>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</si>
  <si>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</si>
  <si>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</si>
  <si>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</si>
  <si>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</si>
  <si>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</si>
  <si>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</si>
  <si>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</si>
  <si>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</si>
  <si>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</si>
  <si>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</si>
  <si>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</si>
  <si>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</si>
  <si>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</si>
  <si>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</si>
  <si>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</si>
  <si>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</si>
  <si>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</si>
  <si>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75 &amp; over</t>
  </si>
  <si>
    <t>65-69 yrs</t>
  </si>
  <si>
    <t xml:space="preserve">70-74 yrs </t>
  </si>
  <si>
    <t>75  yrs &amp; over</t>
  </si>
  <si>
    <t>TABLE   18.4: NUMBER OF BENEFICIARIES OF BASIC PENSION SCHEME BY AGE, 2020 - 2021</t>
  </si>
  <si>
    <t>ތާވަލު  18.4 : އަސާސީ ޕެންޝަން ލިބޭ މީހުންގެ އަދަދު އަދި ޢުމުރުފުރާތައް،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</si>
</sst>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164" fontId="12" fillId="0" borderId="20"/>
    <xf numFmtId="0" fontId="1" fillId="0" borderId="20"/>
    <xf numFmtId="0" fontId="1" fillId="0" borderId="20"/>
    <xf numFmtId="43" fontId="11" fillId="0" borderId="20" applyFont="0" applyFill="0" applyBorder="0" applyAlignment="0" applyProtection="0"/>
    <xf numFmtId="43" fontId="11" fillId="0" borderId="20" applyFont="0" applyFill="0" applyBorder="0" applyAlignment="0" applyProtection="0"/>
    <xf numFmtId="0" fontId="11" fillId="0" borderId="20"/>
    <xf numFmtId="0" fontId="13" fillId="0" borderId="20"/>
    <xf numFmtId="0" fontId="14" fillId="0" borderId="20" applyFill="0" applyProtection="0"/>
    <xf numFmtId="0" fontId="15" fillId="0" borderId="20"/>
    <xf numFmtId="0" fontId="15" fillId="0" borderId="20"/>
    <xf numFmtId="0" fontId="11" fillId="0" borderId="20"/>
    <xf numFmtId="0" fontId="11" fillId="0" borderId="20"/>
    <xf numFmtId="0" fontId="11" fillId="0" borderId="20"/>
    <xf numFmtId="0" fontId="11" fillId="0" borderId="20"/>
    <xf numFmtId="0" fontId="11" fillId="0" borderId="20"/>
    <xf numFmtId="0" fontId="11" fillId="0" borderId="20"/>
    <xf numFmtId="0" fontId="11" fillId="0" borderId="20"/>
    <xf numFmtId="0" fontId="11" fillId="0" borderId="20"/>
    <xf numFmtId="0" fontId="11" fillId="0" borderId="20"/>
  </cellStyleXfs>
  <cellXfs count="55">
    <xf numFmtId="0" fontId="0" fillId="0" borderId="0" xfId="0"/>
    <xf numFmtId="0" fontId="0" fillId="2" borderId="2" xfId="0" applyFill="1" applyBorder="1"/>
    <xf numFmtId="0" fontId="0" fillId="3" borderId="0" xfId="0" applyFill="1"/>
    <xf numFmtId="0" fontId="4" fillId="2" borderId="9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164" fontId="0" fillId="2" borderId="2" xfId="0" applyNumberFormat="1" applyFill="1" applyBorder="1"/>
    <xf numFmtId="0" fontId="0" fillId="2" borderId="20" xfId="0" applyFill="1" applyBorder="1"/>
    <xf numFmtId="3" fontId="0" fillId="2" borderId="14" xfId="0" applyNumberForma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3" fontId="0" fillId="2" borderId="2" xfId="0" applyNumberFormat="1" applyFill="1" applyBorder="1"/>
    <xf numFmtId="0" fontId="6" fillId="2" borderId="2" xfId="0" applyFont="1" applyFill="1" applyBorder="1" applyAlignment="1">
      <alignment horizontal="right"/>
    </xf>
    <xf numFmtId="3" fontId="0" fillId="2" borderId="10" xfId="0" applyNumberFormat="1" applyFill="1" applyBorder="1" applyAlignment="1">
      <alignment vertical="center"/>
    </xf>
    <xf numFmtId="0" fontId="6" fillId="2" borderId="9" xfId="0" applyFont="1" applyFill="1" applyBorder="1" applyAlignment="1">
      <alignment horizontal="right" vertical="center"/>
    </xf>
    <xf numFmtId="0" fontId="5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/>
    <xf numFmtId="0" fontId="5" fillId="2" borderId="20" xfId="0" applyFont="1" applyFill="1" applyBorder="1"/>
    <xf numFmtId="0" fontId="0" fillId="2" borderId="2" xfId="0" applyFill="1" applyBorder="1" applyAlignment="1">
      <alignment horizontal="right" vertical="center"/>
    </xf>
    <xf numFmtId="14" fontId="0" fillId="2" borderId="2" xfId="0" applyNumberFormat="1" applyFill="1" applyBorder="1"/>
    <xf numFmtId="0" fontId="4" fillId="2" borderId="13" xfId="0" applyFont="1" applyFill="1" applyBorder="1" applyAlignment="1">
      <alignment horizontal="right" vertical="center"/>
    </xf>
    <xf numFmtId="0" fontId="9" fillId="2" borderId="2" xfId="0" applyFont="1" applyFill="1" applyBorder="1"/>
    <xf numFmtId="0" fontId="10" fillId="2" borderId="2" xfId="0" applyFont="1" applyFill="1" applyBorder="1"/>
    <xf numFmtId="0" fontId="4" fillId="2" borderId="2" xfId="0" applyFont="1" applyFill="1" applyBorder="1" applyAlignment="1">
      <alignment horizontal="right" vertical="center"/>
    </xf>
    <xf numFmtId="1" fontId="0" fillId="2" borderId="2" xfId="0" applyNumberFormat="1" applyFill="1" applyBorder="1"/>
    <xf numFmtId="165" fontId="0" fillId="2" borderId="2" xfId="0" applyNumberFormat="1" applyFill="1" applyBorder="1"/>
    <xf numFmtId="3" fontId="0" fillId="2" borderId="20" xfId="0" applyNumberFormat="1" applyFill="1" applyBorder="1" applyAlignment="1">
      <alignment vertical="center"/>
    </xf>
    <xf numFmtId="3" fontId="0" fillId="2" borderId="21" xfId="0" applyNumberFormat="1" applyFill="1" applyBorder="1" applyAlignment="1">
      <alignment vertical="center"/>
    </xf>
    <xf numFmtId="0" fontId="0" fillId="2" borderId="2" xfId="0" applyFill="1" applyBorder="1" applyAlignment="1">
      <alignment horizontal="left" vertical="center" indent="1"/>
    </xf>
    <xf numFmtId="0" fontId="0" fillId="2" borderId="9" xfId="0" applyFill="1" applyBorder="1" applyAlignment="1">
      <alignment horizontal="left" vertical="center" indent="1"/>
    </xf>
    <xf numFmtId="3" fontId="0" fillId="4" borderId="20" xfId="0" applyNumberFormat="1" applyFill="1" applyBorder="1" applyAlignment="1">
      <alignment vertical="center"/>
    </xf>
    <xf numFmtId="3" fontId="0" fillId="4" borderId="18" xfId="0" applyNumberFormat="1" applyFill="1" applyBorder="1" applyAlignment="1">
      <alignment vertical="center"/>
    </xf>
    <xf numFmtId="3" fontId="0" fillId="4" borderId="21" xfId="0" applyNumberFormat="1" applyFill="1" applyBorder="1" applyAlignment="1">
      <alignment vertical="center"/>
    </xf>
    <xf numFmtId="3" fontId="0" fillId="4" borderId="12" xfId="0" applyNumberFormat="1" applyFill="1" applyBorder="1" applyAlignment="1">
      <alignment vertical="center"/>
    </xf>
    <xf numFmtId="3" fontId="11" fillId="5" borderId="20" xfId="0" applyNumberFormat="1" applyFont="1" applyFill="1" applyBorder="1" applyAlignment="1">
      <alignment vertical="center"/>
    </xf>
    <xf numFmtId="3" fontId="11" fillId="4" borderId="20" xfId="0" applyNumberFormat="1" applyFont="1" applyFill="1" applyBorder="1" applyAlignment="1">
      <alignment vertical="center"/>
    </xf>
    <xf numFmtId="3" fontId="11" fillId="4" borderId="21" xfId="0" applyNumberFormat="1" applyFont="1" applyFill="1" applyBorder="1" applyAlignment="1">
      <alignment vertical="center"/>
    </xf>
    <xf numFmtId="0" fontId="3" fillId="3" borderId="6" xfId="0" applyFont="1" applyFill="1" applyBorder="1"/>
    <xf numFmtId="0" fontId="3" fillId="3" borderId="7" xfId="0" applyFont="1" applyFill="1" applyBorder="1"/>
    <xf numFmtId="0" fontId="3" fillId="3" borderId="5" xfId="0" applyFont="1" applyFill="1" applyBorder="1"/>
    <xf numFmtId="0" fontId="3" fillId="3" borderId="8" xfId="0" applyFont="1" applyFill="1" applyBorder="1"/>
    <xf numFmtId="0" fontId="3" fillId="3" borderId="20" xfId="0" applyFont="1" applyFill="1" applyBorder="1"/>
    <xf numFmtId="0" fontId="3" fillId="3" borderId="3" xfId="0" applyFont="1" applyFill="1" applyBorder="1"/>
    <xf numFmtId="0" fontId="3" fillId="3" borderId="16" xfId="0" applyFont="1" applyFill="1" applyBorder="1"/>
    <xf numFmtId="0" fontId="3" fillId="3" borderId="19" xfId="0" applyFont="1" applyFill="1" applyBorder="1"/>
    <xf numFmtId="0" fontId="2" fillId="2" borderId="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indent="1"/>
    </xf>
    <xf numFmtId="0" fontId="3" fillId="3" borderId="5" xfId="0" applyFont="1" applyFill="1" applyBorder="1" applyAlignment="1">
      <alignment horizontal="left" indent="1"/>
    </xf>
    <xf numFmtId="0" fontId="3" fillId="3" borderId="8" xfId="0" applyFont="1" applyFill="1" applyBorder="1" applyAlignment="1">
      <alignment horizontal="left" indent="1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6946031746031746"/>
          <c:y val="0.18825876177242551"/>
          <c:w val="0.42592592592592593"/>
          <c:h val="0.8333333333333334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B7B7"/>
              </a:solidFill>
            </c:spPr>
            <c:extLst>
              <c:ext xmlns:c16="http://schemas.microsoft.com/office/drawing/2014/chart" uri="{C3380CC4-5D6E-409C-BE32-E72D297353CC}">
                <c16:uniqueId val="{00000001-375B-4B2D-A930-3081B9EDE0A5}"/>
              </c:ext>
            </c:extLst>
          </c:dPt>
          <c:dPt>
            <c:idx val="1"/>
            <c:bubble3D val="0"/>
            <c:spPr>
              <a:solidFill>
                <a:srgbClr val="FFEBEB"/>
              </a:solidFill>
            </c:spPr>
            <c:extLst>
              <c:ext xmlns:c16="http://schemas.microsoft.com/office/drawing/2014/chart" uri="{C3380CC4-5D6E-409C-BE32-E72D297353CC}">
                <c16:uniqueId val="{00000007-375B-4B2D-A930-3081B9EDE0A5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375B-4B2D-A930-3081B9EDE0A5}"/>
              </c:ext>
            </c:extLst>
          </c:dPt>
          <c:dLbls>
            <c:dLbl>
              <c:idx val="2"/>
              <c:layout>
                <c:manualLayout>
                  <c:x val="2.7736503219415551E-2"/>
                  <c:y val="-9.38967136150235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5B-4B2D-A930-3081B9EDE0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'18.4'!$AK$18:$AM$18</c:f>
              <c:strCache>
                <c:ptCount val="3"/>
                <c:pt idx="0">
                  <c:v>65-69 yrs</c:v>
                </c:pt>
                <c:pt idx="1">
                  <c:v>70-74 yrs </c:v>
                </c:pt>
                <c:pt idx="2">
                  <c:v>75  yrs &amp; over</c:v>
                </c:pt>
              </c:strCache>
            </c:strRef>
          </c:cat>
          <c:val>
            <c:numRef>
              <c:f>'18.4'!$AK$19:$AM$19</c:f>
              <c:numCache>
                <c:formatCode>#,##0</c:formatCode>
                <c:ptCount val="3"/>
                <c:pt idx="0">
                  <c:v>6289</c:v>
                </c:pt>
                <c:pt idx="1">
                  <c:v>4750</c:v>
                </c:pt>
                <c:pt idx="2">
                  <c:v>8292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5B-4B2D-A930-3081B9ED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20</xdr:row>
      <xdr:rowOff>104775</xdr:rowOff>
    </xdr:from>
    <xdr:ext cx="6410325" cy="3381375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600075</xdr:colOff>
      <xdr:row>21</xdr:row>
      <xdr:rowOff>114299</xdr:rowOff>
    </xdr:from>
    <xdr:ext cx="5981700" cy="2571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600075" y="5657849"/>
          <a:ext cx="5981700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 share of beneficiaries of basic pension scheme by age group, 2021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O89"/>
  <sheetViews>
    <sheetView tabSelected="1" zoomScale="95" zoomScaleNormal="95" workbookViewId="0">
      <selection activeCell="N11" sqref="N11"/>
    </sheetView>
  </sheetViews>
  <sheetFormatPr defaultColWidth="14.42578125" defaultRowHeight="15" customHeight="1" x14ac:dyDescent="0.25"/>
  <cols>
    <col min="1" max="1" width="10.85546875" style="2" customWidth="1"/>
    <col min="2" max="9" width="11" style="2" customWidth="1"/>
    <col min="10" max="10" width="14.5703125" style="2" customWidth="1"/>
    <col min="11" max="11" width="3.28515625" style="2" customWidth="1"/>
    <col min="12" max="36" width="8" style="2" customWidth="1"/>
    <col min="37" max="39" width="12.7109375" style="2" customWidth="1"/>
    <col min="40" max="40" width="8" style="2" customWidth="1"/>
    <col min="41" max="41" width="15.140625" style="2" customWidth="1"/>
    <col min="42" max="16384" width="14.42578125" style="2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6.5" customHeight="1" x14ac:dyDescent="0.25">
      <c r="A2" s="47" t="s">
        <v>37</v>
      </c>
      <c r="B2" s="42"/>
      <c r="C2" s="42"/>
      <c r="D2" s="42"/>
      <c r="E2" s="42"/>
      <c r="F2" s="42"/>
      <c r="G2" s="42"/>
      <c r="H2" s="42"/>
      <c r="I2" s="42"/>
      <c r="J2" s="43"/>
      <c r="K2" s="1"/>
      <c r="L2" s="1"/>
      <c r="M2" s="1"/>
      <c r="N2" s="1"/>
      <c r="O2" s="1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4.25" customHeight="1" x14ac:dyDescent="0.25">
      <c r="A3" s="48" t="s">
        <v>36</v>
      </c>
      <c r="B3" s="42"/>
      <c r="C3" s="42"/>
      <c r="D3" s="42"/>
      <c r="E3" s="42"/>
      <c r="F3" s="42"/>
      <c r="G3" s="42"/>
      <c r="H3" s="42"/>
      <c r="I3" s="42"/>
      <c r="J3" s="43"/>
      <c r="K3" s="1"/>
      <c r="L3" s="1"/>
      <c r="M3" s="1"/>
      <c r="N3" s="1"/>
      <c r="O3" s="1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1" customHeight="1" x14ac:dyDescent="0.25">
      <c r="A5" s="49" t="s">
        <v>0</v>
      </c>
      <c r="B5" s="54" t="s">
        <v>29</v>
      </c>
      <c r="C5" s="54"/>
      <c r="D5" s="54"/>
      <c r="E5" s="54"/>
      <c r="F5" s="54"/>
      <c r="G5" s="54"/>
      <c r="H5" s="54"/>
      <c r="I5" s="54"/>
      <c r="J5" s="46" t="s">
        <v>1</v>
      </c>
      <c r="K5" s="1"/>
      <c r="L5" s="1"/>
      <c r="M5" s="1"/>
      <c r="N5" s="1"/>
      <c r="O5" s="1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50"/>
      <c r="B6" s="52">
        <v>2020</v>
      </c>
      <c r="C6" s="44"/>
      <c r="D6" s="44"/>
      <c r="E6" s="45"/>
      <c r="F6" s="53">
        <v>2021</v>
      </c>
      <c r="G6" s="38"/>
      <c r="H6" s="38"/>
      <c r="I6" s="39"/>
      <c r="J6" s="40"/>
      <c r="K6" s="1"/>
      <c r="L6" s="1"/>
      <c r="M6" s="20"/>
      <c r="N6" s="1"/>
      <c r="O6" s="1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A7" s="51"/>
      <c r="B7" s="4" t="s">
        <v>2</v>
      </c>
      <c r="C7" s="4" t="s">
        <v>30</v>
      </c>
      <c r="D7" s="4" t="s">
        <v>31</v>
      </c>
      <c r="E7" s="6" t="s">
        <v>32</v>
      </c>
      <c r="F7" s="5" t="s">
        <v>2</v>
      </c>
      <c r="G7" s="3" t="s">
        <v>30</v>
      </c>
      <c r="H7" s="3" t="s">
        <v>31</v>
      </c>
      <c r="I7" s="21" t="s">
        <v>32</v>
      </c>
      <c r="J7" s="41"/>
      <c r="K7" s="1"/>
      <c r="L7" s="1"/>
      <c r="M7" s="20"/>
      <c r="N7" s="1"/>
      <c r="O7" s="1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.75" customHeight="1" x14ac:dyDescent="0.25">
      <c r="A8" s="29" t="s">
        <v>3</v>
      </c>
      <c r="B8" s="27">
        <f>SUM(C8:E8)</f>
        <v>17828</v>
      </c>
      <c r="C8" s="31">
        <v>5263</v>
      </c>
      <c r="D8" s="31">
        <v>4336</v>
      </c>
      <c r="E8" s="32">
        <v>8229</v>
      </c>
      <c r="F8" s="9">
        <f>SUM(G8:I8)</f>
        <v>18788</v>
      </c>
      <c r="G8" s="35">
        <v>5987</v>
      </c>
      <c r="H8" s="35">
        <v>4478</v>
      </c>
      <c r="I8" s="35">
        <v>8323</v>
      </c>
      <c r="J8" s="10" t="s">
        <v>4</v>
      </c>
      <c r="K8" s="1"/>
      <c r="L8" s="1"/>
      <c r="M8" s="20"/>
      <c r="N8" s="1"/>
      <c r="O8" s="1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.75" customHeight="1" x14ac:dyDescent="0.25">
      <c r="A9" s="29" t="s">
        <v>5</v>
      </c>
      <c r="B9" s="27">
        <f t="shared" ref="B9:B19" si="0">SUM(C9:E9)</f>
        <v>17946</v>
      </c>
      <c r="C9" s="31">
        <v>5377</v>
      </c>
      <c r="D9" s="31">
        <v>4353</v>
      </c>
      <c r="E9" s="32">
        <v>8216</v>
      </c>
      <c r="F9" s="9">
        <f t="shared" ref="F9:F19" si="1">SUM(G9:I9)</f>
        <v>18884</v>
      </c>
      <c r="G9" s="36">
        <v>6068</v>
      </c>
      <c r="H9" s="36">
        <v>4472</v>
      </c>
      <c r="I9" s="36">
        <v>8344</v>
      </c>
      <c r="J9" s="10" t="s">
        <v>6</v>
      </c>
      <c r="K9" s="1"/>
      <c r="L9" s="1"/>
      <c r="M9" s="20"/>
      <c r="N9" s="1"/>
      <c r="O9" s="1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.75" customHeight="1" x14ac:dyDescent="0.25">
      <c r="A10" s="29" t="s">
        <v>7</v>
      </c>
      <c r="B10" s="27">
        <f t="shared" si="0"/>
        <v>18036</v>
      </c>
      <c r="C10" s="31">
        <v>5456</v>
      </c>
      <c r="D10" s="31">
        <v>4418</v>
      </c>
      <c r="E10" s="32">
        <v>8162</v>
      </c>
      <c r="F10" s="9">
        <f t="shared" si="1"/>
        <v>19003</v>
      </c>
      <c r="G10" s="36">
        <v>6170</v>
      </c>
      <c r="H10" s="36">
        <v>4529</v>
      </c>
      <c r="I10" s="36">
        <v>8304</v>
      </c>
      <c r="J10" s="10" t="s">
        <v>8</v>
      </c>
      <c r="K10" s="1"/>
      <c r="L10" s="1"/>
      <c r="M10" s="20"/>
      <c r="N10" s="1"/>
      <c r="O10" s="1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24.75" customHeight="1" x14ac:dyDescent="0.25">
      <c r="A11" s="29" t="s">
        <v>9</v>
      </c>
      <c r="B11" s="27">
        <f t="shared" si="0"/>
        <v>18069</v>
      </c>
      <c r="C11" s="31">
        <v>5500</v>
      </c>
      <c r="D11" s="31">
        <v>4395</v>
      </c>
      <c r="E11" s="32">
        <v>8174</v>
      </c>
      <c r="F11" s="9">
        <f t="shared" si="1"/>
        <v>19044</v>
      </c>
      <c r="G11" s="36">
        <v>6233</v>
      </c>
      <c r="H11" s="36">
        <v>4499</v>
      </c>
      <c r="I11" s="36">
        <v>8312</v>
      </c>
      <c r="J11" s="10" t="s">
        <v>10</v>
      </c>
      <c r="K11" s="1"/>
      <c r="L11" s="1"/>
      <c r="M11" s="20"/>
      <c r="N11" s="1"/>
      <c r="O11" s="1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24.75" customHeight="1" x14ac:dyDescent="0.25">
      <c r="A12" s="29" t="s">
        <v>11</v>
      </c>
      <c r="B12" s="27">
        <f t="shared" si="0"/>
        <v>18071</v>
      </c>
      <c r="C12" s="31">
        <v>5499</v>
      </c>
      <c r="D12" s="31">
        <v>4438</v>
      </c>
      <c r="E12" s="32">
        <v>8134</v>
      </c>
      <c r="F12" s="9">
        <f t="shared" si="1"/>
        <v>19072</v>
      </c>
      <c r="G12" s="36">
        <v>6293</v>
      </c>
      <c r="H12" s="36">
        <v>4541</v>
      </c>
      <c r="I12" s="36">
        <v>8238</v>
      </c>
      <c r="J12" s="10" t="s">
        <v>12</v>
      </c>
      <c r="K12" s="1"/>
      <c r="L12" s="1"/>
      <c r="M12" s="20"/>
      <c r="N12" s="1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24.75" customHeight="1" x14ac:dyDescent="0.25">
      <c r="A13" s="29" t="s">
        <v>13</v>
      </c>
      <c r="B13" s="27">
        <f t="shared" si="0"/>
        <v>18115</v>
      </c>
      <c r="C13" s="31">
        <v>5580</v>
      </c>
      <c r="D13" s="31">
        <v>4394</v>
      </c>
      <c r="E13" s="32">
        <v>8141</v>
      </c>
      <c r="F13" s="9">
        <f t="shared" si="1"/>
        <v>19059</v>
      </c>
      <c r="G13" s="36">
        <v>6349</v>
      </c>
      <c r="H13" s="36">
        <v>4508</v>
      </c>
      <c r="I13" s="36">
        <v>8202</v>
      </c>
      <c r="J13" s="10" t="s">
        <v>14</v>
      </c>
      <c r="K13" s="1"/>
      <c r="L13" s="1"/>
      <c r="M13" s="20"/>
      <c r="N13" s="1"/>
      <c r="O13" s="1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1"/>
      <c r="AF13" s="19"/>
      <c r="AG13" s="19"/>
      <c r="AH13" s="19"/>
      <c r="AI13" s="19"/>
      <c r="AJ13" s="19"/>
      <c r="AK13" s="19"/>
      <c r="AL13" s="19"/>
      <c r="AM13" s="1"/>
      <c r="AN13" s="1"/>
      <c r="AO13" s="1"/>
    </row>
    <row r="14" spans="1:41" ht="24.75" customHeight="1" x14ac:dyDescent="0.25">
      <c r="A14" s="29" t="s">
        <v>15</v>
      </c>
      <c r="B14" s="27">
        <f t="shared" si="0"/>
        <v>18171</v>
      </c>
      <c r="C14" s="31">
        <v>5671</v>
      </c>
      <c r="D14" s="31">
        <v>4421</v>
      </c>
      <c r="E14" s="32">
        <v>8079</v>
      </c>
      <c r="F14" s="9">
        <f t="shared" si="1"/>
        <v>19106</v>
      </c>
      <c r="G14" s="36">
        <v>6441</v>
      </c>
      <c r="H14" s="36">
        <v>4534</v>
      </c>
      <c r="I14" s="36">
        <v>8131</v>
      </c>
      <c r="J14" s="10" t="s">
        <v>16</v>
      </c>
      <c r="K14" s="1"/>
      <c r="L14" s="1"/>
      <c r="M14" s="20"/>
      <c r="N14" s="1"/>
      <c r="O14" s="1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1"/>
      <c r="AF14" s="19"/>
      <c r="AG14" s="19"/>
      <c r="AH14" s="19"/>
      <c r="AI14" s="19"/>
      <c r="AJ14" s="19"/>
      <c r="AK14" s="19"/>
      <c r="AL14" s="19"/>
      <c r="AM14" s="1"/>
      <c r="AN14" s="1"/>
      <c r="AO14" s="1"/>
    </row>
    <row r="15" spans="1:41" ht="24.75" customHeight="1" x14ac:dyDescent="0.25">
      <c r="A15" s="29" t="s">
        <v>17</v>
      </c>
      <c r="B15" s="27">
        <f t="shared" si="0"/>
        <v>18225</v>
      </c>
      <c r="C15" s="31">
        <v>5384</v>
      </c>
      <c r="D15" s="31">
        <v>4797</v>
      </c>
      <c r="E15" s="32">
        <v>8044</v>
      </c>
      <c r="F15" s="9">
        <f t="shared" si="1"/>
        <v>19169</v>
      </c>
      <c r="G15" s="36">
        <v>6147</v>
      </c>
      <c r="H15" s="36">
        <v>4950</v>
      </c>
      <c r="I15" s="36">
        <v>8072</v>
      </c>
      <c r="J15" s="10" t="s">
        <v>18</v>
      </c>
      <c r="K15" s="1"/>
      <c r="L15" s="1"/>
      <c r="M15" s="20"/>
      <c r="N15" s="1"/>
      <c r="O15" s="1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1"/>
      <c r="AF15" s="19"/>
      <c r="AG15" s="19"/>
      <c r="AH15" s="19"/>
      <c r="AI15" s="19"/>
      <c r="AJ15" s="19"/>
      <c r="AK15" s="19"/>
      <c r="AL15" s="19"/>
      <c r="AM15" s="1"/>
      <c r="AN15" s="1"/>
      <c r="AO15" s="1"/>
    </row>
    <row r="16" spans="1:41" ht="24.75" customHeight="1" x14ac:dyDescent="0.25">
      <c r="A16" s="29" t="s">
        <v>19</v>
      </c>
      <c r="B16" s="27">
        <f t="shared" si="0"/>
        <v>18259</v>
      </c>
      <c r="C16" s="31">
        <v>5432</v>
      </c>
      <c r="D16" s="31">
        <v>4440</v>
      </c>
      <c r="E16" s="32">
        <v>8387</v>
      </c>
      <c r="F16" s="9">
        <f t="shared" si="1"/>
        <v>19225</v>
      </c>
      <c r="G16" s="36">
        <v>6205</v>
      </c>
      <c r="H16" s="36">
        <v>4665</v>
      </c>
      <c r="I16" s="36">
        <v>8355</v>
      </c>
      <c r="J16" s="10" t="s">
        <v>20</v>
      </c>
      <c r="K16" s="1"/>
      <c r="L16" s="1"/>
      <c r="M16" s="20"/>
      <c r="N16" s="1"/>
      <c r="O16" s="1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1"/>
      <c r="AF16" s="19"/>
      <c r="AG16" s="19"/>
      <c r="AH16" s="19"/>
      <c r="AI16" s="19"/>
      <c r="AJ16" s="19"/>
      <c r="AK16" s="19"/>
      <c r="AL16" s="19"/>
      <c r="AM16" s="1"/>
      <c r="AN16" s="1"/>
      <c r="AO16" s="1"/>
    </row>
    <row r="17" spans="1:41" ht="24.75" customHeight="1" x14ac:dyDescent="0.25">
      <c r="A17" s="29" t="s">
        <v>21</v>
      </c>
      <c r="B17" s="27">
        <f t="shared" si="0"/>
        <v>18301</v>
      </c>
      <c r="C17" s="31">
        <v>5486</v>
      </c>
      <c r="D17" s="31">
        <v>4428</v>
      </c>
      <c r="E17" s="32">
        <v>8387</v>
      </c>
      <c r="F17" s="9">
        <f t="shared" si="1"/>
        <v>19297</v>
      </c>
      <c r="G17" s="36">
        <v>6244</v>
      </c>
      <c r="H17" s="36">
        <v>4704</v>
      </c>
      <c r="I17" s="36">
        <v>8349</v>
      </c>
      <c r="J17" s="10" t="s">
        <v>22</v>
      </c>
      <c r="K17" s="1"/>
      <c r="L17" s="1"/>
      <c r="M17" s="20"/>
      <c r="N17" s="1"/>
      <c r="O17" s="1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1"/>
      <c r="AF17" s="19"/>
      <c r="AG17" s="19"/>
      <c r="AH17" s="19"/>
      <c r="AI17" s="19"/>
      <c r="AJ17" s="19"/>
      <c r="AK17" s="19"/>
      <c r="AL17" s="19"/>
      <c r="AM17" s="1"/>
      <c r="AN17" s="1"/>
      <c r="AO17" s="1"/>
    </row>
    <row r="18" spans="1:41" ht="24.75" customHeight="1" x14ac:dyDescent="0.55000000000000004">
      <c r="A18" s="29" t="s">
        <v>23</v>
      </c>
      <c r="B18" s="27">
        <f t="shared" si="0"/>
        <v>18309</v>
      </c>
      <c r="C18" s="31">
        <v>5505</v>
      </c>
      <c r="D18" s="31">
        <v>4440</v>
      </c>
      <c r="E18" s="32">
        <v>8364</v>
      </c>
      <c r="F18" s="9">
        <f t="shared" si="1"/>
        <v>19283</v>
      </c>
      <c r="G18" s="36">
        <v>6251</v>
      </c>
      <c r="H18" s="36">
        <v>4722</v>
      </c>
      <c r="I18" s="36">
        <v>8310</v>
      </c>
      <c r="J18" s="12" t="s">
        <v>24</v>
      </c>
      <c r="K18" s="1"/>
      <c r="L18" s="1"/>
      <c r="M18" s="1"/>
      <c r="N18" s="1"/>
      <c r="O18" s="1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1"/>
      <c r="AF18" s="1"/>
      <c r="AG18" s="1"/>
      <c r="AH18" s="1"/>
      <c r="AI18" s="1"/>
      <c r="AJ18" s="1"/>
      <c r="AK18" s="3" t="s">
        <v>33</v>
      </c>
      <c r="AL18" s="3" t="s">
        <v>34</v>
      </c>
      <c r="AM18" s="21" t="s">
        <v>35</v>
      </c>
      <c r="AN18" s="1"/>
      <c r="AO18" s="1"/>
    </row>
    <row r="19" spans="1:41" ht="24.75" customHeight="1" x14ac:dyDescent="0.25">
      <c r="A19" s="30" t="s">
        <v>25</v>
      </c>
      <c r="B19" s="28">
        <f t="shared" si="0"/>
        <v>18341</v>
      </c>
      <c r="C19" s="33">
        <v>5533</v>
      </c>
      <c r="D19" s="33">
        <v>4454</v>
      </c>
      <c r="E19" s="34">
        <v>8354</v>
      </c>
      <c r="F19" s="13">
        <f t="shared" si="1"/>
        <v>19331</v>
      </c>
      <c r="G19" s="37">
        <v>6289</v>
      </c>
      <c r="H19" s="37">
        <v>4750</v>
      </c>
      <c r="I19" s="37">
        <v>8292</v>
      </c>
      <c r="J19" s="14" t="s">
        <v>26</v>
      </c>
      <c r="K19" s="1"/>
      <c r="L19" s="11"/>
      <c r="M19" s="1"/>
      <c r="N19" s="1"/>
      <c r="O19" s="1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1"/>
      <c r="AF19" s="1"/>
      <c r="AG19" s="1"/>
      <c r="AH19" s="1"/>
      <c r="AI19" s="1"/>
      <c r="AJ19" s="1"/>
      <c r="AK19" s="11">
        <f>G19</f>
        <v>6289</v>
      </c>
      <c r="AL19" s="11">
        <f>H19</f>
        <v>4750</v>
      </c>
      <c r="AM19" s="11">
        <f t="shared" ref="AM19" si="2">I19</f>
        <v>8292</v>
      </c>
      <c r="AN19" s="1"/>
      <c r="AO19" s="1"/>
    </row>
    <row r="20" spans="1:41" ht="17.25" customHeight="1" x14ac:dyDescent="0.45">
      <c r="A20" s="16" t="s">
        <v>27</v>
      </c>
      <c r="B20" s="15"/>
      <c r="C20" s="15"/>
      <c r="D20" s="15"/>
      <c r="E20" s="15"/>
      <c r="F20" s="15"/>
      <c r="G20" s="15"/>
      <c r="H20" s="15"/>
      <c r="I20" s="15"/>
      <c r="J20" s="17" t="s">
        <v>28</v>
      </c>
      <c r="K20" s="15"/>
      <c r="L20" s="15"/>
      <c r="M20" s="15"/>
      <c r="N20" s="15"/>
      <c r="O20" s="15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"/>
    </row>
    <row r="21" spans="1:41" ht="18.75" customHeight="1" x14ac:dyDescent="0.5">
      <c r="A21" s="22"/>
      <c r="B21" s="1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1"/>
      <c r="AF31" s="1"/>
      <c r="AG31" s="1"/>
      <c r="AH31" s="1"/>
      <c r="AI31" s="1"/>
      <c r="AJ31" s="1"/>
      <c r="AK31" s="24"/>
      <c r="AL31" s="24"/>
      <c r="AM31" s="24"/>
      <c r="AN31" s="1"/>
      <c r="AO31" s="1"/>
    </row>
    <row r="32" spans="1:4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1"/>
      <c r="AF32" s="1"/>
      <c r="AG32" s="1"/>
      <c r="AH32" s="1"/>
      <c r="AI32" s="25"/>
      <c r="AJ32" s="25"/>
      <c r="AK32" s="25"/>
      <c r="AL32" s="25"/>
      <c r="AM32" s="25"/>
      <c r="AN32" s="26"/>
      <c r="AO32" s="1"/>
    </row>
    <row r="33" spans="1:4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1"/>
      <c r="AF36" s="1"/>
      <c r="AG36" s="1"/>
      <c r="AH36" s="1"/>
      <c r="AI36" s="24"/>
      <c r="AJ36" s="24"/>
      <c r="AK36" s="24"/>
      <c r="AL36" s="24"/>
      <c r="AM36" s="24"/>
      <c r="AN36" s="1"/>
      <c r="AO36" s="1"/>
    </row>
    <row r="37" spans="1:4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1"/>
      <c r="AF37" s="1"/>
      <c r="AG37" s="1"/>
      <c r="AH37" s="1"/>
      <c r="AI37" s="26"/>
      <c r="AJ37" s="26"/>
      <c r="AK37" s="26"/>
      <c r="AL37" s="26"/>
      <c r="AM37" s="26"/>
      <c r="AN37" s="1"/>
      <c r="AO37" s="1"/>
    </row>
    <row r="38" spans="1:4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1"/>
      <c r="AF38" s="1"/>
      <c r="AG38" s="1"/>
      <c r="AH38" s="1"/>
      <c r="AI38" s="7"/>
      <c r="AJ38" s="7"/>
      <c r="AK38" s="7"/>
      <c r="AL38" s="7"/>
      <c r="AM38" s="7"/>
      <c r="AN38" s="7"/>
      <c r="AO38" s="1"/>
    </row>
    <row r="39" spans="1:4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</sheetData>
  <mergeCells count="7">
    <mergeCell ref="A2:J2"/>
    <mergeCell ref="A3:J3"/>
    <mergeCell ref="A5:A7"/>
    <mergeCell ref="J5:J7"/>
    <mergeCell ref="B6:E6"/>
    <mergeCell ref="F6:I6"/>
    <mergeCell ref="B5:I5"/>
  </mergeCells>
  <pageMargins left="0.7" right="0.7" top="0.75" bottom="0.75" header="0" footer="0"/>
  <pageSetup paperSize="9" scale="7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2023-03-05T03:44:16Z</cp:lastPrinted>
  <dcterms:created xsi:type="dcterms:W3CDTF">2019-02-21T04:10:17Z</dcterms:created>
  <dcterms:modified xsi:type="dcterms:W3CDTF">2023-03-05T03:45:23Z</dcterms:modified>
</cp:coreProperties>
</file>