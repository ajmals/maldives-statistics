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F7063742-13F3-4F0E-8F6F-3C92BFE7675B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19" sheetId="17" r:id="rId1"/>
  </sheets>
  <externalReferences>
    <externalReference r:id="rId2"/>
  </externalReferences>
  <definedNames>
    <definedName name="_xlnm._FilterDatabase" localSheetId="0" hidden="1">'18.19'!#REF!</definedName>
    <definedName name="_xlnm.Print_Area" localSheetId="0">'18.19'!$A$1:$L$251</definedName>
    <definedName name="_xlnm.Print_Titles" localSheetId="0">'18.19'!$4:$8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6" i="17" l="1"/>
  <c r="B245" i="17"/>
  <c r="B244" i="17"/>
  <c r="B243" i="17"/>
  <c r="B242" i="17"/>
  <c r="B241" i="17"/>
  <c r="J240" i="17"/>
  <c r="I240" i="17"/>
  <c r="H240" i="17"/>
  <c r="G240" i="17"/>
  <c r="F240" i="17"/>
  <c r="E240" i="17"/>
  <c r="D240" i="17"/>
  <c r="C240" i="17"/>
  <c r="B238" i="17"/>
  <c r="J237" i="17"/>
  <c r="I237" i="17"/>
  <c r="H237" i="17"/>
  <c r="G237" i="17"/>
  <c r="F237" i="17"/>
  <c r="E237" i="17"/>
  <c r="D237" i="17"/>
  <c r="C237" i="17"/>
  <c r="B235" i="17"/>
  <c r="B234" i="17"/>
  <c r="B233" i="17"/>
  <c r="B232" i="17"/>
  <c r="B231" i="17"/>
  <c r="B230" i="17"/>
  <c r="B229" i="17"/>
  <c r="B228" i="17"/>
  <c r="B227" i="17"/>
  <c r="J226" i="17"/>
  <c r="I226" i="17"/>
  <c r="H226" i="17"/>
  <c r="G226" i="17"/>
  <c r="F226" i="17"/>
  <c r="E226" i="17"/>
  <c r="D226" i="17"/>
  <c r="C226" i="17"/>
  <c r="B224" i="17"/>
  <c r="B223" i="17"/>
  <c r="B222" i="17"/>
  <c r="B221" i="17"/>
  <c r="B220" i="17"/>
  <c r="B219" i="17"/>
  <c r="B218" i="17"/>
  <c r="B217" i="17"/>
  <c r="B216" i="17"/>
  <c r="B215" i="17"/>
  <c r="J214" i="17"/>
  <c r="I214" i="17"/>
  <c r="H214" i="17"/>
  <c r="G214" i="17"/>
  <c r="F214" i="17"/>
  <c r="E214" i="17"/>
  <c r="D214" i="17"/>
  <c r="C214" i="17"/>
  <c r="B212" i="17"/>
  <c r="B211" i="17"/>
  <c r="B210" i="17"/>
  <c r="B209" i="17"/>
  <c r="B208" i="17"/>
  <c r="B207" i="17"/>
  <c r="B206" i="17"/>
  <c r="B205" i="17"/>
  <c r="B204" i="17"/>
  <c r="B203" i="17"/>
  <c r="B202" i="17"/>
  <c r="B201" i="17"/>
  <c r="J200" i="17"/>
  <c r="I200" i="17"/>
  <c r="H200" i="17"/>
  <c r="G200" i="17"/>
  <c r="F200" i="17"/>
  <c r="E200" i="17"/>
  <c r="D200" i="17"/>
  <c r="C200" i="17"/>
  <c r="B198" i="17"/>
  <c r="B197" i="17"/>
  <c r="B196" i="17"/>
  <c r="B195" i="17"/>
  <c r="B194" i="17"/>
  <c r="B193" i="17"/>
  <c r="B192" i="17"/>
  <c r="B191" i="17"/>
  <c r="B190" i="17"/>
  <c r="B189" i="17"/>
  <c r="B188" i="17"/>
  <c r="B187" i="17"/>
  <c r="B186" i="17"/>
  <c r="J185" i="17"/>
  <c r="I185" i="17"/>
  <c r="H185" i="17"/>
  <c r="G185" i="17"/>
  <c r="F185" i="17"/>
  <c r="E185" i="17"/>
  <c r="D185" i="17"/>
  <c r="C185" i="17"/>
  <c r="B183" i="17"/>
  <c r="B182" i="17"/>
  <c r="B181" i="17"/>
  <c r="B180" i="17"/>
  <c r="B179" i="17"/>
  <c r="B178" i="17"/>
  <c r="B177" i="17"/>
  <c r="J176" i="17"/>
  <c r="I176" i="17"/>
  <c r="H176" i="17"/>
  <c r="E176" i="17"/>
  <c r="D176" i="17"/>
  <c r="C176" i="17"/>
  <c r="B174" i="17"/>
  <c r="B173" i="17"/>
  <c r="B172" i="17"/>
  <c r="B171" i="17"/>
  <c r="B170" i="17"/>
  <c r="J169" i="17"/>
  <c r="I169" i="17"/>
  <c r="H169" i="17"/>
  <c r="G169" i="17"/>
  <c r="F169" i="17"/>
  <c r="E169" i="17"/>
  <c r="D169" i="17"/>
  <c r="C169" i="17"/>
  <c r="B167" i="17"/>
  <c r="B166" i="17"/>
  <c r="B165" i="17"/>
  <c r="B164" i="17"/>
  <c r="B163" i="17"/>
  <c r="B162" i="17"/>
  <c r="B161" i="17"/>
  <c r="B160" i="17"/>
  <c r="B159" i="17"/>
  <c r="J158" i="17"/>
  <c r="I158" i="17"/>
  <c r="H158" i="17"/>
  <c r="G158" i="17"/>
  <c r="F158" i="17"/>
  <c r="E158" i="17"/>
  <c r="D158" i="17"/>
  <c r="C158" i="17"/>
  <c r="B156" i="17"/>
  <c r="B155" i="17"/>
  <c r="B154" i="17"/>
  <c r="B153" i="17"/>
  <c r="B152" i="17"/>
  <c r="J151" i="17"/>
  <c r="I151" i="17"/>
  <c r="H151" i="17"/>
  <c r="G151" i="17"/>
  <c r="F151" i="17"/>
  <c r="E151" i="17"/>
  <c r="D151" i="17"/>
  <c r="C151" i="17"/>
  <c r="B149" i="17"/>
  <c r="B148" i="17"/>
  <c r="B147" i="17"/>
  <c r="B146" i="17"/>
  <c r="B145" i="17"/>
  <c r="B144" i="17"/>
  <c r="B143" i="17"/>
  <c r="B142" i="17"/>
  <c r="B141" i="17"/>
  <c r="B140" i="17"/>
  <c r="J139" i="17"/>
  <c r="I139" i="17"/>
  <c r="H139" i="17"/>
  <c r="G139" i="17"/>
  <c r="F139" i="17"/>
  <c r="E139" i="17"/>
  <c r="D139" i="17"/>
  <c r="C139" i="17"/>
  <c r="B137" i="17"/>
  <c r="B136" i="17"/>
  <c r="B135" i="17"/>
  <c r="B134" i="17"/>
  <c r="B133" i="17"/>
  <c r="B132" i="17"/>
  <c r="B131" i="17"/>
  <c r="B130" i="17"/>
  <c r="J129" i="17"/>
  <c r="I129" i="17"/>
  <c r="H129" i="17"/>
  <c r="E129" i="17"/>
  <c r="D129" i="17"/>
  <c r="C129" i="17"/>
  <c r="B127" i="17"/>
  <c r="B126" i="17"/>
  <c r="B125" i="17"/>
  <c r="B124" i="17"/>
  <c r="B123" i="17"/>
  <c r="B122" i="17"/>
  <c r="B121" i="17"/>
  <c r="B120" i="17"/>
  <c r="B119" i="17"/>
  <c r="J118" i="17"/>
  <c r="I118" i="17"/>
  <c r="H118" i="17"/>
  <c r="G118" i="17"/>
  <c r="F118" i="17"/>
  <c r="E118" i="17"/>
  <c r="D118" i="17"/>
  <c r="C118" i="17"/>
  <c r="B116" i="17"/>
  <c r="B115" i="17"/>
  <c r="B114" i="17"/>
  <c r="B113" i="17"/>
  <c r="B112" i="17"/>
  <c r="J111" i="17"/>
  <c r="I111" i="17"/>
  <c r="H111" i="17"/>
  <c r="G111" i="17"/>
  <c r="F111" i="17"/>
  <c r="E111" i="17"/>
  <c r="D111" i="17"/>
  <c r="C111" i="17"/>
  <c r="B109" i="17"/>
  <c r="B108" i="17"/>
  <c r="B107" i="17"/>
  <c r="B106" i="17"/>
  <c r="B105" i="17"/>
  <c r="B104" i="17"/>
  <c r="B103" i="17"/>
  <c r="B102" i="17"/>
  <c r="B101" i="17"/>
  <c r="B100" i="17"/>
  <c r="B99" i="17"/>
  <c r="B98" i="17"/>
  <c r="B97" i="17"/>
  <c r="J96" i="17"/>
  <c r="I96" i="17"/>
  <c r="H96" i="17"/>
  <c r="G96" i="17"/>
  <c r="F96" i="17"/>
  <c r="E96" i="17"/>
  <c r="D96" i="17"/>
  <c r="C96" i="17"/>
  <c r="B94" i="17"/>
  <c r="B93" i="17"/>
  <c r="B92" i="17"/>
  <c r="B91" i="17"/>
  <c r="B90" i="17"/>
  <c r="B89" i="17"/>
  <c r="B88" i="17"/>
  <c r="B87" i="17"/>
  <c r="B86" i="17"/>
  <c r="B85" i="17"/>
  <c r="B84" i="17"/>
  <c r="B83" i="17"/>
  <c r="B82" i="17"/>
  <c r="B81" i="17"/>
  <c r="B80" i="17"/>
  <c r="B79" i="17"/>
  <c r="J78" i="17"/>
  <c r="I78" i="17"/>
  <c r="H78" i="17"/>
  <c r="G78" i="17"/>
  <c r="F78" i="17"/>
  <c r="E78" i="17"/>
  <c r="D78" i="17"/>
  <c r="C78" i="17"/>
  <c r="B76" i="17"/>
  <c r="B75" i="17"/>
  <c r="B74" i="17"/>
  <c r="B73" i="17"/>
  <c r="B72" i="17"/>
  <c r="B71" i="17"/>
  <c r="B70" i="17"/>
  <c r="B69" i="17"/>
  <c r="B68" i="17"/>
  <c r="B67" i="17"/>
  <c r="B66" i="17"/>
  <c r="B65" i="17"/>
  <c r="B64" i="17"/>
  <c r="J63" i="17"/>
  <c r="I63" i="17"/>
  <c r="H63" i="17"/>
  <c r="G63" i="17"/>
  <c r="F63" i="17"/>
  <c r="E63" i="17"/>
  <c r="D63" i="17"/>
  <c r="C63" i="17"/>
  <c r="B61" i="17"/>
  <c r="B60" i="17"/>
  <c r="B59" i="17"/>
  <c r="B58" i="17"/>
  <c r="B57" i="17"/>
  <c r="B55" i="17"/>
  <c r="B54" i="17"/>
  <c r="B53" i="17"/>
  <c r="B52" i="17"/>
  <c r="B51" i="17"/>
  <c r="B50" i="17"/>
  <c r="B49" i="17"/>
  <c r="B48" i="17"/>
  <c r="B47" i="17"/>
  <c r="B46" i="17"/>
  <c r="J45" i="17"/>
  <c r="I45" i="17"/>
  <c r="H45" i="17"/>
  <c r="G45" i="17"/>
  <c r="F45" i="17"/>
  <c r="E45" i="17"/>
  <c r="D45" i="17"/>
  <c r="C45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J28" i="17"/>
  <c r="I28" i="17"/>
  <c r="H28" i="17"/>
  <c r="G28" i="17"/>
  <c r="F28" i="17"/>
  <c r="E28" i="17"/>
  <c r="D28" i="17"/>
  <c r="C28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J12" i="17"/>
  <c r="I12" i="17"/>
  <c r="H12" i="17"/>
  <c r="G12" i="17"/>
  <c r="F12" i="17"/>
  <c r="E12" i="17"/>
  <c r="D12" i="17"/>
  <c r="C12" i="17"/>
  <c r="B10" i="17"/>
  <c r="B169" i="17" l="1"/>
  <c r="B237" i="17"/>
  <c r="I11" i="17"/>
  <c r="I9" i="17" s="1"/>
  <c r="B78" i="17"/>
  <c r="B129" i="17"/>
  <c r="B240" i="17"/>
  <c r="B226" i="17"/>
  <c r="B214" i="17"/>
  <c r="B200" i="17"/>
  <c r="B185" i="17"/>
  <c r="B176" i="17"/>
  <c r="B158" i="17"/>
  <c r="B151" i="17"/>
  <c r="B139" i="17"/>
  <c r="B118" i="17"/>
  <c r="B111" i="17"/>
  <c r="B96" i="17"/>
  <c r="B63" i="17"/>
  <c r="B45" i="17"/>
  <c r="H11" i="17"/>
  <c r="H9" i="17" s="1"/>
  <c r="B28" i="17"/>
  <c r="J11" i="17"/>
  <c r="J9" i="17" s="1"/>
  <c r="G11" i="17"/>
  <c r="G9" i="17" s="1"/>
  <c r="F11" i="17"/>
  <c r="F9" i="17" s="1"/>
  <c r="E11" i="17"/>
  <c r="E9" i="17" s="1"/>
  <c r="B12" i="17"/>
  <c r="D11" i="17"/>
  <c r="D9" i="17" s="1"/>
  <c r="C11" i="17"/>
  <c r="C9" i="17" l="1"/>
  <c r="B9" i="17" s="1"/>
  <c r="B11" i="17"/>
</calcChain>
</file>

<file path=xl/sharedStrings.xml><?xml version="1.0" encoding="utf-8"?>
<sst xmlns="http://schemas.openxmlformats.org/spreadsheetml/2006/main" count="473" uniqueCount="440">
  <si>
    <t>Total</t>
  </si>
  <si>
    <t>Locality</t>
  </si>
  <si>
    <t>ހެލްތް އިންޝުއަރަންސް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</si>
  <si>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</si>
  <si>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</si>
  <si>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</si>
  <si>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</si>
  <si>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cnwt</t>
  </si>
  <si>
    <t>HEALTH INSURANCE SCHEMES</t>
  </si>
  <si>
    <t>SINGLE PARENT ALLOWANCE</t>
  </si>
  <si>
    <t>EMERGENCY MEDICAL WELFARE</t>
  </si>
  <si>
    <t>Aasandha</t>
  </si>
  <si>
    <t xml:space="preserve">Parent </t>
  </si>
  <si>
    <t>Children</t>
  </si>
  <si>
    <t xml:space="preserve">Children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</si>
  <si>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</si>
  <si>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</si>
  <si>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</si>
  <si>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</si>
  <si>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</si>
  <si>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</si>
  <si>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</si>
  <si>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</si>
  <si>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</si>
  <si>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</si>
  <si>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</si>
  <si>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</si>
  <si>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</si>
  <si>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</si>
  <si>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</si>
  <si>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</si>
  <si>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</si>
  <si>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</si>
  <si>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</si>
  <si>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</si>
  <si>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</si>
  <si>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</si>
  <si>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</si>
  <si>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</si>
  <si>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</si>
  <si>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</si>
  <si>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</si>
  <si>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</si>
  <si>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</si>
  <si>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</si>
  <si>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</si>
  <si>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</si>
  <si>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</si>
  <si>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</si>
  <si>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</si>
  <si>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</si>
  <si>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</si>
  <si>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</si>
  <si>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</si>
  <si>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</si>
  <si>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</si>
  <si>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</si>
  <si>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</si>
  <si>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</si>
  <si>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</si>
  <si>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</si>
  <si>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</si>
  <si>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</si>
  <si>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Source: National Social Protection Agency</t>
  </si>
  <si>
    <t xml:space="preserve">މަޢުލޫމާތު ދެއްވީ: ނެޝަނަލް ސޯޝަލް ޕްރޮޓެކްޝަން އޭޖެންސީ </t>
  </si>
  <si>
    <t>DISABILITY ALLOWANCE</t>
  </si>
  <si>
    <t>އާސަންދަ</t>
  </si>
  <si>
    <t>Thuraakunu</t>
  </si>
  <si>
    <t>unukWrut</t>
  </si>
  <si>
    <t>Uligamu</t>
  </si>
  <si>
    <t>umwgilua</t>
  </si>
  <si>
    <t>Mulhadhoo</t>
  </si>
  <si>
    <t>UdwLum</t>
  </si>
  <si>
    <t>Hoarafushi</t>
  </si>
  <si>
    <t>iSufwrOh</t>
  </si>
  <si>
    <t>Ihavandhoo</t>
  </si>
  <si>
    <t>eUdcnwvwhia</t>
  </si>
  <si>
    <t>Kelaa</t>
  </si>
  <si>
    <t>Wlek</t>
  </si>
  <si>
    <t>Vashafaru</t>
  </si>
  <si>
    <t>urwfwSwv</t>
  </si>
  <si>
    <t>Dhidhdhoo</t>
  </si>
  <si>
    <t>Udcaid</t>
  </si>
  <si>
    <t>Filladhoo</t>
  </si>
  <si>
    <t>Udwlcaif</t>
  </si>
  <si>
    <t>Maarandhoo</t>
  </si>
  <si>
    <t>UdcnwrWm</t>
  </si>
  <si>
    <t>Thakandhoo</t>
  </si>
  <si>
    <t>Udcnwkwt</t>
  </si>
  <si>
    <t>Utheemu</t>
  </si>
  <si>
    <t>umItua</t>
  </si>
  <si>
    <t>Muraidhoo</t>
  </si>
  <si>
    <t>Udiawrum</t>
  </si>
  <si>
    <t>Baarah</t>
  </si>
  <si>
    <t>cSwrWb</t>
  </si>
  <si>
    <t>Hanimaadhoo</t>
  </si>
  <si>
    <t>UdWminwh</t>
  </si>
  <si>
    <t>Finey</t>
  </si>
  <si>
    <t>Enif</t>
  </si>
  <si>
    <t>Naivaadhoo</t>
  </si>
  <si>
    <t>UdiawvWn</t>
  </si>
  <si>
    <t>Hirimaradhoo</t>
  </si>
  <si>
    <t>Udwrwmirih</t>
  </si>
  <si>
    <t>Nolhivaranfaru</t>
  </si>
  <si>
    <t>urwfcnwrwviLon</t>
  </si>
  <si>
    <t>Nellaidhoo</t>
  </si>
  <si>
    <t>Udiawlcaen</t>
  </si>
  <si>
    <t>Nolhivaramu</t>
  </si>
  <si>
    <t>umwrwviLon</t>
  </si>
  <si>
    <t>Kurnibi</t>
  </si>
  <si>
    <t>ibniruk</t>
  </si>
  <si>
    <t>Kunburudhoo</t>
  </si>
  <si>
    <t>Udurubnuk</t>
  </si>
  <si>
    <t>Kulhudhuffushi</t>
  </si>
  <si>
    <t>iSufcauduLuk</t>
  </si>
  <si>
    <t>Kumundhoo</t>
  </si>
  <si>
    <t>Udcnumuk</t>
  </si>
  <si>
    <t>Neykurendhoo</t>
  </si>
  <si>
    <t>UdcnerukEn</t>
  </si>
  <si>
    <t>Vaikaradhoo</t>
  </si>
  <si>
    <t>Udwrwkiiawv</t>
  </si>
  <si>
    <t>Maavaidhoo</t>
  </si>
  <si>
    <t>UdiawvWm</t>
  </si>
  <si>
    <t>Makunudhoo</t>
  </si>
  <si>
    <t>Udunukwm</t>
  </si>
  <si>
    <t>Kanditheemu</t>
  </si>
  <si>
    <t>umItiDnwk</t>
  </si>
  <si>
    <t>Noomaraa</t>
  </si>
  <si>
    <t>WrwmUn</t>
  </si>
  <si>
    <t>Goidhoo</t>
  </si>
  <si>
    <t>Udiaog</t>
  </si>
  <si>
    <t>Feydhoo</t>
  </si>
  <si>
    <t>UdEf</t>
  </si>
  <si>
    <t>Feevah</t>
  </si>
  <si>
    <t>cawvIf</t>
  </si>
  <si>
    <t>Billeffahi</t>
  </si>
  <si>
    <t>ihwfcaelib</t>
  </si>
  <si>
    <t>Foakaidhoo</t>
  </si>
  <si>
    <t>UdiawkOf</t>
  </si>
  <si>
    <t>Narudhoo</t>
  </si>
  <si>
    <t>Udurwn</t>
  </si>
  <si>
    <t>Maakandoodhoo</t>
  </si>
  <si>
    <t>Maroshi</t>
  </si>
  <si>
    <t>iSorwm</t>
  </si>
  <si>
    <t>Lhaimagu</t>
  </si>
  <si>
    <t>ugwmiawL</t>
  </si>
  <si>
    <t>Komandhoo</t>
  </si>
  <si>
    <t>UDcnwmok</t>
  </si>
  <si>
    <t>Maaun'goodhoo</t>
  </si>
  <si>
    <t>UdUgnuaWm</t>
  </si>
  <si>
    <t>Funadhoo</t>
  </si>
  <si>
    <t>Udwnuf</t>
  </si>
  <si>
    <t>Hen'badhoo</t>
  </si>
  <si>
    <t>Udwbneh</t>
  </si>
  <si>
    <t>Ken'dhikulhudhoo</t>
  </si>
  <si>
    <t>UduLukidnek</t>
  </si>
  <si>
    <t>Maalhendhoo</t>
  </si>
  <si>
    <t>UdcneLWm</t>
  </si>
  <si>
    <t>Kudafari</t>
  </si>
  <si>
    <t>irwfwDuk</t>
  </si>
  <si>
    <t>Landhoo</t>
  </si>
  <si>
    <t>Udcnwl</t>
  </si>
  <si>
    <t>Maafaru</t>
  </si>
  <si>
    <t>urwfWm</t>
  </si>
  <si>
    <t>Lhohi</t>
  </si>
  <si>
    <t>ihoL</t>
  </si>
  <si>
    <t>Miladhoo</t>
  </si>
  <si>
    <t>Udwlim</t>
  </si>
  <si>
    <t>Magoodhoo</t>
  </si>
  <si>
    <t>UdUgwm</t>
  </si>
  <si>
    <t>Manadhoo</t>
  </si>
  <si>
    <t>Udwnwm</t>
  </si>
  <si>
    <t>Holhudhoo</t>
  </si>
  <si>
    <t>UduLoh</t>
  </si>
  <si>
    <t>Fodhdhoo</t>
  </si>
  <si>
    <t>Udcaof</t>
  </si>
  <si>
    <t>Velidhoo</t>
  </si>
  <si>
    <t>Udilev</t>
  </si>
  <si>
    <t>Alifushi</t>
  </si>
  <si>
    <t>iSufilwa</t>
  </si>
  <si>
    <t>Vaadhoo</t>
  </si>
  <si>
    <t>UdWv</t>
  </si>
  <si>
    <t>Rasgetheemu</t>
  </si>
  <si>
    <t>umItegcswr</t>
  </si>
  <si>
    <t>An'golhitheemu</t>
  </si>
  <si>
    <t>umItiLognwa</t>
  </si>
  <si>
    <t>Un'goofaaru</t>
  </si>
  <si>
    <t>urWfUgnua</t>
  </si>
  <si>
    <t>3_/ urwfWvud</t>
  </si>
  <si>
    <t>Maakurathu</t>
  </si>
  <si>
    <t>utwrukWm</t>
  </si>
  <si>
    <t>Rasmaadhoo</t>
  </si>
  <si>
    <t>UdWmcswr</t>
  </si>
  <si>
    <t>Innamaadhoo</t>
  </si>
  <si>
    <t>UdWmwncnia</t>
  </si>
  <si>
    <t>Maduvvari</t>
  </si>
  <si>
    <t>irwvcauDwm</t>
  </si>
  <si>
    <t>In'guraidhoo</t>
  </si>
  <si>
    <t>Udiawrugnia</t>
  </si>
  <si>
    <t>Fainu</t>
  </si>
  <si>
    <t>uniawf</t>
  </si>
  <si>
    <t>Meedhoo</t>
  </si>
  <si>
    <t>UdIm</t>
  </si>
  <si>
    <t>Kinolhas</t>
  </si>
  <si>
    <t>cswLonik</t>
  </si>
  <si>
    <t>Hulhudhuffaaru</t>
  </si>
  <si>
    <t>urWfcauduLuh</t>
  </si>
  <si>
    <t>Kudarikilu</t>
  </si>
  <si>
    <t>ulikirwDuk</t>
  </si>
  <si>
    <t>Kamadhoo</t>
  </si>
  <si>
    <t>Udwmwk</t>
  </si>
  <si>
    <t>Kendhoo</t>
  </si>
  <si>
    <t>Udcnek</t>
  </si>
  <si>
    <t>Kihaadhoo</t>
  </si>
  <si>
    <t>UdWhik</t>
  </si>
  <si>
    <t>Dhonfanu</t>
  </si>
  <si>
    <t>unwfcnod</t>
  </si>
  <si>
    <t>Daravandhoo</t>
  </si>
  <si>
    <t>Udcnwvwrwd</t>
  </si>
  <si>
    <t>Maalhos</t>
  </si>
  <si>
    <t>csoLWm</t>
  </si>
  <si>
    <t>Eydhafushi</t>
  </si>
  <si>
    <t>iSufwdEa</t>
  </si>
  <si>
    <t>Thulhaadhoo</t>
  </si>
  <si>
    <t>UdWLut</t>
  </si>
  <si>
    <t>Hithaadhoo</t>
  </si>
  <si>
    <t>UdWtih</t>
  </si>
  <si>
    <t>Fulhadhoo</t>
  </si>
  <si>
    <t>UdwLuf</t>
  </si>
  <si>
    <t>Fehendhoo</t>
  </si>
  <si>
    <t>Udcnehef</t>
  </si>
  <si>
    <t>Hinnavaru</t>
  </si>
  <si>
    <t>urwvwncnih</t>
  </si>
  <si>
    <t>Naifaru</t>
  </si>
  <si>
    <t>urwfiawn</t>
  </si>
  <si>
    <t>Kurendhoo</t>
  </si>
  <si>
    <t>Udcneruk</t>
  </si>
  <si>
    <t>Olhuvelifushi</t>
  </si>
  <si>
    <t>iSufilevuLoa</t>
  </si>
  <si>
    <t>Maafilaafushi</t>
  </si>
  <si>
    <t>iSufWlifWm</t>
  </si>
  <si>
    <t>Kaashidhoo</t>
  </si>
  <si>
    <t>UdiSWk</t>
  </si>
  <si>
    <t>Gaafaru</t>
  </si>
  <si>
    <t>urwfWg</t>
  </si>
  <si>
    <t>Dhiffushi</t>
  </si>
  <si>
    <t>iSufcaid</t>
  </si>
  <si>
    <t>Thulusdhoo</t>
  </si>
  <si>
    <t>Udcsulut</t>
  </si>
  <si>
    <t>Huraa</t>
  </si>
  <si>
    <t>Wruh</t>
  </si>
  <si>
    <t>Himmafushi</t>
  </si>
  <si>
    <t>iSufwmcnih</t>
  </si>
  <si>
    <t>Gulhi</t>
  </si>
  <si>
    <t>iLug</t>
  </si>
  <si>
    <t>Maafushi</t>
  </si>
  <si>
    <t>iSufWm</t>
  </si>
  <si>
    <t>Guraidhoo</t>
  </si>
  <si>
    <t>Udiawrug</t>
  </si>
  <si>
    <t>Thoddoo</t>
  </si>
  <si>
    <t>UDcaot</t>
  </si>
  <si>
    <t>Rasdhoo</t>
  </si>
  <si>
    <t>Udcswr</t>
  </si>
  <si>
    <t>Ukulhas</t>
  </si>
  <si>
    <t>cswLukua</t>
  </si>
  <si>
    <t>Mathiveri</t>
  </si>
  <si>
    <t>irevitwm</t>
  </si>
  <si>
    <t>Bodufolhudhoo</t>
  </si>
  <si>
    <t>UduLofuDob</t>
  </si>
  <si>
    <t>Feridhoo</t>
  </si>
  <si>
    <t>Udiref</t>
  </si>
  <si>
    <t>Himandhoo</t>
  </si>
  <si>
    <t xml:space="preserve"> Udcnwmih</t>
  </si>
  <si>
    <t>Hangn'aameedhoo</t>
  </si>
  <si>
    <t>UdImWNcnwh</t>
  </si>
  <si>
    <t>Omadhoo</t>
  </si>
  <si>
    <t>Udwmoa</t>
  </si>
  <si>
    <t>Kun'burudhoo</t>
  </si>
  <si>
    <t>Mahibadhoo</t>
  </si>
  <si>
    <t>Udwbihwm</t>
  </si>
  <si>
    <t>Mandhoo</t>
  </si>
  <si>
    <t>Dhn'agethi</t>
  </si>
  <si>
    <t>itegnwd</t>
  </si>
  <si>
    <t>Dhigurah</t>
  </si>
  <si>
    <t>cSwrugid</t>
  </si>
  <si>
    <t>Fenfushi</t>
  </si>
  <si>
    <t>iSufcnef</t>
  </si>
  <si>
    <t>Maamigili</t>
  </si>
  <si>
    <t>iligimWm</t>
  </si>
  <si>
    <t>Udiluf</t>
  </si>
  <si>
    <t>Thinadhoo</t>
  </si>
  <si>
    <t>Udwnit</t>
  </si>
  <si>
    <t>Udilef</t>
  </si>
  <si>
    <t>Udoyek</t>
  </si>
  <si>
    <t>UdIkwr</t>
  </si>
  <si>
    <t>Raiymandhoo</t>
  </si>
  <si>
    <t>Udcnwmctwr</t>
  </si>
  <si>
    <t>Madifushi</t>
  </si>
  <si>
    <t>Veyvah</t>
  </si>
  <si>
    <t>cawvEv</t>
  </si>
  <si>
    <t>Mulah</t>
  </si>
  <si>
    <t>cawlum</t>
  </si>
  <si>
    <t>Muli</t>
  </si>
  <si>
    <t>ilum</t>
  </si>
  <si>
    <t>Naalaafushi</t>
  </si>
  <si>
    <t>iSufWlWn</t>
  </si>
  <si>
    <t>Kolhufushi</t>
  </si>
  <si>
    <t>iSufuLok</t>
  </si>
  <si>
    <t>Dhiggaru</t>
  </si>
  <si>
    <t>urwgcaid</t>
  </si>
  <si>
    <t>Feeali</t>
  </si>
  <si>
    <t>ilwaIf</t>
  </si>
  <si>
    <t>Biledhhdhoo</t>
  </si>
  <si>
    <t>Udcaelib</t>
  </si>
  <si>
    <t>Dharan'boodhoo</t>
  </si>
  <si>
    <t>UdUbwrwd</t>
  </si>
  <si>
    <t>Nilandhoo</t>
  </si>
  <si>
    <t>Udcnwlin</t>
  </si>
  <si>
    <t>Ban'didhoo</t>
  </si>
  <si>
    <t>UdiDnwb</t>
  </si>
  <si>
    <t>Rin'budhoo</t>
  </si>
  <si>
    <t>Udubnir</t>
  </si>
  <si>
    <t>Hulhudeli</t>
  </si>
  <si>
    <t>ileduLuh</t>
  </si>
  <si>
    <t>Vaani</t>
  </si>
  <si>
    <t>inWv</t>
  </si>
  <si>
    <t>Maaen'boodhoo</t>
  </si>
  <si>
    <t>UdUbneaWm</t>
  </si>
  <si>
    <t>Kudahuvadhoo</t>
  </si>
  <si>
    <t>UdwvuhwDuk</t>
  </si>
  <si>
    <t>Buruni</t>
  </si>
  <si>
    <t>inurub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</si>
  <si>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</si>
  <si>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</si>
  <si>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</si>
  <si>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</si>
  <si>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</si>
  <si>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</si>
  <si>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</si>
  <si>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</si>
  <si>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</si>
  <si>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</si>
  <si>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</si>
  <si>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</si>
  <si>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</si>
  <si>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</t>
  </si>
  <si>
    <t>UDcnwmEv</t>
  </si>
  <si>
    <t>Kinbidhoo</t>
  </si>
  <si>
    <t>Udibnik</t>
  </si>
  <si>
    <t>Ishdhoo</t>
  </si>
  <si>
    <t>Udcsia</t>
  </si>
  <si>
    <t>Dhan'bidhoo</t>
  </si>
  <si>
    <t>Udibnwd</t>
  </si>
  <si>
    <t>Maabaidhoo</t>
  </si>
  <si>
    <t>UdiawbWm</t>
  </si>
  <si>
    <t>Mundoo</t>
  </si>
  <si>
    <t>UDcnum</t>
  </si>
  <si>
    <t>Kalhaidhoo</t>
  </si>
  <si>
    <t>UdiawLwk</t>
  </si>
  <si>
    <t>Gamu</t>
  </si>
  <si>
    <t>umwg</t>
  </si>
  <si>
    <t>Maavah</t>
  </si>
  <si>
    <t>cawvWm</t>
  </si>
  <si>
    <t>Fonadhoo</t>
  </si>
  <si>
    <t>Udwnof</t>
  </si>
  <si>
    <t>Gaadhoo</t>
  </si>
  <si>
    <t>UdWg</t>
  </si>
  <si>
    <t>Maamendhoo</t>
  </si>
  <si>
    <t>UdcnemWm</t>
  </si>
  <si>
    <t>Hithadhoo</t>
  </si>
  <si>
    <t>Udwtih</t>
  </si>
  <si>
    <t>Kunahandhoo</t>
  </si>
  <si>
    <t>Udcnwhwnuk</t>
  </si>
  <si>
    <t>Kolamaafushi</t>
  </si>
  <si>
    <t>iSufWmwlok</t>
  </si>
  <si>
    <t>Viligili</t>
  </si>
  <si>
    <t>iligiliv</t>
  </si>
  <si>
    <t>Dhaandhoo</t>
  </si>
  <si>
    <t>UdcnWd</t>
  </si>
  <si>
    <t>Devvadhoo</t>
  </si>
  <si>
    <t>Udwvcaed</t>
  </si>
  <si>
    <t>Kodey</t>
  </si>
  <si>
    <t>EDnok</t>
  </si>
  <si>
    <t xml:space="preserve">Dhiyadhoo 2_/  </t>
  </si>
  <si>
    <t xml:space="preserve"> 1_/ Udwyid</t>
  </si>
  <si>
    <t>Gemanafushi</t>
  </si>
  <si>
    <t>iSufwnwmeg</t>
  </si>
  <si>
    <t>Kandhuhulhudhoo</t>
  </si>
  <si>
    <t>UduLuhuDnwk</t>
  </si>
  <si>
    <t>Madaveli</t>
  </si>
  <si>
    <t>ilevwDwm</t>
  </si>
  <si>
    <t>Hoadhedhdhoo</t>
  </si>
  <si>
    <t>UdcaeDOh</t>
  </si>
  <si>
    <t>Nadallaa</t>
  </si>
  <si>
    <t>WlcawDwn</t>
  </si>
  <si>
    <t>Gadhdhoo</t>
  </si>
  <si>
    <t>Udcawg</t>
  </si>
  <si>
    <t>Rathafandhoo</t>
  </si>
  <si>
    <t>Udcnwfwtwr</t>
  </si>
  <si>
    <t>Fiyoari</t>
  </si>
  <si>
    <t>IrOyif</t>
  </si>
  <si>
    <t>Faresmaathoda</t>
  </si>
  <si>
    <t>WDotWmcserwf</t>
  </si>
  <si>
    <t>Fuvahmulah</t>
  </si>
  <si>
    <t>cawlumcawvuf</t>
  </si>
  <si>
    <t>Maradhoo</t>
  </si>
  <si>
    <t>Udwrwm</t>
  </si>
  <si>
    <t>Maradhoofeydhoo</t>
  </si>
  <si>
    <t>UdEfUdwrwm</t>
  </si>
  <si>
    <t>Hulhudhoo</t>
  </si>
  <si>
    <t>UduLuh</t>
  </si>
  <si>
    <t>FOOD SUBSIDY</t>
  </si>
  <si>
    <t xml:space="preserve">FOSTER PARENT ALLOWANCE </t>
  </si>
  <si>
    <t>މާކަނޑޫދޫ</t>
  </si>
  <si>
    <t>(b) irubunukeduluDwމcsoLWm</t>
  </si>
  <si>
    <t>Udcnwm</t>
  </si>
  <si>
    <t>Dhuvaafaru  3_/</t>
  </si>
  <si>
    <r>
      <t xml:space="preserve">Milandhoo </t>
    </r>
    <r>
      <rPr>
        <vertAlign val="superscript"/>
        <sz val="10"/>
        <rFont val="Calibri"/>
        <family val="2"/>
        <scheme val="minor"/>
      </rPr>
      <t>3_/</t>
    </r>
  </si>
  <si>
    <r>
      <t xml:space="preserve">Kandolhudhoo </t>
    </r>
    <r>
      <rPr>
        <vertAlign val="superscript"/>
        <sz val="10"/>
        <rFont val="Calibri"/>
        <family val="2"/>
        <scheme val="minor"/>
      </rPr>
      <t xml:space="preserve"> 2_/</t>
    </r>
  </si>
  <si>
    <r>
      <t xml:space="preserve">Vilufushi </t>
    </r>
    <r>
      <rPr>
        <vertAlign val="superscript"/>
        <sz val="10"/>
        <rFont val="Calibri"/>
        <family val="2"/>
        <scheme val="minor"/>
      </rPr>
      <t>2_/</t>
    </r>
  </si>
  <si>
    <r>
      <rPr>
        <i/>
        <vertAlign val="superscript"/>
        <sz val="9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Population relocated to other islands under population consolidation programme</t>
    </r>
  </si>
  <si>
    <r>
      <rPr>
        <i/>
        <vertAlign val="superscript"/>
        <sz val="9"/>
        <rFont val="Calibri"/>
        <family val="2"/>
        <scheme val="minor"/>
      </rPr>
      <t>2_/</t>
    </r>
    <r>
      <rPr>
        <i/>
        <sz val="9"/>
        <rFont val="Calibri"/>
        <family val="2"/>
        <scheme val="minor"/>
      </rPr>
      <t xml:space="preserve"> Population displaced to other islands due to tsunami </t>
    </r>
  </si>
  <si>
    <r>
      <rPr>
        <i/>
        <vertAlign val="superscript"/>
        <sz val="9"/>
        <rFont val="Calibri"/>
        <family val="2"/>
        <scheme val="minor"/>
      </rPr>
      <t>3_/</t>
    </r>
    <r>
      <rPr>
        <i/>
        <sz val="9"/>
        <rFont val="Calibri"/>
        <family val="2"/>
        <scheme val="minor"/>
      </rPr>
      <t xml:space="preserve"> Newly inhabited under population consolidation programme</t>
    </r>
  </si>
  <si>
    <t>މެޑިކަލް ވެލްފެއަރ (ބޭސްފަރުވާގެ އެހީ)</t>
  </si>
  <si>
    <t xml:space="preserve">Felidhoo </t>
  </si>
  <si>
    <t xml:space="preserve">Fulidhoo </t>
  </si>
  <si>
    <t xml:space="preserve">Keyodhoo </t>
  </si>
  <si>
    <t xml:space="preserve">Rakeedhoo </t>
  </si>
  <si>
    <t xml:space="preserve">Thinadhoo </t>
  </si>
  <si>
    <r>
      <t>3_/</t>
    </r>
    <r>
      <rPr>
        <sz val="10"/>
        <rFont val="A_Faseyha"/>
      </rPr>
      <t xml:space="preserve"> Udcnwlim</t>
    </r>
  </si>
  <si>
    <r>
      <t>2_/</t>
    </r>
    <r>
      <rPr>
        <sz val="10"/>
        <rFont val="A_Faseyha"/>
      </rPr>
      <t xml:space="preserve"> UduLodnwk</t>
    </r>
  </si>
  <si>
    <r>
      <t>2_/</t>
    </r>
    <r>
      <rPr>
        <sz val="10"/>
        <rFont val="A_Faseyha"/>
      </rPr>
      <t xml:space="preserve"> iSufuliv</t>
    </r>
  </si>
  <si>
    <r>
      <t xml:space="preserve">iawfevulwdwb cSwSwrcSwrcnehea cnuhIm cnuSwd egcmWrcgorcp egumurukcswfcaea IdWbWa </t>
    </r>
    <r>
      <rPr>
        <vertAlign val="superscript"/>
        <sz val="9"/>
        <rFont val="A_Faseyha"/>
      </rPr>
      <t>1_/</t>
    </r>
  </si>
  <si>
    <r>
      <t xml:space="preserve">iawfevulwdwb cSwSwrcSwrcnehea cnuhIm cnegiLugiaWaImWnus </t>
    </r>
    <r>
      <rPr>
        <vertAlign val="superscript"/>
        <sz val="9"/>
        <rFont val="A_Faseyha"/>
      </rPr>
      <t>2_/</t>
    </r>
  </si>
  <si>
    <r>
      <t xml:space="preserve">iawfiverukudWbWa cSwlwa cnuSwd egcmWrcgorcp egumurukcswfcaea IdWbWa </t>
    </r>
    <r>
      <rPr>
        <vertAlign val="superscript"/>
        <sz val="9"/>
        <rFont val="A_Faseyha"/>
      </rPr>
      <t>3_/</t>
    </r>
  </si>
  <si>
    <t>މަޑިފުށި</t>
  </si>
  <si>
    <t xml:space="preserve">Firunbaidhoo </t>
  </si>
  <si>
    <t>ފިރުބައިދޫ</t>
  </si>
  <si>
    <t>ތާވަލް 18.19: އިޖްތިމާއީ ރައްކާތެރިކަމުގެ ދަށުން ރަށްރަށުން ޙިދުމަތްދެވިފައިވާ މީހުންގެ އަދަދު، 2021</t>
  </si>
  <si>
    <t>Table 18.19 :  NUMBER OF PERSONS COVERED UNDER DIFFERENT SOCIAL PROTECTION SCHEMES BY ISLAND, 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</si>
</sst>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7" formatCode="General_)"/>
  </numFmts>
  <fonts count="3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9"/>
      <color theme="1"/>
      <name val="Faruma"/>
    </font>
    <font>
      <sz val="10"/>
      <name val="Courier"/>
      <family val="3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charset val="1"/>
      <scheme val="minor"/>
    </font>
    <font>
      <b/>
      <sz val="10"/>
      <name val="Calibri"/>
      <family val="2"/>
      <charset val="1"/>
      <scheme val="minor"/>
    </font>
    <font>
      <b/>
      <sz val="11"/>
      <name val="Faruma"/>
    </font>
    <font>
      <b/>
      <sz val="9"/>
      <name val="Faruma"/>
    </font>
    <font>
      <sz val="9"/>
      <name val="Faruma"/>
    </font>
    <font>
      <sz val="10"/>
      <name val="Faruma"/>
    </font>
    <font>
      <vertAlign val="superscript"/>
      <sz val="10"/>
      <name val="Calibri"/>
      <family val="2"/>
      <scheme val="minor"/>
    </font>
    <font>
      <i/>
      <sz val="10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  <charset val="1"/>
      <scheme val="minor"/>
    </font>
    <font>
      <b/>
      <sz val="11"/>
      <name val="Calibri"/>
      <family val="2"/>
      <charset val="1"/>
      <scheme val="minor"/>
    </font>
    <font>
      <sz val="10"/>
      <name val="A_Faseyha"/>
    </font>
    <font>
      <b/>
      <sz val="9"/>
      <name val="A_Faseyha"/>
    </font>
    <font>
      <b/>
      <sz val="10"/>
      <name val="A_Faseyha"/>
    </font>
    <font>
      <vertAlign val="superscript"/>
      <sz val="10"/>
      <name val="A_Faseyha"/>
    </font>
    <font>
      <sz val="9"/>
      <name val="A_Faseyha"/>
    </font>
    <font>
      <vertAlign val="superscript"/>
      <sz val="9"/>
      <name val="A_Faseyha"/>
    </font>
    <font>
      <sz val="11"/>
      <name val="A_Faseyha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</borders>
  <cellStyleXfs count="22">
    <xf numFmtId="0" fontId="0" fillId="0" borderId="0"/>
    <xf numFmtId="0" fontId="4" fillId="0" borderId="1"/>
    <xf numFmtId="164" fontId="6" fillId="0" borderId="1"/>
    <xf numFmtId="0" fontId="1" fillId="0" borderId="1"/>
    <xf numFmtId="0" fontId="6" fillId="0" borderId="1"/>
    <xf numFmtId="0" fontId="1" fillId="0" borderId="1"/>
    <xf numFmtId="43" fontId="3" fillId="0" borderId="1" applyFont="0" applyFill="0" applyBorder="0" applyAlignment="0" applyProtection="0"/>
    <xf numFmtId="43" fontId="3" fillId="0" borderId="1" applyFont="0" applyFill="0" applyBorder="0" applyAlignment="0" applyProtection="0"/>
    <xf numFmtId="0" fontId="3" fillId="0" borderId="1"/>
    <xf numFmtId="0" fontId="35" fillId="0" borderId="1"/>
    <xf numFmtId="0" fontId="36" fillId="0" borderId="1" applyFill="0" applyProtection="0"/>
    <xf numFmtId="0" fontId="37" fillId="0" borderId="1"/>
    <xf numFmtId="0" fontId="37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</cellStyleXfs>
  <cellXfs count="103">
    <xf numFmtId="0" fontId="0" fillId="0" borderId="0" xfId="0"/>
    <xf numFmtId="167" fontId="9" fillId="2" borderId="12" xfId="2" applyNumberFormat="1" applyFont="1" applyFill="1" applyBorder="1" applyAlignment="1">
      <alignment horizontal="right" vertical="center" wrapText="1"/>
    </xf>
    <xf numFmtId="167" fontId="9" fillId="2" borderId="13" xfId="2" applyNumberFormat="1" applyFont="1" applyFill="1" applyBorder="1" applyAlignment="1">
      <alignment horizontal="right" vertical="center" wrapText="1"/>
    </xf>
    <xf numFmtId="167" fontId="9" fillId="2" borderId="1" xfId="2" applyNumberFormat="1" applyFont="1" applyFill="1" applyAlignment="1">
      <alignment horizontal="left" vertical="center"/>
    </xf>
    <xf numFmtId="167" fontId="13" fillId="2" borderId="1" xfId="2" applyNumberFormat="1" applyFont="1" applyFill="1" applyAlignment="1">
      <alignment horizontal="left" vertical="center"/>
    </xf>
    <xf numFmtId="167" fontId="8" fillId="2" borderId="1" xfId="0" applyNumberFormat="1" applyFont="1" applyFill="1" applyBorder="1"/>
    <xf numFmtId="167" fontId="14" fillId="2" borderId="0" xfId="0" applyNumberFormat="1" applyFont="1" applyFill="1"/>
    <xf numFmtId="167" fontId="14" fillId="2" borderId="1" xfId="0" applyNumberFormat="1" applyFont="1" applyFill="1" applyBorder="1"/>
    <xf numFmtId="167" fontId="15" fillId="2" borderId="2" xfId="2" applyNumberFormat="1" applyFont="1" applyFill="1" applyBorder="1" applyAlignment="1">
      <alignment horizontal="left" vertical="center"/>
    </xf>
    <xf numFmtId="167" fontId="10" fillId="2" borderId="2" xfId="2" applyNumberFormat="1" applyFont="1" applyFill="1" applyBorder="1" applyAlignment="1">
      <alignment horizontal="right" vertical="top" wrapText="1"/>
    </xf>
    <xf numFmtId="167" fontId="10" fillId="2" borderId="9" xfId="2" applyNumberFormat="1" applyFont="1" applyFill="1" applyBorder="1" applyAlignment="1">
      <alignment horizontal="right" vertical="top" wrapText="1"/>
    </xf>
    <xf numFmtId="167" fontId="10" fillId="2" borderId="10" xfId="2" applyNumberFormat="1" applyFont="1" applyFill="1" applyBorder="1" applyAlignment="1">
      <alignment horizontal="right" vertical="top" wrapText="1"/>
    </xf>
    <xf numFmtId="3" fontId="9" fillId="2" borderId="1" xfId="1" applyNumberFormat="1" applyFont="1" applyFill="1"/>
    <xf numFmtId="167" fontId="9" fillId="2" borderId="9" xfId="2" applyNumberFormat="1" applyFont="1" applyFill="1" applyBorder="1" applyAlignment="1">
      <alignment horizontal="right" vertical="center" wrapText="1"/>
    </xf>
    <xf numFmtId="0" fontId="16" fillId="2" borderId="0" xfId="0" applyFont="1" applyFill="1"/>
    <xf numFmtId="0" fontId="17" fillId="2" borderId="0" xfId="0" applyFont="1" applyFill="1"/>
    <xf numFmtId="0" fontId="16" fillId="2" borderId="0" xfId="0" applyFont="1" applyFill="1" applyAlignment="1">
      <alignment horizontal="right"/>
    </xf>
    <xf numFmtId="0" fontId="9" fillId="2" borderId="0" xfId="0" applyFont="1" applyFill="1" applyAlignment="1">
      <alignment horizontal="right" vertical="center"/>
    </xf>
    <xf numFmtId="3" fontId="4" fillId="2" borderId="1" xfId="1" applyNumberFormat="1" applyFill="1"/>
    <xf numFmtId="0" fontId="19" fillId="2" borderId="3" xfId="0" applyFont="1" applyFill="1" applyBorder="1"/>
    <xf numFmtId="0" fontId="20" fillId="2" borderId="0" xfId="0" applyFont="1" applyFill="1"/>
    <xf numFmtId="0" fontId="19" fillId="2" borderId="1" xfId="0" applyFont="1" applyFill="1" applyBorder="1"/>
    <xf numFmtId="3" fontId="8" fillId="2" borderId="1" xfId="1" applyNumberFormat="1" applyFont="1" applyFill="1"/>
    <xf numFmtId="167" fontId="2" fillId="2" borderId="0" xfId="0" applyNumberFormat="1" applyFont="1" applyFill="1"/>
    <xf numFmtId="3" fontId="10" fillId="2" borderId="1" xfId="1" applyNumberFormat="1" applyFont="1" applyFill="1" applyAlignment="1">
      <alignment horizontal="right" vertical="center"/>
    </xf>
    <xf numFmtId="167" fontId="17" fillId="2" borderId="0" xfId="0" applyNumberFormat="1" applyFont="1" applyFill="1"/>
    <xf numFmtId="3" fontId="11" fillId="2" borderId="1" xfId="1" applyNumberFormat="1" applyFont="1" applyFill="1"/>
    <xf numFmtId="167" fontId="16" fillId="2" borderId="0" xfId="0" applyNumberFormat="1" applyFont="1" applyFill="1"/>
    <xf numFmtId="3" fontId="21" fillId="2" borderId="1" xfId="1" applyNumberFormat="1" applyFont="1" applyFill="1" applyAlignment="1">
      <alignment horizontal="right" vertical="center"/>
    </xf>
    <xf numFmtId="167" fontId="16" fillId="2" borderId="1" xfId="0" applyNumberFormat="1" applyFont="1" applyFill="1" applyBorder="1"/>
    <xf numFmtId="3" fontId="11" fillId="2" borderId="1" xfId="1" applyNumberFormat="1" applyFont="1" applyFill="1" applyAlignment="1">
      <alignment vertical="center"/>
    </xf>
    <xf numFmtId="3" fontId="23" fillId="2" borderId="1" xfId="1" applyNumberFormat="1" applyFont="1" applyFill="1" applyAlignment="1">
      <alignment vertical="center"/>
    </xf>
    <xf numFmtId="0" fontId="16" fillId="2" borderId="1" xfId="0" applyFont="1" applyFill="1" applyBorder="1"/>
    <xf numFmtId="3" fontId="11" fillId="2" borderId="2" xfId="1" applyNumberFormat="1" applyFont="1" applyFill="1" applyBorder="1"/>
    <xf numFmtId="3" fontId="13" fillId="2" borderId="1" xfId="1" applyNumberFormat="1" applyFont="1" applyFill="1" applyAlignment="1">
      <alignment vertical="center"/>
    </xf>
    <xf numFmtId="3" fontId="7" fillId="2" borderId="1" xfId="1" applyNumberFormat="1" applyFont="1" applyFill="1"/>
    <xf numFmtId="167" fontId="25" fillId="2" borderId="0" xfId="0" applyNumberFormat="1" applyFont="1" applyFill="1" applyAlignment="1">
      <alignment horizontal="right" vertical="center"/>
    </xf>
    <xf numFmtId="167" fontId="7" fillId="2" borderId="1" xfId="0" applyNumberFormat="1" applyFont="1" applyFill="1" applyBorder="1" applyAlignment="1">
      <alignment horizontal="right" vertical="center"/>
    </xf>
    <xf numFmtId="0" fontId="26" fillId="2" borderId="0" xfId="0" applyFont="1" applyFill="1"/>
    <xf numFmtId="0" fontId="26" fillId="2" borderId="0" xfId="0" applyFont="1" applyFill="1" applyAlignment="1">
      <alignment horizontal="right"/>
    </xf>
    <xf numFmtId="0" fontId="7" fillId="2" borderId="1" xfId="0" applyFont="1" applyFill="1" applyBorder="1" applyAlignment="1">
      <alignment horizontal="right" vertical="center"/>
    </xf>
    <xf numFmtId="167" fontId="20" fillId="2" borderId="1" xfId="4" applyNumberFormat="1" applyFont="1" applyFill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2" fillId="2" borderId="0" xfId="0" applyFont="1" applyFill="1"/>
    <xf numFmtId="0" fontId="27" fillId="2" borderId="0" xfId="0" applyFont="1" applyFill="1"/>
    <xf numFmtId="0" fontId="2" fillId="2" borderId="0" xfId="0" applyFont="1" applyFill="1" applyAlignment="1">
      <alignment horizontal="right"/>
    </xf>
    <xf numFmtId="0" fontId="12" fillId="2" borderId="1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37" fontId="9" fillId="2" borderId="1" xfId="7" applyNumberFormat="1" applyFont="1" applyFill="1" applyBorder="1" applyAlignment="1" applyProtection="1">
      <alignment horizontal="right" vertical="center"/>
    </xf>
    <xf numFmtId="37" fontId="9" fillId="2" borderId="5" xfId="7" applyNumberFormat="1" applyFont="1" applyFill="1" applyBorder="1" applyAlignment="1" applyProtection="1">
      <alignment horizontal="right" vertical="center"/>
    </xf>
    <xf numFmtId="37" fontId="9" fillId="2" borderId="11" xfId="7" applyNumberFormat="1" applyFont="1" applyFill="1" applyBorder="1" applyAlignment="1" applyProtection="1">
      <alignment horizontal="right" vertical="center"/>
    </xf>
    <xf numFmtId="0" fontId="28" fillId="2" borderId="0" xfId="0" applyFont="1" applyFill="1"/>
    <xf numFmtId="3" fontId="30" fillId="2" borderId="1" xfId="1" applyNumberFormat="1" applyFont="1" applyFill="1" applyAlignment="1">
      <alignment horizontal="right" vertical="center"/>
    </xf>
    <xf numFmtId="3" fontId="28" fillId="2" borderId="1" xfId="1" applyNumberFormat="1" applyFont="1" applyFill="1" applyAlignment="1">
      <alignment horizontal="right" vertical="center"/>
    </xf>
    <xf numFmtId="167" fontId="28" fillId="2" borderId="0" xfId="0" applyNumberFormat="1" applyFont="1" applyFill="1"/>
    <xf numFmtId="3" fontId="31" fillId="2" borderId="1" xfId="1" applyNumberFormat="1" applyFont="1" applyFill="1" applyAlignment="1">
      <alignment horizontal="right" vertical="center"/>
    </xf>
    <xf numFmtId="167" fontId="28" fillId="2" borderId="1" xfId="0" applyNumberFormat="1" applyFont="1" applyFill="1" applyBorder="1"/>
    <xf numFmtId="3" fontId="28" fillId="2" borderId="2" xfId="1" applyNumberFormat="1" applyFont="1" applyFill="1" applyBorder="1" applyAlignment="1">
      <alignment horizontal="right" vertical="center"/>
    </xf>
    <xf numFmtId="0" fontId="32" fillId="2" borderId="1" xfId="1" applyFont="1" applyFill="1" applyAlignment="1">
      <alignment horizontal="right" vertical="center"/>
    </xf>
    <xf numFmtId="0" fontId="34" fillId="2" borderId="0" xfId="0" applyFont="1" applyFill="1"/>
    <xf numFmtId="37" fontId="11" fillId="2" borderId="12" xfId="7" applyNumberFormat="1" applyFont="1" applyFill="1" applyBorder="1" applyAlignment="1">
      <alignment horizontal="right" vertical="center"/>
    </xf>
    <xf numFmtId="37" fontId="9" fillId="2" borderId="13" xfId="7" applyNumberFormat="1" applyFont="1" applyFill="1" applyBorder="1" applyAlignment="1" applyProtection="1">
      <alignment horizontal="right" vertical="center"/>
    </xf>
    <xf numFmtId="37" fontId="9" fillId="2" borderId="10" xfId="7" applyNumberFormat="1" applyFont="1" applyFill="1" applyBorder="1" applyAlignment="1" applyProtection="1">
      <alignment horizontal="right" vertical="center"/>
    </xf>
    <xf numFmtId="167" fontId="9" fillId="2" borderId="1" xfId="2" applyNumberFormat="1" applyFont="1" applyFill="1" applyAlignment="1">
      <alignment horizontal="right" vertical="center" wrapText="1"/>
    </xf>
    <xf numFmtId="167" fontId="9" fillId="2" borderId="2" xfId="2" applyNumberFormat="1" applyFont="1" applyFill="1" applyBorder="1" applyAlignment="1">
      <alignment horizontal="right" vertical="center" wrapText="1"/>
    </xf>
    <xf numFmtId="167" fontId="16" fillId="2" borderId="1" xfId="12" applyNumberFormat="1" applyFont="1" applyFill="1"/>
    <xf numFmtId="37" fontId="9" fillId="2" borderId="11" xfId="6" applyNumberFormat="1" applyFont="1" applyFill="1" applyBorder="1" applyAlignment="1">
      <alignment horizontal="right" vertical="center"/>
    </xf>
    <xf numFmtId="37" fontId="11" fillId="2" borderId="11" xfId="6" applyNumberFormat="1" applyFont="1" applyFill="1" applyBorder="1" applyAlignment="1">
      <alignment horizontal="right" vertical="center"/>
    </xf>
    <xf numFmtId="0" fontId="11" fillId="2" borderId="11" xfId="0" applyFont="1" applyFill="1" applyBorder="1" applyAlignment="1">
      <alignment horizontal="right"/>
    </xf>
    <xf numFmtId="37" fontId="11" fillId="2" borderId="14" xfId="6" applyNumberFormat="1" applyFont="1" applyFill="1" applyBorder="1" applyAlignment="1">
      <alignment horizontal="right" vertical="center"/>
    </xf>
    <xf numFmtId="37" fontId="11" fillId="2" borderId="11" xfId="7" applyNumberFormat="1" applyFont="1" applyFill="1" applyBorder="1" applyAlignment="1">
      <alignment horizontal="right" vertical="center"/>
    </xf>
    <xf numFmtId="164" fontId="11" fillId="2" borderId="11" xfId="17" applyNumberFormat="1" applyFont="1" applyFill="1" applyBorder="1" applyAlignment="1">
      <alignment horizontal="right"/>
    </xf>
    <xf numFmtId="0" fontId="11" fillId="2" borderId="11" xfId="18" applyFont="1" applyFill="1" applyBorder="1" applyAlignment="1">
      <alignment horizontal="right"/>
    </xf>
    <xf numFmtId="0" fontId="11" fillId="2" borderId="11" xfId="19" applyFont="1" applyFill="1" applyBorder="1" applyAlignment="1">
      <alignment horizontal="right"/>
    </xf>
    <xf numFmtId="0" fontId="11" fillId="2" borderId="11" xfId="20" applyFont="1" applyFill="1" applyBorder="1" applyAlignment="1">
      <alignment horizontal="right"/>
    </xf>
    <xf numFmtId="37" fontId="11" fillId="2" borderId="14" xfId="7" applyNumberFormat="1" applyFont="1" applyFill="1" applyBorder="1" applyAlignment="1">
      <alignment horizontal="right" vertical="center"/>
    </xf>
    <xf numFmtId="37" fontId="11" fillId="2" borderId="9" xfId="7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 wrapText="1"/>
    </xf>
    <xf numFmtId="0" fontId="5" fillId="2" borderId="7" xfId="0" applyFont="1" applyFill="1" applyBorder="1" applyAlignment="1">
      <alignment horizontal="right" vertical="center" wrapText="1"/>
    </xf>
    <xf numFmtId="167" fontId="7" fillId="2" borderId="1" xfId="2" applyNumberFormat="1" applyFont="1" applyFill="1" applyAlignment="1">
      <alignment horizontal="center" vertical="center" wrapText="1"/>
    </xf>
    <xf numFmtId="167" fontId="7" fillId="2" borderId="11" xfId="2" applyNumberFormat="1" applyFont="1" applyFill="1" applyBorder="1" applyAlignment="1">
      <alignment horizontal="right" vertical="center" wrapText="1"/>
    </xf>
    <xf numFmtId="167" fontId="7" fillId="2" borderId="14" xfId="2" applyNumberFormat="1" applyFont="1" applyFill="1" applyBorder="1" applyAlignment="1">
      <alignment horizontal="right" vertical="center" wrapText="1"/>
    </xf>
    <xf numFmtId="3" fontId="18" fillId="2" borderId="1" xfId="1" applyNumberFormat="1" applyFont="1" applyFill="1" applyAlignment="1">
      <alignment horizontal="center" vertical="center" readingOrder="2"/>
    </xf>
    <xf numFmtId="3" fontId="12" fillId="2" borderId="2" xfId="1" applyNumberFormat="1" applyFont="1" applyFill="1" applyBorder="1" applyAlignment="1">
      <alignment horizontal="center" vertical="center"/>
    </xf>
    <xf numFmtId="167" fontId="9" fillId="2" borderId="3" xfId="2" applyNumberFormat="1" applyFont="1" applyFill="1" applyBorder="1" applyAlignment="1">
      <alignment horizontal="center" vertical="center" wrapText="1"/>
    </xf>
    <xf numFmtId="167" fontId="9" fillId="2" borderId="1" xfId="2" applyNumberFormat="1" applyFont="1" applyFill="1" applyAlignment="1">
      <alignment horizontal="center" vertical="center" wrapText="1"/>
    </xf>
    <xf numFmtId="167" fontId="9" fillId="2" borderId="2" xfId="2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horizontal="right" vertical="center" wrapText="1"/>
    </xf>
    <xf numFmtId="0" fontId="10" fillId="2" borderId="5" xfId="0" applyFont="1" applyFill="1" applyBorder="1" applyAlignment="1">
      <alignment horizontal="center" wrapText="1"/>
    </xf>
    <xf numFmtId="0" fontId="10" fillId="2" borderId="8" xfId="0" applyFont="1" applyFill="1" applyBorder="1" applyAlignment="1">
      <alignment horizontal="center" wrapText="1"/>
    </xf>
    <xf numFmtId="3" fontId="29" fillId="2" borderId="3" xfId="1" applyNumberFormat="1" applyFont="1" applyFill="1" applyBorder="1" applyAlignment="1">
      <alignment horizontal="right" vertical="center" wrapText="1"/>
    </xf>
    <xf numFmtId="3" fontId="29" fillId="2" borderId="1" xfId="1" applyNumberFormat="1" applyFont="1" applyFill="1" applyAlignment="1">
      <alignment horizontal="right" vertical="center" wrapText="1"/>
    </xf>
    <xf numFmtId="3" fontId="29" fillId="2" borderId="2" xfId="1" applyNumberFormat="1" applyFont="1" applyFill="1" applyBorder="1" applyAlignment="1">
      <alignment horizontal="right" vertical="center" wrapText="1"/>
    </xf>
    <xf numFmtId="167" fontId="9" fillId="2" borderId="14" xfId="2" applyNumberFormat="1" applyFont="1" applyFill="1" applyBorder="1" applyAlignment="1">
      <alignment horizontal="right" vertical="center" wrapText="1"/>
    </xf>
    <xf numFmtId="167" fontId="9" fillId="2" borderId="15" xfId="2" applyNumberFormat="1" applyFont="1" applyFill="1" applyBorder="1" applyAlignment="1">
      <alignment horizontal="right" vertical="center" wrapText="1"/>
    </xf>
    <xf numFmtId="167" fontId="9" fillId="2" borderId="16" xfId="2" applyNumberFormat="1" applyFont="1" applyFill="1" applyBorder="1" applyAlignment="1">
      <alignment horizontal="right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167" fontId="9" fillId="2" borderId="17" xfId="2" applyNumberFormat="1" applyFont="1" applyFill="1" applyBorder="1" applyAlignment="1">
      <alignment horizontal="right" vertical="center" wrapText="1"/>
    </xf>
    <xf numFmtId="167" fontId="9" fillId="2" borderId="11" xfId="2" applyNumberFormat="1" applyFont="1" applyFill="1" applyBorder="1" applyAlignment="1">
      <alignment horizontal="right" vertical="center" wrapText="1"/>
    </xf>
  </cellXfs>
  <cellStyles count="22">
    <cellStyle name="Comma 23" xfId="7" xr:uid="{00000000-0005-0000-0000-000001000000}"/>
    <cellStyle name="Comma 3" xfId="6" xr:uid="{00000000-0005-0000-0000-000002000000}"/>
    <cellStyle name="Normal" xfId="0" builtinId="0"/>
    <cellStyle name="Normal 10" xfId="12" xr:uid="{00000000-0005-0000-0000-000004000000}"/>
    <cellStyle name="Normal 12" xfId="5" xr:uid="{00000000-0005-0000-0000-000005000000}"/>
    <cellStyle name="Normal 2" xfId="2" xr:uid="{00000000-0005-0000-0000-000006000000}"/>
    <cellStyle name="Normal 25" xfId="16" xr:uid="{00000000-0005-0000-0000-000007000000}"/>
    <cellStyle name="Normal 3" xfId="9" xr:uid="{00000000-0005-0000-0000-000008000000}"/>
    <cellStyle name="Normal 3 2" xfId="3" xr:uid="{00000000-0005-0000-0000-000009000000}"/>
    <cellStyle name="Normal 30" xfId="11" xr:uid="{00000000-0005-0000-0000-00000A000000}"/>
    <cellStyle name="Normal 30 2" xfId="17" xr:uid="{8CB7D01C-DD85-496B-BD11-D1776558F3C4}"/>
    <cellStyle name="Normal 39" xfId="18" xr:uid="{972F4BFA-9C5F-4CF5-816F-EC252FFDB201}"/>
    <cellStyle name="Normal 4" xfId="10" xr:uid="{00000000-0005-0000-0000-00000B000000}"/>
    <cellStyle name="Normal 40" xfId="19" xr:uid="{0613AE2C-83BE-4A4F-B0CC-2949951A75EC}"/>
    <cellStyle name="Normal 41" xfId="20" xr:uid="{425B46FD-B8A3-4FE6-AAF2-306F2E07F751}"/>
    <cellStyle name="Normal 44" xfId="21" xr:uid="{6C5CDDC4-C000-432D-BE85-6FFEDE896A02}"/>
    <cellStyle name="Normal 54" xfId="13" xr:uid="{00000000-0005-0000-0000-00000C000000}"/>
    <cellStyle name="Normal 58" xfId="15" xr:uid="{00000000-0005-0000-0000-00000D000000}"/>
    <cellStyle name="Normal 59" xfId="14" xr:uid="{00000000-0005-0000-0000-00000E000000}"/>
    <cellStyle name="Normal 8" xfId="8" xr:uid="{00000000-0005-0000-0000-00000F000000}"/>
    <cellStyle name="Normal_3 Population." xfId="4" xr:uid="{00000000-0005-0000-0000-000010000000}"/>
    <cellStyle name="Normal_II-15(Population) 2" xfId="1" xr:uid="{00000000-0005-0000-0000-000011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K252"/>
  <sheetViews>
    <sheetView tabSelected="1" zoomScaleNormal="100" workbookViewId="0">
      <selection activeCell="K16" sqref="K16"/>
    </sheetView>
  </sheetViews>
  <sheetFormatPr defaultColWidth="9.140625" defaultRowHeight="18" x14ac:dyDescent="0.45"/>
  <cols>
    <col min="1" max="1" width="26.5703125" style="43" customWidth="1"/>
    <col min="2" max="2" width="14.140625" style="44" customWidth="1"/>
    <col min="3" max="3" width="9.28515625" style="43" customWidth="1"/>
    <col min="4" max="4" width="11.7109375" style="45" customWidth="1"/>
    <col min="5" max="5" width="7.5703125" style="45" bestFit="1" customWidth="1"/>
    <col min="6" max="6" width="11.42578125" style="45" customWidth="1"/>
    <col min="7" max="7" width="10.7109375" style="45" customWidth="1"/>
    <col min="8" max="8" width="14.5703125" style="45" customWidth="1"/>
    <col min="9" max="9" width="12.7109375" style="47" customWidth="1"/>
    <col min="10" max="10" width="16" style="47" customWidth="1"/>
    <col min="11" max="11" width="27.42578125" style="59" customWidth="1"/>
    <col min="12" max="12" width="2.28515625" style="43" customWidth="1"/>
    <col min="13" max="16384" width="9.140625" style="43"/>
  </cols>
  <sheetData>
    <row r="1" spans="1:11" s="14" customFormat="1" ht="15.75" x14ac:dyDescent="0.4">
      <c r="B1" s="15"/>
      <c r="D1" s="16"/>
      <c r="E1" s="16"/>
      <c r="H1" s="16"/>
      <c r="I1" s="17"/>
      <c r="J1" s="17"/>
      <c r="K1" s="51"/>
    </row>
    <row r="2" spans="1:11" s="18" customFormat="1" ht="21" x14ac:dyDescent="0.2">
      <c r="A2" s="82" t="s">
        <v>438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1" s="18" customFormat="1" ht="15" x14ac:dyDescent="0.2">
      <c r="A3" s="83" t="s">
        <v>439</v>
      </c>
      <c r="B3" s="83"/>
      <c r="C3" s="83"/>
      <c r="D3" s="83"/>
      <c r="E3" s="83"/>
      <c r="F3" s="83"/>
      <c r="G3" s="83"/>
      <c r="H3" s="83"/>
      <c r="I3" s="83"/>
      <c r="J3" s="83"/>
      <c r="K3" s="83"/>
    </row>
    <row r="4" spans="1:11" s="20" customFormat="1" ht="17.25" customHeight="1" x14ac:dyDescent="0.45">
      <c r="A4" s="19"/>
      <c r="B4" s="84" t="s">
        <v>0</v>
      </c>
      <c r="C4" s="87" t="s">
        <v>2</v>
      </c>
      <c r="D4" s="89" t="s">
        <v>3</v>
      </c>
      <c r="E4" s="89"/>
      <c r="F4" s="91" t="s">
        <v>4</v>
      </c>
      <c r="G4" s="91"/>
      <c r="H4" s="77" t="s">
        <v>423</v>
      </c>
      <c r="I4" s="89" t="s">
        <v>5</v>
      </c>
      <c r="J4" s="99" t="s">
        <v>6</v>
      </c>
      <c r="K4" s="93" t="s">
        <v>7</v>
      </c>
    </row>
    <row r="5" spans="1:11" s="20" customFormat="1" ht="33.75" customHeight="1" x14ac:dyDescent="0.45">
      <c r="A5" s="21"/>
      <c r="B5" s="85"/>
      <c r="C5" s="88"/>
      <c r="D5" s="90"/>
      <c r="E5" s="90"/>
      <c r="F5" s="92"/>
      <c r="G5" s="92"/>
      <c r="H5" s="78"/>
      <c r="I5" s="90"/>
      <c r="J5" s="100"/>
      <c r="K5" s="94"/>
    </row>
    <row r="6" spans="1:11" s="6" customFormat="1" ht="12.75" customHeight="1" x14ac:dyDescent="0.2">
      <c r="A6" s="5"/>
      <c r="B6" s="85"/>
      <c r="C6" s="64" t="s">
        <v>8</v>
      </c>
      <c r="D6" s="96" t="s">
        <v>9</v>
      </c>
      <c r="E6" s="96"/>
      <c r="F6" s="97" t="s">
        <v>412</v>
      </c>
      <c r="G6" s="98"/>
      <c r="H6" s="80" t="s">
        <v>10</v>
      </c>
      <c r="I6" s="101" t="s">
        <v>65</v>
      </c>
      <c r="J6" s="79" t="s">
        <v>411</v>
      </c>
      <c r="K6" s="94"/>
    </row>
    <row r="7" spans="1:11" s="7" customFormat="1" ht="12.75" customHeight="1" x14ac:dyDescent="0.2">
      <c r="A7" s="22" t="s">
        <v>1</v>
      </c>
      <c r="B7" s="85"/>
      <c r="C7" s="63" t="s">
        <v>11</v>
      </c>
      <c r="D7" s="1" t="s">
        <v>12</v>
      </c>
      <c r="E7" s="2" t="s">
        <v>13</v>
      </c>
      <c r="F7" s="63" t="s">
        <v>12</v>
      </c>
      <c r="G7" s="2" t="s">
        <v>14</v>
      </c>
      <c r="H7" s="80"/>
      <c r="I7" s="102"/>
      <c r="J7" s="79"/>
      <c r="K7" s="94"/>
    </row>
    <row r="8" spans="1:11" s="23" customFormat="1" ht="18.75" x14ac:dyDescent="0.25">
      <c r="A8" s="8"/>
      <c r="B8" s="86"/>
      <c r="C8" s="9" t="s">
        <v>66</v>
      </c>
      <c r="D8" s="10" t="s">
        <v>15</v>
      </c>
      <c r="E8" s="11" t="s">
        <v>16</v>
      </c>
      <c r="F8" s="9" t="s">
        <v>17</v>
      </c>
      <c r="G8" s="11" t="s">
        <v>16</v>
      </c>
      <c r="H8" s="81"/>
      <c r="I8" s="96"/>
      <c r="J8" s="13"/>
      <c r="K8" s="95"/>
    </row>
    <row r="9" spans="1:11" s="25" customFormat="1" ht="18.75" x14ac:dyDescent="0.2">
      <c r="A9" s="3" t="s">
        <v>18</v>
      </c>
      <c r="B9" s="48">
        <f>SUM(C9:J9)</f>
        <v>375196</v>
      </c>
      <c r="C9" s="49">
        <f>C10+C11</f>
        <v>349727</v>
      </c>
      <c r="D9" s="49">
        <f>D10+D11</f>
        <v>3067</v>
      </c>
      <c r="E9" s="49">
        <f>E10+E11</f>
        <v>5290</v>
      </c>
      <c r="F9" s="49">
        <f>+F10+F11</f>
        <v>109</v>
      </c>
      <c r="G9" s="49">
        <f>+G10+G11</f>
        <v>144</v>
      </c>
      <c r="H9" s="49">
        <f t="shared" ref="H9:J9" si="0">H10+H11</f>
        <v>6590</v>
      </c>
      <c r="I9" s="49">
        <f>+I10+I11</f>
        <v>9646</v>
      </c>
      <c r="J9" s="49">
        <f t="shared" si="0"/>
        <v>623</v>
      </c>
      <c r="K9" s="24" t="s">
        <v>19</v>
      </c>
    </row>
    <row r="10" spans="1:11" s="25" customFormat="1" ht="18.75" x14ac:dyDescent="0.2">
      <c r="A10" s="12" t="s">
        <v>20</v>
      </c>
      <c r="B10" s="48">
        <f t="shared" ref="B10:B26" si="1">SUM(C10:J10)</f>
        <v>70251</v>
      </c>
      <c r="C10" s="66">
        <v>63123</v>
      </c>
      <c r="D10" s="66">
        <v>855</v>
      </c>
      <c r="E10" s="66">
        <v>1322</v>
      </c>
      <c r="F10" s="66">
        <v>17</v>
      </c>
      <c r="G10" s="66">
        <v>18</v>
      </c>
      <c r="H10" s="66">
        <v>1624</v>
      </c>
      <c r="I10" s="66">
        <v>3056</v>
      </c>
      <c r="J10" s="66">
        <v>236</v>
      </c>
      <c r="K10" s="24" t="s">
        <v>21</v>
      </c>
    </row>
    <row r="11" spans="1:11" s="25" customFormat="1" ht="18.75" x14ac:dyDescent="0.2">
      <c r="A11" s="3" t="s">
        <v>22</v>
      </c>
      <c r="B11" s="48">
        <f t="shared" si="1"/>
        <v>304945</v>
      </c>
      <c r="C11" s="50">
        <f>C12+C28+C45+C63+C78+C96+C111+C118+C129+C139+C151+C158+C169+C176+C185+C200+C214+C226+C237+C240</f>
        <v>286604</v>
      </c>
      <c r="D11" s="50">
        <f>D12+D28+D45+D63+D78+D96+D111+D118+D129+D139+D151+D158+D169+D176+D185+D200+D214+D226+D237+D240</f>
        <v>2212</v>
      </c>
      <c r="E11" s="50">
        <f>E12+E28+E45+E63+E78+E96+E111+E118+E129+E139+E151+E158+E169+E176+E185+E200+E214+E226+E237+E240</f>
        <v>3968</v>
      </c>
      <c r="F11" s="50">
        <f>+F12+F28+F45+F63+F78+F96+F111+F118+F129+F139+F151+F158+F169+F176+F185+F200+F214+F226+F237+F240</f>
        <v>92</v>
      </c>
      <c r="G11" s="50">
        <f>+G12+G28+G45+G63+G78+G96+G111+G118+G129+G139+G151+G158+G169+G176+G185+G200+G214+G226+G237+G240</f>
        <v>126</v>
      </c>
      <c r="H11" s="50">
        <f>H12+H28+H45+H63+H78+H96+H111+H118+H129+H139+H151+H158+H169+H176+H185+H200+H214+H226+H237+H240</f>
        <v>4966</v>
      </c>
      <c r="I11" s="50">
        <f>I12+I28+I45+I63+I78+I96+I111+I118+I129+I139+I151+I158+I169+I176+I185+I200+I214+I226+I237+I240</f>
        <v>6590</v>
      </c>
      <c r="J11" s="50">
        <f>J12+J28+J45+J63+J78+J96+J111+J118+J129+J139+J151+J158+J169+J176+J185+J200+J214+J226+J237+J240</f>
        <v>387</v>
      </c>
      <c r="K11" s="24" t="s">
        <v>23</v>
      </c>
    </row>
    <row r="12" spans="1:11" s="25" customFormat="1" ht="15.75" x14ac:dyDescent="0.2">
      <c r="A12" s="12" t="s">
        <v>24</v>
      </c>
      <c r="B12" s="48">
        <f t="shared" si="1"/>
        <v>22239</v>
      </c>
      <c r="C12" s="50">
        <f>SUM(C13:C26)</f>
        <v>20941</v>
      </c>
      <c r="D12" s="67">
        <f>SUM(D13:D26)</f>
        <v>111</v>
      </c>
      <c r="E12" s="67">
        <f t="shared" ref="E12:H12" si="2">SUM(E13:E26)</f>
        <v>194</v>
      </c>
      <c r="F12" s="67">
        <f t="shared" si="2"/>
        <v>2</v>
      </c>
      <c r="G12" s="67">
        <f t="shared" si="2"/>
        <v>2</v>
      </c>
      <c r="H12" s="67">
        <f t="shared" si="2"/>
        <v>474</v>
      </c>
      <c r="I12" s="50">
        <f>SUM(I13:I26)</f>
        <v>481</v>
      </c>
      <c r="J12" s="50">
        <f>SUM(J13:J26)</f>
        <v>34</v>
      </c>
      <c r="K12" s="52" t="s">
        <v>25</v>
      </c>
    </row>
    <row r="13" spans="1:11" s="27" customFormat="1" ht="15.75" x14ac:dyDescent="0.2">
      <c r="A13" s="26" t="s">
        <v>93</v>
      </c>
      <c r="B13" s="48">
        <f t="shared" si="1"/>
        <v>2033</v>
      </c>
      <c r="C13" s="67">
        <v>1907</v>
      </c>
      <c r="D13" s="67">
        <v>10</v>
      </c>
      <c r="E13" s="67">
        <v>18</v>
      </c>
      <c r="F13" s="67">
        <v>2</v>
      </c>
      <c r="G13" s="67">
        <v>2</v>
      </c>
      <c r="H13" s="67">
        <v>33</v>
      </c>
      <c r="I13" s="60">
        <v>42</v>
      </c>
      <c r="J13" s="70">
        <v>19</v>
      </c>
      <c r="K13" s="53" t="s">
        <v>94</v>
      </c>
    </row>
    <row r="14" spans="1:11" s="27" customFormat="1" ht="15.75" x14ac:dyDescent="0.2">
      <c r="A14" s="26" t="s">
        <v>81</v>
      </c>
      <c r="B14" s="48">
        <f t="shared" si="1"/>
        <v>4114</v>
      </c>
      <c r="C14" s="67">
        <v>3865</v>
      </c>
      <c r="D14" s="67">
        <v>23</v>
      </c>
      <c r="E14" s="67">
        <v>39</v>
      </c>
      <c r="F14" s="67">
        <v>0</v>
      </c>
      <c r="G14" s="67">
        <v>0</v>
      </c>
      <c r="H14" s="67">
        <v>75</v>
      </c>
      <c r="I14" s="60">
        <v>110</v>
      </c>
      <c r="J14" s="70">
        <v>2</v>
      </c>
      <c r="K14" s="53" t="s">
        <v>82</v>
      </c>
    </row>
    <row r="15" spans="1:11" s="27" customFormat="1" ht="15.75" x14ac:dyDescent="0.2">
      <c r="A15" s="26" t="s">
        <v>83</v>
      </c>
      <c r="B15" s="48">
        <f t="shared" si="1"/>
        <v>1013</v>
      </c>
      <c r="C15" s="67">
        <v>974</v>
      </c>
      <c r="D15" s="67">
        <v>4</v>
      </c>
      <c r="E15" s="67">
        <v>7</v>
      </c>
      <c r="F15" s="67">
        <v>0</v>
      </c>
      <c r="G15" s="67">
        <v>0</v>
      </c>
      <c r="H15" s="67">
        <v>13</v>
      </c>
      <c r="I15" s="60">
        <v>15</v>
      </c>
      <c r="J15" s="67">
        <v>0</v>
      </c>
      <c r="K15" s="53" t="s">
        <v>84</v>
      </c>
    </row>
    <row r="16" spans="1:11" s="27" customFormat="1" ht="15.75" x14ac:dyDescent="0.2">
      <c r="A16" s="26" t="s">
        <v>73</v>
      </c>
      <c r="B16" s="48">
        <f t="shared" si="1"/>
        <v>3447</v>
      </c>
      <c r="C16" s="67">
        <v>3203</v>
      </c>
      <c r="D16" s="67">
        <v>23</v>
      </c>
      <c r="E16" s="67">
        <v>40</v>
      </c>
      <c r="F16" s="67">
        <v>0</v>
      </c>
      <c r="G16" s="67">
        <v>0</v>
      </c>
      <c r="H16" s="67">
        <v>97</v>
      </c>
      <c r="I16" s="60">
        <v>84</v>
      </c>
      <c r="J16" s="67">
        <v>0</v>
      </c>
      <c r="K16" s="53" t="s">
        <v>74</v>
      </c>
    </row>
    <row r="17" spans="1:11" s="27" customFormat="1" ht="15" customHeight="1" x14ac:dyDescent="0.2">
      <c r="A17" s="26" t="s">
        <v>75</v>
      </c>
      <c r="B17" s="48">
        <f t="shared" si="1"/>
        <v>3443</v>
      </c>
      <c r="C17" s="67">
        <v>3183</v>
      </c>
      <c r="D17" s="67">
        <v>17</v>
      </c>
      <c r="E17" s="67">
        <v>28</v>
      </c>
      <c r="F17" s="67">
        <v>0</v>
      </c>
      <c r="G17" s="67">
        <v>0</v>
      </c>
      <c r="H17" s="67">
        <v>104</v>
      </c>
      <c r="I17" s="60">
        <v>103</v>
      </c>
      <c r="J17" s="70">
        <v>8</v>
      </c>
      <c r="K17" s="53" t="s">
        <v>76</v>
      </c>
    </row>
    <row r="18" spans="1:11" s="27" customFormat="1" ht="12.75" customHeight="1" x14ac:dyDescent="0.2">
      <c r="A18" s="26" t="s">
        <v>77</v>
      </c>
      <c r="B18" s="48">
        <f t="shared" si="1"/>
        <v>2150</v>
      </c>
      <c r="C18" s="67">
        <v>2049</v>
      </c>
      <c r="D18" s="67">
        <v>8</v>
      </c>
      <c r="E18" s="67">
        <v>19</v>
      </c>
      <c r="F18" s="67">
        <v>0</v>
      </c>
      <c r="G18" s="67">
        <v>0</v>
      </c>
      <c r="H18" s="67">
        <v>37</v>
      </c>
      <c r="I18" s="60">
        <v>37</v>
      </c>
      <c r="J18" s="67">
        <v>0</v>
      </c>
      <c r="K18" s="53" t="s">
        <v>78</v>
      </c>
    </row>
    <row r="19" spans="1:11" s="27" customFormat="1" ht="15.75" x14ac:dyDescent="0.2">
      <c r="A19" s="26" t="s">
        <v>85</v>
      </c>
      <c r="B19" s="48">
        <f t="shared" si="1"/>
        <v>982</v>
      </c>
      <c r="C19" s="67">
        <v>956</v>
      </c>
      <c r="D19" s="67">
        <v>2</v>
      </c>
      <c r="E19" s="67">
        <v>4</v>
      </c>
      <c r="F19" s="67">
        <v>0</v>
      </c>
      <c r="G19" s="67">
        <v>0</v>
      </c>
      <c r="H19" s="67">
        <v>9</v>
      </c>
      <c r="I19" s="60">
        <v>11</v>
      </c>
      <c r="J19" s="67">
        <v>0</v>
      </c>
      <c r="K19" s="53" t="s">
        <v>86</v>
      </c>
    </row>
    <row r="20" spans="1:11" s="27" customFormat="1" ht="15.75" x14ac:dyDescent="0.2">
      <c r="A20" s="26" t="s">
        <v>71</v>
      </c>
      <c r="B20" s="48">
        <f t="shared" si="1"/>
        <v>381</v>
      </c>
      <c r="C20" s="67">
        <v>363</v>
      </c>
      <c r="D20" s="67">
        <v>4</v>
      </c>
      <c r="E20" s="67">
        <v>5</v>
      </c>
      <c r="F20" s="67">
        <v>0</v>
      </c>
      <c r="G20" s="67">
        <v>0</v>
      </c>
      <c r="H20" s="67">
        <v>5</v>
      </c>
      <c r="I20" s="60">
        <v>4</v>
      </c>
      <c r="J20" s="67">
        <v>0</v>
      </c>
      <c r="K20" s="53" t="s">
        <v>72</v>
      </c>
    </row>
    <row r="21" spans="1:11" s="27" customFormat="1" ht="15.75" x14ac:dyDescent="0.2">
      <c r="A21" s="26" t="s">
        <v>91</v>
      </c>
      <c r="B21" s="48">
        <f t="shared" si="1"/>
        <v>862</v>
      </c>
      <c r="C21" s="67">
        <v>810</v>
      </c>
      <c r="D21" s="67">
        <v>6</v>
      </c>
      <c r="E21" s="67">
        <v>12</v>
      </c>
      <c r="F21" s="67">
        <v>0</v>
      </c>
      <c r="G21" s="67">
        <v>0</v>
      </c>
      <c r="H21" s="67">
        <v>18</v>
      </c>
      <c r="I21" s="60">
        <v>16</v>
      </c>
      <c r="J21" s="67">
        <v>0</v>
      </c>
      <c r="K21" s="53" t="s">
        <v>92</v>
      </c>
    </row>
    <row r="22" spans="1:11" s="27" customFormat="1" ht="15.75" x14ac:dyDescent="0.2">
      <c r="A22" s="26" t="s">
        <v>87</v>
      </c>
      <c r="B22" s="48">
        <f t="shared" si="1"/>
        <v>869</v>
      </c>
      <c r="C22" s="67">
        <v>841</v>
      </c>
      <c r="D22" s="67">
        <v>2</v>
      </c>
      <c r="E22" s="67">
        <v>3</v>
      </c>
      <c r="F22" s="67">
        <v>0</v>
      </c>
      <c r="G22" s="67">
        <v>0</v>
      </c>
      <c r="H22" s="67">
        <v>17</v>
      </c>
      <c r="I22" s="60">
        <v>6</v>
      </c>
      <c r="J22" s="67">
        <v>0</v>
      </c>
      <c r="K22" s="53" t="s">
        <v>88</v>
      </c>
    </row>
    <row r="23" spans="1:11" s="27" customFormat="1" ht="15.75" x14ac:dyDescent="0.2">
      <c r="A23" s="26" t="s">
        <v>67</v>
      </c>
      <c r="B23" s="48">
        <f t="shared" si="1"/>
        <v>668</v>
      </c>
      <c r="C23" s="67">
        <v>629</v>
      </c>
      <c r="D23" s="67">
        <v>0</v>
      </c>
      <c r="E23" s="67">
        <v>0</v>
      </c>
      <c r="F23" s="67">
        <v>0</v>
      </c>
      <c r="G23" s="67">
        <v>0</v>
      </c>
      <c r="H23" s="67">
        <v>16</v>
      </c>
      <c r="I23" s="60">
        <v>23</v>
      </c>
      <c r="J23" s="67">
        <v>0</v>
      </c>
      <c r="K23" s="53" t="s">
        <v>68</v>
      </c>
    </row>
    <row r="24" spans="1:11" s="27" customFormat="1" ht="15.75" x14ac:dyDescent="0.2">
      <c r="A24" s="26" t="s">
        <v>69</v>
      </c>
      <c r="B24" s="48">
        <f t="shared" si="1"/>
        <v>513</v>
      </c>
      <c r="C24" s="67">
        <v>475</v>
      </c>
      <c r="D24" s="67">
        <v>8</v>
      </c>
      <c r="E24" s="67">
        <v>12</v>
      </c>
      <c r="F24" s="67">
        <v>0</v>
      </c>
      <c r="G24" s="67">
        <v>0</v>
      </c>
      <c r="H24" s="67">
        <v>4</v>
      </c>
      <c r="I24" s="60">
        <v>9</v>
      </c>
      <c r="J24" s="70">
        <v>5</v>
      </c>
      <c r="K24" s="53" t="s">
        <v>70</v>
      </c>
    </row>
    <row r="25" spans="1:11" s="27" customFormat="1" ht="15.75" x14ac:dyDescent="0.2">
      <c r="A25" s="26" t="s">
        <v>89</v>
      </c>
      <c r="B25" s="48">
        <f t="shared" si="1"/>
        <v>894</v>
      </c>
      <c r="C25" s="67">
        <v>855</v>
      </c>
      <c r="D25" s="67">
        <v>1</v>
      </c>
      <c r="E25" s="67">
        <v>1</v>
      </c>
      <c r="F25" s="67">
        <v>0</v>
      </c>
      <c r="G25" s="67">
        <v>0</v>
      </c>
      <c r="H25" s="67">
        <v>30</v>
      </c>
      <c r="I25" s="60">
        <v>7</v>
      </c>
      <c r="J25" s="67">
        <v>0</v>
      </c>
      <c r="K25" s="53" t="s">
        <v>90</v>
      </c>
    </row>
    <row r="26" spans="1:11" s="27" customFormat="1" ht="15.75" x14ac:dyDescent="0.2">
      <c r="A26" s="26" t="s">
        <v>79</v>
      </c>
      <c r="B26" s="48">
        <f t="shared" si="1"/>
        <v>870</v>
      </c>
      <c r="C26" s="67">
        <v>831</v>
      </c>
      <c r="D26" s="67">
        <v>3</v>
      </c>
      <c r="E26" s="67">
        <v>6</v>
      </c>
      <c r="F26" s="67">
        <v>0</v>
      </c>
      <c r="G26" s="67">
        <v>0</v>
      </c>
      <c r="H26" s="67">
        <v>16</v>
      </c>
      <c r="I26" s="60">
        <v>14</v>
      </c>
      <c r="J26" s="67">
        <v>0</v>
      </c>
      <c r="K26" s="53" t="s">
        <v>80</v>
      </c>
    </row>
    <row r="27" spans="1:11" s="27" customFormat="1" ht="15.75" x14ac:dyDescent="0.2">
      <c r="A27" s="26"/>
      <c r="B27" s="48"/>
      <c r="C27" s="60"/>
      <c r="D27" s="67"/>
      <c r="E27" s="67"/>
      <c r="F27" s="67"/>
      <c r="G27" s="67"/>
      <c r="H27" s="67"/>
      <c r="I27" s="67"/>
      <c r="J27" s="67"/>
      <c r="K27" s="53"/>
    </row>
    <row r="28" spans="1:11" s="27" customFormat="1" ht="15.75" x14ac:dyDescent="0.2">
      <c r="A28" s="12" t="s">
        <v>26</v>
      </c>
      <c r="B28" s="48">
        <f t="shared" ref="B28:B43" si="3">SUM(C28:J28)</f>
        <v>26381</v>
      </c>
      <c r="C28" s="50">
        <f>SUM(C29:C43)</f>
        <v>24690</v>
      </c>
      <c r="D28" s="67">
        <f>SUM(D29:D43)</f>
        <v>225</v>
      </c>
      <c r="E28" s="67">
        <f>SUM(E29:E43)</f>
        <v>420</v>
      </c>
      <c r="F28" s="67">
        <f t="shared" ref="F28:G28" si="4">SUM(F29:F43)</f>
        <v>3</v>
      </c>
      <c r="G28" s="67">
        <f t="shared" si="4"/>
        <v>3</v>
      </c>
      <c r="H28" s="67">
        <f>SUM(H29:H43)</f>
        <v>311</v>
      </c>
      <c r="I28" s="67">
        <f>SUM(I29:I43)</f>
        <v>675</v>
      </c>
      <c r="J28" s="67">
        <f>SUM(J29:J43)</f>
        <v>54</v>
      </c>
      <c r="K28" s="52" t="s">
        <v>27</v>
      </c>
    </row>
    <row r="29" spans="1:11" s="27" customFormat="1" ht="15.75" x14ac:dyDescent="0.2">
      <c r="A29" s="26" t="s">
        <v>97</v>
      </c>
      <c r="B29" s="48">
        <f t="shared" si="3"/>
        <v>539</v>
      </c>
      <c r="C29" s="71">
        <v>517</v>
      </c>
      <c r="D29" s="70">
        <v>1</v>
      </c>
      <c r="E29" s="70">
        <v>2</v>
      </c>
      <c r="F29" s="67">
        <v>0</v>
      </c>
      <c r="G29" s="67">
        <v>0</v>
      </c>
      <c r="H29" s="67">
        <v>8</v>
      </c>
      <c r="I29" s="60">
        <v>11</v>
      </c>
      <c r="J29" s="67">
        <v>0</v>
      </c>
      <c r="K29" s="53" t="s">
        <v>98</v>
      </c>
    </row>
    <row r="30" spans="1:11" s="27" customFormat="1" ht="15.75" x14ac:dyDescent="0.2">
      <c r="A30" s="26" t="s">
        <v>95</v>
      </c>
      <c r="B30" s="48">
        <f t="shared" si="3"/>
        <v>2174</v>
      </c>
      <c r="C30" s="71">
        <v>2025</v>
      </c>
      <c r="D30" s="70">
        <v>23</v>
      </c>
      <c r="E30" s="70">
        <v>51</v>
      </c>
      <c r="F30" s="67">
        <v>0</v>
      </c>
      <c r="G30" s="67">
        <v>0</v>
      </c>
      <c r="H30" s="67">
        <v>34</v>
      </c>
      <c r="I30" s="60">
        <v>41</v>
      </c>
      <c r="J30" s="67">
        <v>0</v>
      </c>
      <c r="K30" s="53" t="s">
        <v>96</v>
      </c>
    </row>
    <row r="31" spans="1:11" s="27" customFormat="1" ht="15.75" x14ac:dyDescent="0.2">
      <c r="A31" s="26" t="s">
        <v>101</v>
      </c>
      <c r="B31" s="48">
        <f t="shared" si="3"/>
        <v>468</v>
      </c>
      <c r="C31" s="71">
        <v>450</v>
      </c>
      <c r="D31" s="70">
        <v>2</v>
      </c>
      <c r="E31" s="70">
        <v>4</v>
      </c>
      <c r="F31" s="67">
        <v>0</v>
      </c>
      <c r="G31" s="67">
        <v>0</v>
      </c>
      <c r="H31" s="67">
        <v>6</v>
      </c>
      <c r="I31" s="60">
        <v>6</v>
      </c>
      <c r="J31" s="67">
        <v>0</v>
      </c>
      <c r="K31" s="53" t="s">
        <v>102</v>
      </c>
    </row>
    <row r="32" spans="1:11" s="27" customFormat="1" ht="15.75" x14ac:dyDescent="0.2">
      <c r="A32" s="26" t="s">
        <v>113</v>
      </c>
      <c r="B32" s="48">
        <f t="shared" si="3"/>
        <v>9758</v>
      </c>
      <c r="C32" s="71">
        <v>9072</v>
      </c>
      <c r="D32" s="70">
        <v>101</v>
      </c>
      <c r="E32" s="70">
        <v>176</v>
      </c>
      <c r="F32" s="70">
        <v>1</v>
      </c>
      <c r="G32" s="70">
        <v>1</v>
      </c>
      <c r="H32" s="67">
        <v>95</v>
      </c>
      <c r="I32" s="60">
        <v>287</v>
      </c>
      <c r="J32" s="70">
        <v>25</v>
      </c>
      <c r="K32" s="53" t="s">
        <v>114</v>
      </c>
    </row>
    <row r="33" spans="1:11" s="27" customFormat="1" ht="15.75" x14ac:dyDescent="0.2">
      <c r="A33" s="26" t="s">
        <v>115</v>
      </c>
      <c r="B33" s="48">
        <f t="shared" si="3"/>
        <v>1397</v>
      </c>
      <c r="C33" s="71">
        <v>1285</v>
      </c>
      <c r="D33" s="70">
        <v>16</v>
      </c>
      <c r="E33" s="70">
        <v>32</v>
      </c>
      <c r="F33" s="67">
        <v>0</v>
      </c>
      <c r="G33" s="67">
        <v>0</v>
      </c>
      <c r="H33" s="67">
        <v>25</v>
      </c>
      <c r="I33" s="60">
        <v>34</v>
      </c>
      <c r="J33" s="70">
        <v>5</v>
      </c>
      <c r="K33" s="53" t="s">
        <v>116</v>
      </c>
    </row>
    <row r="34" spans="1:11" s="27" customFormat="1" ht="15.75" x14ac:dyDescent="0.2">
      <c r="A34" s="26" t="s">
        <v>111</v>
      </c>
      <c r="B34" s="48">
        <f t="shared" si="3"/>
        <v>13</v>
      </c>
      <c r="C34" s="71">
        <v>2</v>
      </c>
      <c r="D34" s="67">
        <v>0</v>
      </c>
      <c r="E34" s="67">
        <v>0</v>
      </c>
      <c r="F34" s="67">
        <v>0</v>
      </c>
      <c r="G34" s="67">
        <v>0</v>
      </c>
      <c r="H34" s="67">
        <v>1</v>
      </c>
      <c r="I34" s="60">
        <v>10</v>
      </c>
      <c r="J34" s="67">
        <v>0</v>
      </c>
      <c r="K34" s="53" t="s">
        <v>112</v>
      </c>
    </row>
    <row r="35" spans="1:11" s="27" customFormat="1" ht="15.75" x14ac:dyDescent="0.2">
      <c r="A35" s="26" t="s">
        <v>109</v>
      </c>
      <c r="B35" s="48">
        <f t="shared" si="3"/>
        <v>730</v>
      </c>
      <c r="C35" s="71">
        <v>672</v>
      </c>
      <c r="D35" s="70">
        <v>5</v>
      </c>
      <c r="E35" s="70">
        <v>6</v>
      </c>
      <c r="F35" s="67">
        <v>0</v>
      </c>
      <c r="G35" s="67">
        <v>0</v>
      </c>
      <c r="H35" s="67">
        <v>6</v>
      </c>
      <c r="I35" s="60">
        <v>33</v>
      </c>
      <c r="J35" s="70">
        <v>8</v>
      </c>
      <c r="K35" s="53" t="s">
        <v>110</v>
      </c>
    </row>
    <row r="36" spans="1:11" s="27" customFormat="1" ht="15.75" x14ac:dyDescent="0.2">
      <c r="A36" s="26" t="s">
        <v>121</v>
      </c>
      <c r="B36" s="48">
        <f t="shared" si="3"/>
        <v>20</v>
      </c>
      <c r="C36" s="71">
        <v>19</v>
      </c>
      <c r="D36" s="67">
        <v>0</v>
      </c>
      <c r="E36" s="67">
        <v>0</v>
      </c>
      <c r="F36" s="67">
        <v>0</v>
      </c>
      <c r="G36" s="67">
        <v>0</v>
      </c>
      <c r="H36" s="67">
        <v>1</v>
      </c>
      <c r="I36" s="67">
        <v>0</v>
      </c>
      <c r="J36" s="67">
        <v>0</v>
      </c>
      <c r="K36" s="53" t="s">
        <v>122</v>
      </c>
    </row>
    <row r="37" spans="1:11" s="27" customFormat="1" ht="15.75" x14ac:dyDescent="0.2">
      <c r="A37" s="26" t="s">
        <v>123</v>
      </c>
      <c r="B37" s="48">
        <f t="shared" si="3"/>
        <v>1733</v>
      </c>
      <c r="C37" s="71">
        <v>1628</v>
      </c>
      <c r="D37" s="70">
        <v>11</v>
      </c>
      <c r="E37" s="70">
        <v>20</v>
      </c>
      <c r="F37" s="67">
        <v>0</v>
      </c>
      <c r="G37" s="67">
        <v>0</v>
      </c>
      <c r="H37" s="67">
        <v>35</v>
      </c>
      <c r="I37" s="60">
        <v>39</v>
      </c>
      <c r="J37" s="67">
        <v>0</v>
      </c>
      <c r="K37" s="53" t="s">
        <v>124</v>
      </c>
    </row>
    <row r="38" spans="1:11" s="27" customFormat="1" ht="15.75" x14ac:dyDescent="0.2">
      <c r="A38" s="26" t="s">
        <v>99</v>
      </c>
      <c r="B38" s="48">
        <f t="shared" si="3"/>
        <v>795</v>
      </c>
      <c r="C38" s="71">
        <v>762</v>
      </c>
      <c r="D38" s="70">
        <v>5</v>
      </c>
      <c r="E38" s="70">
        <v>7</v>
      </c>
      <c r="F38" s="67">
        <v>0</v>
      </c>
      <c r="G38" s="67">
        <v>0</v>
      </c>
      <c r="H38" s="67">
        <v>8</v>
      </c>
      <c r="I38" s="60">
        <v>13</v>
      </c>
      <c r="J38" s="67">
        <v>0</v>
      </c>
      <c r="K38" s="53" t="s">
        <v>100</v>
      </c>
    </row>
    <row r="39" spans="1:11" s="27" customFormat="1" ht="15.75" x14ac:dyDescent="0.2">
      <c r="A39" s="26" t="s">
        <v>105</v>
      </c>
      <c r="B39" s="48">
        <f t="shared" si="3"/>
        <v>1217</v>
      </c>
      <c r="C39" s="71">
        <v>1175</v>
      </c>
      <c r="D39" s="70">
        <v>4</v>
      </c>
      <c r="E39" s="70">
        <v>4</v>
      </c>
      <c r="F39" s="70">
        <v>2</v>
      </c>
      <c r="G39" s="70">
        <v>2</v>
      </c>
      <c r="H39" s="67">
        <v>7</v>
      </c>
      <c r="I39" s="60">
        <v>23</v>
      </c>
      <c r="J39" s="67">
        <v>0</v>
      </c>
      <c r="K39" s="53" t="s">
        <v>106</v>
      </c>
    </row>
    <row r="40" spans="1:11" s="27" customFormat="1" ht="15.75" x14ac:dyDescent="0.2">
      <c r="A40" s="26" t="s">
        <v>117</v>
      </c>
      <c r="B40" s="48">
        <f t="shared" si="3"/>
        <v>1386</v>
      </c>
      <c r="C40" s="71">
        <v>1315</v>
      </c>
      <c r="D40" s="70">
        <v>11</v>
      </c>
      <c r="E40" s="70">
        <v>20</v>
      </c>
      <c r="F40" s="67">
        <v>0</v>
      </c>
      <c r="G40" s="67">
        <v>0</v>
      </c>
      <c r="H40" s="67">
        <v>16</v>
      </c>
      <c r="I40" s="60">
        <v>24</v>
      </c>
      <c r="J40" s="67">
        <v>0</v>
      </c>
      <c r="K40" s="53" t="s">
        <v>118</v>
      </c>
    </row>
    <row r="41" spans="1:11" s="27" customFormat="1" ht="15.75" x14ac:dyDescent="0.2">
      <c r="A41" s="26" t="s">
        <v>107</v>
      </c>
      <c r="B41" s="48">
        <f t="shared" si="3"/>
        <v>2619</v>
      </c>
      <c r="C41" s="71">
        <v>2461</v>
      </c>
      <c r="D41" s="70">
        <v>21</v>
      </c>
      <c r="E41" s="70">
        <v>43</v>
      </c>
      <c r="F41" s="67">
        <v>0</v>
      </c>
      <c r="G41" s="67">
        <v>0</v>
      </c>
      <c r="H41" s="67">
        <v>22</v>
      </c>
      <c r="I41" s="60">
        <v>72</v>
      </c>
      <c r="J41" s="67">
        <v>0</v>
      </c>
      <c r="K41" s="53" t="s">
        <v>108</v>
      </c>
    </row>
    <row r="42" spans="1:11" s="27" customFormat="1" ht="15.75" x14ac:dyDescent="0.2">
      <c r="A42" s="26" t="s">
        <v>103</v>
      </c>
      <c r="B42" s="48">
        <f t="shared" si="3"/>
        <v>1769</v>
      </c>
      <c r="C42" s="71">
        <v>1669</v>
      </c>
      <c r="D42" s="70">
        <v>13</v>
      </c>
      <c r="E42" s="70">
        <v>27</v>
      </c>
      <c r="F42" s="67">
        <v>0</v>
      </c>
      <c r="G42" s="67">
        <v>0</v>
      </c>
      <c r="H42" s="67">
        <v>15</v>
      </c>
      <c r="I42" s="60">
        <v>45</v>
      </c>
      <c r="J42" s="67">
        <v>0</v>
      </c>
      <c r="K42" s="53" t="s">
        <v>104</v>
      </c>
    </row>
    <row r="43" spans="1:11" s="27" customFormat="1" ht="15.75" x14ac:dyDescent="0.2">
      <c r="A43" s="26" t="s">
        <v>119</v>
      </c>
      <c r="B43" s="48">
        <f t="shared" si="3"/>
        <v>1763</v>
      </c>
      <c r="C43" s="71">
        <v>1638</v>
      </c>
      <c r="D43" s="70">
        <v>12</v>
      </c>
      <c r="E43" s="70">
        <v>28</v>
      </c>
      <c r="F43" s="67">
        <v>0</v>
      </c>
      <c r="G43" s="67">
        <v>0</v>
      </c>
      <c r="H43" s="67">
        <v>32</v>
      </c>
      <c r="I43" s="60">
        <v>37</v>
      </c>
      <c r="J43" s="70">
        <v>16</v>
      </c>
      <c r="K43" s="53" t="s">
        <v>120</v>
      </c>
    </row>
    <row r="44" spans="1:11" s="27" customFormat="1" ht="15.75" x14ac:dyDescent="0.4">
      <c r="A44" s="26"/>
      <c r="B44" s="48"/>
      <c r="C44" s="60"/>
      <c r="D44" s="68"/>
      <c r="E44" s="68"/>
      <c r="F44" s="68"/>
      <c r="G44" s="68"/>
      <c r="H44" s="68"/>
      <c r="I44" s="68"/>
      <c r="J44" s="68"/>
      <c r="K44" s="54"/>
    </row>
    <row r="45" spans="1:11" s="27" customFormat="1" ht="15.75" x14ac:dyDescent="0.2">
      <c r="A45" s="12" t="s">
        <v>28</v>
      </c>
      <c r="B45" s="48">
        <f t="shared" ref="B45:B61" si="5">SUM(C45:J45)</f>
        <v>17629</v>
      </c>
      <c r="C45" s="50">
        <f t="shared" ref="C45:J45" si="6">SUM(C46:C61)</f>
        <v>16661</v>
      </c>
      <c r="D45" s="50">
        <f t="shared" si="6"/>
        <v>105</v>
      </c>
      <c r="E45" s="50">
        <f t="shared" si="6"/>
        <v>182</v>
      </c>
      <c r="F45" s="50">
        <f t="shared" si="6"/>
        <v>2</v>
      </c>
      <c r="G45" s="50">
        <f t="shared" si="6"/>
        <v>2</v>
      </c>
      <c r="H45" s="50">
        <f>SUM(H46:H61)</f>
        <v>230</v>
      </c>
      <c r="I45" s="50">
        <f t="shared" si="6"/>
        <v>437</v>
      </c>
      <c r="J45" s="50">
        <f t="shared" si="6"/>
        <v>10</v>
      </c>
      <c r="K45" s="52" t="s">
        <v>29</v>
      </c>
    </row>
    <row r="46" spans="1:11" s="27" customFormat="1" ht="15.75" x14ac:dyDescent="0.2">
      <c r="A46" s="26" t="s">
        <v>135</v>
      </c>
      <c r="B46" s="48">
        <f t="shared" si="5"/>
        <v>702</v>
      </c>
      <c r="C46" s="67">
        <v>650</v>
      </c>
      <c r="D46" s="70">
        <v>3</v>
      </c>
      <c r="E46" s="70">
        <v>7</v>
      </c>
      <c r="F46" s="67">
        <v>0</v>
      </c>
      <c r="G46" s="67">
        <v>0</v>
      </c>
      <c r="H46" s="67">
        <v>11</v>
      </c>
      <c r="I46" s="60">
        <v>31</v>
      </c>
      <c r="J46" s="67">
        <v>0</v>
      </c>
      <c r="K46" s="53" t="s">
        <v>136</v>
      </c>
    </row>
    <row r="47" spans="1:11" s="27" customFormat="1" ht="15.75" x14ac:dyDescent="0.2">
      <c r="A47" s="26" t="s">
        <v>133</v>
      </c>
      <c r="B47" s="48">
        <f t="shared" si="5"/>
        <v>1087</v>
      </c>
      <c r="C47" s="67">
        <v>1023</v>
      </c>
      <c r="D47" s="70">
        <v>7</v>
      </c>
      <c r="E47" s="70">
        <v>9</v>
      </c>
      <c r="F47" s="67">
        <v>0</v>
      </c>
      <c r="G47" s="67">
        <v>0</v>
      </c>
      <c r="H47" s="67">
        <v>20</v>
      </c>
      <c r="I47" s="60">
        <v>24</v>
      </c>
      <c r="J47" s="70">
        <v>4</v>
      </c>
      <c r="K47" s="53" t="s">
        <v>134</v>
      </c>
    </row>
    <row r="48" spans="1:11" s="27" customFormat="1" ht="15.75" x14ac:dyDescent="0.2">
      <c r="A48" s="26" t="s">
        <v>131</v>
      </c>
      <c r="B48" s="48">
        <f t="shared" si="5"/>
        <v>1168</v>
      </c>
      <c r="C48" s="67">
        <v>1092</v>
      </c>
      <c r="D48" s="70">
        <v>15</v>
      </c>
      <c r="E48" s="70">
        <v>26</v>
      </c>
      <c r="F48" s="67">
        <v>0</v>
      </c>
      <c r="G48" s="67">
        <v>0</v>
      </c>
      <c r="H48" s="67">
        <v>7</v>
      </c>
      <c r="I48" s="60">
        <v>28</v>
      </c>
      <c r="J48" s="67">
        <v>0</v>
      </c>
      <c r="K48" s="53" t="s">
        <v>132</v>
      </c>
    </row>
    <row r="49" spans="1:11" s="27" customFormat="1" ht="18.75" hidden="1" x14ac:dyDescent="0.2">
      <c r="A49" s="26" t="s">
        <v>436</v>
      </c>
      <c r="B49" s="48">
        <f t="shared" si="5"/>
        <v>0</v>
      </c>
      <c r="C49" s="67">
        <v>0</v>
      </c>
      <c r="D49" s="67">
        <v>0</v>
      </c>
      <c r="E49" s="67">
        <v>0</v>
      </c>
      <c r="F49" s="67">
        <v>0</v>
      </c>
      <c r="G49" s="67">
        <v>0</v>
      </c>
      <c r="H49" s="67">
        <v>0</v>
      </c>
      <c r="I49" s="67">
        <v>0</v>
      </c>
      <c r="J49" s="67">
        <v>0</v>
      </c>
      <c r="K49" s="28" t="s">
        <v>437</v>
      </c>
    </row>
    <row r="50" spans="1:11" s="27" customFormat="1" ht="15.75" x14ac:dyDescent="0.2">
      <c r="A50" s="26" t="s">
        <v>137</v>
      </c>
      <c r="B50" s="48">
        <f t="shared" si="5"/>
        <v>1807</v>
      </c>
      <c r="C50" s="67">
        <v>1728</v>
      </c>
      <c r="D50" s="70">
        <v>11</v>
      </c>
      <c r="E50" s="70">
        <v>19</v>
      </c>
      <c r="F50" s="67">
        <v>0</v>
      </c>
      <c r="G50" s="67">
        <v>0</v>
      </c>
      <c r="H50" s="67">
        <v>16</v>
      </c>
      <c r="I50" s="60">
        <v>33</v>
      </c>
      <c r="J50" s="67">
        <v>0</v>
      </c>
      <c r="K50" s="53" t="s">
        <v>138</v>
      </c>
    </row>
    <row r="51" spans="1:11" s="27" customFormat="1" ht="15.75" x14ac:dyDescent="0.2">
      <c r="A51" s="26" t="s">
        <v>150</v>
      </c>
      <c r="B51" s="48">
        <f t="shared" si="5"/>
        <v>2408</v>
      </c>
      <c r="C51" s="67">
        <v>2280</v>
      </c>
      <c r="D51" s="70">
        <v>17</v>
      </c>
      <c r="E51" s="70">
        <v>28</v>
      </c>
      <c r="F51" s="70">
        <v>1</v>
      </c>
      <c r="G51" s="70">
        <v>1</v>
      </c>
      <c r="H51" s="67">
        <v>17</v>
      </c>
      <c r="I51" s="60">
        <v>64</v>
      </c>
      <c r="J51" s="67">
        <v>0</v>
      </c>
      <c r="K51" s="53" t="s">
        <v>151</v>
      </c>
    </row>
    <row r="52" spans="1:11" s="27" customFormat="1" ht="15.75" x14ac:dyDescent="0.2">
      <c r="A52" s="26" t="s">
        <v>129</v>
      </c>
      <c r="B52" s="48">
        <f t="shared" si="5"/>
        <v>735</v>
      </c>
      <c r="C52" s="67">
        <v>706</v>
      </c>
      <c r="D52" s="70">
        <v>5</v>
      </c>
      <c r="E52" s="70">
        <v>9</v>
      </c>
      <c r="F52" s="67">
        <v>0</v>
      </c>
      <c r="G52" s="67">
        <v>0</v>
      </c>
      <c r="H52" s="67">
        <v>5</v>
      </c>
      <c r="I52" s="60">
        <v>10</v>
      </c>
      <c r="J52" s="67">
        <v>0</v>
      </c>
      <c r="K52" s="53" t="s">
        <v>130</v>
      </c>
    </row>
    <row r="53" spans="1:11" s="27" customFormat="1" ht="15.75" x14ac:dyDescent="0.2">
      <c r="A53" s="26" t="s">
        <v>125</v>
      </c>
      <c r="B53" s="48">
        <f t="shared" si="5"/>
        <v>1558</v>
      </c>
      <c r="C53" s="67">
        <v>1499</v>
      </c>
      <c r="D53" s="70">
        <v>5</v>
      </c>
      <c r="E53" s="70">
        <v>9</v>
      </c>
      <c r="F53" s="67">
        <v>0</v>
      </c>
      <c r="G53" s="67">
        <v>0</v>
      </c>
      <c r="H53" s="67">
        <v>17</v>
      </c>
      <c r="I53" s="60">
        <v>22</v>
      </c>
      <c r="J53" s="70">
        <v>6</v>
      </c>
      <c r="K53" s="53" t="s">
        <v>126</v>
      </c>
    </row>
    <row r="54" spans="1:11" s="27" customFormat="1" ht="15.75" x14ac:dyDescent="0.2">
      <c r="A54" s="26" t="s">
        <v>146</v>
      </c>
      <c r="B54" s="48">
        <f t="shared" si="5"/>
        <v>1846</v>
      </c>
      <c r="C54" s="67">
        <v>1721</v>
      </c>
      <c r="D54" s="70">
        <v>3</v>
      </c>
      <c r="E54" s="70">
        <v>7</v>
      </c>
      <c r="F54" s="70">
        <v>1</v>
      </c>
      <c r="G54" s="70">
        <v>1</v>
      </c>
      <c r="H54" s="67">
        <v>44</v>
      </c>
      <c r="I54" s="60">
        <v>69</v>
      </c>
      <c r="J54" s="67">
        <v>0</v>
      </c>
      <c r="K54" s="53" t="s">
        <v>147</v>
      </c>
    </row>
    <row r="55" spans="1:11" s="27" customFormat="1" ht="15.75" x14ac:dyDescent="0.2">
      <c r="A55" s="26" t="s">
        <v>144</v>
      </c>
      <c r="B55" s="48">
        <f t="shared" si="5"/>
        <v>736</v>
      </c>
      <c r="C55" s="67">
        <v>700</v>
      </c>
      <c r="D55" s="70">
        <v>5</v>
      </c>
      <c r="E55" s="70">
        <v>8</v>
      </c>
      <c r="F55" s="67">
        <v>0</v>
      </c>
      <c r="G55" s="67">
        <v>0</v>
      </c>
      <c r="H55" s="67">
        <v>13</v>
      </c>
      <c r="I55" s="60">
        <v>10</v>
      </c>
      <c r="J55" s="67">
        <v>0</v>
      </c>
      <c r="K55" s="53" t="s">
        <v>145</v>
      </c>
    </row>
    <row r="56" spans="1:11" s="27" customFormat="1" ht="18.75" hidden="1" x14ac:dyDescent="0.2">
      <c r="A56" s="26" t="s">
        <v>141</v>
      </c>
      <c r="B56" s="48">
        <v>0</v>
      </c>
      <c r="C56" s="67">
        <v>0</v>
      </c>
      <c r="D56" s="67">
        <v>0</v>
      </c>
      <c r="E56" s="67">
        <v>0</v>
      </c>
      <c r="F56" s="67">
        <v>0</v>
      </c>
      <c r="G56" s="67">
        <v>0</v>
      </c>
      <c r="H56" s="67">
        <v>0</v>
      </c>
      <c r="I56" s="67">
        <v>0</v>
      </c>
      <c r="J56" s="67">
        <v>0</v>
      </c>
      <c r="K56" s="28" t="s">
        <v>413</v>
      </c>
    </row>
    <row r="57" spans="1:11" s="27" customFormat="1" ht="15.75" x14ac:dyDescent="0.2">
      <c r="A57" s="26" t="s">
        <v>148</v>
      </c>
      <c r="B57" s="48">
        <f t="shared" si="5"/>
        <v>1106</v>
      </c>
      <c r="C57" s="67">
        <v>1047</v>
      </c>
      <c r="D57" s="70">
        <v>6</v>
      </c>
      <c r="E57" s="70">
        <v>13</v>
      </c>
      <c r="F57" s="67">
        <v>0</v>
      </c>
      <c r="G57" s="67">
        <v>0</v>
      </c>
      <c r="H57" s="67">
        <v>15</v>
      </c>
      <c r="I57" s="60">
        <v>25</v>
      </c>
      <c r="J57" s="67">
        <v>0</v>
      </c>
      <c r="K57" s="53" t="s">
        <v>149</v>
      </c>
    </row>
    <row r="58" spans="1:11" s="27" customFormat="1" ht="15.75" x14ac:dyDescent="0.2">
      <c r="A58" s="26" t="s">
        <v>142</v>
      </c>
      <c r="B58" s="48">
        <f t="shared" si="5"/>
        <v>910</v>
      </c>
      <c r="C58" s="67">
        <v>865</v>
      </c>
      <c r="D58" s="70">
        <v>5</v>
      </c>
      <c r="E58" s="70">
        <v>8</v>
      </c>
      <c r="F58" s="67">
        <v>0</v>
      </c>
      <c r="G58" s="67">
        <v>0</v>
      </c>
      <c r="H58" s="67">
        <v>17</v>
      </c>
      <c r="I58" s="60">
        <v>15</v>
      </c>
      <c r="J58" s="67">
        <v>0</v>
      </c>
      <c r="K58" s="53" t="s">
        <v>143</v>
      </c>
    </row>
    <row r="59" spans="1:11" s="27" customFormat="1" ht="17.25" x14ac:dyDescent="0.2">
      <c r="A59" s="26" t="s">
        <v>417</v>
      </c>
      <c r="B59" s="48">
        <f t="shared" si="5"/>
        <v>2544</v>
      </c>
      <c r="C59" s="67">
        <v>2354</v>
      </c>
      <c r="D59" s="70">
        <v>19</v>
      </c>
      <c r="E59" s="70">
        <v>34</v>
      </c>
      <c r="F59" s="67">
        <v>0</v>
      </c>
      <c r="G59" s="67">
        <v>0</v>
      </c>
      <c r="H59" s="67">
        <v>44</v>
      </c>
      <c r="I59" s="60">
        <v>93</v>
      </c>
      <c r="J59" s="67">
        <v>0</v>
      </c>
      <c r="K59" s="55" t="s">
        <v>429</v>
      </c>
    </row>
    <row r="60" spans="1:11" s="27" customFormat="1" ht="15.75" x14ac:dyDescent="0.2">
      <c r="A60" s="26" t="s">
        <v>139</v>
      </c>
      <c r="B60" s="48">
        <f t="shared" si="5"/>
        <v>555</v>
      </c>
      <c r="C60" s="67">
        <v>546</v>
      </c>
      <c r="D60" s="70">
        <v>2</v>
      </c>
      <c r="E60" s="70">
        <v>3</v>
      </c>
      <c r="F60" s="67">
        <v>0</v>
      </c>
      <c r="G60" s="67">
        <v>0</v>
      </c>
      <c r="H60" s="67">
        <v>1</v>
      </c>
      <c r="I60" s="60">
        <v>3</v>
      </c>
      <c r="J60" s="67">
        <v>0</v>
      </c>
      <c r="K60" s="53" t="s">
        <v>140</v>
      </c>
    </row>
    <row r="61" spans="1:11" s="27" customFormat="1" ht="15.75" x14ac:dyDescent="0.2">
      <c r="A61" s="26" t="s">
        <v>127</v>
      </c>
      <c r="B61" s="48">
        <f t="shared" si="5"/>
        <v>467</v>
      </c>
      <c r="C61" s="67">
        <v>450</v>
      </c>
      <c r="D61" s="70">
        <v>2</v>
      </c>
      <c r="E61" s="70">
        <v>2</v>
      </c>
      <c r="F61" s="67">
        <v>0</v>
      </c>
      <c r="G61" s="67">
        <v>0</v>
      </c>
      <c r="H61" s="50">
        <v>3</v>
      </c>
      <c r="I61" s="60">
        <v>10</v>
      </c>
      <c r="J61" s="67">
        <v>0</v>
      </c>
      <c r="K61" s="53" t="s">
        <v>128</v>
      </c>
    </row>
    <row r="62" spans="1:11" s="27" customFormat="1" ht="15.75" x14ac:dyDescent="0.4">
      <c r="A62" s="26"/>
      <c r="B62" s="48"/>
      <c r="C62" s="60"/>
      <c r="D62" s="67"/>
      <c r="E62" s="67"/>
      <c r="F62" s="67"/>
      <c r="G62" s="67"/>
      <c r="H62" s="67"/>
      <c r="I62" s="67"/>
      <c r="J62" s="67"/>
      <c r="K62" s="54"/>
    </row>
    <row r="63" spans="1:11" s="27" customFormat="1" ht="15.75" x14ac:dyDescent="0.2">
      <c r="A63" s="12" t="s">
        <v>30</v>
      </c>
      <c r="B63" s="48">
        <f t="shared" ref="B63:B76" si="7">SUM(C63:J63)</f>
        <v>15737</v>
      </c>
      <c r="C63" s="50">
        <f>SUM(C64:C76)</f>
        <v>14862</v>
      </c>
      <c r="D63" s="50">
        <f>SUM(D64:D76)</f>
        <v>129</v>
      </c>
      <c r="E63" s="50">
        <f>SUM(E64:E76)</f>
        <v>228</v>
      </c>
      <c r="F63" s="50">
        <f t="shared" ref="F63:H63" si="8">SUM(F64:F76)</f>
        <v>5</v>
      </c>
      <c r="G63" s="50">
        <f t="shared" si="8"/>
        <v>7</v>
      </c>
      <c r="H63" s="50">
        <f t="shared" si="8"/>
        <v>241</v>
      </c>
      <c r="I63" s="50">
        <f>SUM(I64:I76)</f>
        <v>258</v>
      </c>
      <c r="J63" s="50">
        <f>SUM(J64:J75)</f>
        <v>7</v>
      </c>
      <c r="K63" s="52" t="s">
        <v>31</v>
      </c>
    </row>
    <row r="64" spans="1:11" s="27" customFormat="1" ht="15.75" x14ac:dyDescent="0.2">
      <c r="A64" s="26" t="s">
        <v>174</v>
      </c>
      <c r="B64" s="48">
        <f t="shared" si="7"/>
        <v>455</v>
      </c>
      <c r="C64" s="67">
        <v>440</v>
      </c>
      <c r="D64" s="67">
        <v>2</v>
      </c>
      <c r="E64" s="67">
        <v>3</v>
      </c>
      <c r="F64" s="67">
        <v>0</v>
      </c>
      <c r="G64" s="67">
        <v>0</v>
      </c>
      <c r="H64" s="67">
        <v>8</v>
      </c>
      <c r="I64" s="60">
        <v>2</v>
      </c>
      <c r="J64" s="67">
        <v>0</v>
      </c>
      <c r="K64" s="53" t="s">
        <v>175</v>
      </c>
    </row>
    <row r="65" spans="1:11" s="27" customFormat="1" ht="15.75" x14ac:dyDescent="0.2">
      <c r="A65" s="26" t="s">
        <v>152</v>
      </c>
      <c r="B65" s="48">
        <f t="shared" si="7"/>
        <v>713</v>
      </c>
      <c r="C65" s="67">
        <v>654</v>
      </c>
      <c r="D65" s="67">
        <v>7</v>
      </c>
      <c r="E65" s="67">
        <v>10</v>
      </c>
      <c r="F65" s="67">
        <v>0</v>
      </c>
      <c r="G65" s="67">
        <v>0</v>
      </c>
      <c r="H65" s="67">
        <v>6</v>
      </c>
      <c r="I65" s="60">
        <v>36</v>
      </c>
      <c r="J65" s="67">
        <v>0</v>
      </c>
      <c r="K65" s="53" t="s">
        <v>153</v>
      </c>
    </row>
    <row r="66" spans="1:11" s="27" customFormat="1" ht="15.75" x14ac:dyDescent="0.2">
      <c r="A66" s="26" t="s">
        <v>172</v>
      </c>
      <c r="B66" s="48">
        <f t="shared" si="7"/>
        <v>2022</v>
      </c>
      <c r="C66" s="67">
        <v>1953</v>
      </c>
      <c r="D66" s="67">
        <v>11</v>
      </c>
      <c r="E66" s="67">
        <v>23</v>
      </c>
      <c r="F66" s="67">
        <v>0</v>
      </c>
      <c r="G66" s="67">
        <v>0</v>
      </c>
      <c r="H66" s="67">
        <v>35</v>
      </c>
      <c r="I66" s="67">
        <v>0</v>
      </c>
      <c r="J66" s="67">
        <v>0</v>
      </c>
      <c r="K66" s="53" t="s">
        <v>173</v>
      </c>
    </row>
    <row r="67" spans="1:11" s="27" customFormat="1" ht="15.75" x14ac:dyDescent="0.2">
      <c r="A67" s="26" t="s">
        <v>154</v>
      </c>
      <c r="B67" s="48">
        <f t="shared" si="7"/>
        <v>1762</v>
      </c>
      <c r="C67" s="67">
        <v>1655</v>
      </c>
      <c r="D67" s="67">
        <v>13</v>
      </c>
      <c r="E67" s="67">
        <v>29</v>
      </c>
      <c r="F67" s="67">
        <v>0</v>
      </c>
      <c r="G67" s="67">
        <v>0</v>
      </c>
      <c r="H67" s="67">
        <v>33</v>
      </c>
      <c r="I67" s="60">
        <v>25</v>
      </c>
      <c r="J67" s="70">
        <v>7</v>
      </c>
      <c r="K67" s="53" t="s">
        <v>155</v>
      </c>
    </row>
    <row r="68" spans="1:11" s="27" customFormat="1" ht="15" customHeight="1" x14ac:dyDescent="0.2">
      <c r="A68" s="26" t="s">
        <v>158</v>
      </c>
      <c r="B68" s="48">
        <f t="shared" si="7"/>
        <v>809</v>
      </c>
      <c r="C68" s="67">
        <v>764</v>
      </c>
      <c r="D68" s="67">
        <v>3</v>
      </c>
      <c r="E68" s="67">
        <v>9</v>
      </c>
      <c r="F68" s="67">
        <v>0</v>
      </c>
      <c r="G68" s="67">
        <v>0</v>
      </c>
      <c r="H68" s="67">
        <v>22</v>
      </c>
      <c r="I68" s="60">
        <v>11</v>
      </c>
      <c r="J68" s="67">
        <v>0</v>
      </c>
      <c r="K68" s="53" t="s">
        <v>159</v>
      </c>
    </row>
    <row r="69" spans="1:11" s="27" customFormat="1" ht="15.75" x14ac:dyDescent="0.2">
      <c r="A69" s="26" t="s">
        <v>160</v>
      </c>
      <c r="B69" s="48">
        <f t="shared" si="7"/>
        <v>1100</v>
      </c>
      <c r="C69" s="67">
        <v>1042</v>
      </c>
      <c r="D69" s="67">
        <v>10</v>
      </c>
      <c r="E69" s="67">
        <v>21</v>
      </c>
      <c r="F69" s="70">
        <v>1</v>
      </c>
      <c r="G69" s="70">
        <v>1</v>
      </c>
      <c r="H69" s="67">
        <v>9</v>
      </c>
      <c r="I69" s="60">
        <v>16</v>
      </c>
      <c r="J69" s="67">
        <v>0</v>
      </c>
      <c r="K69" s="53" t="s">
        <v>161</v>
      </c>
    </row>
    <row r="70" spans="1:11" s="27" customFormat="1" ht="15.75" x14ac:dyDescent="0.2">
      <c r="A70" s="26" t="s">
        <v>164</v>
      </c>
      <c r="B70" s="48">
        <f t="shared" si="7"/>
        <v>876</v>
      </c>
      <c r="C70" s="67">
        <v>845</v>
      </c>
      <c r="D70" s="67">
        <v>6</v>
      </c>
      <c r="E70" s="67">
        <v>9</v>
      </c>
      <c r="F70" s="67">
        <v>0</v>
      </c>
      <c r="G70" s="67">
        <v>0</v>
      </c>
      <c r="H70" s="67">
        <v>10</v>
      </c>
      <c r="I70" s="60">
        <v>6</v>
      </c>
      <c r="J70" s="67">
        <v>0</v>
      </c>
      <c r="K70" s="53" t="s">
        <v>165</v>
      </c>
    </row>
    <row r="71" spans="1:11" s="27" customFormat="1" ht="15.75" x14ac:dyDescent="0.2">
      <c r="A71" s="26" t="s">
        <v>162</v>
      </c>
      <c r="B71" s="48">
        <f t="shared" si="7"/>
        <v>1102</v>
      </c>
      <c r="C71" s="67">
        <v>1035</v>
      </c>
      <c r="D71" s="67">
        <v>14</v>
      </c>
      <c r="E71" s="67">
        <v>20</v>
      </c>
      <c r="F71" s="67">
        <v>0</v>
      </c>
      <c r="G71" s="67">
        <v>0</v>
      </c>
      <c r="H71" s="67">
        <v>14</v>
      </c>
      <c r="I71" s="60">
        <v>19</v>
      </c>
      <c r="J71" s="67">
        <v>0</v>
      </c>
      <c r="K71" s="53" t="s">
        <v>163</v>
      </c>
    </row>
    <row r="72" spans="1:11" s="27" customFormat="1" ht="15.75" x14ac:dyDescent="0.2">
      <c r="A72" s="26" t="s">
        <v>156</v>
      </c>
      <c r="B72" s="48">
        <f t="shared" si="7"/>
        <v>860</v>
      </c>
      <c r="C72" s="67">
        <v>813</v>
      </c>
      <c r="D72" s="67">
        <v>4</v>
      </c>
      <c r="E72" s="67">
        <v>6</v>
      </c>
      <c r="F72" s="67">
        <v>0</v>
      </c>
      <c r="G72" s="67">
        <v>0</v>
      </c>
      <c r="H72" s="67">
        <v>17</v>
      </c>
      <c r="I72" s="60">
        <v>20</v>
      </c>
      <c r="J72" s="67">
        <v>0</v>
      </c>
      <c r="K72" s="53" t="s">
        <v>157</v>
      </c>
    </row>
    <row r="73" spans="1:11" s="27" customFormat="1" ht="15.75" x14ac:dyDescent="0.2">
      <c r="A73" s="26" t="s">
        <v>168</v>
      </c>
      <c r="B73" s="48">
        <f t="shared" si="7"/>
        <v>414</v>
      </c>
      <c r="C73" s="67">
        <v>401</v>
      </c>
      <c r="D73" s="67">
        <v>1</v>
      </c>
      <c r="E73" s="67">
        <v>1</v>
      </c>
      <c r="F73" s="67">
        <v>0</v>
      </c>
      <c r="G73" s="67">
        <v>0</v>
      </c>
      <c r="H73" s="67">
        <v>8</v>
      </c>
      <c r="I73" s="60">
        <v>3</v>
      </c>
      <c r="J73" s="67">
        <v>0</v>
      </c>
      <c r="K73" s="53" t="s">
        <v>169</v>
      </c>
    </row>
    <row r="74" spans="1:11" s="27" customFormat="1" ht="15.75" x14ac:dyDescent="0.2">
      <c r="A74" s="26" t="s">
        <v>170</v>
      </c>
      <c r="B74" s="48">
        <f t="shared" si="7"/>
        <v>1796</v>
      </c>
      <c r="C74" s="67">
        <v>1685</v>
      </c>
      <c r="D74" s="67">
        <v>17</v>
      </c>
      <c r="E74" s="67">
        <v>32</v>
      </c>
      <c r="F74" s="70">
        <v>1</v>
      </c>
      <c r="G74" s="70">
        <v>2</v>
      </c>
      <c r="H74" s="67">
        <v>20</v>
      </c>
      <c r="I74" s="60">
        <v>39</v>
      </c>
      <c r="J74" s="67">
        <v>0</v>
      </c>
      <c r="K74" s="53" t="s">
        <v>171</v>
      </c>
    </row>
    <row r="75" spans="1:11" s="27" customFormat="1" ht="15.75" x14ac:dyDescent="0.2">
      <c r="A75" s="26" t="s">
        <v>166</v>
      </c>
      <c r="B75" s="48">
        <f t="shared" si="7"/>
        <v>1298</v>
      </c>
      <c r="C75" s="67">
        <v>1206</v>
      </c>
      <c r="D75" s="67">
        <v>16</v>
      </c>
      <c r="E75" s="67">
        <v>27</v>
      </c>
      <c r="F75" s="70">
        <v>1</v>
      </c>
      <c r="G75" s="70">
        <v>1</v>
      </c>
      <c r="H75" s="67">
        <v>17</v>
      </c>
      <c r="I75" s="60">
        <v>30</v>
      </c>
      <c r="J75" s="67">
        <v>0</v>
      </c>
      <c r="K75" s="53" t="s">
        <v>167</v>
      </c>
    </row>
    <row r="76" spans="1:11" s="29" customFormat="1" ht="15.75" x14ac:dyDescent="0.2">
      <c r="A76" s="26" t="s">
        <v>176</v>
      </c>
      <c r="B76" s="48">
        <f t="shared" si="7"/>
        <v>2530</v>
      </c>
      <c r="C76" s="67">
        <v>2369</v>
      </c>
      <c r="D76" s="67">
        <v>25</v>
      </c>
      <c r="E76" s="67">
        <v>38</v>
      </c>
      <c r="F76" s="70">
        <v>2</v>
      </c>
      <c r="G76" s="70">
        <v>3</v>
      </c>
      <c r="H76" s="67">
        <v>42</v>
      </c>
      <c r="I76" s="60">
        <v>51</v>
      </c>
      <c r="J76" s="67">
        <v>0</v>
      </c>
      <c r="K76" s="53" t="s">
        <v>177</v>
      </c>
    </row>
    <row r="77" spans="1:11" s="27" customFormat="1" ht="15.75" x14ac:dyDescent="0.4">
      <c r="A77" s="26"/>
      <c r="B77" s="48"/>
      <c r="C77" s="60"/>
      <c r="D77" s="67"/>
      <c r="E77" s="67"/>
      <c r="F77" s="67"/>
      <c r="G77" s="67"/>
      <c r="H77" s="67"/>
      <c r="I77" s="67"/>
      <c r="J77" s="67"/>
      <c r="K77" s="54"/>
    </row>
    <row r="78" spans="1:11" s="27" customFormat="1" ht="15.75" x14ac:dyDescent="0.2">
      <c r="A78" s="12" t="s">
        <v>32</v>
      </c>
      <c r="B78" s="48">
        <f t="shared" ref="B78:B94" si="9">SUM(C78:J78)</f>
        <v>22898</v>
      </c>
      <c r="C78" s="50">
        <f t="shared" ref="C78:I78" si="10">SUM(C79:C94)</f>
        <v>21734</v>
      </c>
      <c r="D78" s="50">
        <f t="shared" si="10"/>
        <v>165</v>
      </c>
      <c r="E78" s="50">
        <f t="shared" si="10"/>
        <v>289</v>
      </c>
      <c r="F78" s="50">
        <f t="shared" si="10"/>
        <v>4</v>
      </c>
      <c r="G78" s="50">
        <f t="shared" si="10"/>
        <v>6</v>
      </c>
      <c r="H78" s="50">
        <f t="shared" si="10"/>
        <v>260</v>
      </c>
      <c r="I78" s="50">
        <f t="shared" si="10"/>
        <v>430</v>
      </c>
      <c r="J78" s="50">
        <f>SUM(J79:J93)</f>
        <v>10</v>
      </c>
      <c r="K78" s="52" t="s">
        <v>33</v>
      </c>
    </row>
    <row r="79" spans="1:11" s="27" customFormat="1" ht="15.75" x14ac:dyDescent="0.2">
      <c r="A79" s="26" t="s">
        <v>178</v>
      </c>
      <c r="B79" s="48">
        <f t="shared" si="9"/>
        <v>2783</v>
      </c>
      <c r="C79" s="67">
        <v>2662</v>
      </c>
      <c r="D79" s="67">
        <v>14</v>
      </c>
      <c r="E79" s="67">
        <v>25</v>
      </c>
      <c r="F79" s="70">
        <v>1</v>
      </c>
      <c r="G79" s="70">
        <v>1</v>
      </c>
      <c r="H79" s="67">
        <v>35</v>
      </c>
      <c r="I79" s="60">
        <v>45</v>
      </c>
      <c r="J79" s="67">
        <v>0</v>
      </c>
      <c r="K79" s="53" t="s">
        <v>179</v>
      </c>
    </row>
    <row r="80" spans="1:11" s="27" customFormat="1" ht="15.75" x14ac:dyDescent="0.2">
      <c r="A80" s="26" t="s">
        <v>184</v>
      </c>
      <c r="B80" s="48">
        <f t="shared" si="9"/>
        <v>509</v>
      </c>
      <c r="C80" s="67">
        <v>475</v>
      </c>
      <c r="D80" s="67">
        <v>4</v>
      </c>
      <c r="E80" s="67">
        <v>6</v>
      </c>
      <c r="F80" s="67">
        <v>0</v>
      </c>
      <c r="G80" s="67">
        <v>0</v>
      </c>
      <c r="H80" s="67">
        <v>8</v>
      </c>
      <c r="I80" s="60">
        <v>16</v>
      </c>
      <c r="J80" s="67">
        <v>0</v>
      </c>
      <c r="K80" s="53" t="s">
        <v>185</v>
      </c>
    </row>
    <row r="81" spans="1:11" s="27" customFormat="1" ht="15.75" x14ac:dyDescent="0.2">
      <c r="A81" s="26" t="s">
        <v>416</v>
      </c>
      <c r="B81" s="48">
        <f t="shared" si="9"/>
        <v>532</v>
      </c>
      <c r="C81" s="67">
        <v>340</v>
      </c>
      <c r="D81" s="67">
        <v>38</v>
      </c>
      <c r="E81" s="67">
        <v>81</v>
      </c>
      <c r="F81" s="67">
        <v>0</v>
      </c>
      <c r="G81" s="67">
        <v>0</v>
      </c>
      <c r="H81" s="67">
        <v>2</v>
      </c>
      <c r="I81" s="60">
        <v>67</v>
      </c>
      <c r="J81" s="70">
        <v>4</v>
      </c>
      <c r="K81" s="53" t="s">
        <v>188</v>
      </c>
    </row>
    <row r="82" spans="1:11" s="27" customFormat="1" ht="15.75" x14ac:dyDescent="0.2">
      <c r="A82" s="26" t="s">
        <v>199</v>
      </c>
      <c r="B82" s="48">
        <f t="shared" si="9"/>
        <v>427</v>
      </c>
      <c r="C82" s="67">
        <v>418</v>
      </c>
      <c r="D82" s="67">
        <v>1</v>
      </c>
      <c r="E82" s="67">
        <v>1</v>
      </c>
      <c r="F82" s="67">
        <v>0</v>
      </c>
      <c r="G82" s="67">
        <v>0</v>
      </c>
      <c r="H82" s="67">
        <v>2</v>
      </c>
      <c r="I82" s="60">
        <v>5</v>
      </c>
      <c r="J82" s="67">
        <v>0</v>
      </c>
      <c r="K82" s="53" t="s">
        <v>200</v>
      </c>
    </row>
    <row r="83" spans="1:11" s="27" customFormat="1" ht="15.75" x14ac:dyDescent="0.2">
      <c r="A83" s="26" t="s">
        <v>205</v>
      </c>
      <c r="B83" s="48">
        <f t="shared" si="9"/>
        <v>1443</v>
      </c>
      <c r="C83" s="67">
        <v>1329</v>
      </c>
      <c r="D83" s="67">
        <v>23</v>
      </c>
      <c r="E83" s="67">
        <v>39</v>
      </c>
      <c r="F83" s="67">
        <v>0</v>
      </c>
      <c r="G83" s="67">
        <v>0</v>
      </c>
      <c r="H83" s="67">
        <v>12</v>
      </c>
      <c r="I83" s="60">
        <v>34</v>
      </c>
      <c r="J83" s="70">
        <v>6</v>
      </c>
      <c r="K83" s="53" t="s">
        <v>206</v>
      </c>
    </row>
    <row r="84" spans="1:11" s="27" customFormat="1" ht="15.75" x14ac:dyDescent="0.2">
      <c r="A84" s="26" t="s">
        <v>197</v>
      </c>
      <c r="B84" s="48">
        <f t="shared" si="9"/>
        <v>1982</v>
      </c>
      <c r="C84" s="67">
        <v>1868</v>
      </c>
      <c r="D84" s="67">
        <v>14</v>
      </c>
      <c r="E84" s="67">
        <v>22</v>
      </c>
      <c r="F84" s="67">
        <v>0</v>
      </c>
      <c r="G84" s="67">
        <v>0</v>
      </c>
      <c r="H84" s="67">
        <v>16</v>
      </c>
      <c r="I84" s="60">
        <v>62</v>
      </c>
      <c r="J84" s="67">
        <v>0</v>
      </c>
      <c r="K84" s="53" t="s">
        <v>198</v>
      </c>
    </row>
    <row r="85" spans="1:11" s="27" customFormat="1" ht="15.75" x14ac:dyDescent="0.2">
      <c r="A85" s="26" t="s">
        <v>193</v>
      </c>
      <c r="B85" s="48">
        <f t="shared" si="9"/>
        <v>901</v>
      </c>
      <c r="C85" s="67">
        <v>850</v>
      </c>
      <c r="D85" s="67">
        <v>5</v>
      </c>
      <c r="E85" s="67">
        <v>6</v>
      </c>
      <c r="F85" s="67">
        <v>0</v>
      </c>
      <c r="G85" s="67">
        <v>0</v>
      </c>
      <c r="H85" s="67">
        <v>24</v>
      </c>
      <c r="I85" s="60">
        <v>16</v>
      </c>
      <c r="J85" s="67">
        <v>0</v>
      </c>
      <c r="K85" s="53" t="s">
        <v>194</v>
      </c>
    </row>
    <row r="86" spans="1:11" s="27" customFormat="1" ht="17.25" x14ac:dyDescent="0.2">
      <c r="A86" s="26" t="s">
        <v>418</v>
      </c>
      <c r="B86" s="48">
        <f t="shared" si="9"/>
        <v>4103</v>
      </c>
      <c r="C86" s="67">
        <v>4044</v>
      </c>
      <c r="D86" s="67">
        <v>1</v>
      </c>
      <c r="E86" s="67">
        <v>1</v>
      </c>
      <c r="F86" s="67">
        <v>0</v>
      </c>
      <c r="G86" s="67">
        <v>0</v>
      </c>
      <c r="H86" s="67">
        <v>50</v>
      </c>
      <c r="I86" s="60">
        <v>7</v>
      </c>
      <c r="J86" s="67">
        <v>0</v>
      </c>
      <c r="K86" s="55" t="s">
        <v>430</v>
      </c>
    </row>
    <row r="87" spans="1:11" s="27" customFormat="1" ht="15.75" x14ac:dyDescent="0.2">
      <c r="A87" s="26" t="s">
        <v>203</v>
      </c>
      <c r="B87" s="48">
        <f t="shared" si="9"/>
        <v>623</v>
      </c>
      <c r="C87" s="67">
        <v>599</v>
      </c>
      <c r="D87" s="67">
        <v>2</v>
      </c>
      <c r="E87" s="67">
        <v>6</v>
      </c>
      <c r="F87" s="67">
        <v>0</v>
      </c>
      <c r="G87" s="67">
        <v>0</v>
      </c>
      <c r="H87" s="67">
        <v>7</v>
      </c>
      <c r="I87" s="60">
        <v>9</v>
      </c>
      <c r="J87" s="67">
        <v>0</v>
      </c>
      <c r="K87" s="53" t="s">
        <v>204</v>
      </c>
    </row>
    <row r="88" spans="1:11" s="27" customFormat="1" ht="15.75" x14ac:dyDescent="0.2">
      <c r="A88" s="26" t="s">
        <v>189</v>
      </c>
      <c r="B88" s="48">
        <f t="shared" si="9"/>
        <v>1221</v>
      </c>
      <c r="C88" s="67">
        <v>1161</v>
      </c>
      <c r="D88" s="67">
        <v>7</v>
      </c>
      <c r="E88" s="67">
        <v>14</v>
      </c>
      <c r="F88" s="70">
        <v>1</v>
      </c>
      <c r="G88" s="70">
        <v>3</v>
      </c>
      <c r="H88" s="67">
        <v>23</v>
      </c>
      <c r="I88" s="60">
        <v>12</v>
      </c>
      <c r="J88" s="67">
        <v>0</v>
      </c>
      <c r="K88" s="53" t="s">
        <v>190</v>
      </c>
    </row>
    <row r="89" spans="1:11" s="27" customFormat="1" ht="15.75" x14ac:dyDescent="0.2">
      <c r="A89" s="26" t="s">
        <v>195</v>
      </c>
      <c r="B89" s="48">
        <f t="shared" si="9"/>
        <v>2353</v>
      </c>
      <c r="C89" s="67">
        <v>2258</v>
      </c>
      <c r="D89" s="67">
        <v>17</v>
      </c>
      <c r="E89" s="67">
        <v>24</v>
      </c>
      <c r="F89" s="67">
        <v>0</v>
      </c>
      <c r="G89" s="67">
        <v>0</v>
      </c>
      <c r="H89" s="67">
        <v>15</v>
      </c>
      <c r="I89" s="60">
        <v>39</v>
      </c>
      <c r="J89" s="67">
        <v>0</v>
      </c>
      <c r="K89" s="53" t="s">
        <v>196</v>
      </c>
    </row>
    <row r="90" spans="1:11" s="27" customFormat="1" ht="15.75" x14ac:dyDescent="0.2">
      <c r="A90" s="26" t="s">
        <v>201</v>
      </c>
      <c r="B90" s="48">
        <f t="shared" si="9"/>
        <v>2030</v>
      </c>
      <c r="C90" s="67">
        <v>1934</v>
      </c>
      <c r="D90" s="67">
        <v>13</v>
      </c>
      <c r="E90" s="67">
        <v>20</v>
      </c>
      <c r="F90" s="70">
        <v>1</v>
      </c>
      <c r="G90" s="70">
        <v>1</v>
      </c>
      <c r="H90" s="67">
        <v>26</v>
      </c>
      <c r="I90" s="60">
        <v>35</v>
      </c>
      <c r="J90" s="67">
        <v>0</v>
      </c>
      <c r="K90" s="53" t="s">
        <v>202</v>
      </c>
    </row>
    <row r="91" spans="1:11" s="27" customFormat="1" ht="15.75" x14ac:dyDescent="0.2">
      <c r="A91" s="26" t="s">
        <v>182</v>
      </c>
      <c r="B91" s="48">
        <f t="shared" si="9"/>
        <v>842</v>
      </c>
      <c r="C91" s="67">
        <v>807</v>
      </c>
      <c r="D91" s="67">
        <v>6</v>
      </c>
      <c r="E91" s="67">
        <v>8</v>
      </c>
      <c r="F91" s="67">
        <v>0</v>
      </c>
      <c r="G91" s="67">
        <v>0</v>
      </c>
      <c r="H91" s="67">
        <v>7</v>
      </c>
      <c r="I91" s="60">
        <v>14</v>
      </c>
      <c r="J91" s="67">
        <v>0</v>
      </c>
      <c r="K91" s="53" t="s">
        <v>192</v>
      </c>
    </row>
    <row r="92" spans="1:11" s="27" customFormat="1" ht="15.75" x14ac:dyDescent="0.2">
      <c r="A92" s="26" t="s">
        <v>191</v>
      </c>
      <c r="B92" s="48">
        <f t="shared" si="9"/>
        <v>860</v>
      </c>
      <c r="C92" s="67">
        <v>817</v>
      </c>
      <c r="D92" s="67">
        <v>5</v>
      </c>
      <c r="E92" s="67">
        <v>10</v>
      </c>
      <c r="F92" s="67">
        <v>0</v>
      </c>
      <c r="G92" s="67">
        <v>0</v>
      </c>
      <c r="H92" s="67">
        <v>13</v>
      </c>
      <c r="I92" s="60">
        <v>15</v>
      </c>
      <c r="J92" s="67">
        <v>0</v>
      </c>
      <c r="K92" s="53" t="s">
        <v>183</v>
      </c>
    </row>
    <row r="93" spans="1:11" s="27" customFormat="1" ht="15.75" x14ac:dyDescent="0.2">
      <c r="A93" s="26" t="s">
        <v>186</v>
      </c>
      <c r="B93" s="48">
        <f t="shared" si="9"/>
        <v>1704</v>
      </c>
      <c r="C93" s="67">
        <v>1612</v>
      </c>
      <c r="D93" s="67">
        <v>11</v>
      </c>
      <c r="E93" s="67">
        <v>19</v>
      </c>
      <c r="F93" s="70">
        <v>1</v>
      </c>
      <c r="G93" s="70">
        <v>1</v>
      </c>
      <c r="H93" s="67">
        <v>14</v>
      </c>
      <c r="I93" s="60">
        <v>46</v>
      </c>
      <c r="J93" s="67">
        <v>0</v>
      </c>
      <c r="K93" s="53" t="s">
        <v>187</v>
      </c>
    </row>
    <row r="94" spans="1:11" s="27" customFormat="1" ht="15.75" x14ac:dyDescent="0.2">
      <c r="A94" s="26" t="s">
        <v>180</v>
      </c>
      <c r="B94" s="48">
        <f t="shared" si="9"/>
        <v>585</v>
      </c>
      <c r="C94" s="67">
        <v>560</v>
      </c>
      <c r="D94" s="67">
        <v>4</v>
      </c>
      <c r="E94" s="67">
        <v>7</v>
      </c>
      <c r="F94" s="67">
        <v>0</v>
      </c>
      <c r="G94" s="67">
        <v>0</v>
      </c>
      <c r="H94" s="67">
        <v>6</v>
      </c>
      <c r="I94" s="60">
        <v>8</v>
      </c>
      <c r="J94" s="67">
        <v>0</v>
      </c>
      <c r="K94" s="53" t="s">
        <v>181</v>
      </c>
    </row>
    <row r="95" spans="1:11" s="27" customFormat="1" ht="15.75" x14ac:dyDescent="0.4">
      <c r="A95" s="26"/>
      <c r="B95" s="48"/>
      <c r="C95" s="60"/>
      <c r="D95" s="67"/>
      <c r="E95" s="67"/>
      <c r="F95" s="67"/>
      <c r="G95" s="67"/>
      <c r="H95" s="67"/>
      <c r="I95" s="67"/>
      <c r="J95" s="67"/>
      <c r="K95" s="54"/>
    </row>
    <row r="96" spans="1:11" s="27" customFormat="1" ht="15.75" x14ac:dyDescent="0.2">
      <c r="A96" s="12" t="s">
        <v>34</v>
      </c>
      <c r="B96" s="48">
        <f t="shared" ref="B96:B109" si="11">SUM(C96:J96)</f>
        <v>14295</v>
      </c>
      <c r="C96" s="50">
        <f>SUM(C97:C109)</f>
        <v>13613</v>
      </c>
      <c r="D96" s="50">
        <f>SUM(D97:D109)</f>
        <v>61</v>
      </c>
      <c r="E96" s="50">
        <f>SUM(E97:E109)</f>
        <v>106</v>
      </c>
      <c r="F96" s="50">
        <f t="shared" ref="F96:J96" si="12">SUM(F97:F109)</f>
        <v>1</v>
      </c>
      <c r="G96" s="50">
        <f t="shared" si="12"/>
        <v>1</v>
      </c>
      <c r="H96" s="50">
        <f t="shared" si="12"/>
        <v>243</v>
      </c>
      <c r="I96" s="50">
        <f t="shared" si="12"/>
        <v>256</v>
      </c>
      <c r="J96" s="50">
        <f t="shared" si="12"/>
        <v>14</v>
      </c>
      <c r="K96" s="52" t="s">
        <v>414</v>
      </c>
    </row>
    <row r="97" spans="1:11" s="27" customFormat="1" ht="15.75" x14ac:dyDescent="0.2">
      <c r="A97" s="26" t="s">
        <v>217</v>
      </c>
      <c r="B97" s="48">
        <f t="shared" si="11"/>
        <v>1137</v>
      </c>
      <c r="C97" s="67">
        <v>1074</v>
      </c>
      <c r="D97" s="67">
        <v>7</v>
      </c>
      <c r="E97" s="67">
        <v>12</v>
      </c>
      <c r="F97" s="67">
        <v>0</v>
      </c>
      <c r="G97" s="67">
        <v>0</v>
      </c>
      <c r="H97" s="67">
        <v>14</v>
      </c>
      <c r="I97" s="60">
        <v>24</v>
      </c>
      <c r="J97" s="70">
        <v>6</v>
      </c>
      <c r="K97" s="53" t="s">
        <v>218</v>
      </c>
    </row>
    <row r="98" spans="1:11" s="27" customFormat="1" ht="15.75" x14ac:dyDescent="0.2">
      <c r="A98" s="26" t="s">
        <v>215</v>
      </c>
      <c r="B98" s="48">
        <f t="shared" si="11"/>
        <v>529</v>
      </c>
      <c r="C98" s="67">
        <v>504</v>
      </c>
      <c r="D98" s="67">
        <v>0</v>
      </c>
      <c r="E98" s="67">
        <v>0</v>
      </c>
      <c r="F98" s="67">
        <v>0</v>
      </c>
      <c r="G98" s="67">
        <v>0</v>
      </c>
      <c r="H98" s="67">
        <v>5</v>
      </c>
      <c r="I98" s="60">
        <v>12</v>
      </c>
      <c r="J98" s="70">
        <v>8</v>
      </c>
      <c r="K98" s="53" t="s">
        <v>216</v>
      </c>
    </row>
    <row r="99" spans="1:11" s="27" customFormat="1" ht="15.75" x14ac:dyDescent="0.2">
      <c r="A99" s="26" t="s">
        <v>221</v>
      </c>
      <c r="B99" s="48">
        <f t="shared" si="11"/>
        <v>3218</v>
      </c>
      <c r="C99" s="67">
        <v>3067</v>
      </c>
      <c r="D99" s="67">
        <v>17</v>
      </c>
      <c r="E99" s="67">
        <v>28</v>
      </c>
      <c r="F99" s="70">
        <v>1</v>
      </c>
      <c r="G99" s="70">
        <v>1</v>
      </c>
      <c r="H99" s="67">
        <v>44</v>
      </c>
      <c r="I99" s="60">
        <v>60</v>
      </c>
      <c r="J99" s="67">
        <v>0</v>
      </c>
      <c r="K99" s="53" t="s">
        <v>222</v>
      </c>
    </row>
    <row r="100" spans="1:11" s="27" customFormat="1" ht="15.75" x14ac:dyDescent="0.2">
      <c r="A100" s="26" t="s">
        <v>229</v>
      </c>
      <c r="B100" s="48">
        <f t="shared" si="11"/>
        <v>285</v>
      </c>
      <c r="C100" s="67">
        <v>277</v>
      </c>
      <c r="D100" s="67">
        <v>1</v>
      </c>
      <c r="E100" s="67">
        <v>2</v>
      </c>
      <c r="F100" s="67">
        <v>0</v>
      </c>
      <c r="G100" s="67">
        <v>0</v>
      </c>
      <c r="H100" s="67">
        <v>2</v>
      </c>
      <c r="I100" s="60">
        <v>3</v>
      </c>
      <c r="J100" s="67">
        <v>0</v>
      </c>
      <c r="K100" s="53" t="s">
        <v>230</v>
      </c>
    </row>
    <row r="101" spans="1:11" s="27" customFormat="1" ht="15.75" x14ac:dyDescent="0.2">
      <c r="A101" s="26" t="s">
        <v>227</v>
      </c>
      <c r="B101" s="48">
        <f t="shared" si="11"/>
        <v>365</v>
      </c>
      <c r="C101" s="67">
        <v>355</v>
      </c>
      <c r="D101" s="67">
        <v>1</v>
      </c>
      <c r="E101" s="67">
        <v>1</v>
      </c>
      <c r="F101" s="67">
        <v>0</v>
      </c>
      <c r="G101" s="67">
        <v>0</v>
      </c>
      <c r="H101" s="67">
        <v>6</v>
      </c>
      <c r="I101" s="60">
        <v>2</v>
      </c>
      <c r="J101" s="67">
        <v>0</v>
      </c>
      <c r="K101" s="53" t="s">
        <v>228</v>
      </c>
    </row>
    <row r="102" spans="1:11" s="27" customFormat="1" ht="15.75" x14ac:dyDescent="0.2">
      <c r="A102" s="26" t="s">
        <v>129</v>
      </c>
      <c r="B102" s="48">
        <f t="shared" si="11"/>
        <v>796</v>
      </c>
      <c r="C102" s="67">
        <v>760</v>
      </c>
      <c r="D102" s="67">
        <v>2</v>
      </c>
      <c r="E102" s="67">
        <v>4</v>
      </c>
      <c r="F102" s="67">
        <v>0</v>
      </c>
      <c r="G102" s="67">
        <v>0</v>
      </c>
      <c r="H102" s="67">
        <v>25</v>
      </c>
      <c r="I102" s="60">
        <v>5</v>
      </c>
      <c r="J102" s="67">
        <v>0</v>
      </c>
      <c r="K102" s="53" t="s">
        <v>130</v>
      </c>
    </row>
    <row r="103" spans="1:11" s="27" customFormat="1" ht="15.75" x14ac:dyDescent="0.2">
      <c r="A103" s="26" t="s">
        <v>225</v>
      </c>
      <c r="B103" s="48">
        <f t="shared" si="11"/>
        <v>1401</v>
      </c>
      <c r="C103" s="67">
        <v>1315</v>
      </c>
      <c r="D103" s="67">
        <v>6</v>
      </c>
      <c r="E103" s="67">
        <v>13</v>
      </c>
      <c r="F103" s="67">
        <v>0</v>
      </c>
      <c r="G103" s="67">
        <v>0</v>
      </c>
      <c r="H103" s="67">
        <v>34</v>
      </c>
      <c r="I103" s="60">
        <v>33</v>
      </c>
      <c r="J103" s="67">
        <v>0</v>
      </c>
      <c r="K103" s="53" t="s">
        <v>226</v>
      </c>
    </row>
    <row r="104" spans="1:11" s="27" customFormat="1" ht="15.75" x14ac:dyDescent="0.2">
      <c r="A104" s="26" t="s">
        <v>209</v>
      </c>
      <c r="B104" s="48">
        <f t="shared" si="11"/>
        <v>541</v>
      </c>
      <c r="C104" s="67">
        <v>514</v>
      </c>
      <c r="D104" s="67">
        <v>4</v>
      </c>
      <c r="E104" s="67">
        <v>5</v>
      </c>
      <c r="F104" s="67">
        <v>0</v>
      </c>
      <c r="G104" s="67">
        <v>0</v>
      </c>
      <c r="H104" s="67">
        <v>10</v>
      </c>
      <c r="I104" s="60">
        <v>8</v>
      </c>
      <c r="J104" s="67">
        <v>0</v>
      </c>
      <c r="K104" s="53" t="s">
        <v>210</v>
      </c>
    </row>
    <row r="105" spans="1:11" s="27" customFormat="1" ht="15.75" x14ac:dyDescent="0.2">
      <c r="A105" s="26" t="s">
        <v>211</v>
      </c>
      <c r="B105" s="48">
        <f t="shared" si="11"/>
        <v>1257</v>
      </c>
      <c r="C105" s="67">
        <v>1207</v>
      </c>
      <c r="D105" s="67">
        <v>0</v>
      </c>
      <c r="E105" s="67">
        <v>0</v>
      </c>
      <c r="F105" s="67">
        <v>0</v>
      </c>
      <c r="G105" s="67">
        <v>0</v>
      </c>
      <c r="H105" s="67">
        <v>26</v>
      </c>
      <c r="I105" s="60">
        <v>24</v>
      </c>
      <c r="J105" s="67">
        <v>0</v>
      </c>
      <c r="K105" s="53" t="s">
        <v>212</v>
      </c>
    </row>
    <row r="106" spans="1:11" s="27" customFormat="1" ht="15.75" x14ac:dyDescent="0.2">
      <c r="A106" s="26" t="s">
        <v>213</v>
      </c>
      <c r="B106" s="48">
        <f t="shared" si="11"/>
        <v>518</v>
      </c>
      <c r="C106" s="67">
        <v>480</v>
      </c>
      <c r="D106" s="67">
        <v>9</v>
      </c>
      <c r="E106" s="67">
        <v>18</v>
      </c>
      <c r="F106" s="67">
        <v>0</v>
      </c>
      <c r="G106" s="67">
        <v>0</v>
      </c>
      <c r="H106" s="67">
        <v>3</v>
      </c>
      <c r="I106" s="60">
        <v>8</v>
      </c>
      <c r="J106" s="67">
        <v>0</v>
      </c>
      <c r="K106" s="53" t="s">
        <v>214</v>
      </c>
    </row>
    <row r="107" spans="1:11" s="27" customFormat="1" ht="15.75" x14ac:dyDescent="0.2">
      <c r="A107" s="26" t="s">
        <v>207</v>
      </c>
      <c r="B107" s="48">
        <f t="shared" si="11"/>
        <v>650</v>
      </c>
      <c r="C107" s="67">
        <v>623</v>
      </c>
      <c r="D107" s="67">
        <v>3</v>
      </c>
      <c r="E107" s="67">
        <v>5</v>
      </c>
      <c r="F107" s="67">
        <v>0</v>
      </c>
      <c r="G107" s="67">
        <v>0</v>
      </c>
      <c r="H107" s="67">
        <v>9</v>
      </c>
      <c r="I107" s="60">
        <v>10</v>
      </c>
      <c r="J107" s="67">
        <v>0</v>
      </c>
      <c r="K107" s="53" t="s">
        <v>208</v>
      </c>
    </row>
    <row r="108" spans="1:11" s="27" customFormat="1" ht="15.75" x14ac:dyDescent="0.2">
      <c r="A108" s="26" t="s">
        <v>219</v>
      </c>
      <c r="B108" s="48">
        <f t="shared" si="11"/>
        <v>711</v>
      </c>
      <c r="C108" s="67">
        <v>689</v>
      </c>
      <c r="D108" s="67">
        <v>4</v>
      </c>
      <c r="E108" s="67">
        <v>5</v>
      </c>
      <c r="F108" s="67">
        <v>0</v>
      </c>
      <c r="G108" s="67">
        <v>0</v>
      </c>
      <c r="H108" s="67">
        <v>6</v>
      </c>
      <c r="I108" s="60">
        <v>7</v>
      </c>
      <c r="J108" s="67">
        <v>0</v>
      </c>
      <c r="K108" s="53" t="s">
        <v>220</v>
      </c>
    </row>
    <row r="109" spans="1:11" s="27" customFormat="1" ht="15.75" x14ac:dyDescent="0.2">
      <c r="A109" s="26" t="s">
        <v>223</v>
      </c>
      <c r="B109" s="48">
        <f t="shared" si="11"/>
        <v>2887</v>
      </c>
      <c r="C109" s="67">
        <v>2748</v>
      </c>
      <c r="D109" s="67">
        <v>7</v>
      </c>
      <c r="E109" s="67">
        <v>13</v>
      </c>
      <c r="F109" s="67">
        <v>0</v>
      </c>
      <c r="G109" s="67">
        <v>0</v>
      </c>
      <c r="H109" s="67">
        <v>59</v>
      </c>
      <c r="I109" s="60">
        <v>60</v>
      </c>
      <c r="J109" s="67">
        <v>0</v>
      </c>
      <c r="K109" s="53" t="s">
        <v>224</v>
      </c>
    </row>
    <row r="110" spans="1:11" s="29" customFormat="1" ht="15.75" x14ac:dyDescent="0.4">
      <c r="A110" s="26"/>
      <c r="B110" s="48"/>
      <c r="C110" s="60"/>
      <c r="D110" s="67"/>
      <c r="E110" s="67"/>
      <c r="F110" s="67"/>
      <c r="G110" s="67"/>
      <c r="H110" s="67"/>
      <c r="I110" s="67"/>
      <c r="J110" s="67"/>
      <c r="K110" s="56"/>
    </row>
    <row r="111" spans="1:11" s="27" customFormat="1" ht="15.75" x14ac:dyDescent="0.2">
      <c r="A111" s="12" t="s">
        <v>35</v>
      </c>
      <c r="B111" s="48">
        <f t="shared" ref="B111:B116" si="13">SUM(C111:J111)</f>
        <v>13056</v>
      </c>
      <c r="C111" s="50">
        <f t="shared" ref="C111:D111" si="14">SUM(C112:C116)</f>
        <v>12175</v>
      </c>
      <c r="D111" s="50">
        <f t="shared" si="14"/>
        <v>121</v>
      </c>
      <c r="E111" s="50">
        <f>SUM(E112:E116)</f>
        <v>194</v>
      </c>
      <c r="F111" s="50">
        <f t="shared" ref="F111:H111" si="15">SUM(F112:F116)</f>
        <v>7</v>
      </c>
      <c r="G111" s="50">
        <f t="shared" si="15"/>
        <v>7</v>
      </c>
      <c r="H111" s="50">
        <f t="shared" si="15"/>
        <v>230</v>
      </c>
      <c r="I111" s="50">
        <f>SUM(I112:I116)</f>
        <v>306</v>
      </c>
      <c r="J111" s="50">
        <f t="shared" ref="J111" si="16">SUM(J112:J116)</f>
        <v>16</v>
      </c>
      <c r="K111" s="52" t="s">
        <v>36</v>
      </c>
    </row>
    <row r="112" spans="1:11" s="27" customFormat="1" ht="15.75" x14ac:dyDescent="0.2">
      <c r="A112" s="26" t="s">
        <v>231</v>
      </c>
      <c r="B112" s="48">
        <f t="shared" si="13"/>
        <v>4792</v>
      </c>
      <c r="C112" s="67">
        <v>4475</v>
      </c>
      <c r="D112" s="67">
        <v>44</v>
      </c>
      <c r="E112" s="67">
        <v>65</v>
      </c>
      <c r="F112" s="70">
        <v>2</v>
      </c>
      <c r="G112" s="70">
        <v>2</v>
      </c>
      <c r="H112" s="67">
        <v>106</v>
      </c>
      <c r="I112" s="60">
        <v>94</v>
      </c>
      <c r="J112" s="70">
        <v>4</v>
      </c>
      <c r="K112" s="53" t="s">
        <v>232</v>
      </c>
    </row>
    <row r="113" spans="1:11" s="27" customFormat="1" ht="15.75" x14ac:dyDescent="0.2">
      <c r="A113" s="26" t="s">
        <v>235</v>
      </c>
      <c r="B113" s="48">
        <f t="shared" si="13"/>
        <v>1918</v>
      </c>
      <c r="C113" s="67">
        <v>1833</v>
      </c>
      <c r="D113" s="67">
        <v>6</v>
      </c>
      <c r="E113" s="67">
        <v>8</v>
      </c>
      <c r="F113" s="70">
        <v>1</v>
      </c>
      <c r="G113" s="70">
        <v>1</v>
      </c>
      <c r="H113" s="67">
        <v>38</v>
      </c>
      <c r="I113" s="60">
        <v>31</v>
      </c>
      <c r="J113" s="67">
        <v>0</v>
      </c>
      <c r="K113" s="53" t="s">
        <v>236</v>
      </c>
    </row>
    <row r="114" spans="1:11" s="27" customFormat="1" ht="15.75" x14ac:dyDescent="0.2">
      <c r="A114" s="26" t="s">
        <v>239</v>
      </c>
      <c r="B114" s="48">
        <f t="shared" si="13"/>
        <v>3</v>
      </c>
      <c r="C114" s="67">
        <v>0</v>
      </c>
      <c r="D114" s="67">
        <v>0</v>
      </c>
      <c r="E114" s="67">
        <v>0</v>
      </c>
      <c r="F114" s="67">
        <v>0</v>
      </c>
      <c r="G114" s="67">
        <v>0</v>
      </c>
      <c r="H114" s="67">
        <v>0</v>
      </c>
      <c r="I114" s="60">
        <v>3</v>
      </c>
      <c r="J114" s="67">
        <v>0</v>
      </c>
      <c r="K114" s="53" t="s">
        <v>240</v>
      </c>
    </row>
    <row r="115" spans="1:11" s="27" customFormat="1" ht="15.75" x14ac:dyDescent="0.2">
      <c r="A115" s="26" t="s">
        <v>233</v>
      </c>
      <c r="B115" s="48">
        <f t="shared" si="13"/>
        <v>5616</v>
      </c>
      <c r="C115" s="67">
        <v>5172</v>
      </c>
      <c r="D115" s="67">
        <v>69</v>
      </c>
      <c r="E115" s="67">
        <v>115</v>
      </c>
      <c r="F115" s="70">
        <v>4</v>
      </c>
      <c r="G115" s="70">
        <v>4</v>
      </c>
      <c r="H115" s="67">
        <v>80</v>
      </c>
      <c r="I115" s="60">
        <v>160</v>
      </c>
      <c r="J115" s="70">
        <v>12</v>
      </c>
      <c r="K115" s="53" t="s">
        <v>234</v>
      </c>
    </row>
    <row r="116" spans="1:11" s="27" customFormat="1" ht="15.75" x14ac:dyDescent="0.2">
      <c r="A116" s="26" t="s">
        <v>237</v>
      </c>
      <c r="B116" s="48">
        <f t="shared" si="13"/>
        <v>727</v>
      </c>
      <c r="C116" s="67">
        <v>695</v>
      </c>
      <c r="D116" s="67">
        <v>2</v>
      </c>
      <c r="E116" s="67">
        <v>6</v>
      </c>
      <c r="F116" s="67">
        <v>0</v>
      </c>
      <c r="G116" s="67">
        <v>0</v>
      </c>
      <c r="H116" s="67">
        <v>6</v>
      </c>
      <c r="I116" s="60">
        <v>18</v>
      </c>
      <c r="J116" s="67">
        <v>0</v>
      </c>
      <c r="K116" s="53" t="s">
        <v>238</v>
      </c>
    </row>
    <row r="117" spans="1:11" s="27" customFormat="1" ht="15.75" x14ac:dyDescent="0.4">
      <c r="A117" s="26"/>
      <c r="B117" s="48"/>
      <c r="C117" s="60"/>
      <c r="D117" s="67"/>
      <c r="E117" s="67"/>
      <c r="F117" s="67"/>
      <c r="G117" s="67"/>
      <c r="H117" s="67"/>
      <c r="I117" s="67"/>
      <c r="J117" s="67"/>
      <c r="K117" s="54"/>
    </row>
    <row r="118" spans="1:11" s="27" customFormat="1" ht="15.75" x14ac:dyDescent="0.2">
      <c r="A118" s="12" t="s">
        <v>37</v>
      </c>
      <c r="B118" s="48">
        <f t="shared" ref="B118:B127" si="17">SUM(C118:J118)</f>
        <v>13886</v>
      </c>
      <c r="C118" s="50">
        <f t="shared" ref="C118:J118" si="18">SUM(C119:C127)</f>
        <v>13045</v>
      </c>
      <c r="D118" s="50">
        <f t="shared" si="18"/>
        <v>106</v>
      </c>
      <c r="E118" s="50">
        <f t="shared" si="18"/>
        <v>198</v>
      </c>
      <c r="F118" s="50">
        <f t="shared" si="18"/>
        <v>2</v>
      </c>
      <c r="G118" s="50">
        <f t="shared" si="18"/>
        <v>2</v>
      </c>
      <c r="H118" s="50">
        <f t="shared" si="18"/>
        <v>230</v>
      </c>
      <c r="I118" s="50">
        <f t="shared" si="18"/>
        <v>303</v>
      </c>
      <c r="J118" s="50">
        <f t="shared" si="18"/>
        <v>0</v>
      </c>
      <c r="K118" s="52" t="s">
        <v>38</v>
      </c>
    </row>
    <row r="119" spans="1:11" s="27" customFormat="1" ht="15.75" x14ac:dyDescent="0.2">
      <c r="A119" s="26" t="s">
        <v>245</v>
      </c>
      <c r="B119" s="48">
        <f t="shared" si="17"/>
        <v>1241</v>
      </c>
      <c r="C119" s="67">
        <v>1196</v>
      </c>
      <c r="D119" s="67">
        <v>4</v>
      </c>
      <c r="E119" s="67">
        <v>9</v>
      </c>
      <c r="F119" s="67">
        <v>0</v>
      </c>
      <c r="G119" s="67">
        <v>0</v>
      </c>
      <c r="H119" s="67">
        <v>18</v>
      </c>
      <c r="I119" s="60">
        <v>14</v>
      </c>
      <c r="J119" s="67">
        <v>0</v>
      </c>
      <c r="K119" s="53" t="s">
        <v>246</v>
      </c>
    </row>
    <row r="120" spans="1:11" s="27" customFormat="1" ht="15.75" x14ac:dyDescent="0.2">
      <c r="A120" s="26" t="s">
        <v>243</v>
      </c>
      <c r="B120" s="48">
        <f t="shared" si="17"/>
        <v>1495</v>
      </c>
      <c r="C120" s="67">
        <v>1421</v>
      </c>
      <c r="D120" s="67">
        <v>7</v>
      </c>
      <c r="E120" s="67">
        <v>12</v>
      </c>
      <c r="F120" s="67">
        <v>0</v>
      </c>
      <c r="G120" s="67">
        <v>0</v>
      </c>
      <c r="H120" s="67">
        <v>26</v>
      </c>
      <c r="I120" s="60">
        <v>29</v>
      </c>
      <c r="J120" s="67">
        <v>0</v>
      </c>
      <c r="K120" s="53" t="s">
        <v>244</v>
      </c>
    </row>
    <row r="121" spans="1:11" s="27" customFormat="1" ht="15.75" x14ac:dyDescent="0.2">
      <c r="A121" s="26" t="s">
        <v>253</v>
      </c>
      <c r="B121" s="48">
        <f t="shared" si="17"/>
        <v>956</v>
      </c>
      <c r="C121" s="67">
        <v>883</v>
      </c>
      <c r="D121" s="67">
        <v>11</v>
      </c>
      <c r="E121" s="67">
        <v>24</v>
      </c>
      <c r="F121" s="67">
        <v>0</v>
      </c>
      <c r="G121" s="67">
        <v>0</v>
      </c>
      <c r="H121" s="67">
        <v>21</v>
      </c>
      <c r="I121" s="60">
        <v>17</v>
      </c>
      <c r="J121" s="67">
        <v>0</v>
      </c>
      <c r="K121" s="53" t="s">
        <v>254</v>
      </c>
    </row>
    <row r="122" spans="1:11" s="27" customFormat="1" ht="15.75" x14ac:dyDescent="0.2">
      <c r="A122" s="26" t="s">
        <v>257</v>
      </c>
      <c r="B122" s="48">
        <f t="shared" si="17"/>
        <v>1954</v>
      </c>
      <c r="C122" s="67">
        <v>1840</v>
      </c>
      <c r="D122" s="67">
        <v>12</v>
      </c>
      <c r="E122" s="67">
        <v>21</v>
      </c>
      <c r="F122" s="70">
        <v>1</v>
      </c>
      <c r="G122" s="70">
        <v>1</v>
      </c>
      <c r="H122" s="67">
        <v>34</v>
      </c>
      <c r="I122" s="60">
        <v>45</v>
      </c>
      <c r="J122" s="67">
        <v>0</v>
      </c>
      <c r="K122" s="53" t="s">
        <v>258</v>
      </c>
    </row>
    <row r="123" spans="1:11" s="27" customFormat="1" ht="15.75" x14ac:dyDescent="0.2">
      <c r="A123" s="26" t="s">
        <v>251</v>
      </c>
      <c r="B123" s="48">
        <f t="shared" si="17"/>
        <v>1170</v>
      </c>
      <c r="C123" s="67">
        <v>1088</v>
      </c>
      <c r="D123" s="67">
        <v>12</v>
      </c>
      <c r="E123" s="67">
        <v>24</v>
      </c>
      <c r="F123" s="67">
        <v>0</v>
      </c>
      <c r="G123" s="67">
        <v>0</v>
      </c>
      <c r="H123" s="67">
        <v>28</v>
      </c>
      <c r="I123" s="60">
        <v>18</v>
      </c>
      <c r="J123" s="67">
        <v>0</v>
      </c>
      <c r="K123" s="53" t="s">
        <v>252</v>
      </c>
    </row>
    <row r="124" spans="1:11" s="27" customFormat="1" ht="15.75" x14ac:dyDescent="0.2">
      <c r="A124" s="26" t="s">
        <v>249</v>
      </c>
      <c r="B124" s="48">
        <f t="shared" si="17"/>
        <v>1115</v>
      </c>
      <c r="C124" s="67">
        <v>1069</v>
      </c>
      <c r="D124" s="67">
        <v>3</v>
      </c>
      <c r="E124" s="67">
        <v>5</v>
      </c>
      <c r="F124" s="67">
        <v>0</v>
      </c>
      <c r="G124" s="67">
        <v>0</v>
      </c>
      <c r="H124" s="67">
        <v>18</v>
      </c>
      <c r="I124" s="60">
        <v>20</v>
      </c>
      <c r="J124" s="67">
        <v>0</v>
      </c>
      <c r="K124" s="53" t="s">
        <v>250</v>
      </c>
    </row>
    <row r="125" spans="1:11" s="27" customFormat="1" ht="15.75" x14ac:dyDescent="0.2">
      <c r="A125" s="26" t="s">
        <v>241</v>
      </c>
      <c r="B125" s="48">
        <f t="shared" si="17"/>
        <v>2476</v>
      </c>
      <c r="C125" s="67">
        <v>2248</v>
      </c>
      <c r="D125" s="67">
        <v>39</v>
      </c>
      <c r="E125" s="67">
        <v>68</v>
      </c>
      <c r="F125" s="70">
        <v>1</v>
      </c>
      <c r="G125" s="70">
        <v>1</v>
      </c>
      <c r="H125" s="67">
        <v>30</v>
      </c>
      <c r="I125" s="60">
        <v>89</v>
      </c>
      <c r="J125" s="67">
        <v>0</v>
      </c>
      <c r="K125" s="53" t="s">
        <v>242</v>
      </c>
    </row>
    <row r="126" spans="1:11" s="27" customFormat="1" ht="15.75" x14ac:dyDescent="0.2">
      <c r="A126" s="26" t="s">
        <v>255</v>
      </c>
      <c r="B126" s="48">
        <f t="shared" si="17"/>
        <v>1954</v>
      </c>
      <c r="C126" s="67">
        <v>1863</v>
      </c>
      <c r="D126" s="67">
        <v>11</v>
      </c>
      <c r="E126" s="67">
        <v>22</v>
      </c>
      <c r="F126" s="67">
        <v>0</v>
      </c>
      <c r="G126" s="67">
        <v>0</v>
      </c>
      <c r="H126" s="67">
        <v>29</v>
      </c>
      <c r="I126" s="60">
        <v>29</v>
      </c>
      <c r="J126" s="67">
        <v>0</v>
      </c>
      <c r="K126" s="53" t="s">
        <v>256</v>
      </c>
    </row>
    <row r="127" spans="1:11" s="27" customFormat="1" ht="15.75" x14ac:dyDescent="0.2">
      <c r="A127" s="26" t="s">
        <v>247</v>
      </c>
      <c r="B127" s="48">
        <f t="shared" si="17"/>
        <v>1525</v>
      </c>
      <c r="C127" s="67">
        <v>1437</v>
      </c>
      <c r="D127" s="67">
        <v>7</v>
      </c>
      <c r="E127" s="67">
        <v>13</v>
      </c>
      <c r="F127" s="67">
        <v>0</v>
      </c>
      <c r="G127" s="67">
        <v>0</v>
      </c>
      <c r="H127" s="67">
        <v>26</v>
      </c>
      <c r="I127" s="60">
        <v>42</v>
      </c>
      <c r="J127" s="67">
        <v>0</v>
      </c>
      <c r="K127" s="53" t="s">
        <v>248</v>
      </c>
    </row>
    <row r="128" spans="1:11" s="27" customFormat="1" ht="15.75" x14ac:dyDescent="0.4">
      <c r="A128" s="26"/>
      <c r="B128" s="48"/>
      <c r="C128" s="60"/>
      <c r="D128" s="67"/>
      <c r="E128" s="67"/>
      <c r="F128" s="67"/>
      <c r="G128" s="67"/>
      <c r="H128" s="67"/>
      <c r="I128" s="67"/>
      <c r="J128" s="67"/>
      <c r="K128" s="54"/>
    </row>
    <row r="129" spans="1:11" s="27" customFormat="1" ht="15.75" x14ac:dyDescent="0.2">
      <c r="A129" s="12" t="s">
        <v>39</v>
      </c>
      <c r="B129" s="48">
        <f t="shared" ref="B129:B137" si="19">SUM(C129:J129)</f>
        <v>8484</v>
      </c>
      <c r="C129" s="50">
        <f>SUM(C130:C137)</f>
        <v>7938</v>
      </c>
      <c r="D129" s="50">
        <f>SUM(D130:D137)</f>
        <v>63</v>
      </c>
      <c r="E129" s="50">
        <f>SUM(E130:E137)</f>
        <v>110</v>
      </c>
      <c r="F129" s="50">
        <v>0</v>
      </c>
      <c r="G129" s="50">
        <v>0</v>
      </c>
      <c r="H129" s="50">
        <f>SUM(H130:H137)</f>
        <v>185</v>
      </c>
      <c r="I129" s="50">
        <f>SUM(I130:I137)</f>
        <v>168</v>
      </c>
      <c r="J129" s="50">
        <f t="shared" ref="J129" si="20">SUM(J130:J137)</f>
        <v>20</v>
      </c>
      <c r="K129" s="52" t="s">
        <v>40</v>
      </c>
    </row>
    <row r="130" spans="1:11" s="27" customFormat="1" ht="15.75" x14ac:dyDescent="0.2">
      <c r="A130" s="30" t="s">
        <v>267</v>
      </c>
      <c r="B130" s="48">
        <f t="shared" si="19"/>
        <v>792</v>
      </c>
      <c r="C130" s="67">
        <v>744</v>
      </c>
      <c r="D130" s="67">
        <v>6</v>
      </c>
      <c r="E130" s="67">
        <v>11</v>
      </c>
      <c r="F130" s="67">
        <v>0</v>
      </c>
      <c r="G130" s="67">
        <v>0</v>
      </c>
      <c r="H130" s="67">
        <v>20</v>
      </c>
      <c r="I130" s="60">
        <v>11</v>
      </c>
      <c r="J130" s="67">
        <v>0</v>
      </c>
      <c r="K130" s="53" t="s">
        <v>268</v>
      </c>
    </row>
    <row r="131" spans="1:11" s="27" customFormat="1" ht="15.75" x14ac:dyDescent="0.2">
      <c r="A131" s="26" t="s">
        <v>269</v>
      </c>
      <c r="B131" s="48">
        <f t="shared" si="19"/>
        <v>834</v>
      </c>
      <c r="C131" s="67">
        <v>771</v>
      </c>
      <c r="D131" s="67">
        <v>9</v>
      </c>
      <c r="E131" s="67">
        <v>16</v>
      </c>
      <c r="F131" s="67">
        <v>0</v>
      </c>
      <c r="G131" s="67">
        <v>0</v>
      </c>
      <c r="H131" s="67">
        <v>18</v>
      </c>
      <c r="I131" s="60">
        <v>11</v>
      </c>
      <c r="J131" s="67">
        <v>9</v>
      </c>
      <c r="K131" s="53" t="s">
        <v>270</v>
      </c>
    </row>
    <row r="132" spans="1:11" s="27" customFormat="1" ht="15.75" x14ac:dyDescent="0.2">
      <c r="A132" s="26" t="s">
        <v>271</v>
      </c>
      <c r="B132" s="48">
        <f t="shared" si="19"/>
        <v>816</v>
      </c>
      <c r="C132" s="67">
        <v>776</v>
      </c>
      <c r="D132" s="67">
        <v>6</v>
      </c>
      <c r="E132" s="67">
        <v>11</v>
      </c>
      <c r="F132" s="67">
        <v>0</v>
      </c>
      <c r="G132" s="67">
        <v>0</v>
      </c>
      <c r="H132" s="67">
        <v>14</v>
      </c>
      <c r="I132" s="60">
        <v>9</v>
      </c>
      <c r="J132" s="67">
        <v>0</v>
      </c>
      <c r="K132" s="53" t="s">
        <v>272</v>
      </c>
    </row>
    <row r="133" spans="1:11" s="27" customFormat="1" ht="15.75" x14ac:dyDescent="0.2">
      <c r="A133" s="26" t="s">
        <v>219</v>
      </c>
      <c r="B133" s="48">
        <f t="shared" si="19"/>
        <v>740</v>
      </c>
      <c r="C133" s="67">
        <v>709</v>
      </c>
      <c r="D133" s="67">
        <v>3</v>
      </c>
      <c r="E133" s="67">
        <v>4</v>
      </c>
      <c r="F133" s="67">
        <v>0</v>
      </c>
      <c r="G133" s="67">
        <v>0</v>
      </c>
      <c r="H133" s="67">
        <v>14</v>
      </c>
      <c r="I133" s="60">
        <v>10</v>
      </c>
      <c r="J133" s="67">
        <v>0</v>
      </c>
      <c r="K133" s="53" t="s">
        <v>220</v>
      </c>
    </row>
    <row r="134" spans="1:11" s="27" customFormat="1" ht="15.75" x14ac:dyDescent="0.2">
      <c r="A134" s="26" t="s">
        <v>265</v>
      </c>
      <c r="B134" s="48">
        <f t="shared" si="19"/>
        <v>1032</v>
      </c>
      <c r="C134" s="67">
        <v>958</v>
      </c>
      <c r="D134" s="67">
        <v>1</v>
      </c>
      <c r="E134" s="67">
        <v>1</v>
      </c>
      <c r="F134" s="67">
        <v>0</v>
      </c>
      <c r="G134" s="67">
        <v>0</v>
      </c>
      <c r="H134" s="67">
        <v>39</v>
      </c>
      <c r="I134" s="60">
        <v>22</v>
      </c>
      <c r="J134" s="67">
        <v>11</v>
      </c>
      <c r="K134" s="53" t="s">
        <v>266</v>
      </c>
    </row>
    <row r="135" spans="1:11" s="27" customFormat="1" ht="15.75" x14ac:dyDescent="0.2">
      <c r="A135" s="26" t="s">
        <v>261</v>
      </c>
      <c r="B135" s="48">
        <f t="shared" si="19"/>
        <v>1222</v>
      </c>
      <c r="C135" s="67">
        <v>1150</v>
      </c>
      <c r="D135" s="67">
        <v>12</v>
      </c>
      <c r="E135" s="67">
        <v>20</v>
      </c>
      <c r="F135" s="67">
        <v>0</v>
      </c>
      <c r="G135" s="67">
        <v>0</v>
      </c>
      <c r="H135" s="67">
        <v>19</v>
      </c>
      <c r="I135" s="60">
        <v>21</v>
      </c>
      <c r="J135" s="67">
        <v>0</v>
      </c>
      <c r="K135" s="53" t="s">
        <v>262</v>
      </c>
    </row>
    <row r="136" spans="1:11" s="27" customFormat="1" ht="15.75" x14ac:dyDescent="0.2">
      <c r="A136" s="26" t="s">
        <v>259</v>
      </c>
      <c r="B136" s="48">
        <f t="shared" si="19"/>
        <v>1901</v>
      </c>
      <c r="C136" s="67">
        <v>1790</v>
      </c>
      <c r="D136" s="67">
        <v>12</v>
      </c>
      <c r="E136" s="67">
        <v>19</v>
      </c>
      <c r="F136" s="67">
        <v>0</v>
      </c>
      <c r="G136" s="67">
        <v>0</v>
      </c>
      <c r="H136" s="67">
        <v>31</v>
      </c>
      <c r="I136" s="60">
        <v>49</v>
      </c>
      <c r="J136" s="67">
        <v>0</v>
      </c>
      <c r="K136" s="53" t="s">
        <v>260</v>
      </c>
    </row>
    <row r="137" spans="1:11" s="27" customFormat="1" ht="15.75" x14ac:dyDescent="0.2">
      <c r="A137" s="26" t="s">
        <v>263</v>
      </c>
      <c r="B137" s="48">
        <f t="shared" si="19"/>
        <v>1147</v>
      </c>
      <c r="C137" s="67">
        <v>1040</v>
      </c>
      <c r="D137" s="67">
        <v>14</v>
      </c>
      <c r="E137" s="67">
        <v>28</v>
      </c>
      <c r="F137" s="67">
        <v>0</v>
      </c>
      <c r="G137" s="67">
        <v>0</v>
      </c>
      <c r="H137" s="67">
        <v>30</v>
      </c>
      <c r="I137" s="60">
        <v>35</v>
      </c>
      <c r="J137" s="67">
        <v>0</v>
      </c>
      <c r="K137" s="53" t="s">
        <v>264</v>
      </c>
    </row>
    <row r="138" spans="1:11" s="29" customFormat="1" ht="15.75" x14ac:dyDescent="0.4">
      <c r="A138" s="26"/>
      <c r="B138" s="48"/>
      <c r="C138" s="60"/>
      <c r="D138" s="67"/>
      <c r="E138" s="67"/>
      <c r="F138" s="67"/>
      <c r="G138" s="67"/>
      <c r="H138" s="67"/>
      <c r="I138" s="67"/>
      <c r="J138" s="67"/>
      <c r="K138" s="56"/>
    </row>
    <row r="139" spans="1:11" s="27" customFormat="1" ht="15.75" x14ac:dyDescent="0.2">
      <c r="A139" s="12" t="s">
        <v>41</v>
      </c>
      <c r="B139" s="48">
        <f t="shared" ref="B139:B149" si="21">SUM(C139:J139)</f>
        <v>11562</v>
      </c>
      <c r="C139" s="50">
        <f>SUM(C140:C149)</f>
        <v>10937</v>
      </c>
      <c r="D139" s="50">
        <f>SUM(D140:D149)</f>
        <v>43</v>
      </c>
      <c r="E139" s="50">
        <f>SUM(E140:E149)</f>
        <v>91</v>
      </c>
      <c r="F139" s="50">
        <f t="shared" ref="F139:H139" si="22">SUM(F140:F149)</f>
        <v>2</v>
      </c>
      <c r="G139" s="50">
        <f t="shared" si="22"/>
        <v>2</v>
      </c>
      <c r="H139" s="50">
        <f t="shared" si="22"/>
        <v>214</v>
      </c>
      <c r="I139" s="50">
        <f>SUM(I140:I149)</f>
        <v>273</v>
      </c>
      <c r="J139" s="50">
        <f t="shared" ref="J139" si="23">SUM(J140:J149)</f>
        <v>0</v>
      </c>
      <c r="K139" s="52" t="s">
        <v>42</v>
      </c>
    </row>
    <row r="140" spans="1:11" s="27" customFormat="1" ht="15.75" x14ac:dyDescent="0.2">
      <c r="A140" s="26" t="s">
        <v>81</v>
      </c>
      <c r="B140" s="48">
        <f t="shared" si="21"/>
        <v>241</v>
      </c>
      <c r="C140" s="67">
        <v>212</v>
      </c>
      <c r="D140" s="67">
        <v>1</v>
      </c>
      <c r="E140" s="67">
        <v>4</v>
      </c>
      <c r="F140" s="67">
        <v>0</v>
      </c>
      <c r="G140" s="67">
        <v>0</v>
      </c>
      <c r="H140" s="67">
        <v>18</v>
      </c>
      <c r="I140" s="60">
        <v>6</v>
      </c>
      <c r="J140" s="67">
        <v>0</v>
      </c>
      <c r="K140" s="53" t="s">
        <v>82</v>
      </c>
    </row>
    <row r="141" spans="1:11" s="27" customFormat="1" ht="15.75" x14ac:dyDescent="0.2">
      <c r="A141" s="30" t="s">
        <v>283</v>
      </c>
      <c r="B141" s="48">
        <f t="shared" si="21"/>
        <v>656</v>
      </c>
      <c r="C141" s="67">
        <v>629</v>
      </c>
      <c r="D141" s="67">
        <v>2</v>
      </c>
      <c r="E141" s="67">
        <v>2</v>
      </c>
      <c r="F141" s="67">
        <v>0</v>
      </c>
      <c r="G141" s="67">
        <v>0</v>
      </c>
      <c r="H141" s="67">
        <v>8</v>
      </c>
      <c r="I141" s="60">
        <v>15</v>
      </c>
      <c r="J141" s="67">
        <v>0</v>
      </c>
      <c r="K141" s="53" t="s">
        <v>284</v>
      </c>
    </row>
    <row r="142" spans="1:11" s="27" customFormat="1" ht="15.75" x14ac:dyDescent="0.2">
      <c r="A142" s="30" t="s">
        <v>281</v>
      </c>
      <c r="B142" s="48">
        <f t="shared" si="21"/>
        <v>1040</v>
      </c>
      <c r="C142" s="67">
        <v>987</v>
      </c>
      <c r="D142" s="67">
        <v>1</v>
      </c>
      <c r="E142" s="67">
        <v>3</v>
      </c>
      <c r="F142" s="67">
        <v>0</v>
      </c>
      <c r="G142" s="67">
        <v>0</v>
      </c>
      <c r="H142" s="67">
        <v>27</v>
      </c>
      <c r="I142" s="60">
        <v>22</v>
      </c>
      <c r="J142" s="67">
        <v>0</v>
      </c>
      <c r="K142" s="53" t="s">
        <v>282</v>
      </c>
    </row>
    <row r="143" spans="1:11" s="27" customFormat="1" ht="15.75" x14ac:dyDescent="0.2">
      <c r="A143" s="26" t="s">
        <v>285</v>
      </c>
      <c r="B143" s="48">
        <f t="shared" si="21"/>
        <v>1107</v>
      </c>
      <c r="C143" s="67">
        <v>1056</v>
      </c>
      <c r="D143" s="67">
        <v>7</v>
      </c>
      <c r="E143" s="67">
        <v>13</v>
      </c>
      <c r="F143" s="70">
        <v>2</v>
      </c>
      <c r="G143" s="70">
        <v>2</v>
      </c>
      <c r="H143" s="67">
        <v>14</v>
      </c>
      <c r="I143" s="60">
        <v>13</v>
      </c>
      <c r="J143" s="67">
        <v>0</v>
      </c>
      <c r="K143" s="53" t="s">
        <v>286</v>
      </c>
    </row>
    <row r="144" spans="1:11" s="27" customFormat="1" ht="15.75" x14ac:dyDescent="0.2">
      <c r="A144" s="26" t="s">
        <v>273</v>
      </c>
      <c r="B144" s="48">
        <f t="shared" si="21"/>
        <v>739</v>
      </c>
      <c r="C144" s="67">
        <v>707</v>
      </c>
      <c r="D144" s="67">
        <v>2</v>
      </c>
      <c r="E144" s="67">
        <v>3</v>
      </c>
      <c r="F144" s="67">
        <v>0</v>
      </c>
      <c r="G144" s="67">
        <v>0</v>
      </c>
      <c r="H144" s="67">
        <v>17</v>
      </c>
      <c r="I144" s="60">
        <v>10</v>
      </c>
      <c r="J144" s="67">
        <v>0</v>
      </c>
      <c r="K144" s="53" t="s">
        <v>274</v>
      </c>
    </row>
    <row r="145" spans="1:11" s="27" customFormat="1" ht="15.75" x14ac:dyDescent="0.2">
      <c r="A145" s="26" t="s">
        <v>277</v>
      </c>
      <c r="B145" s="48">
        <f t="shared" si="21"/>
        <v>592</v>
      </c>
      <c r="C145" s="67">
        <v>557</v>
      </c>
      <c r="D145" s="67">
        <v>3</v>
      </c>
      <c r="E145" s="67">
        <v>5</v>
      </c>
      <c r="F145" s="67">
        <v>0</v>
      </c>
      <c r="G145" s="67">
        <v>0</v>
      </c>
      <c r="H145" s="67">
        <v>3</v>
      </c>
      <c r="I145" s="60">
        <v>24</v>
      </c>
      <c r="J145" s="67">
        <v>0</v>
      </c>
      <c r="K145" s="53" t="s">
        <v>112</v>
      </c>
    </row>
    <row r="146" spans="1:11" s="27" customFormat="1" ht="15.75" x14ac:dyDescent="0.2">
      <c r="A146" s="26" t="s">
        <v>287</v>
      </c>
      <c r="B146" s="48">
        <f t="shared" si="21"/>
        <v>3075</v>
      </c>
      <c r="C146" s="67">
        <v>2931</v>
      </c>
      <c r="D146" s="67">
        <v>10</v>
      </c>
      <c r="E146" s="67">
        <v>25</v>
      </c>
      <c r="F146" s="67">
        <v>0</v>
      </c>
      <c r="G146" s="67">
        <v>0</v>
      </c>
      <c r="H146" s="67">
        <v>39</v>
      </c>
      <c r="I146" s="60">
        <v>70</v>
      </c>
      <c r="J146" s="67">
        <v>0</v>
      </c>
      <c r="K146" s="53" t="s">
        <v>288</v>
      </c>
    </row>
    <row r="147" spans="1:11" s="27" customFormat="1" ht="15.75" x14ac:dyDescent="0.2">
      <c r="A147" s="26" t="s">
        <v>278</v>
      </c>
      <c r="B147" s="48">
        <f t="shared" si="21"/>
        <v>2473</v>
      </c>
      <c r="C147" s="67">
        <v>2364</v>
      </c>
      <c r="D147" s="67">
        <v>9</v>
      </c>
      <c r="E147" s="67">
        <v>21</v>
      </c>
      <c r="F147" s="67">
        <v>0</v>
      </c>
      <c r="G147" s="67">
        <v>0</v>
      </c>
      <c r="H147" s="67">
        <v>40</v>
      </c>
      <c r="I147" s="60">
        <v>39</v>
      </c>
      <c r="J147" s="67">
        <v>0</v>
      </c>
      <c r="K147" s="53" t="s">
        <v>279</v>
      </c>
    </row>
    <row r="148" spans="1:11" s="27" customFormat="1" ht="15.75" x14ac:dyDescent="0.2">
      <c r="A148" s="26" t="s">
        <v>280</v>
      </c>
      <c r="B148" s="48">
        <f t="shared" si="21"/>
        <v>446</v>
      </c>
      <c r="C148" s="67">
        <v>433</v>
      </c>
      <c r="D148" s="67">
        <v>0</v>
      </c>
      <c r="E148" s="67">
        <v>0</v>
      </c>
      <c r="F148" s="67">
        <v>0</v>
      </c>
      <c r="G148" s="67">
        <v>0</v>
      </c>
      <c r="H148" s="67">
        <v>4</v>
      </c>
      <c r="I148" s="60">
        <v>9</v>
      </c>
      <c r="J148" s="67">
        <v>0</v>
      </c>
      <c r="K148" s="53" t="s">
        <v>415</v>
      </c>
    </row>
    <row r="149" spans="1:11" s="27" customFormat="1" ht="15.75" x14ac:dyDescent="0.2">
      <c r="A149" s="26" t="s">
        <v>275</v>
      </c>
      <c r="B149" s="48">
        <f t="shared" si="21"/>
        <v>1193</v>
      </c>
      <c r="C149" s="67">
        <v>1061</v>
      </c>
      <c r="D149" s="67">
        <v>8</v>
      </c>
      <c r="E149" s="67">
        <v>15</v>
      </c>
      <c r="F149" s="67">
        <v>0</v>
      </c>
      <c r="G149" s="67">
        <v>0</v>
      </c>
      <c r="H149" s="67">
        <v>44</v>
      </c>
      <c r="I149" s="60">
        <v>65</v>
      </c>
      <c r="J149" s="67">
        <v>0</v>
      </c>
      <c r="K149" s="53" t="s">
        <v>276</v>
      </c>
    </row>
    <row r="150" spans="1:11" s="27" customFormat="1" ht="15.75" x14ac:dyDescent="0.4">
      <c r="A150" s="26"/>
      <c r="B150" s="48"/>
      <c r="C150" s="60"/>
      <c r="D150" s="67"/>
      <c r="E150" s="67"/>
      <c r="F150" s="67"/>
      <c r="G150" s="67"/>
      <c r="H150" s="67"/>
      <c r="I150" s="67"/>
      <c r="J150" s="67"/>
      <c r="K150" s="54"/>
    </row>
    <row r="151" spans="1:11" s="27" customFormat="1" ht="15.75" x14ac:dyDescent="0.2">
      <c r="A151" s="12" t="s">
        <v>43</v>
      </c>
      <c r="B151" s="48">
        <f>SUM(C151:$J$151)</f>
        <v>2428</v>
      </c>
      <c r="C151" s="50">
        <f>SUM(C152:C156)</f>
        <v>2323</v>
      </c>
      <c r="D151" s="50">
        <f>SUM(D153:D154)</f>
        <v>11</v>
      </c>
      <c r="E151" s="50">
        <f>SUM(E152:E156)</f>
        <v>20</v>
      </c>
      <c r="F151" s="50">
        <f t="shared" ref="F151:H151" si="24">SUM(F152:F156)</f>
        <v>1</v>
      </c>
      <c r="G151" s="50">
        <f t="shared" si="24"/>
        <v>3</v>
      </c>
      <c r="H151" s="50">
        <f t="shared" si="24"/>
        <v>37</v>
      </c>
      <c r="I151" s="50">
        <f>SUM(I152:I156)</f>
        <v>33</v>
      </c>
      <c r="J151" s="50">
        <f t="shared" ref="J151" si="25">SUM(J152:J156)</f>
        <v>0</v>
      </c>
      <c r="K151" s="52" t="s">
        <v>44</v>
      </c>
    </row>
    <row r="152" spans="1:11" s="27" customFormat="1" ht="15.75" x14ac:dyDescent="0.2">
      <c r="A152" s="26" t="s">
        <v>424</v>
      </c>
      <c r="B152" s="48">
        <f t="shared" ref="B152:B156" si="26">SUM(C152:J152)</f>
        <v>636</v>
      </c>
      <c r="C152" s="67">
        <v>615</v>
      </c>
      <c r="D152" s="67">
        <v>0</v>
      </c>
      <c r="E152" s="67">
        <v>0</v>
      </c>
      <c r="F152" s="67">
        <v>0</v>
      </c>
      <c r="G152" s="67">
        <v>0</v>
      </c>
      <c r="H152" s="67">
        <v>13</v>
      </c>
      <c r="I152" s="60">
        <v>8</v>
      </c>
      <c r="J152" s="67">
        <v>0</v>
      </c>
      <c r="K152" s="53" t="s">
        <v>292</v>
      </c>
    </row>
    <row r="153" spans="1:11" s="27" customFormat="1" ht="15.75" x14ac:dyDescent="0.2">
      <c r="A153" s="26" t="s">
        <v>425</v>
      </c>
      <c r="B153" s="48">
        <f t="shared" si="26"/>
        <v>482</v>
      </c>
      <c r="C153" s="67">
        <v>448</v>
      </c>
      <c r="D153" s="67">
        <v>4</v>
      </c>
      <c r="E153" s="67">
        <v>8</v>
      </c>
      <c r="F153" s="67">
        <v>1</v>
      </c>
      <c r="G153" s="67">
        <v>3</v>
      </c>
      <c r="H153" s="67">
        <v>6</v>
      </c>
      <c r="I153" s="60">
        <v>12</v>
      </c>
      <c r="J153" s="67">
        <v>0</v>
      </c>
      <c r="K153" s="53" t="s">
        <v>289</v>
      </c>
    </row>
    <row r="154" spans="1:11" s="27" customFormat="1" ht="15.75" x14ac:dyDescent="0.2">
      <c r="A154" s="26" t="s">
        <v>426</v>
      </c>
      <c r="B154" s="48">
        <f t="shared" si="26"/>
        <v>805</v>
      </c>
      <c r="C154" s="67">
        <v>766</v>
      </c>
      <c r="D154" s="67">
        <v>7</v>
      </c>
      <c r="E154" s="67">
        <v>12</v>
      </c>
      <c r="F154" s="67">
        <v>0</v>
      </c>
      <c r="G154" s="67">
        <v>0</v>
      </c>
      <c r="H154" s="67">
        <v>9</v>
      </c>
      <c r="I154" s="60">
        <v>11</v>
      </c>
      <c r="J154" s="67">
        <v>0</v>
      </c>
      <c r="K154" s="53" t="s">
        <v>293</v>
      </c>
    </row>
    <row r="155" spans="1:11" s="27" customFormat="1" ht="15.75" x14ac:dyDescent="0.2">
      <c r="A155" s="26" t="s">
        <v>427</v>
      </c>
      <c r="B155" s="48">
        <f t="shared" si="26"/>
        <v>338</v>
      </c>
      <c r="C155" s="67">
        <v>331</v>
      </c>
      <c r="D155" s="67">
        <v>0</v>
      </c>
      <c r="E155" s="67">
        <v>0</v>
      </c>
      <c r="F155" s="67">
        <v>0</v>
      </c>
      <c r="G155" s="67">
        <v>0</v>
      </c>
      <c r="H155" s="67">
        <v>6</v>
      </c>
      <c r="I155" s="60">
        <v>1</v>
      </c>
      <c r="J155" s="67">
        <v>0</v>
      </c>
      <c r="K155" s="53" t="s">
        <v>294</v>
      </c>
    </row>
    <row r="156" spans="1:11" s="27" customFormat="1" ht="15.75" x14ac:dyDescent="0.2">
      <c r="A156" s="26" t="s">
        <v>428</v>
      </c>
      <c r="B156" s="48">
        <f t="shared" si="26"/>
        <v>167</v>
      </c>
      <c r="C156" s="67">
        <v>163</v>
      </c>
      <c r="D156" s="67">
        <v>0</v>
      </c>
      <c r="E156" s="67">
        <v>0</v>
      </c>
      <c r="F156" s="67">
        <v>0</v>
      </c>
      <c r="G156" s="67">
        <v>0</v>
      </c>
      <c r="H156" s="67">
        <v>3</v>
      </c>
      <c r="I156" s="60">
        <v>1</v>
      </c>
      <c r="J156" s="67">
        <v>0</v>
      </c>
      <c r="K156" s="53" t="s">
        <v>291</v>
      </c>
    </row>
    <row r="157" spans="1:11" s="27" customFormat="1" ht="15.75" x14ac:dyDescent="0.4">
      <c r="A157" s="26"/>
      <c r="B157" s="48"/>
      <c r="C157" s="60"/>
      <c r="D157" s="67"/>
      <c r="E157" s="67"/>
      <c r="F157" s="67"/>
      <c r="G157" s="67"/>
      <c r="H157" s="67"/>
      <c r="I157" s="67"/>
      <c r="J157" s="67"/>
      <c r="K157" s="54"/>
    </row>
    <row r="158" spans="1:11" s="27" customFormat="1" ht="15.75" x14ac:dyDescent="0.2">
      <c r="A158" s="12" t="s">
        <v>45</v>
      </c>
      <c r="B158" s="48">
        <f t="shared" ref="B158:B167" si="27">SUM(C158:J158)</f>
        <v>7151</v>
      </c>
      <c r="C158" s="50">
        <f>SUM(C159:C168)</f>
        <v>6817</v>
      </c>
      <c r="D158" s="50">
        <f>SUM(D159:D168)</f>
        <v>38</v>
      </c>
      <c r="E158" s="50">
        <f t="shared" ref="E158:J158" si="28">SUM(E159:E167)</f>
        <v>64</v>
      </c>
      <c r="F158" s="50">
        <f t="shared" si="28"/>
        <v>4</v>
      </c>
      <c r="G158" s="50">
        <f t="shared" si="28"/>
        <v>4</v>
      </c>
      <c r="H158" s="50">
        <f t="shared" si="28"/>
        <v>108</v>
      </c>
      <c r="I158" s="50">
        <f t="shared" si="28"/>
        <v>111</v>
      </c>
      <c r="J158" s="50">
        <f t="shared" si="28"/>
        <v>5</v>
      </c>
      <c r="K158" s="52" t="s">
        <v>46</v>
      </c>
    </row>
    <row r="159" spans="1:11" s="27" customFormat="1" ht="15.75" x14ac:dyDescent="0.2">
      <c r="A159" s="26" t="s">
        <v>308</v>
      </c>
      <c r="B159" s="48">
        <f t="shared" si="27"/>
        <v>1243</v>
      </c>
      <c r="C159" s="67">
        <v>1211</v>
      </c>
      <c r="D159" s="67">
        <v>4</v>
      </c>
      <c r="E159" s="67">
        <v>5</v>
      </c>
      <c r="F159" s="67">
        <v>0</v>
      </c>
      <c r="G159" s="67">
        <v>0</v>
      </c>
      <c r="H159" s="67">
        <v>13</v>
      </c>
      <c r="I159" s="60">
        <v>10</v>
      </c>
      <c r="J159" s="67">
        <v>0</v>
      </c>
      <c r="K159" s="53" t="s">
        <v>309</v>
      </c>
    </row>
    <row r="160" spans="1:11" s="27" customFormat="1" ht="15.75" x14ac:dyDescent="0.2">
      <c r="A160" s="26" t="s">
        <v>306</v>
      </c>
      <c r="B160" s="48">
        <f t="shared" si="27"/>
        <v>1315</v>
      </c>
      <c r="C160" s="67">
        <v>1275</v>
      </c>
      <c r="D160" s="67">
        <v>8</v>
      </c>
      <c r="E160" s="67">
        <v>12</v>
      </c>
      <c r="F160" s="67">
        <v>0</v>
      </c>
      <c r="G160" s="67">
        <v>0</v>
      </c>
      <c r="H160" s="67">
        <v>12</v>
      </c>
      <c r="I160" s="60">
        <v>8</v>
      </c>
      <c r="J160" s="67">
        <v>0</v>
      </c>
      <c r="K160" s="53" t="s">
        <v>307</v>
      </c>
    </row>
    <row r="161" spans="1:11" s="27" customFormat="1" ht="15.75" x14ac:dyDescent="0.2">
      <c r="A161" s="26" t="s">
        <v>297</v>
      </c>
      <c r="B161" s="48">
        <f t="shared" si="27"/>
        <v>10</v>
      </c>
      <c r="C161" s="67"/>
      <c r="D161" s="67">
        <v>1</v>
      </c>
      <c r="E161" s="67">
        <v>3</v>
      </c>
      <c r="F161" s="67">
        <v>0</v>
      </c>
      <c r="G161" s="67">
        <v>0</v>
      </c>
      <c r="H161" s="67">
        <v>6</v>
      </c>
      <c r="I161" s="67">
        <v>0</v>
      </c>
      <c r="J161" s="67">
        <v>0</v>
      </c>
      <c r="K161" s="53" t="s">
        <v>435</v>
      </c>
    </row>
    <row r="162" spans="1:11" s="27" customFormat="1" ht="15.75" x14ac:dyDescent="0.2">
      <c r="A162" s="26" t="s">
        <v>195</v>
      </c>
      <c r="B162" s="48">
        <f t="shared" si="27"/>
        <v>680</v>
      </c>
      <c r="C162" s="67">
        <v>652</v>
      </c>
      <c r="D162" s="67">
        <v>1</v>
      </c>
      <c r="E162" s="67">
        <v>3</v>
      </c>
      <c r="F162" s="67">
        <v>0</v>
      </c>
      <c r="G162" s="67">
        <v>0</v>
      </c>
      <c r="H162" s="67">
        <v>13</v>
      </c>
      <c r="I162" s="60">
        <v>6</v>
      </c>
      <c r="J162" s="67">
        <v>5</v>
      </c>
      <c r="K162" s="53" t="s">
        <v>196</v>
      </c>
    </row>
    <row r="163" spans="1:11" s="27" customFormat="1" ht="15.75" x14ac:dyDescent="0.2">
      <c r="A163" s="26" t="s">
        <v>300</v>
      </c>
      <c r="B163" s="48">
        <f t="shared" si="27"/>
        <v>1848</v>
      </c>
      <c r="C163" s="67">
        <v>1732</v>
      </c>
      <c r="D163" s="67">
        <v>15</v>
      </c>
      <c r="E163" s="67">
        <v>21</v>
      </c>
      <c r="F163" s="67">
        <v>0</v>
      </c>
      <c r="G163" s="67">
        <v>0</v>
      </c>
      <c r="H163" s="67">
        <v>28</v>
      </c>
      <c r="I163" s="60">
        <v>52</v>
      </c>
      <c r="J163" s="67">
        <v>0</v>
      </c>
      <c r="K163" s="53" t="s">
        <v>301</v>
      </c>
    </row>
    <row r="164" spans="1:11" s="27" customFormat="1" ht="15.75" x14ac:dyDescent="0.2">
      <c r="A164" s="26" t="s">
        <v>302</v>
      </c>
      <c r="B164" s="48">
        <f t="shared" si="27"/>
        <v>986</v>
      </c>
      <c r="C164" s="67">
        <v>937</v>
      </c>
      <c r="D164" s="67">
        <v>6</v>
      </c>
      <c r="E164" s="67">
        <v>15</v>
      </c>
      <c r="F164" s="70">
        <v>1</v>
      </c>
      <c r="G164" s="70">
        <v>1</v>
      </c>
      <c r="H164" s="67">
        <v>15</v>
      </c>
      <c r="I164" s="60">
        <v>11</v>
      </c>
      <c r="J164" s="67">
        <v>0</v>
      </c>
      <c r="K164" s="53" t="s">
        <v>303</v>
      </c>
    </row>
    <row r="165" spans="1:11" s="27" customFormat="1" ht="15.75" x14ac:dyDescent="0.2">
      <c r="A165" s="26" t="s">
        <v>304</v>
      </c>
      <c r="B165" s="48">
        <f t="shared" si="27"/>
        <v>515</v>
      </c>
      <c r="C165" s="67">
        <v>491</v>
      </c>
      <c r="D165" s="67">
        <v>2</v>
      </c>
      <c r="E165" s="67">
        <v>3</v>
      </c>
      <c r="F165" s="70">
        <v>1</v>
      </c>
      <c r="G165" s="70">
        <v>1</v>
      </c>
      <c r="H165" s="67">
        <v>6</v>
      </c>
      <c r="I165" s="60">
        <v>11</v>
      </c>
      <c r="J165" s="67">
        <v>0</v>
      </c>
      <c r="K165" s="53" t="s">
        <v>305</v>
      </c>
    </row>
    <row r="166" spans="1:11" s="27" customFormat="1" ht="15.75" x14ac:dyDescent="0.2">
      <c r="A166" s="26" t="s">
        <v>295</v>
      </c>
      <c r="B166" s="48">
        <f t="shared" si="27"/>
        <v>226</v>
      </c>
      <c r="C166" s="67">
        <v>209</v>
      </c>
      <c r="D166" s="67">
        <v>0</v>
      </c>
      <c r="E166" s="67">
        <v>0</v>
      </c>
      <c r="F166" s="70">
        <v>2</v>
      </c>
      <c r="G166" s="70">
        <v>2</v>
      </c>
      <c r="H166" s="67">
        <v>9</v>
      </c>
      <c r="I166" s="60">
        <v>4</v>
      </c>
      <c r="J166" s="67">
        <v>0</v>
      </c>
      <c r="K166" s="53" t="s">
        <v>296</v>
      </c>
    </row>
    <row r="167" spans="1:11" s="27" customFormat="1" ht="15.75" x14ac:dyDescent="0.2">
      <c r="A167" s="26" t="s">
        <v>298</v>
      </c>
      <c r="B167" s="48">
        <f t="shared" si="27"/>
        <v>328</v>
      </c>
      <c r="C167" s="67">
        <v>310</v>
      </c>
      <c r="D167" s="67">
        <v>1</v>
      </c>
      <c r="E167" s="67">
        <v>2</v>
      </c>
      <c r="F167" s="67">
        <v>0</v>
      </c>
      <c r="G167" s="67">
        <v>0</v>
      </c>
      <c r="H167" s="67">
        <v>6</v>
      </c>
      <c r="I167" s="60">
        <v>9</v>
      </c>
      <c r="J167" s="67">
        <v>0</v>
      </c>
      <c r="K167" s="53" t="s">
        <v>299</v>
      </c>
    </row>
    <row r="168" spans="1:11" s="29" customFormat="1" ht="15.75" x14ac:dyDescent="0.4">
      <c r="A168" s="26"/>
      <c r="B168" s="61"/>
      <c r="C168" s="65"/>
      <c r="D168" s="67"/>
      <c r="E168" s="67"/>
      <c r="F168" s="67"/>
      <c r="G168" s="67"/>
      <c r="H168" s="67"/>
      <c r="I168" s="67"/>
      <c r="J168" s="67"/>
      <c r="K168" s="56"/>
    </row>
    <row r="169" spans="1:11" s="27" customFormat="1" ht="15.75" x14ac:dyDescent="0.2">
      <c r="A169" s="12" t="s">
        <v>47</v>
      </c>
      <c r="B169" s="48">
        <f t="shared" ref="B169:B174" si="29">SUM(C169:J169)</f>
        <v>6344</v>
      </c>
      <c r="C169" s="50">
        <f>SUM(C170:C174)</f>
        <v>6013</v>
      </c>
      <c r="D169" s="50">
        <f>SUM(D170:D174)</f>
        <v>30</v>
      </c>
      <c r="E169" s="50">
        <f>SUM(E170:E174)</f>
        <v>46</v>
      </c>
      <c r="F169" s="50">
        <f t="shared" ref="F169:J169" si="30">SUM(F170:F174)</f>
        <v>3</v>
      </c>
      <c r="G169" s="50">
        <f t="shared" si="30"/>
        <v>6</v>
      </c>
      <c r="H169" s="50">
        <f t="shared" si="30"/>
        <v>113</v>
      </c>
      <c r="I169" s="50">
        <f t="shared" si="30"/>
        <v>126</v>
      </c>
      <c r="J169" s="50">
        <f t="shared" si="30"/>
        <v>7</v>
      </c>
      <c r="K169" s="52" t="s">
        <v>48</v>
      </c>
    </row>
    <row r="170" spans="1:11" s="27" customFormat="1" ht="15" customHeight="1" x14ac:dyDescent="0.2">
      <c r="A170" s="26" t="s">
        <v>312</v>
      </c>
      <c r="B170" s="48">
        <f t="shared" si="29"/>
        <v>1380</v>
      </c>
      <c r="C170" s="67">
        <v>1313</v>
      </c>
      <c r="D170" s="67">
        <v>4</v>
      </c>
      <c r="E170" s="67">
        <v>7</v>
      </c>
      <c r="F170" s="70">
        <v>2</v>
      </c>
      <c r="G170" s="70">
        <v>5</v>
      </c>
      <c r="H170" s="67">
        <v>21</v>
      </c>
      <c r="I170" s="60">
        <v>28</v>
      </c>
      <c r="J170" s="67">
        <v>0</v>
      </c>
      <c r="K170" s="53" t="s">
        <v>313</v>
      </c>
    </row>
    <row r="171" spans="1:11" s="27" customFormat="1" ht="15.75" x14ac:dyDescent="0.2">
      <c r="A171" s="26" t="s">
        <v>314</v>
      </c>
      <c r="B171" s="48">
        <f t="shared" si="29"/>
        <v>548</v>
      </c>
      <c r="C171" s="67">
        <v>520</v>
      </c>
      <c r="D171" s="67">
        <v>5</v>
      </c>
      <c r="E171" s="67">
        <v>6</v>
      </c>
      <c r="F171" s="67">
        <v>0</v>
      </c>
      <c r="G171" s="67">
        <v>0</v>
      </c>
      <c r="H171" s="67">
        <v>6</v>
      </c>
      <c r="I171" s="60">
        <v>11</v>
      </c>
      <c r="J171" s="67">
        <v>0</v>
      </c>
      <c r="K171" s="53" t="s">
        <v>315</v>
      </c>
    </row>
    <row r="172" spans="1:11" s="27" customFormat="1" ht="15.75" x14ac:dyDescent="0.2">
      <c r="A172" s="26" t="s">
        <v>310</v>
      </c>
      <c r="B172" s="48">
        <f t="shared" si="29"/>
        <v>1337</v>
      </c>
      <c r="C172" s="67">
        <v>1250</v>
      </c>
      <c r="D172" s="67">
        <v>9</v>
      </c>
      <c r="E172" s="67">
        <v>11</v>
      </c>
      <c r="F172" s="70">
        <v>1</v>
      </c>
      <c r="G172" s="70">
        <v>1</v>
      </c>
      <c r="H172" s="67">
        <v>30</v>
      </c>
      <c r="I172" s="60">
        <v>28</v>
      </c>
      <c r="J172" s="67">
        <v>7</v>
      </c>
      <c r="K172" s="53" t="s">
        <v>311</v>
      </c>
    </row>
    <row r="173" spans="1:11" s="27" customFormat="1" ht="15.75" x14ac:dyDescent="0.2">
      <c r="A173" s="26" t="s">
        <v>168</v>
      </c>
      <c r="B173" s="48">
        <f t="shared" si="29"/>
        <v>873</v>
      </c>
      <c r="C173" s="67">
        <v>831</v>
      </c>
      <c r="D173" s="67">
        <v>3</v>
      </c>
      <c r="E173" s="67">
        <v>7</v>
      </c>
      <c r="F173" s="67">
        <v>0</v>
      </c>
      <c r="G173" s="67">
        <v>0</v>
      </c>
      <c r="H173" s="67">
        <v>21</v>
      </c>
      <c r="I173" s="60">
        <v>11</v>
      </c>
      <c r="J173" s="67">
        <v>0</v>
      </c>
      <c r="K173" s="53" t="s">
        <v>169</v>
      </c>
    </row>
    <row r="174" spans="1:11" s="27" customFormat="1" ht="15.75" x14ac:dyDescent="0.2">
      <c r="A174" s="26" t="s">
        <v>316</v>
      </c>
      <c r="B174" s="48">
        <f t="shared" si="29"/>
        <v>2206</v>
      </c>
      <c r="C174" s="67">
        <v>2099</v>
      </c>
      <c r="D174" s="67">
        <v>9</v>
      </c>
      <c r="E174" s="67">
        <v>15</v>
      </c>
      <c r="F174" s="67">
        <v>0</v>
      </c>
      <c r="G174" s="67">
        <v>0</v>
      </c>
      <c r="H174" s="67">
        <v>35</v>
      </c>
      <c r="I174" s="60">
        <v>48</v>
      </c>
      <c r="J174" s="67">
        <v>0</v>
      </c>
      <c r="K174" s="53" t="s">
        <v>317</v>
      </c>
    </row>
    <row r="175" spans="1:11" s="27" customFormat="1" ht="15.75" x14ac:dyDescent="0.4">
      <c r="A175" s="26"/>
      <c r="B175" s="48"/>
      <c r="C175" s="60"/>
      <c r="D175" s="67"/>
      <c r="E175" s="67"/>
      <c r="F175" s="67"/>
      <c r="G175" s="67"/>
      <c r="H175" s="67"/>
      <c r="I175" s="67"/>
      <c r="J175" s="67"/>
      <c r="K175" s="54"/>
    </row>
    <row r="176" spans="1:11" s="27" customFormat="1" ht="15.75" x14ac:dyDescent="0.2">
      <c r="A176" s="12" t="s">
        <v>49</v>
      </c>
      <c r="B176" s="48">
        <f t="shared" ref="B176:B182" si="31">SUM(C176:J176)</f>
        <v>7765</v>
      </c>
      <c r="C176" s="50">
        <f>SUM(C177:C183)</f>
        <v>7396</v>
      </c>
      <c r="D176" s="50">
        <f>SUM(D177:D182)</f>
        <v>36</v>
      </c>
      <c r="E176" s="50">
        <f>SUM(E177:E182)</f>
        <v>60</v>
      </c>
      <c r="F176" s="50">
        <v>0</v>
      </c>
      <c r="G176" s="50">
        <v>0</v>
      </c>
      <c r="H176" s="50">
        <f>SUM(H177:H183)</f>
        <v>135</v>
      </c>
      <c r="I176" s="50">
        <f>SUM(I177:I183)</f>
        <v>131</v>
      </c>
      <c r="J176" s="50">
        <f>SUM(J177:J183)</f>
        <v>7</v>
      </c>
      <c r="K176" s="52" t="s">
        <v>50</v>
      </c>
    </row>
    <row r="177" spans="1:11" s="27" customFormat="1" ht="15.75" x14ac:dyDescent="0.2">
      <c r="A177" s="26" t="s">
        <v>318</v>
      </c>
      <c r="B177" s="48">
        <f t="shared" si="31"/>
        <v>949</v>
      </c>
      <c r="C177" s="67">
        <v>907</v>
      </c>
      <c r="D177" s="67">
        <v>4</v>
      </c>
      <c r="E177" s="67">
        <v>7</v>
      </c>
      <c r="F177" s="67">
        <v>0</v>
      </c>
      <c r="G177" s="67">
        <v>0</v>
      </c>
      <c r="H177" s="67">
        <v>14</v>
      </c>
      <c r="I177" s="60">
        <v>17</v>
      </c>
      <c r="J177" s="67">
        <v>0</v>
      </c>
      <c r="K177" s="53" t="s">
        <v>319</v>
      </c>
    </row>
    <row r="178" spans="1:11" s="27" customFormat="1" ht="15.75" x14ac:dyDescent="0.2">
      <c r="A178" s="26" t="s">
        <v>322</v>
      </c>
      <c r="B178" s="48">
        <f t="shared" si="31"/>
        <v>930</v>
      </c>
      <c r="C178" s="67">
        <v>885</v>
      </c>
      <c r="D178" s="67">
        <v>5</v>
      </c>
      <c r="E178" s="67">
        <v>5</v>
      </c>
      <c r="F178" s="67">
        <v>0</v>
      </c>
      <c r="G178" s="67">
        <v>0</v>
      </c>
      <c r="H178" s="67">
        <v>18</v>
      </c>
      <c r="I178" s="60">
        <v>17</v>
      </c>
      <c r="J178" s="67">
        <v>0</v>
      </c>
      <c r="K178" s="53" t="s">
        <v>323</v>
      </c>
    </row>
    <row r="179" spans="1:11" s="27" customFormat="1" ht="15.75" x14ac:dyDescent="0.2">
      <c r="A179" s="26" t="s">
        <v>328</v>
      </c>
      <c r="B179" s="48">
        <f t="shared" si="31"/>
        <v>3054</v>
      </c>
      <c r="C179" s="67">
        <v>2920</v>
      </c>
      <c r="D179" s="67">
        <v>18</v>
      </c>
      <c r="E179" s="67">
        <v>31</v>
      </c>
      <c r="F179" s="67">
        <v>0</v>
      </c>
      <c r="G179" s="67">
        <v>0</v>
      </c>
      <c r="H179" s="67">
        <v>38</v>
      </c>
      <c r="I179" s="60">
        <v>40</v>
      </c>
      <c r="J179" s="67">
        <v>7</v>
      </c>
      <c r="K179" s="53" t="s">
        <v>329</v>
      </c>
    </row>
    <row r="180" spans="1:11" s="27" customFormat="1" ht="15.75" x14ac:dyDescent="0.2">
      <c r="A180" s="26" t="s">
        <v>326</v>
      </c>
      <c r="B180" s="48">
        <f t="shared" si="31"/>
        <v>976</v>
      </c>
      <c r="C180" s="67">
        <v>938</v>
      </c>
      <c r="D180" s="67">
        <v>4</v>
      </c>
      <c r="E180" s="67">
        <v>8</v>
      </c>
      <c r="F180" s="67">
        <v>0</v>
      </c>
      <c r="G180" s="67">
        <v>0</v>
      </c>
      <c r="H180" s="67">
        <v>9</v>
      </c>
      <c r="I180" s="60">
        <v>17</v>
      </c>
      <c r="J180" s="67">
        <v>0</v>
      </c>
      <c r="K180" s="53" t="s">
        <v>327</v>
      </c>
    </row>
    <row r="181" spans="1:11" s="27" customFormat="1" ht="15.75" x14ac:dyDescent="0.2">
      <c r="A181" s="26" t="s">
        <v>201</v>
      </c>
      <c r="B181" s="48">
        <f t="shared" si="31"/>
        <v>1443</v>
      </c>
      <c r="C181" s="67">
        <v>1355</v>
      </c>
      <c r="D181" s="67">
        <v>4</v>
      </c>
      <c r="E181" s="67">
        <v>8</v>
      </c>
      <c r="F181" s="67">
        <v>0</v>
      </c>
      <c r="G181" s="67">
        <v>0</v>
      </c>
      <c r="H181" s="67">
        <v>48</v>
      </c>
      <c r="I181" s="60">
        <v>28</v>
      </c>
      <c r="J181" s="67">
        <v>0</v>
      </c>
      <c r="K181" s="53" t="s">
        <v>202</v>
      </c>
    </row>
    <row r="182" spans="1:11" s="27" customFormat="1" ht="15.75" x14ac:dyDescent="0.2">
      <c r="A182" s="26" t="s">
        <v>320</v>
      </c>
      <c r="B182" s="48">
        <f t="shared" si="31"/>
        <v>393</v>
      </c>
      <c r="C182" s="67">
        <v>371</v>
      </c>
      <c r="D182" s="67">
        <v>1</v>
      </c>
      <c r="E182" s="67">
        <v>1</v>
      </c>
      <c r="F182" s="67">
        <v>0</v>
      </c>
      <c r="G182" s="67">
        <v>0</v>
      </c>
      <c r="H182" s="67">
        <v>8</v>
      </c>
      <c r="I182" s="60">
        <v>12</v>
      </c>
      <c r="J182" s="67">
        <v>0</v>
      </c>
      <c r="K182" s="53" t="s">
        <v>321</v>
      </c>
    </row>
    <row r="183" spans="1:11" s="27" customFormat="1" ht="15.75" x14ac:dyDescent="0.2">
      <c r="A183" s="26" t="s">
        <v>324</v>
      </c>
      <c r="B183" s="48">
        <f>SUM(C183:J183)</f>
        <v>20</v>
      </c>
      <c r="C183" s="67">
        <v>20</v>
      </c>
      <c r="D183" s="67">
        <v>0</v>
      </c>
      <c r="E183" s="67">
        <v>0</v>
      </c>
      <c r="F183" s="67">
        <v>0</v>
      </c>
      <c r="G183" s="67">
        <v>0</v>
      </c>
      <c r="H183" s="67">
        <v>0</v>
      </c>
      <c r="I183" s="67">
        <v>0</v>
      </c>
      <c r="J183" s="67">
        <v>0</v>
      </c>
      <c r="K183" s="53" t="s">
        <v>325</v>
      </c>
    </row>
    <row r="184" spans="1:11" s="27" customFormat="1" ht="15.75" x14ac:dyDescent="0.4">
      <c r="A184" s="26"/>
      <c r="B184" s="48"/>
      <c r="C184" s="60"/>
      <c r="D184" s="67"/>
      <c r="E184" s="67"/>
      <c r="F184" s="67"/>
      <c r="G184" s="67"/>
      <c r="H184" s="67"/>
      <c r="I184" s="67"/>
      <c r="J184" s="67"/>
      <c r="K184" s="54"/>
    </row>
    <row r="185" spans="1:11" s="27" customFormat="1" ht="15.75" x14ac:dyDescent="0.2">
      <c r="A185" s="12" t="s">
        <v>51</v>
      </c>
      <c r="B185" s="48">
        <f t="shared" ref="B185:B198" si="32">SUM(C185:J185)</f>
        <v>16039</v>
      </c>
      <c r="C185" s="50">
        <f>SUM(C186:C198)</f>
        <v>15191</v>
      </c>
      <c r="D185" s="50">
        <f>SUM(D186:D198)</f>
        <v>104</v>
      </c>
      <c r="E185" s="50">
        <f>SUM(E186:E198)</f>
        <v>204</v>
      </c>
      <c r="F185" s="50">
        <f t="shared" ref="F185:J185" si="33">SUM(F186:F198)</f>
        <v>5</v>
      </c>
      <c r="G185" s="50">
        <f t="shared" si="33"/>
        <v>5</v>
      </c>
      <c r="H185" s="50">
        <f t="shared" si="33"/>
        <v>253</v>
      </c>
      <c r="I185" s="50">
        <f t="shared" si="33"/>
        <v>260</v>
      </c>
      <c r="J185" s="50">
        <f t="shared" si="33"/>
        <v>17</v>
      </c>
      <c r="K185" s="52" t="s">
        <v>52</v>
      </c>
    </row>
    <row r="186" spans="1:11" s="27" customFormat="1" ht="15.75" x14ac:dyDescent="0.2">
      <c r="A186" s="26" t="s">
        <v>330</v>
      </c>
      <c r="B186" s="48">
        <f t="shared" si="32"/>
        <v>598</v>
      </c>
      <c r="C186" s="67">
        <v>557</v>
      </c>
      <c r="D186" s="67">
        <v>2</v>
      </c>
      <c r="E186" s="67">
        <v>8</v>
      </c>
      <c r="F186" s="67">
        <v>0</v>
      </c>
      <c r="G186" s="67">
        <v>0</v>
      </c>
      <c r="H186" s="67">
        <v>14</v>
      </c>
      <c r="I186" s="60">
        <v>12</v>
      </c>
      <c r="J186" s="67">
        <v>5</v>
      </c>
      <c r="K186" s="53" t="s">
        <v>331</v>
      </c>
    </row>
    <row r="187" spans="1:11" s="27" customFormat="1" ht="15.75" x14ac:dyDescent="0.2">
      <c r="A187" s="26" t="s">
        <v>333</v>
      </c>
      <c r="B187" s="48">
        <f t="shared" si="32"/>
        <v>908</v>
      </c>
      <c r="C187" s="67">
        <v>865</v>
      </c>
      <c r="D187" s="67">
        <v>4</v>
      </c>
      <c r="E187" s="67">
        <v>9</v>
      </c>
      <c r="F187" s="67">
        <v>0</v>
      </c>
      <c r="G187" s="67">
        <v>0</v>
      </c>
      <c r="H187" s="67">
        <v>10</v>
      </c>
      <c r="I187" s="60">
        <v>20</v>
      </c>
      <c r="J187" s="67">
        <v>0</v>
      </c>
      <c r="K187" s="53" t="s">
        <v>334</v>
      </c>
    </row>
    <row r="188" spans="1:11" s="27" customFormat="1" ht="15.75" x14ac:dyDescent="0.2">
      <c r="A188" s="26" t="s">
        <v>341</v>
      </c>
      <c r="B188" s="48">
        <f t="shared" si="32"/>
        <v>634</v>
      </c>
      <c r="C188" s="67">
        <v>611</v>
      </c>
      <c r="D188" s="67">
        <v>2</v>
      </c>
      <c r="E188" s="67">
        <v>3</v>
      </c>
      <c r="F188" s="67">
        <v>0</v>
      </c>
      <c r="G188" s="67">
        <v>0</v>
      </c>
      <c r="H188" s="67">
        <v>8</v>
      </c>
      <c r="I188" s="60">
        <v>10</v>
      </c>
      <c r="J188" s="67">
        <v>0</v>
      </c>
      <c r="K188" s="53" t="s">
        <v>342</v>
      </c>
    </row>
    <row r="189" spans="1:11" s="27" customFormat="1" ht="15.75" x14ac:dyDescent="0.2">
      <c r="A189" s="26" t="s">
        <v>257</v>
      </c>
      <c r="B189" s="48">
        <f t="shared" si="32"/>
        <v>2045</v>
      </c>
      <c r="C189" s="67">
        <v>1957</v>
      </c>
      <c r="D189" s="67">
        <v>11</v>
      </c>
      <c r="E189" s="67">
        <v>19</v>
      </c>
      <c r="F189" s="72">
        <v>1</v>
      </c>
      <c r="G189" s="72">
        <v>1</v>
      </c>
      <c r="H189" s="67">
        <v>39</v>
      </c>
      <c r="I189" s="60">
        <v>17</v>
      </c>
      <c r="J189" s="67">
        <v>0</v>
      </c>
      <c r="K189" s="53" t="s">
        <v>258</v>
      </c>
    </row>
    <row r="190" spans="1:11" s="27" customFormat="1" ht="15.75" x14ac:dyDescent="0.2">
      <c r="A190" s="26" t="s">
        <v>339</v>
      </c>
      <c r="B190" s="48">
        <f t="shared" si="32"/>
        <v>1249</v>
      </c>
      <c r="C190" s="67">
        <v>1172</v>
      </c>
      <c r="D190" s="67">
        <v>13</v>
      </c>
      <c r="E190" s="67">
        <v>26</v>
      </c>
      <c r="F190" s="67">
        <v>0</v>
      </c>
      <c r="G190" s="67">
        <v>0</v>
      </c>
      <c r="H190" s="67">
        <v>13</v>
      </c>
      <c r="I190" s="60">
        <v>23</v>
      </c>
      <c r="J190" s="67">
        <v>2</v>
      </c>
      <c r="K190" s="53" t="s">
        <v>340</v>
      </c>
    </row>
    <row r="191" spans="1:11" s="27" customFormat="1" ht="15.75" x14ac:dyDescent="0.2">
      <c r="A191" s="26" t="s">
        <v>335</v>
      </c>
      <c r="B191" s="48">
        <f t="shared" si="32"/>
        <v>681</v>
      </c>
      <c r="C191" s="67">
        <v>646</v>
      </c>
      <c r="D191" s="67">
        <v>5</v>
      </c>
      <c r="E191" s="67">
        <v>7</v>
      </c>
      <c r="F191" s="67">
        <v>0</v>
      </c>
      <c r="G191" s="67">
        <v>0</v>
      </c>
      <c r="H191" s="67">
        <v>12</v>
      </c>
      <c r="I191" s="60">
        <v>11</v>
      </c>
      <c r="J191" s="67">
        <v>0</v>
      </c>
      <c r="K191" s="53" t="s">
        <v>336</v>
      </c>
    </row>
    <row r="192" spans="1:11" s="27" customFormat="1" ht="15.75" x14ac:dyDescent="0.2">
      <c r="A192" s="26" t="s">
        <v>347</v>
      </c>
      <c r="B192" s="48">
        <f t="shared" si="32"/>
        <v>1489</v>
      </c>
      <c r="C192" s="67">
        <v>1390</v>
      </c>
      <c r="D192" s="67">
        <v>14</v>
      </c>
      <c r="E192" s="67">
        <v>33</v>
      </c>
      <c r="F192" s="67">
        <v>0</v>
      </c>
      <c r="G192" s="67">
        <v>0</v>
      </c>
      <c r="H192" s="67">
        <v>18</v>
      </c>
      <c r="I192" s="60">
        <v>27</v>
      </c>
      <c r="J192" s="67">
        <v>7</v>
      </c>
      <c r="K192" s="53" t="s">
        <v>348</v>
      </c>
    </row>
    <row r="193" spans="1:11" s="27" customFormat="1" ht="15.75" x14ac:dyDescent="0.2">
      <c r="A193" s="26" t="s">
        <v>297</v>
      </c>
      <c r="B193" s="48">
        <f t="shared" si="32"/>
        <v>1312</v>
      </c>
      <c r="C193" s="67">
        <v>1273</v>
      </c>
      <c r="D193" s="67">
        <v>3</v>
      </c>
      <c r="E193" s="67">
        <v>5</v>
      </c>
      <c r="F193" s="67">
        <v>0</v>
      </c>
      <c r="G193" s="67">
        <v>0</v>
      </c>
      <c r="H193" s="67">
        <v>9</v>
      </c>
      <c r="I193" s="60">
        <v>19</v>
      </c>
      <c r="J193" s="67">
        <v>3</v>
      </c>
      <c r="K193" s="53" t="s">
        <v>332</v>
      </c>
    </row>
    <row r="194" spans="1:11" s="27" customFormat="1" ht="15.75" x14ac:dyDescent="0.2">
      <c r="A194" s="26" t="s">
        <v>275</v>
      </c>
      <c r="B194" s="48">
        <f t="shared" si="32"/>
        <v>755</v>
      </c>
      <c r="C194" s="67">
        <v>721</v>
      </c>
      <c r="D194" s="67">
        <v>4</v>
      </c>
      <c r="E194" s="67">
        <v>7</v>
      </c>
      <c r="F194" s="67">
        <v>0</v>
      </c>
      <c r="G194" s="67">
        <v>0</v>
      </c>
      <c r="H194" s="67">
        <v>8</v>
      </c>
      <c r="I194" s="60">
        <v>15</v>
      </c>
      <c r="J194" s="67">
        <v>0</v>
      </c>
      <c r="K194" s="53" t="s">
        <v>276</v>
      </c>
    </row>
    <row r="195" spans="1:11" s="27" customFormat="1" ht="15.75" x14ac:dyDescent="0.2">
      <c r="A195" s="26" t="s">
        <v>343</v>
      </c>
      <c r="B195" s="48">
        <f t="shared" si="32"/>
        <v>2583</v>
      </c>
      <c r="C195" s="67">
        <v>2431</v>
      </c>
      <c r="D195" s="67">
        <v>13</v>
      </c>
      <c r="E195" s="67">
        <v>28</v>
      </c>
      <c r="F195" s="72">
        <v>2</v>
      </c>
      <c r="G195" s="72">
        <v>2</v>
      </c>
      <c r="H195" s="67">
        <v>56</v>
      </c>
      <c r="I195" s="60">
        <v>51</v>
      </c>
      <c r="J195" s="67">
        <v>0</v>
      </c>
      <c r="K195" s="53" t="s">
        <v>344</v>
      </c>
    </row>
    <row r="196" spans="1:11" s="27" customFormat="1" ht="15.75" x14ac:dyDescent="0.2">
      <c r="A196" s="26" t="s">
        <v>337</v>
      </c>
      <c r="B196" s="48">
        <f t="shared" si="32"/>
        <v>385</v>
      </c>
      <c r="C196" s="67">
        <v>366</v>
      </c>
      <c r="D196" s="67">
        <v>1</v>
      </c>
      <c r="E196" s="67">
        <v>1</v>
      </c>
      <c r="F196" s="67">
        <v>0</v>
      </c>
      <c r="G196" s="67">
        <v>0</v>
      </c>
      <c r="H196" s="67">
        <v>6</v>
      </c>
      <c r="I196" s="60">
        <v>11</v>
      </c>
      <c r="J196" s="67">
        <v>0</v>
      </c>
      <c r="K196" s="53" t="s">
        <v>338</v>
      </c>
    </row>
    <row r="197" spans="1:11" s="27" customFormat="1" ht="15.75" x14ac:dyDescent="0.2">
      <c r="A197" s="26" t="s">
        <v>345</v>
      </c>
      <c r="B197" s="48">
        <f t="shared" si="32"/>
        <v>1385</v>
      </c>
      <c r="C197" s="67">
        <v>1306</v>
      </c>
      <c r="D197" s="67">
        <v>14</v>
      </c>
      <c r="E197" s="67">
        <v>24</v>
      </c>
      <c r="F197" s="67">
        <v>0</v>
      </c>
      <c r="G197" s="67">
        <v>0</v>
      </c>
      <c r="H197" s="67">
        <v>16</v>
      </c>
      <c r="I197" s="60">
        <v>25</v>
      </c>
      <c r="J197" s="67">
        <v>0</v>
      </c>
      <c r="K197" s="53" t="s">
        <v>346</v>
      </c>
    </row>
    <row r="198" spans="1:11" s="27" customFormat="1" ht="17.25" x14ac:dyDescent="0.2">
      <c r="A198" s="26" t="s">
        <v>419</v>
      </c>
      <c r="B198" s="48">
        <f t="shared" si="32"/>
        <v>2015</v>
      </c>
      <c r="C198" s="67">
        <v>1896</v>
      </c>
      <c r="D198" s="67">
        <v>18</v>
      </c>
      <c r="E198" s="67">
        <v>34</v>
      </c>
      <c r="F198" s="72">
        <v>2</v>
      </c>
      <c r="G198" s="72">
        <v>2</v>
      </c>
      <c r="H198" s="67">
        <v>44</v>
      </c>
      <c r="I198" s="60">
        <v>19</v>
      </c>
      <c r="J198" s="67">
        <v>0</v>
      </c>
      <c r="K198" s="55" t="s">
        <v>431</v>
      </c>
    </row>
    <row r="199" spans="1:11" s="27" customFormat="1" ht="15.75" x14ac:dyDescent="0.2">
      <c r="A199" s="26"/>
      <c r="B199" s="48"/>
      <c r="C199" s="60"/>
      <c r="D199" s="67"/>
      <c r="E199" s="67"/>
      <c r="F199" s="67"/>
      <c r="G199" s="67"/>
      <c r="H199" s="67"/>
      <c r="I199" s="67"/>
      <c r="J199" s="67"/>
      <c r="K199" s="53"/>
    </row>
    <row r="200" spans="1:11" s="29" customFormat="1" ht="15.75" x14ac:dyDescent="0.2">
      <c r="A200" s="12" t="s">
        <v>53</v>
      </c>
      <c r="B200" s="48">
        <f t="shared" ref="B200:B212" si="34">SUM(C200:J200)</f>
        <v>18315</v>
      </c>
      <c r="C200" s="50">
        <f t="shared" ref="C200:J200" si="35">SUM(C201:C212)</f>
        <v>17100</v>
      </c>
      <c r="D200" s="50">
        <f t="shared" si="35"/>
        <v>191</v>
      </c>
      <c r="E200" s="50">
        <f t="shared" si="35"/>
        <v>326</v>
      </c>
      <c r="F200" s="50">
        <f t="shared" si="35"/>
        <v>9</v>
      </c>
      <c r="G200" s="50">
        <f t="shared" si="35"/>
        <v>13</v>
      </c>
      <c r="H200" s="50">
        <f t="shared" si="35"/>
        <v>282</v>
      </c>
      <c r="I200" s="50">
        <f t="shared" si="35"/>
        <v>386</v>
      </c>
      <c r="J200" s="50">
        <f t="shared" si="35"/>
        <v>8</v>
      </c>
      <c r="K200" s="52" t="s">
        <v>54</v>
      </c>
    </row>
    <row r="201" spans="1:11" s="27" customFormat="1" ht="15.75" x14ac:dyDescent="0.2">
      <c r="A201" s="26" t="s">
        <v>351</v>
      </c>
      <c r="B201" s="48">
        <f t="shared" si="34"/>
        <v>1060</v>
      </c>
      <c r="C201" s="67">
        <v>1003</v>
      </c>
      <c r="D201" s="67">
        <v>8</v>
      </c>
      <c r="E201" s="67">
        <v>16</v>
      </c>
      <c r="F201" s="70">
        <v>1</v>
      </c>
      <c r="G201" s="70">
        <v>1</v>
      </c>
      <c r="H201" s="67">
        <v>9</v>
      </c>
      <c r="I201" s="60">
        <v>22</v>
      </c>
      <c r="J201" s="67">
        <v>0</v>
      </c>
      <c r="K201" s="53" t="s">
        <v>352</v>
      </c>
    </row>
    <row r="202" spans="1:11" s="27" customFormat="1" ht="15.75" x14ac:dyDescent="0.2">
      <c r="A202" s="26" t="s">
        <v>363</v>
      </c>
      <c r="B202" s="48">
        <f t="shared" si="34"/>
        <v>2798</v>
      </c>
      <c r="C202" s="67">
        <v>2651</v>
      </c>
      <c r="D202" s="67">
        <v>26</v>
      </c>
      <c r="E202" s="67">
        <v>40</v>
      </c>
      <c r="F202" s="67">
        <v>0</v>
      </c>
      <c r="G202" s="67">
        <v>0</v>
      </c>
      <c r="H202" s="67">
        <v>35</v>
      </c>
      <c r="I202" s="60">
        <v>38</v>
      </c>
      <c r="J202" s="67">
        <v>8</v>
      </c>
      <c r="K202" s="53" t="s">
        <v>364</v>
      </c>
    </row>
    <row r="203" spans="1:11" s="27" customFormat="1" ht="15.75" x14ac:dyDescent="0.2">
      <c r="A203" s="26" t="s">
        <v>365</v>
      </c>
      <c r="B203" s="48">
        <f t="shared" si="34"/>
        <v>44</v>
      </c>
      <c r="C203" s="67">
        <v>31</v>
      </c>
      <c r="D203" s="67">
        <v>1</v>
      </c>
      <c r="E203" s="67">
        <v>1</v>
      </c>
      <c r="F203" s="67">
        <v>0</v>
      </c>
      <c r="G203" s="67">
        <v>0</v>
      </c>
      <c r="H203" s="67">
        <v>0</v>
      </c>
      <c r="I203" s="60">
        <v>11</v>
      </c>
      <c r="J203" s="67">
        <v>0</v>
      </c>
      <c r="K203" s="53" t="s">
        <v>366</v>
      </c>
    </row>
    <row r="204" spans="1:11" s="27" customFormat="1" ht="15.75" x14ac:dyDescent="0.2">
      <c r="A204" s="26" t="s">
        <v>359</v>
      </c>
      <c r="B204" s="48">
        <f t="shared" si="34"/>
        <v>4945</v>
      </c>
      <c r="C204" s="67">
        <v>4536</v>
      </c>
      <c r="D204" s="67">
        <v>63</v>
      </c>
      <c r="E204" s="67">
        <v>121</v>
      </c>
      <c r="F204" s="73">
        <v>5</v>
      </c>
      <c r="G204" s="73">
        <v>7</v>
      </c>
      <c r="H204" s="67">
        <v>92</v>
      </c>
      <c r="I204" s="60">
        <v>121</v>
      </c>
      <c r="J204" s="67">
        <v>0</v>
      </c>
      <c r="K204" s="53" t="s">
        <v>360</v>
      </c>
    </row>
    <row r="205" spans="1:11" s="27" customFormat="1" ht="15.75" x14ac:dyDescent="0.2">
      <c r="A205" s="26" t="s">
        <v>369</v>
      </c>
      <c r="B205" s="48">
        <f t="shared" si="34"/>
        <v>1280</v>
      </c>
      <c r="C205" s="67">
        <v>1168</v>
      </c>
      <c r="D205" s="67">
        <v>28</v>
      </c>
      <c r="E205" s="67">
        <v>45</v>
      </c>
      <c r="F205" s="67">
        <v>0</v>
      </c>
      <c r="G205" s="67">
        <v>0</v>
      </c>
      <c r="H205" s="67">
        <v>24</v>
      </c>
      <c r="I205" s="60">
        <v>15</v>
      </c>
      <c r="J205" s="67">
        <v>0</v>
      </c>
      <c r="K205" s="53" t="s">
        <v>370</v>
      </c>
    </row>
    <row r="206" spans="1:11" s="27" customFormat="1" ht="15.75" x14ac:dyDescent="0.2">
      <c r="A206" s="26" t="s">
        <v>349</v>
      </c>
      <c r="B206" s="48">
        <f t="shared" si="34"/>
        <v>2229</v>
      </c>
      <c r="C206" s="67">
        <v>2168</v>
      </c>
      <c r="D206" s="67">
        <v>7</v>
      </c>
      <c r="E206" s="67">
        <v>10</v>
      </c>
      <c r="F206" s="70">
        <v>1</v>
      </c>
      <c r="G206" s="70">
        <v>2</v>
      </c>
      <c r="H206" s="67">
        <v>10</v>
      </c>
      <c r="I206" s="60">
        <v>31</v>
      </c>
      <c r="J206" s="67">
        <v>0</v>
      </c>
      <c r="K206" s="53" t="s">
        <v>350</v>
      </c>
    </row>
    <row r="207" spans="1:11" s="27" customFormat="1" ht="15.75" x14ac:dyDescent="0.2">
      <c r="A207" s="26" t="s">
        <v>357</v>
      </c>
      <c r="B207" s="48">
        <f t="shared" si="34"/>
        <v>347</v>
      </c>
      <c r="C207" s="67">
        <v>308</v>
      </c>
      <c r="D207" s="67">
        <v>4</v>
      </c>
      <c r="E207" s="67">
        <v>7</v>
      </c>
      <c r="F207" s="67">
        <v>0</v>
      </c>
      <c r="G207" s="67">
        <v>0</v>
      </c>
      <c r="H207" s="67">
        <v>20</v>
      </c>
      <c r="I207" s="60">
        <v>8</v>
      </c>
      <c r="J207" s="67">
        <v>0</v>
      </c>
      <c r="K207" s="53" t="s">
        <v>358</v>
      </c>
    </row>
    <row r="208" spans="1:11" s="27" customFormat="1" ht="15.75" x14ac:dyDescent="0.2">
      <c r="A208" s="26" t="s">
        <v>371</v>
      </c>
      <c r="B208" s="48">
        <f t="shared" si="34"/>
        <v>909</v>
      </c>
      <c r="C208" s="67">
        <v>858</v>
      </c>
      <c r="D208" s="67">
        <v>7</v>
      </c>
      <c r="E208" s="67">
        <v>12</v>
      </c>
      <c r="F208" s="70">
        <v>1</v>
      </c>
      <c r="G208" s="70">
        <v>2</v>
      </c>
      <c r="H208" s="67">
        <v>10</v>
      </c>
      <c r="I208" s="60">
        <v>19</v>
      </c>
      <c r="J208" s="67">
        <v>0</v>
      </c>
      <c r="K208" s="53" t="s">
        <v>372</v>
      </c>
    </row>
    <row r="209" spans="1:11" s="27" customFormat="1" ht="15.75" x14ac:dyDescent="0.2">
      <c r="A209" s="26" t="s">
        <v>353</v>
      </c>
      <c r="B209" s="48">
        <f t="shared" si="34"/>
        <v>1092</v>
      </c>
      <c r="C209" s="67">
        <v>1026</v>
      </c>
      <c r="D209" s="67">
        <v>5</v>
      </c>
      <c r="E209" s="67">
        <v>8</v>
      </c>
      <c r="F209" s="67">
        <v>0</v>
      </c>
      <c r="G209" s="67">
        <v>0</v>
      </c>
      <c r="H209" s="67">
        <v>23</v>
      </c>
      <c r="I209" s="60">
        <v>30</v>
      </c>
      <c r="J209" s="67">
        <v>0</v>
      </c>
      <c r="K209" s="53" t="s">
        <v>354</v>
      </c>
    </row>
    <row r="210" spans="1:11" s="27" customFormat="1" ht="15.75" x14ac:dyDescent="0.2">
      <c r="A210" s="26" t="s">
        <v>367</v>
      </c>
      <c r="B210" s="48">
        <f t="shared" si="34"/>
        <v>1330</v>
      </c>
      <c r="C210" s="67">
        <v>1232</v>
      </c>
      <c r="D210" s="67">
        <v>16</v>
      </c>
      <c r="E210" s="67">
        <v>26</v>
      </c>
      <c r="F210" s="70">
        <v>1</v>
      </c>
      <c r="G210" s="70">
        <v>1</v>
      </c>
      <c r="H210" s="67">
        <v>23</v>
      </c>
      <c r="I210" s="60">
        <v>31</v>
      </c>
      <c r="J210" s="67">
        <v>0</v>
      </c>
      <c r="K210" s="53" t="s">
        <v>368</v>
      </c>
    </row>
    <row r="211" spans="1:11" s="27" customFormat="1" ht="15.75" x14ac:dyDescent="0.2">
      <c r="A211" s="26" t="s">
        <v>361</v>
      </c>
      <c r="B211" s="48">
        <f t="shared" si="34"/>
        <v>1986</v>
      </c>
      <c r="C211" s="67">
        <v>1846</v>
      </c>
      <c r="D211" s="67">
        <v>23</v>
      </c>
      <c r="E211" s="67">
        <v>36</v>
      </c>
      <c r="F211" s="67">
        <v>0</v>
      </c>
      <c r="G211" s="67">
        <v>0</v>
      </c>
      <c r="H211" s="67">
        <v>29</v>
      </c>
      <c r="I211" s="60">
        <v>52</v>
      </c>
      <c r="J211" s="67">
        <v>0</v>
      </c>
      <c r="K211" s="53" t="s">
        <v>362</v>
      </c>
    </row>
    <row r="212" spans="1:11" s="27" customFormat="1" ht="15.75" x14ac:dyDescent="0.2">
      <c r="A212" s="26" t="s">
        <v>355</v>
      </c>
      <c r="B212" s="48">
        <f t="shared" si="34"/>
        <v>295</v>
      </c>
      <c r="C212" s="67">
        <v>273</v>
      </c>
      <c r="D212" s="67">
        <v>3</v>
      </c>
      <c r="E212" s="67">
        <v>4</v>
      </c>
      <c r="F212" s="67">
        <v>0</v>
      </c>
      <c r="G212" s="67">
        <v>0</v>
      </c>
      <c r="H212" s="67">
        <v>7</v>
      </c>
      <c r="I212" s="60">
        <v>8</v>
      </c>
      <c r="J212" s="67">
        <v>0</v>
      </c>
      <c r="K212" s="53" t="s">
        <v>356</v>
      </c>
    </row>
    <row r="213" spans="1:11" s="14" customFormat="1" ht="15.75" x14ac:dyDescent="0.4">
      <c r="A213" s="31"/>
      <c r="B213" s="48"/>
      <c r="C213" s="60"/>
      <c r="D213" s="67"/>
      <c r="E213" s="67"/>
      <c r="F213" s="67"/>
      <c r="G213" s="67"/>
      <c r="H213" s="67"/>
      <c r="I213" s="67"/>
      <c r="J213" s="67"/>
      <c r="K213" s="54"/>
    </row>
    <row r="214" spans="1:11" s="14" customFormat="1" ht="15.75" x14ac:dyDescent="0.2">
      <c r="A214" s="12" t="s">
        <v>55</v>
      </c>
      <c r="B214" s="48">
        <f t="shared" ref="B214:B224" si="36">SUM(C214:J214)</f>
        <v>14983</v>
      </c>
      <c r="C214" s="50">
        <f t="shared" ref="C214:J214" si="37">SUM(C215:C224)</f>
        <v>13916</v>
      </c>
      <c r="D214" s="50">
        <f t="shared" si="37"/>
        <v>96</v>
      </c>
      <c r="E214" s="50">
        <f t="shared" si="37"/>
        <v>184</v>
      </c>
      <c r="F214" s="50">
        <f t="shared" si="37"/>
        <v>7</v>
      </c>
      <c r="G214" s="50">
        <f t="shared" si="37"/>
        <v>7</v>
      </c>
      <c r="H214" s="50">
        <f>SUM(H215:H224)</f>
        <v>295</v>
      </c>
      <c r="I214" s="50">
        <f>SUM(I215:I224)</f>
        <v>362</v>
      </c>
      <c r="J214" s="50">
        <f t="shared" si="37"/>
        <v>116</v>
      </c>
      <c r="K214" s="52" t="s">
        <v>56</v>
      </c>
    </row>
    <row r="215" spans="1:11" s="14" customFormat="1" ht="15.75" x14ac:dyDescent="0.2">
      <c r="A215" s="26" t="s">
        <v>379</v>
      </c>
      <c r="B215" s="48">
        <f t="shared" si="36"/>
        <v>1403</v>
      </c>
      <c r="C215" s="67">
        <v>1273</v>
      </c>
      <c r="D215" s="67">
        <v>19</v>
      </c>
      <c r="E215" s="67">
        <v>37</v>
      </c>
      <c r="F215" s="67">
        <v>0</v>
      </c>
      <c r="G215" s="67">
        <v>0</v>
      </c>
      <c r="H215" s="67">
        <v>52</v>
      </c>
      <c r="I215" s="60">
        <v>22</v>
      </c>
      <c r="J215" s="67">
        <v>0</v>
      </c>
      <c r="K215" s="53" t="s">
        <v>380</v>
      </c>
    </row>
    <row r="216" spans="1:11" s="14" customFormat="1" ht="15.75" x14ac:dyDescent="0.2">
      <c r="A216" s="26" t="s">
        <v>377</v>
      </c>
      <c r="B216" s="48">
        <f t="shared" si="36"/>
        <v>2060</v>
      </c>
      <c r="C216" s="67">
        <v>1924</v>
      </c>
      <c r="D216" s="67">
        <v>1</v>
      </c>
      <c r="E216" s="67">
        <v>1</v>
      </c>
      <c r="F216" s="67">
        <v>0</v>
      </c>
      <c r="G216" s="67">
        <v>0</v>
      </c>
      <c r="H216" s="67">
        <v>33</v>
      </c>
      <c r="I216" s="60">
        <v>86</v>
      </c>
      <c r="J216" s="67">
        <v>15</v>
      </c>
      <c r="K216" s="53" t="s">
        <v>378</v>
      </c>
    </row>
    <row r="217" spans="1:11" s="14" customFormat="1" ht="15.75" x14ac:dyDescent="0.2">
      <c r="A217" s="26" t="s">
        <v>383</v>
      </c>
      <c r="B217" s="48">
        <f t="shared" si="36"/>
        <v>40</v>
      </c>
      <c r="C217" s="67">
        <v>7</v>
      </c>
      <c r="D217" s="67">
        <v>0</v>
      </c>
      <c r="E217" s="67">
        <v>0</v>
      </c>
      <c r="F217" s="67">
        <v>0</v>
      </c>
      <c r="G217" s="67">
        <v>0</v>
      </c>
      <c r="H217" s="67">
        <v>33</v>
      </c>
      <c r="I217" s="67">
        <v>0</v>
      </c>
      <c r="J217" s="67">
        <v>0</v>
      </c>
      <c r="K217" s="53" t="s">
        <v>384</v>
      </c>
    </row>
    <row r="218" spans="1:11" s="14" customFormat="1" ht="15.75" x14ac:dyDescent="0.2">
      <c r="A218" s="26" t="s">
        <v>385</v>
      </c>
      <c r="B218" s="48">
        <f t="shared" si="36"/>
        <v>1881</v>
      </c>
      <c r="C218" s="67">
        <v>1797</v>
      </c>
      <c r="D218" s="67">
        <v>11</v>
      </c>
      <c r="E218" s="67">
        <v>21</v>
      </c>
      <c r="F218" s="70">
        <v>2</v>
      </c>
      <c r="G218" s="70">
        <v>2</v>
      </c>
      <c r="H218" s="67">
        <v>11</v>
      </c>
      <c r="I218" s="60">
        <v>37</v>
      </c>
      <c r="J218" s="67">
        <v>0</v>
      </c>
      <c r="K218" s="53" t="s">
        <v>386</v>
      </c>
    </row>
    <row r="219" spans="1:11" s="14" customFormat="1" ht="15.75" x14ac:dyDescent="0.2">
      <c r="A219" s="26" t="s">
        <v>387</v>
      </c>
      <c r="B219" s="48">
        <f t="shared" si="36"/>
        <v>1046</v>
      </c>
      <c r="C219" s="67">
        <v>958</v>
      </c>
      <c r="D219" s="67">
        <v>9</v>
      </c>
      <c r="E219" s="67">
        <v>22</v>
      </c>
      <c r="F219" s="70">
        <v>1</v>
      </c>
      <c r="G219" s="70">
        <v>1</v>
      </c>
      <c r="H219" s="67">
        <v>32</v>
      </c>
      <c r="I219" s="60">
        <v>23</v>
      </c>
      <c r="J219" s="67">
        <v>0</v>
      </c>
      <c r="K219" s="53" t="s">
        <v>388</v>
      </c>
    </row>
    <row r="220" spans="1:11" s="14" customFormat="1" ht="15.75" x14ac:dyDescent="0.2">
      <c r="A220" s="26" t="s">
        <v>381</v>
      </c>
      <c r="B220" s="48">
        <f t="shared" si="36"/>
        <v>563</v>
      </c>
      <c r="C220" s="67">
        <v>546</v>
      </c>
      <c r="D220" s="67">
        <v>2</v>
      </c>
      <c r="E220" s="67">
        <v>4</v>
      </c>
      <c r="F220" s="67">
        <v>0</v>
      </c>
      <c r="G220" s="67">
        <v>0</v>
      </c>
      <c r="H220" s="67">
        <v>4</v>
      </c>
      <c r="I220" s="60">
        <v>7</v>
      </c>
      <c r="J220" s="67">
        <v>0</v>
      </c>
      <c r="K220" s="53" t="s">
        <v>382</v>
      </c>
    </row>
    <row r="221" spans="1:11" s="14" customFormat="1" ht="15.75" x14ac:dyDescent="0.2">
      <c r="A221" s="26" t="s">
        <v>373</v>
      </c>
      <c r="B221" s="48">
        <f t="shared" si="36"/>
        <v>1675</v>
      </c>
      <c r="C221" s="67">
        <v>1606</v>
      </c>
      <c r="D221" s="67">
        <v>4</v>
      </c>
      <c r="E221" s="67">
        <v>12</v>
      </c>
      <c r="F221" s="74">
        <v>1</v>
      </c>
      <c r="G221" s="74">
        <v>1</v>
      </c>
      <c r="H221" s="67">
        <v>23</v>
      </c>
      <c r="I221" s="60">
        <v>28</v>
      </c>
      <c r="J221" s="67">
        <v>0</v>
      </c>
      <c r="K221" s="53" t="s">
        <v>374</v>
      </c>
    </row>
    <row r="222" spans="1:11" s="14" customFormat="1" ht="15.75" x14ac:dyDescent="0.2">
      <c r="A222" s="26" t="s">
        <v>367</v>
      </c>
      <c r="B222" s="48">
        <f t="shared" si="36"/>
        <v>1628</v>
      </c>
      <c r="C222" s="67">
        <v>1439</v>
      </c>
      <c r="D222" s="67">
        <v>10</v>
      </c>
      <c r="E222" s="67">
        <v>18</v>
      </c>
      <c r="F222" s="67">
        <v>0</v>
      </c>
      <c r="G222" s="67">
        <v>0</v>
      </c>
      <c r="H222" s="67">
        <v>14</v>
      </c>
      <c r="I222" s="60">
        <v>55</v>
      </c>
      <c r="J222" s="67">
        <v>92</v>
      </c>
      <c r="K222" s="53" t="s">
        <v>368</v>
      </c>
    </row>
    <row r="223" spans="1:11" s="14" customFormat="1" ht="15.75" x14ac:dyDescent="0.2">
      <c r="A223" s="26" t="s">
        <v>316</v>
      </c>
      <c r="B223" s="48">
        <f t="shared" si="36"/>
        <v>1007</v>
      </c>
      <c r="C223" s="67">
        <v>853</v>
      </c>
      <c r="D223" s="67">
        <v>12</v>
      </c>
      <c r="E223" s="67">
        <v>22</v>
      </c>
      <c r="F223" s="70">
        <v>2</v>
      </c>
      <c r="G223" s="70">
        <v>2</v>
      </c>
      <c r="H223" s="67">
        <v>93</v>
      </c>
      <c r="I223" s="60">
        <v>23</v>
      </c>
      <c r="J223" s="67">
        <v>0</v>
      </c>
      <c r="K223" s="53" t="s">
        <v>317</v>
      </c>
    </row>
    <row r="224" spans="1:11" s="14" customFormat="1" ht="15.75" x14ac:dyDescent="0.2">
      <c r="A224" s="26" t="s">
        <v>375</v>
      </c>
      <c r="B224" s="48">
        <f t="shared" si="36"/>
        <v>3680</v>
      </c>
      <c r="C224" s="67">
        <v>3513</v>
      </c>
      <c r="D224" s="67">
        <v>28</v>
      </c>
      <c r="E224" s="67">
        <v>47</v>
      </c>
      <c r="F224" s="74">
        <v>1</v>
      </c>
      <c r="G224" s="74">
        <v>1</v>
      </c>
      <c r="H224" s="67">
        <v>0</v>
      </c>
      <c r="I224" s="60">
        <v>81</v>
      </c>
      <c r="J224" s="67">
        <v>9</v>
      </c>
      <c r="K224" s="53" t="s">
        <v>376</v>
      </c>
    </row>
    <row r="225" spans="1:11" s="14" customFormat="1" ht="15.75" x14ac:dyDescent="0.2">
      <c r="A225" s="26"/>
      <c r="B225" s="48"/>
      <c r="C225" s="60"/>
      <c r="D225" s="67"/>
      <c r="E225" s="67"/>
      <c r="F225" s="67"/>
      <c r="G225" s="67"/>
      <c r="H225" s="67"/>
      <c r="I225" s="67"/>
      <c r="J225" s="67"/>
      <c r="K225" s="53"/>
    </row>
    <row r="226" spans="1:11" s="32" customFormat="1" ht="15.75" x14ac:dyDescent="0.2">
      <c r="A226" s="12" t="s">
        <v>57</v>
      </c>
      <c r="B226" s="48">
        <f t="shared" ref="B226:B235" si="38">SUM(C226:J226)</f>
        <v>21130</v>
      </c>
      <c r="C226" s="50">
        <f>SUM(C227:C235)</f>
        <v>19686</v>
      </c>
      <c r="D226" s="50">
        <f>SUM(D227:D235)</f>
        <v>180</v>
      </c>
      <c r="E226" s="50">
        <f>SUM(E227:E235)</f>
        <v>328</v>
      </c>
      <c r="F226" s="50">
        <f t="shared" ref="F226:J226" si="39">SUM(F227:F235)</f>
        <v>15</v>
      </c>
      <c r="G226" s="50">
        <f t="shared" si="39"/>
        <v>26</v>
      </c>
      <c r="H226" s="50">
        <f t="shared" si="39"/>
        <v>389</v>
      </c>
      <c r="I226" s="50">
        <f t="shared" si="39"/>
        <v>481</v>
      </c>
      <c r="J226" s="50">
        <f t="shared" si="39"/>
        <v>25</v>
      </c>
      <c r="K226" s="52" t="s">
        <v>58</v>
      </c>
    </row>
    <row r="227" spans="1:11" s="32" customFormat="1" ht="15.75" x14ac:dyDescent="0.2">
      <c r="A227" s="26" t="s">
        <v>401</v>
      </c>
      <c r="B227" s="48">
        <f t="shared" si="38"/>
        <v>1761</v>
      </c>
      <c r="C227" s="67">
        <v>1635</v>
      </c>
      <c r="D227" s="67">
        <v>16</v>
      </c>
      <c r="E227" s="67">
        <v>22</v>
      </c>
      <c r="F227" s="70">
        <v>1</v>
      </c>
      <c r="G227" s="70">
        <v>1</v>
      </c>
      <c r="H227" s="67">
        <v>33</v>
      </c>
      <c r="I227" s="60">
        <v>53</v>
      </c>
      <c r="J227" s="67">
        <v>0</v>
      </c>
      <c r="K227" s="53" t="s">
        <v>402</v>
      </c>
    </row>
    <row r="228" spans="1:11" s="32" customFormat="1" ht="15.75" x14ac:dyDescent="0.2">
      <c r="A228" s="26" t="s">
        <v>399</v>
      </c>
      <c r="B228" s="48">
        <f t="shared" si="38"/>
        <v>1449</v>
      </c>
      <c r="C228" s="67">
        <v>1389</v>
      </c>
      <c r="D228" s="67">
        <v>8</v>
      </c>
      <c r="E228" s="67">
        <v>13</v>
      </c>
      <c r="F228" s="67">
        <v>0</v>
      </c>
      <c r="G228" s="67">
        <v>0</v>
      </c>
      <c r="H228" s="67">
        <v>23</v>
      </c>
      <c r="I228" s="60">
        <v>16</v>
      </c>
      <c r="J228" s="67">
        <v>0</v>
      </c>
      <c r="K228" s="53" t="s">
        <v>400</v>
      </c>
    </row>
    <row r="229" spans="1:11" s="32" customFormat="1" ht="15.75" x14ac:dyDescent="0.2">
      <c r="A229" s="26" t="s">
        <v>395</v>
      </c>
      <c r="B229" s="48">
        <f t="shared" si="38"/>
        <v>3047</v>
      </c>
      <c r="C229" s="67">
        <v>2840</v>
      </c>
      <c r="D229" s="67">
        <v>24</v>
      </c>
      <c r="E229" s="67">
        <v>52</v>
      </c>
      <c r="F229" s="70">
        <v>2</v>
      </c>
      <c r="G229" s="70">
        <v>4</v>
      </c>
      <c r="H229" s="67">
        <v>65</v>
      </c>
      <c r="I229" s="60">
        <v>60</v>
      </c>
      <c r="J229" s="67">
        <v>0</v>
      </c>
      <c r="K229" s="53" t="s">
        <v>396</v>
      </c>
    </row>
    <row r="230" spans="1:11" s="32" customFormat="1" ht="15.75" x14ac:dyDescent="0.2">
      <c r="A230" s="26" t="s">
        <v>391</v>
      </c>
      <c r="B230" s="48">
        <f t="shared" si="38"/>
        <v>1264</v>
      </c>
      <c r="C230" s="67">
        <v>1196</v>
      </c>
      <c r="D230" s="67">
        <v>8</v>
      </c>
      <c r="E230" s="67">
        <v>15</v>
      </c>
      <c r="F230" s="70">
        <v>1</v>
      </c>
      <c r="G230" s="70">
        <v>1</v>
      </c>
      <c r="H230" s="67">
        <v>18</v>
      </c>
      <c r="I230" s="60">
        <v>25</v>
      </c>
      <c r="J230" s="67">
        <v>0</v>
      </c>
      <c r="K230" s="53" t="s">
        <v>392</v>
      </c>
    </row>
    <row r="231" spans="1:11" s="32" customFormat="1" ht="15.75" x14ac:dyDescent="0.2">
      <c r="A231" s="26" t="s">
        <v>389</v>
      </c>
      <c r="B231" s="48">
        <f t="shared" si="38"/>
        <v>2048</v>
      </c>
      <c r="C231" s="67">
        <v>1874</v>
      </c>
      <c r="D231" s="67">
        <v>16</v>
      </c>
      <c r="E231" s="67">
        <v>28</v>
      </c>
      <c r="F231" s="67">
        <v>0</v>
      </c>
      <c r="G231" s="67">
        <v>0</v>
      </c>
      <c r="H231" s="67">
        <v>35</v>
      </c>
      <c r="I231" s="60">
        <v>80</v>
      </c>
      <c r="J231" s="67">
        <v>15</v>
      </c>
      <c r="K231" s="53" t="s">
        <v>390</v>
      </c>
    </row>
    <row r="232" spans="1:11" s="14" customFormat="1" ht="15.75" x14ac:dyDescent="0.2">
      <c r="A232" s="26" t="s">
        <v>393</v>
      </c>
      <c r="B232" s="48">
        <f t="shared" si="38"/>
        <v>1116</v>
      </c>
      <c r="C232" s="67">
        <v>1045</v>
      </c>
      <c r="D232" s="67">
        <v>10</v>
      </c>
      <c r="E232" s="67">
        <v>16</v>
      </c>
      <c r="F232" s="67">
        <v>0</v>
      </c>
      <c r="G232" s="67">
        <v>0</v>
      </c>
      <c r="H232" s="67">
        <v>11</v>
      </c>
      <c r="I232" s="60">
        <v>32</v>
      </c>
      <c r="J232" s="67">
        <v>2</v>
      </c>
      <c r="K232" s="53" t="s">
        <v>394</v>
      </c>
    </row>
    <row r="233" spans="1:11" s="14" customFormat="1" ht="15.75" x14ac:dyDescent="0.2">
      <c r="A233" s="26" t="s">
        <v>397</v>
      </c>
      <c r="B233" s="48">
        <f t="shared" si="38"/>
        <v>1384</v>
      </c>
      <c r="C233" s="67">
        <v>1309</v>
      </c>
      <c r="D233" s="67">
        <v>9</v>
      </c>
      <c r="E233" s="67">
        <v>19</v>
      </c>
      <c r="F233" s="70">
        <v>1</v>
      </c>
      <c r="G233" s="70">
        <v>1</v>
      </c>
      <c r="H233" s="67">
        <v>25</v>
      </c>
      <c r="I233" s="60">
        <v>20</v>
      </c>
      <c r="J233" s="67">
        <v>0</v>
      </c>
      <c r="K233" s="53" t="s">
        <v>398</v>
      </c>
    </row>
    <row r="234" spans="1:11" s="14" customFormat="1" ht="15.75" x14ac:dyDescent="0.2">
      <c r="A234" s="26" t="s">
        <v>290</v>
      </c>
      <c r="B234" s="48">
        <f t="shared" si="38"/>
        <v>7618</v>
      </c>
      <c r="C234" s="67">
        <v>7063</v>
      </c>
      <c r="D234" s="67">
        <v>82</v>
      </c>
      <c r="E234" s="67">
        <v>145</v>
      </c>
      <c r="F234" s="70">
        <v>10</v>
      </c>
      <c r="G234" s="70">
        <v>19</v>
      </c>
      <c r="H234" s="67">
        <v>117</v>
      </c>
      <c r="I234" s="60">
        <v>174</v>
      </c>
      <c r="J234" s="67">
        <v>8</v>
      </c>
      <c r="K234" s="53" t="s">
        <v>291</v>
      </c>
    </row>
    <row r="235" spans="1:11" s="14" customFormat="1" ht="15.75" x14ac:dyDescent="0.2">
      <c r="A235" s="26" t="s">
        <v>180</v>
      </c>
      <c r="B235" s="48">
        <f t="shared" si="38"/>
        <v>1443</v>
      </c>
      <c r="C235" s="67">
        <v>1335</v>
      </c>
      <c r="D235" s="67">
        <v>7</v>
      </c>
      <c r="E235" s="67">
        <v>18</v>
      </c>
      <c r="F235" s="67">
        <v>0</v>
      </c>
      <c r="G235" s="67">
        <v>0</v>
      </c>
      <c r="H235" s="67">
        <v>62</v>
      </c>
      <c r="I235" s="60">
        <v>21</v>
      </c>
      <c r="J235" s="67">
        <v>0</v>
      </c>
      <c r="K235" s="53" t="s">
        <v>181</v>
      </c>
    </row>
    <row r="236" spans="1:11" s="14" customFormat="1" ht="15.75" x14ac:dyDescent="0.4">
      <c r="A236" s="26"/>
      <c r="B236" s="48"/>
      <c r="C236" s="60"/>
      <c r="D236" s="67"/>
      <c r="E236" s="67"/>
      <c r="F236" s="67"/>
      <c r="G236" s="67"/>
      <c r="H236" s="67"/>
      <c r="I236" s="67"/>
      <c r="J236" s="67"/>
      <c r="K236" s="54"/>
    </row>
    <row r="237" spans="1:11" s="14" customFormat="1" ht="15.75" x14ac:dyDescent="0.2">
      <c r="A237" s="12" t="s">
        <v>59</v>
      </c>
      <c r="B237" s="48">
        <f>SUM(C237:J237)</f>
        <v>12535</v>
      </c>
      <c r="C237" s="50">
        <f t="shared" ref="C237:H237" si="40">SUM(C238)</f>
        <v>11500</v>
      </c>
      <c r="D237" s="50">
        <f t="shared" si="40"/>
        <v>148</v>
      </c>
      <c r="E237" s="50">
        <f t="shared" si="40"/>
        <v>278</v>
      </c>
      <c r="F237" s="50">
        <f t="shared" si="40"/>
        <v>12</v>
      </c>
      <c r="G237" s="50">
        <f t="shared" si="40"/>
        <v>16</v>
      </c>
      <c r="H237" s="50">
        <f t="shared" si="40"/>
        <v>188</v>
      </c>
      <c r="I237" s="50">
        <f>SUM(I238)</f>
        <v>364</v>
      </c>
      <c r="J237" s="50">
        <f t="shared" ref="J237" si="41">SUM(J238)</f>
        <v>29</v>
      </c>
      <c r="K237" s="52" t="s">
        <v>60</v>
      </c>
    </row>
    <row r="238" spans="1:11" s="14" customFormat="1" ht="15.75" x14ac:dyDescent="0.2">
      <c r="A238" s="26" t="s">
        <v>403</v>
      </c>
      <c r="B238" s="48">
        <f>SUM(C238:J238)</f>
        <v>12535</v>
      </c>
      <c r="C238" s="67">
        <v>11500</v>
      </c>
      <c r="D238" s="67">
        <v>148</v>
      </c>
      <c r="E238" s="67">
        <v>278</v>
      </c>
      <c r="F238" s="67">
        <v>12</v>
      </c>
      <c r="G238" s="67">
        <v>16</v>
      </c>
      <c r="H238" s="67">
        <v>188</v>
      </c>
      <c r="I238" s="67">
        <v>364</v>
      </c>
      <c r="J238" s="67">
        <v>29</v>
      </c>
      <c r="K238" s="53" t="s">
        <v>404</v>
      </c>
    </row>
    <row r="239" spans="1:11" s="14" customFormat="1" ht="15.75" x14ac:dyDescent="0.4">
      <c r="A239" s="26"/>
      <c r="B239" s="48"/>
      <c r="C239" s="60"/>
      <c r="D239" s="67"/>
      <c r="E239" s="67"/>
      <c r="F239" s="67"/>
      <c r="G239" s="67"/>
      <c r="H239" s="67"/>
      <c r="I239" s="67"/>
      <c r="J239" s="67"/>
      <c r="K239" s="54"/>
    </row>
    <row r="240" spans="1:11" s="14" customFormat="1" ht="15.75" x14ac:dyDescent="0.2">
      <c r="A240" s="12" t="s">
        <v>61</v>
      </c>
      <c r="B240" s="48">
        <f t="shared" ref="B240:B246" si="42">SUM(C240:J240)</f>
        <v>32088</v>
      </c>
      <c r="C240" s="50">
        <f>SUM(C241:C246)</f>
        <v>30066</v>
      </c>
      <c r="D240" s="50">
        <f>SUM(D241:D246)</f>
        <v>249</v>
      </c>
      <c r="E240" s="50">
        <f>SUM(E241:E246)</f>
        <v>446</v>
      </c>
      <c r="F240" s="50">
        <f t="shared" ref="F240:J240" si="43">SUM(F241:F246)</f>
        <v>8</v>
      </c>
      <c r="G240" s="50">
        <f t="shared" si="43"/>
        <v>14</v>
      </c>
      <c r="H240" s="50">
        <f t="shared" si="43"/>
        <v>548</v>
      </c>
      <c r="I240" s="50">
        <f t="shared" si="43"/>
        <v>749</v>
      </c>
      <c r="J240" s="50">
        <f t="shared" si="43"/>
        <v>8</v>
      </c>
      <c r="K240" s="52" t="s">
        <v>62</v>
      </c>
    </row>
    <row r="241" spans="1:11" s="14" customFormat="1" ht="15.75" x14ac:dyDescent="0.2">
      <c r="A241" s="26" t="s">
        <v>131</v>
      </c>
      <c r="B241" s="48">
        <f t="shared" si="42"/>
        <v>5304</v>
      </c>
      <c r="C241" s="67">
        <v>5041</v>
      </c>
      <c r="D241" s="67">
        <v>26</v>
      </c>
      <c r="E241" s="67">
        <v>42</v>
      </c>
      <c r="F241" s="67">
        <v>0</v>
      </c>
      <c r="G241" s="67">
        <v>0</v>
      </c>
      <c r="H241" s="67">
        <v>104</v>
      </c>
      <c r="I241" s="60">
        <v>91</v>
      </c>
      <c r="J241" s="67">
        <v>0</v>
      </c>
      <c r="K241" s="53" t="s">
        <v>132</v>
      </c>
    </row>
    <row r="242" spans="1:11" s="14" customFormat="1" ht="15.75" x14ac:dyDescent="0.2">
      <c r="A242" s="26" t="s">
        <v>369</v>
      </c>
      <c r="B242" s="48">
        <f t="shared" si="42"/>
        <v>15120</v>
      </c>
      <c r="C242" s="67">
        <v>14126</v>
      </c>
      <c r="D242" s="67">
        <v>124</v>
      </c>
      <c r="E242" s="67">
        <v>218</v>
      </c>
      <c r="F242" s="70">
        <v>6</v>
      </c>
      <c r="G242" s="70">
        <v>12</v>
      </c>
      <c r="H242" s="67">
        <v>215</v>
      </c>
      <c r="I242" s="60">
        <v>414</v>
      </c>
      <c r="J242" s="67">
        <v>5</v>
      </c>
      <c r="K242" s="53" t="s">
        <v>370</v>
      </c>
    </row>
    <row r="243" spans="1:11" s="14" customFormat="1" ht="15.75" x14ac:dyDescent="0.2">
      <c r="A243" s="26" t="s">
        <v>409</v>
      </c>
      <c r="B243" s="48">
        <f t="shared" si="42"/>
        <v>3440</v>
      </c>
      <c r="C243" s="67">
        <v>3246</v>
      </c>
      <c r="D243" s="67">
        <v>16</v>
      </c>
      <c r="E243" s="67">
        <v>37</v>
      </c>
      <c r="F243" s="67">
        <v>0</v>
      </c>
      <c r="G243" s="67">
        <v>0</v>
      </c>
      <c r="H243" s="67">
        <v>96</v>
      </c>
      <c r="I243" s="60">
        <v>45</v>
      </c>
      <c r="J243" s="67">
        <v>0</v>
      </c>
      <c r="K243" s="53" t="s">
        <v>410</v>
      </c>
    </row>
    <row r="244" spans="1:11" s="14" customFormat="1" ht="15.75" x14ac:dyDescent="0.2">
      <c r="A244" s="26" t="s">
        <v>405</v>
      </c>
      <c r="B244" s="48">
        <f t="shared" si="42"/>
        <v>3579</v>
      </c>
      <c r="C244" s="67">
        <v>3344</v>
      </c>
      <c r="D244" s="67">
        <v>26</v>
      </c>
      <c r="E244" s="67">
        <v>52</v>
      </c>
      <c r="F244" s="67">
        <v>0</v>
      </c>
      <c r="G244" s="67">
        <v>0</v>
      </c>
      <c r="H244" s="67">
        <v>69</v>
      </c>
      <c r="I244" s="60">
        <v>88</v>
      </c>
      <c r="J244" s="67">
        <v>0</v>
      </c>
      <c r="K244" s="53" t="s">
        <v>406</v>
      </c>
    </row>
    <row r="245" spans="1:11" s="14" customFormat="1" ht="15.75" x14ac:dyDescent="0.2">
      <c r="A245" s="26" t="s">
        <v>407</v>
      </c>
      <c r="B245" s="48">
        <f t="shared" si="42"/>
        <v>1800</v>
      </c>
      <c r="C245" s="67">
        <v>1671</v>
      </c>
      <c r="D245" s="67">
        <v>25</v>
      </c>
      <c r="E245" s="67">
        <v>41</v>
      </c>
      <c r="F245" s="67">
        <v>0</v>
      </c>
      <c r="G245" s="67">
        <v>0</v>
      </c>
      <c r="H245" s="67">
        <v>23</v>
      </c>
      <c r="I245" s="60">
        <v>40</v>
      </c>
      <c r="J245" s="67">
        <v>0</v>
      </c>
      <c r="K245" s="53" t="s">
        <v>408</v>
      </c>
    </row>
    <row r="246" spans="1:11" s="14" customFormat="1" ht="15.75" x14ac:dyDescent="0.2">
      <c r="A246" s="33" t="s">
        <v>201</v>
      </c>
      <c r="B246" s="62">
        <f t="shared" si="42"/>
        <v>2845</v>
      </c>
      <c r="C246" s="69">
        <v>2638</v>
      </c>
      <c r="D246" s="69">
        <v>32</v>
      </c>
      <c r="E246" s="69">
        <v>56</v>
      </c>
      <c r="F246" s="75">
        <v>2</v>
      </c>
      <c r="G246" s="75">
        <v>2</v>
      </c>
      <c r="H246" s="69">
        <v>41</v>
      </c>
      <c r="I246" s="76">
        <v>71</v>
      </c>
      <c r="J246" s="75">
        <v>3</v>
      </c>
      <c r="K246" s="57" t="s">
        <v>202</v>
      </c>
    </row>
    <row r="247" spans="1:11" s="38" customFormat="1" ht="15.75" x14ac:dyDescent="0.2">
      <c r="A247" s="34" t="s">
        <v>420</v>
      </c>
      <c r="B247" s="48"/>
      <c r="C247" s="35"/>
      <c r="D247" s="36"/>
      <c r="E247" s="36"/>
      <c r="F247" s="36"/>
      <c r="G247" s="36"/>
      <c r="H247" s="36"/>
      <c r="I247" s="36"/>
      <c r="J247" s="37"/>
      <c r="K247" s="58" t="s">
        <v>432</v>
      </c>
    </row>
    <row r="248" spans="1:11" s="38" customFormat="1" ht="15.75" x14ac:dyDescent="0.2">
      <c r="A248" s="34" t="s">
        <v>421</v>
      </c>
      <c r="B248" s="48"/>
      <c r="C248" s="35"/>
      <c r="D248" s="39"/>
      <c r="E248" s="39"/>
      <c r="F248" s="39"/>
      <c r="G248" s="39"/>
      <c r="H248" s="39"/>
      <c r="I248" s="39"/>
      <c r="J248" s="40"/>
      <c r="K248" s="58" t="s">
        <v>433</v>
      </c>
    </row>
    <row r="249" spans="1:11" s="38" customFormat="1" ht="15.75" x14ac:dyDescent="0.2">
      <c r="A249" s="34" t="s">
        <v>422</v>
      </c>
      <c r="B249" s="48"/>
      <c r="C249" s="35"/>
      <c r="D249" s="39"/>
      <c r="E249" s="39"/>
      <c r="F249" s="39"/>
      <c r="G249" s="39"/>
      <c r="I249" s="39"/>
      <c r="J249" s="40"/>
      <c r="K249" s="58" t="s">
        <v>434</v>
      </c>
    </row>
    <row r="250" spans="1:11" s="38" customFormat="1" ht="17.25" x14ac:dyDescent="0.2">
      <c r="A250" s="4" t="s">
        <v>63</v>
      </c>
      <c r="B250" s="48"/>
      <c r="C250" s="35"/>
      <c r="D250" s="39"/>
      <c r="E250" s="39"/>
      <c r="F250" s="39"/>
      <c r="G250" s="39"/>
      <c r="I250" s="39"/>
      <c r="J250" s="40"/>
      <c r="K250" s="41" t="s">
        <v>64</v>
      </c>
    </row>
    <row r="251" spans="1:11" s="14" customFormat="1" ht="15.75" x14ac:dyDescent="0.4">
      <c r="B251" s="48"/>
      <c r="C251" s="15"/>
      <c r="D251" s="16"/>
      <c r="E251" s="16"/>
      <c r="F251" s="16"/>
      <c r="G251" s="16"/>
      <c r="I251" s="16"/>
      <c r="J251" s="42"/>
      <c r="K251" s="51"/>
    </row>
    <row r="252" spans="1:11" x14ac:dyDescent="0.45">
      <c r="B252" s="48"/>
      <c r="C252" s="44"/>
      <c r="I252" s="45"/>
      <c r="J252" s="46"/>
    </row>
  </sheetData>
  <mergeCells count="15">
    <mergeCell ref="A2:K2"/>
    <mergeCell ref="A3:K3"/>
    <mergeCell ref="B4:B8"/>
    <mergeCell ref="C4:C5"/>
    <mergeCell ref="D4:E5"/>
    <mergeCell ref="F4:G5"/>
    <mergeCell ref="H4:H5"/>
    <mergeCell ref="I4:I5"/>
    <mergeCell ref="J4:J5"/>
    <mergeCell ref="K4:K8"/>
    <mergeCell ref="D6:E6"/>
    <mergeCell ref="F6:G6"/>
    <mergeCell ref="H6:H8"/>
    <mergeCell ref="I6:I8"/>
    <mergeCell ref="J6:J7"/>
  </mergeCells>
  <pageMargins left="0.7" right="0.7" top="0.75" bottom="0.75" header="0.3" footer="0.3"/>
  <pageSetup paperSize="9" scale="51" orientation="portrait" horizontalDpi="4294967295" verticalDpi="4294967295" r:id="rId1"/>
  <rowBreaks count="2" manualBreakCount="2">
    <brk id="183" max="11" man="1"/>
    <brk id="251" max="11" man="1"/>
  </rowBreaks>
  <colBreaks count="1" manualBreakCount="1">
    <brk id="12" max="1048575" man="1"/>
  </colBreaks>
  <ignoredErrors>
    <ignoredError sqref="J7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18.19</vt:lpstr>
      <vt:lpstr>'18.19'!Print_Area</vt:lpstr>
      <vt:lpstr>'18.19'!Print_Titles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2023-03-16T03:45:24Z</cp:lastPrinted>
  <dcterms:created xsi:type="dcterms:W3CDTF">2019-02-21T04:10:17Z</dcterms:created>
  <dcterms:modified xsi:type="dcterms:W3CDTF">2023-03-16T03:45:43Z</dcterms:modified>
</cp:coreProperties>
</file>