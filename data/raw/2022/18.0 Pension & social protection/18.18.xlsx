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9A587533-4AE2-476E-B2B5-3BE2D9504F6E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8" sheetId="16" r:id="rId1"/>
  </sheets>
  <externalReferences>
    <externalReference r:id="rId2"/>
  </externalReferences>
  <definedNames>
    <definedName name="_xlnm.Print_Area" localSheetId="0">'18.18'!$A$1:$K$51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6" i="16" l="1"/>
  <c r="X47" i="16"/>
  <c r="X48" i="16"/>
  <c r="X49" i="16"/>
  <c r="X50" i="16"/>
  <c r="X51" i="16"/>
  <c r="X52" i="16"/>
  <c r="X53" i="16"/>
  <c r="X54" i="16"/>
  <c r="X55" i="16"/>
  <c r="X56" i="16"/>
  <c r="X57" i="16"/>
  <c r="X58" i="16"/>
  <c r="X59" i="16"/>
  <c r="X60" i="16"/>
  <c r="X61" i="16"/>
  <c r="X62" i="16"/>
  <c r="X63" i="16"/>
  <c r="X64" i="16"/>
  <c r="X45" i="16"/>
  <c r="X44" i="16"/>
  <c r="H11" i="16" l="1"/>
  <c r="B11" i="16" l="1"/>
  <c r="B9" i="16" s="1"/>
  <c r="I11" i="16" l="1"/>
  <c r="I9" i="16" s="1"/>
  <c r="H9" i="16"/>
  <c r="G11" i="16"/>
  <c r="G9" i="16" s="1"/>
  <c r="F11" i="16"/>
  <c r="F9" i="16" s="1"/>
  <c r="E11" i="16"/>
  <c r="E9" i="16" s="1"/>
  <c r="D11" i="16"/>
  <c r="D9" i="16" s="1"/>
  <c r="C11" i="16"/>
  <c r="C9" i="16" s="1"/>
</calcChain>
</file>

<file path=xl/sharedStrings.xml><?xml version="1.0" encoding="utf-8"?>
<sst xmlns="http://schemas.openxmlformats.org/spreadsheetml/2006/main" count="97" uniqueCount="94">
  <si>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</si>
  <si>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</si>
  <si>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</si>
  <si>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</si>
  <si>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</si>
  <si>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</si>
  <si>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</si>
  <si>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</si>
  <si>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</si>
  <si>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</si>
  <si>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EMERGENCY MEDICAL WELFARE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</si>
  <si>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</si>
  <si>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</si>
  <si>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</si>
  <si>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</si>
  <si>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</si>
  <si>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</si>
  <si>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</si>
  <si>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</si>
  <si>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</si>
  <si>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</si>
  <si>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</si>
  <si>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</si>
  <si>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</si>
  <si>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</si>
  <si>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</si>
  <si>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</si>
  <si>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</si>
  <si>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</si>
  <si>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</si>
  <si>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</si>
  <si>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</si>
  <si>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</si>
  <si>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</si>
  <si>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</si>
  <si>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</si>
  <si>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</si>
  <si>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</si>
  <si>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</si>
  <si>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</si>
  <si>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</si>
  <si>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</si>
  <si>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</si>
  <si>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</si>
  <si>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</si>
  <si>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</si>
  <si>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</si>
  <si>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</si>
  <si>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</si>
  <si>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</si>
  <si>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</si>
  <si>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</si>
  <si>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</si>
  <si>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</si>
  <si>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</si>
  <si>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</si>
  <si>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</si>
  <si>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</si>
  <si>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</si>
  <si>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</si>
  <si>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</si>
  <si>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</si>
  <si>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</si>
  <si>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</si>
  <si>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</si>
  <si>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Note: Universal Health Insuarance Scheme named "Aasandha" was introduced in January 2012 and replaced the existing schemes "Madhana" and "Madhana Plus".</t>
  </si>
  <si>
    <t>Source: National Social Protection Agency</t>
  </si>
  <si>
    <t xml:space="preserve"> </t>
  </si>
  <si>
    <t xml:space="preserve">މަޢުލޫމާތު ދެއްވީ: ނެޝަނަލް ސޯޝަލް ޕްރޮޓެކްޝަން އޭޖެންސީ </t>
  </si>
  <si>
    <t>DISABILITY ALLOWANCE</t>
  </si>
  <si>
    <t>FOOD SUBSIDY</t>
  </si>
  <si>
    <t xml:space="preserve">FOSTER PARENT ALLOWANCE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</si>
  <si>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</si>
  <si>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</si>
  <si>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</si>
  <si>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</si>
  <si>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</si>
  <si>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</si>
  <si>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</si>
  <si>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</si>
  <si>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</si>
  <si>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</si>
  <si>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</si>
  <si>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</si>
  <si>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</si>
  <si>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</si>
  <si>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</si>
  <si>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</si>
  <si>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</si>
  <si>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</si>
  <si>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</si>
  <si>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</si>
  <si>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Table 18.18 :  NUMBER OF PERSONS COVERED UNDER DIFFERENT SOCIAL PROTECTION SCHEMES BY LOCALITY,  2021</t>
  </si>
  <si>
    <t>ތާވަލް 18.18: އިޖްތިމާއީ ރައްކާތެރިކަމުގެ ދަށުން އަތޮޅުތަކުން ޚިދުމަތްދެވިފައިވާ މީހުންގެ އަދަދު،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</si>
</sst>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4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14999847407452621"/>
      <name val="A_Randhoo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2"/>
      <color theme="1" tint="0.14999847407452621"/>
      <name val="Arial"/>
      <family val="2"/>
    </font>
    <font>
      <b/>
      <sz val="13.5"/>
      <color rgb="FF000000"/>
      <name val="Calibri"/>
      <family val="2"/>
    </font>
    <font>
      <sz val="10"/>
      <color theme="1" tint="0.14999847407452621"/>
      <name val="A_Faseyha"/>
    </font>
    <font>
      <b/>
      <sz val="9"/>
      <color theme="1" tint="0.14999847407452621"/>
      <name val="A_Faseyha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</borders>
  <cellStyleXfs count="23">
    <xf numFmtId="0" fontId="0" fillId="0" borderId="0"/>
    <xf numFmtId="43" fontId="3" fillId="0" borderId="0" applyFont="0" applyFill="0" applyBorder="0" applyAlignment="0" applyProtection="0"/>
    <xf numFmtId="0" fontId="5" fillId="0" borderId="1"/>
    <xf numFmtId="164" fontId="14" fillId="0" borderId="1"/>
    <xf numFmtId="0" fontId="1" fillId="0" borderId="1"/>
    <xf numFmtId="0" fontId="14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37" fillId="0" borderId="1"/>
    <xf numFmtId="0" fontId="38" fillId="0" borderId="1" applyFill="0" applyProtection="0"/>
    <xf numFmtId="0" fontId="39" fillId="0" borderId="1"/>
    <xf numFmtId="0" fontId="39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124">
    <xf numFmtId="0" fontId="0" fillId="0" borderId="0" xfId="0"/>
    <xf numFmtId="0" fontId="0" fillId="2" borderId="0" xfId="0" applyFill="1"/>
    <xf numFmtId="3" fontId="7" fillId="2" borderId="1" xfId="2" applyNumberFormat="1" applyFont="1" applyFill="1"/>
    <xf numFmtId="0" fontId="13" fillId="2" borderId="0" xfId="0" applyFont="1" applyFill="1"/>
    <xf numFmtId="167" fontId="17" fillId="2" borderId="0" xfId="0" applyNumberFormat="1" applyFont="1" applyFill="1" applyAlignment="1">
      <alignment vertical="center"/>
    </xf>
    <xf numFmtId="167" fontId="18" fillId="2" borderId="13" xfId="3" applyNumberFormat="1" applyFont="1" applyFill="1" applyBorder="1" applyAlignment="1">
      <alignment horizontal="right" vertical="center" wrapText="1"/>
    </xf>
    <xf numFmtId="167" fontId="18" fillId="2" borderId="14" xfId="3" applyNumberFormat="1" applyFont="1" applyFill="1" applyBorder="1" applyAlignment="1">
      <alignment horizontal="right" vertical="center" wrapText="1"/>
    </xf>
    <xf numFmtId="167" fontId="17" fillId="2" borderId="1" xfId="0" applyNumberFormat="1" applyFont="1" applyFill="1" applyBorder="1"/>
    <xf numFmtId="167" fontId="19" fillId="2" borderId="10" xfId="3" applyNumberFormat="1" applyFont="1" applyFill="1" applyBorder="1" applyAlignment="1">
      <alignment horizontal="right" vertical="center" wrapText="1"/>
    </xf>
    <xf numFmtId="167" fontId="19" fillId="2" borderId="11" xfId="3" applyNumberFormat="1" applyFont="1" applyFill="1" applyBorder="1" applyAlignment="1">
      <alignment horizontal="right" vertical="center" wrapText="1"/>
    </xf>
    <xf numFmtId="167" fontId="4" fillId="2" borderId="15" xfId="0" applyNumberFormat="1" applyFont="1" applyFill="1" applyBorder="1" applyAlignment="1">
      <alignment horizontal="center" vertical="center"/>
    </xf>
    <xf numFmtId="167" fontId="0" fillId="2" borderId="0" xfId="0" applyNumberFormat="1" applyFill="1"/>
    <xf numFmtId="167" fontId="18" fillId="2" borderId="1" xfId="3" applyNumberFormat="1" applyFont="1" applyFill="1" applyAlignment="1">
      <alignment horizontal="left" vertical="center"/>
    </xf>
    <xf numFmtId="37" fontId="18" fillId="2" borderId="1" xfId="1" applyNumberFormat="1" applyFont="1" applyFill="1" applyBorder="1" applyAlignment="1" applyProtection="1">
      <alignment vertical="center"/>
    </xf>
    <xf numFmtId="37" fontId="18" fillId="2" borderId="13" xfId="1" applyNumberFormat="1" applyFont="1" applyFill="1" applyBorder="1" applyAlignment="1" applyProtection="1">
      <alignment horizontal="right" vertical="center"/>
    </xf>
    <xf numFmtId="37" fontId="18" fillId="2" borderId="1" xfId="1" applyNumberFormat="1" applyFont="1" applyFill="1" applyBorder="1" applyAlignment="1" applyProtection="1">
      <alignment horizontal="right" vertical="center"/>
    </xf>
    <xf numFmtId="3" fontId="22" fillId="2" borderId="1" xfId="2" applyNumberFormat="1" applyFont="1" applyFill="1" applyAlignment="1">
      <alignment horizontal="right" vertical="center"/>
    </xf>
    <xf numFmtId="167" fontId="23" fillId="2" borderId="0" xfId="0" applyNumberFormat="1" applyFont="1" applyFill="1"/>
    <xf numFmtId="3" fontId="24" fillId="2" borderId="1" xfId="2" applyNumberFormat="1" applyFont="1" applyFill="1"/>
    <xf numFmtId="167" fontId="20" fillId="2" borderId="0" xfId="0" applyNumberFormat="1" applyFont="1" applyFill="1"/>
    <xf numFmtId="37" fontId="21" fillId="2" borderId="14" xfId="1" applyNumberFormat="1" applyFont="1" applyFill="1" applyBorder="1" applyAlignment="1">
      <alignment vertical="center"/>
    </xf>
    <xf numFmtId="3" fontId="26" fillId="2" borderId="1" xfId="2" applyNumberFormat="1" applyFont="1" applyFill="1"/>
    <xf numFmtId="3" fontId="28" fillId="2" borderId="1" xfId="2" applyNumberFormat="1" applyFont="1" applyFill="1" applyAlignment="1">
      <alignment horizontal="right" vertical="center"/>
    </xf>
    <xf numFmtId="3" fontId="29" fillId="2" borderId="1" xfId="1" applyNumberFormat="1" applyFont="1" applyFill="1" applyBorder="1" applyAlignment="1" applyProtection="1">
      <alignment horizontal="right" vertical="center"/>
    </xf>
    <xf numFmtId="3" fontId="8" fillId="2" borderId="1" xfId="2" applyNumberFormat="1" applyFont="1" applyFill="1"/>
    <xf numFmtId="37" fontId="27" fillId="2" borderId="1" xfId="1" applyNumberFormat="1" applyFont="1" applyFill="1" applyBorder="1" applyAlignment="1" applyProtection="1">
      <alignment vertical="center"/>
    </xf>
    <xf numFmtId="167" fontId="23" fillId="2" borderId="1" xfId="0" applyNumberFormat="1" applyFont="1" applyFill="1" applyBorder="1"/>
    <xf numFmtId="0" fontId="23" fillId="2" borderId="0" xfId="0" applyFont="1" applyFill="1"/>
    <xf numFmtId="0" fontId="23" fillId="2" borderId="1" xfId="0" applyFont="1" applyFill="1" applyBorder="1"/>
    <xf numFmtId="0" fontId="30" fillId="2" borderId="0" xfId="0" applyFont="1" applyFill="1"/>
    <xf numFmtId="0" fontId="25" fillId="2" borderId="0" xfId="0" applyFont="1" applyFill="1"/>
    <xf numFmtId="0" fontId="21" fillId="2" borderId="0" xfId="0" applyFont="1" applyFill="1" applyAlignment="1">
      <alignment horizontal="center" vertical="center"/>
    </xf>
    <xf numFmtId="167" fontId="31" fillId="2" borderId="1" xfId="3" applyNumberFormat="1" applyFont="1" applyFill="1" applyAlignment="1">
      <alignment horizontal="left" vertical="center"/>
    </xf>
    <xf numFmtId="167" fontId="32" fillId="2" borderId="1" xfId="5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3" fontId="33" fillId="2" borderId="1" xfId="2" applyNumberFormat="1" applyFont="1" applyFill="1"/>
    <xf numFmtId="167" fontId="19" fillId="2" borderId="1" xfId="3" applyNumberFormat="1" applyFont="1" applyFill="1" applyAlignment="1">
      <alignment horizontal="right" vertical="center" wrapText="1"/>
    </xf>
    <xf numFmtId="167" fontId="20" fillId="2" borderId="1" xfId="0" applyNumberFormat="1" applyFont="1" applyFill="1" applyBorder="1"/>
    <xf numFmtId="167" fontId="4" fillId="2" borderId="1" xfId="0" applyNumberFormat="1" applyFont="1" applyFill="1" applyBorder="1" applyAlignment="1">
      <alignment horizontal="center" vertical="center"/>
    </xf>
    <xf numFmtId="37" fontId="21" fillId="2" borderId="1" xfId="1" applyNumberFormat="1" applyFont="1" applyFill="1" applyBorder="1" applyAlignment="1">
      <alignment horizontal="right" vertical="center" indent="3"/>
    </xf>
    <xf numFmtId="37" fontId="21" fillId="2" borderId="1" xfId="1" applyNumberFormat="1" applyFont="1" applyFill="1" applyBorder="1" applyAlignment="1">
      <alignment horizontal="right" vertical="center"/>
    </xf>
    <xf numFmtId="37" fontId="27" fillId="2" borderId="1" xfId="1" applyNumberFormat="1" applyFont="1" applyFill="1" applyBorder="1" applyAlignment="1" applyProtection="1">
      <alignment horizontal="right" vertical="center"/>
    </xf>
    <xf numFmtId="37" fontId="25" fillId="2" borderId="1" xfId="1" applyNumberFormat="1" applyFont="1" applyFill="1" applyBorder="1" applyAlignment="1">
      <alignment horizontal="right" vertical="center"/>
    </xf>
    <xf numFmtId="37" fontId="25" fillId="2" borderId="1" xfId="1" applyNumberFormat="1" applyFont="1" applyFill="1" applyBorder="1" applyAlignment="1">
      <alignment horizontal="right" vertical="center" indent="3"/>
    </xf>
    <xf numFmtId="37" fontId="18" fillId="2" borderId="12" xfId="1" applyNumberFormat="1" applyFont="1" applyFill="1" applyBorder="1" applyAlignment="1" applyProtection="1">
      <alignment horizontal="right" vertical="center"/>
    </xf>
    <xf numFmtId="37" fontId="18" fillId="2" borderId="6" xfId="1" applyNumberFormat="1" applyFont="1" applyFill="1" applyBorder="1" applyAlignment="1" applyProtection="1">
      <alignment horizontal="right" vertical="center"/>
    </xf>
    <xf numFmtId="37" fontId="18" fillId="2" borderId="4" xfId="1" applyNumberFormat="1" applyFont="1" applyFill="1" applyBorder="1" applyAlignment="1" applyProtection="1">
      <alignment horizontal="right" vertical="center"/>
    </xf>
    <xf numFmtId="37" fontId="21" fillId="2" borderId="12" xfId="1" applyNumberFormat="1" applyFont="1" applyFill="1" applyBorder="1" applyAlignment="1">
      <alignment vertical="center"/>
    </xf>
    <xf numFmtId="0" fontId="34" fillId="2" borderId="0" xfId="0" applyFont="1" applyFill="1" applyAlignment="1">
      <alignment vertical="center"/>
    </xf>
    <xf numFmtId="37" fontId="21" fillId="2" borderId="12" xfId="8" applyNumberFormat="1" applyFont="1" applyFill="1" applyBorder="1" applyAlignment="1">
      <alignment horizontal="right" vertical="center"/>
    </xf>
    <xf numFmtId="37" fontId="21" fillId="2" borderId="14" xfId="8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37" fontId="27" fillId="2" borderId="14" xfId="8" applyNumberFormat="1" applyFont="1" applyFill="1" applyBorder="1" applyAlignment="1" applyProtection="1">
      <alignment vertical="center"/>
    </xf>
    <xf numFmtId="37" fontId="27" fillId="2" borderId="1" xfId="8" applyNumberFormat="1" applyFont="1" applyFill="1" applyBorder="1" applyAlignment="1" applyProtection="1">
      <alignment vertical="center"/>
    </xf>
    <xf numFmtId="37" fontId="25" fillId="2" borderId="15" xfId="8" applyNumberFormat="1" applyFont="1" applyFill="1" applyBorder="1" applyAlignment="1">
      <alignment vertical="center"/>
    </xf>
    <xf numFmtId="1" fontId="29" fillId="2" borderId="1" xfId="8" applyNumberFormat="1" applyFont="1" applyFill="1" applyBorder="1" applyAlignment="1" applyProtection="1">
      <alignment horizontal="right" vertical="center"/>
    </xf>
    <xf numFmtId="37" fontId="18" fillId="2" borderId="1" xfId="8" applyNumberFormat="1" applyFont="1" applyFill="1" applyBorder="1" applyAlignment="1" applyProtection="1">
      <alignment vertical="center"/>
    </xf>
    <xf numFmtId="37" fontId="18" fillId="2" borderId="12" xfId="8" applyNumberFormat="1" applyFont="1" applyFill="1" applyBorder="1" applyAlignment="1">
      <alignment horizontal="right" vertical="center"/>
    </xf>
    <xf numFmtId="37" fontId="21" fillId="2" borderId="12" xfId="8" applyNumberFormat="1" applyFont="1" applyFill="1" applyBorder="1" applyAlignment="1">
      <alignment horizontal="center" vertical="center"/>
    </xf>
    <xf numFmtId="3" fontId="26" fillId="2" borderId="1" xfId="2" applyNumberFormat="1" applyFont="1" applyFill="1" applyAlignment="1">
      <alignment horizontal="left" vertical="center" indent="1"/>
    </xf>
    <xf numFmtId="3" fontId="26" fillId="2" borderId="2" xfId="2" applyNumberFormat="1" applyFont="1" applyFill="1" applyBorder="1" applyAlignment="1">
      <alignment horizontal="left" vertical="center" indent="1"/>
    </xf>
    <xf numFmtId="37" fontId="27" fillId="2" borderId="14" xfId="8" applyNumberFormat="1" applyFont="1" applyFill="1" applyBorder="1" applyAlignment="1" applyProtection="1">
      <alignment horizontal="right" vertical="center" indent="1"/>
    </xf>
    <xf numFmtId="37" fontId="27" fillId="2" borderId="15" xfId="8" applyNumberFormat="1" applyFont="1" applyFill="1" applyBorder="1" applyAlignment="1" applyProtection="1">
      <alignment horizontal="right" vertical="center" indent="1"/>
    </xf>
    <xf numFmtId="167" fontId="15" fillId="2" borderId="1" xfId="3" applyNumberFormat="1" applyFont="1" applyFill="1" applyAlignment="1">
      <alignment horizontal="center" vertical="center" wrapText="1"/>
    </xf>
    <xf numFmtId="3" fontId="8" fillId="2" borderId="1" xfId="2" applyNumberFormat="1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67" fontId="18" fillId="2" borderId="1" xfId="3" applyNumberFormat="1" applyFont="1" applyFill="1" applyAlignment="1">
      <alignment horizontal="right" vertical="center" wrapText="1"/>
    </xf>
    <xf numFmtId="0" fontId="13" fillId="2" borderId="1" xfId="0" applyFont="1" applyFill="1" applyBorder="1"/>
    <xf numFmtId="167" fontId="17" fillId="2" borderId="1" xfId="0" applyNumberFormat="1" applyFont="1" applyFill="1" applyBorder="1" applyAlignment="1">
      <alignment vertical="center"/>
    </xf>
    <xf numFmtId="167" fontId="0" fillId="2" borderId="1" xfId="0" applyNumberFormat="1" applyFill="1" applyBorder="1"/>
    <xf numFmtId="0" fontId="25" fillId="2" borderId="1" xfId="0" applyFont="1" applyFill="1" applyBorder="1"/>
    <xf numFmtId="37" fontId="13" fillId="2" borderId="1" xfId="0" applyNumberFormat="1" applyFont="1" applyFill="1" applyBorder="1"/>
    <xf numFmtId="37" fontId="27" fillId="2" borderId="1" xfId="7" applyNumberFormat="1" applyFont="1" applyFill="1" applyBorder="1" applyAlignment="1">
      <alignment vertical="center"/>
    </xf>
    <xf numFmtId="37" fontId="21" fillId="2" borderId="1" xfId="1" applyNumberFormat="1" applyFont="1" applyFill="1" applyBorder="1" applyAlignment="1">
      <alignment vertical="center"/>
    </xf>
    <xf numFmtId="0" fontId="2" fillId="2" borderId="1" xfId="0" applyFont="1" applyFill="1" applyBorder="1"/>
    <xf numFmtId="3" fontId="35" fillId="2" borderId="1" xfId="2" applyNumberFormat="1" applyFont="1" applyFill="1" applyAlignment="1">
      <alignment horizontal="right" vertical="center" indent="1"/>
    </xf>
    <xf numFmtId="3" fontId="35" fillId="2" borderId="2" xfId="2" applyNumberFormat="1" applyFont="1" applyFill="1" applyBorder="1" applyAlignment="1">
      <alignment horizontal="right" vertical="center" indent="1"/>
    </xf>
    <xf numFmtId="37" fontId="25" fillId="2" borderId="12" xfId="8" applyNumberFormat="1" applyFont="1" applyFill="1" applyBorder="1" applyAlignment="1">
      <alignment horizontal="right" vertical="center"/>
    </xf>
    <xf numFmtId="37" fontId="25" fillId="2" borderId="12" xfId="8" applyNumberFormat="1" applyFont="1" applyFill="1" applyBorder="1" applyAlignment="1">
      <alignment horizontal="center" vertical="center"/>
    </xf>
    <xf numFmtId="37" fontId="25" fillId="2" borderId="15" xfId="8" applyNumberFormat="1" applyFont="1" applyFill="1" applyBorder="1" applyAlignment="1">
      <alignment horizontal="center" vertical="center"/>
    </xf>
    <xf numFmtId="37" fontId="18" fillId="2" borderId="12" xfId="1" applyNumberFormat="1" applyFont="1" applyFill="1" applyBorder="1" applyAlignment="1" applyProtection="1">
      <alignment horizontal="center" vertical="center"/>
    </xf>
    <xf numFmtId="37" fontId="21" fillId="2" borderId="12" xfId="8" applyNumberFormat="1" applyFont="1" applyFill="1" applyBorder="1" applyAlignment="1">
      <alignment horizontal="right" vertical="center" indent="5"/>
    </xf>
    <xf numFmtId="37" fontId="21" fillId="2" borderId="12" xfId="1" applyNumberFormat="1" applyFont="1" applyFill="1" applyBorder="1" applyAlignment="1">
      <alignment horizontal="right" vertical="center" indent="5"/>
    </xf>
    <xf numFmtId="167" fontId="15" fillId="2" borderId="15" xfId="3" applyNumberFormat="1" applyFont="1" applyFill="1" applyBorder="1" applyAlignment="1">
      <alignment horizontal="right" vertical="center" wrapText="1" indent="1"/>
    </xf>
    <xf numFmtId="167" fontId="18" fillId="2" borderId="12" xfId="3" applyNumberFormat="1" applyFont="1" applyFill="1" applyBorder="1" applyAlignment="1">
      <alignment horizontal="right" vertical="center" wrapText="1" indent="1"/>
    </xf>
    <xf numFmtId="167" fontId="19" fillId="2" borderId="15" xfId="3" applyNumberFormat="1" applyFont="1" applyFill="1" applyBorder="1" applyAlignment="1">
      <alignment horizontal="right" vertical="center" wrapText="1" indent="1"/>
    </xf>
    <xf numFmtId="37" fontId="18" fillId="2" borderId="12" xfId="1" applyNumberFormat="1" applyFont="1" applyFill="1" applyBorder="1" applyAlignment="1" applyProtection="1">
      <alignment vertical="center"/>
    </xf>
    <xf numFmtId="3" fontId="6" fillId="2" borderId="1" xfId="2" applyNumberFormat="1" applyFont="1" applyFill="1" applyAlignment="1">
      <alignment horizontal="center" vertical="center" readingOrder="2"/>
    </xf>
    <xf numFmtId="3" fontId="8" fillId="2" borderId="1" xfId="2" applyNumberFormat="1" applyFont="1" applyFill="1" applyAlignment="1">
      <alignment horizontal="center" vertical="center"/>
    </xf>
    <xf numFmtId="3" fontId="9" fillId="2" borderId="3" xfId="2" applyNumberFormat="1" applyFont="1" applyFill="1" applyBorder="1" applyAlignment="1">
      <alignment horizontal="left" vertical="center"/>
    </xf>
    <xf numFmtId="3" fontId="9" fillId="2" borderId="1" xfId="2" applyNumberFormat="1" applyFont="1" applyFill="1" applyAlignment="1">
      <alignment horizontal="left" vertical="center"/>
    </xf>
    <xf numFmtId="3" fontId="9" fillId="2" borderId="2" xfId="2" applyNumberFormat="1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right" vertical="center" wrapText="1" indent="1"/>
    </xf>
    <xf numFmtId="0" fontId="10" fillId="2" borderId="9" xfId="0" applyFont="1" applyFill="1" applyBorder="1" applyAlignment="1">
      <alignment horizontal="right" vertical="center" wrapText="1" inden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right" vertical="center" wrapText="1"/>
    </xf>
    <xf numFmtId="0" fontId="11" fillId="2" borderId="7" xfId="0" applyFont="1" applyFill="1" applyBorder="1" applyAlignment="1">
      <alignment horizontal="righ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3" fontId="36" fillId="2" borderId="3" xfId="2" applyNumberFormat="1" applyFont="1" applyFill="1" applyBorder="1" applyAlignment="1">
      <alignment horizontal="right" vertical="center" wrapText="1"/>
    </xf>
    <xf numFmtId="3" fontId="36" fillId="2" borderId="1" xfId="2" applyNumberFormat="1" applyFont="1" applyFill="1" applyAlignment="1">
      <alignment horizontal="right" vertical="center" wrapText="1"/>
    </xf>
    <xf numFmtId="3" fontId="36" fillId="2" borderId="2" xfId="2" applyNumberFormat="1" applyFont="1" applyFill="1" applyBorder="1" applyAlignment="1">
      <alignment horizontal="right" vertical="center" wrapText="1"/>
    </xf>
    <xf numFmtId="167" fontId="15" fillId="2" borderId="10" xfId="3" applyNumberFormat="1" applyFont="1" applyFill="1" applyBorder="1" applyAlignment="1">
      <alignment horizontal="center" vertical="center" wrapText="1"/>
    </xf>
    <xf numFmtId="167" fontId="15" fillId="2" borderId="11" xfId="3" applyNumberFormat="1" applyFont="1" applyFill="1" applyBorder="1" applyAlignment="1">
      <alignment horizontal="center" vertical="center" wrapText="1"/>
    </xf>
    <xf numFmtId="167" fontId="15" fillId="2" borderId="12" xfId="3" applyNumberFormat="1" applyFont="1" applyFill="1" applyBorder="1" applyAlignment="1">
      <alignment horizontal="center" vertical="center" wrapText="1"/>
    </xf>
    <xf numFmtId="167" fontId="15" fillId="2" borderId="1" xfId="3" applyNumberFormat="1" applyFont="1" applyFill="1" applyAlignment="1">
      <alignment horizontal="center" vertical="center" wrapText="1"/>
    </xf>
    <xf numFmtId="167" fontId="15" fillId="2" borderId="16" xfId="3" applyNumberFormat="1" applyFont="1" applyFill="1" applyBorder="1" applyAlignment="1">
      <alignment horizontal="right" vertical="center" wrapText="1"/>
    </xf>
    <xf numFmtId="167" fontId="15" fillId="2" borderId="12" xfId="3" applyNumberFormat="1" applyFont="1" applyFill="1" applyBorder="1" applyAlignment="1">
      <alignment horizontal="right" vertical="center" wrapText="1"/>
    </xf>
    <xf numFmtId="167" fontId="15" fillId="2" borderId="15" xfId="3" applyNumberFormat="1" applyFont="1" applyFill="1" applyBorder="1" applyAlignment="1">
      <alignment horizontal="right" vertical="center" wrapText="1"/>
    </xf>
    <xf numFmtId="167" fontId="16" fillId="2" borderId="1" xfId="3" applyNumberFormat="1" applyFont="1" applyFill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2" fillId="2" borderId="1" xfId="2" applyNumberFormat="1" applyFont="1" applyFill="1" applyAlignment="1">
      <alignment horizontal="right" vertical="center" wrapText="1"/>
    </xf>
  </cellXfs>
  <cellStyles count="23">
    <cellStyle name="Comma" xfId="1" builtinId="3"/>
    <cellStyle name="Comma 23" xfId="8" xr:uid="{00000000-0005-0000-0000-000001000000}"/>
    <cellStyle name="Comma 3" xfId="7" xr:uid="{00000000-0005-0000-0000-000002000000}"/>
    <cellStyle name="Normal" xfId="0" builtinId="0"/>
    <cellStyle name="Normal 10" xfId="13" xr:uid="{00000000-0005-0000-0000-000004000000}"/>
    <cellStyle name="Normal 12" xfId="6" xr:uid="{00000000-0005-0000-0000-000005000000}"/>
    <cellStyle name="Normal 2" xfId="3" xr:uid="{00000000-0005-0000-0000-000006000000}"/>
    <cellStyle name="Normal 25" xfId="17" xr:uid="{00000000-0005-0000-0000-000007000000}"/>
    <cellStyle name="Normal 3" xfId="10" xr:uid="{00000000-0005-0000-0000-000008000000}"/>
    <cellStyle name="Normal 3 2" xfId="4" xr:uid="{00000000-0005-0000-0000-000009000000}"/>
    <cellStyle name="Normal 30" xfId="12" xr:uid="{00000000-0005-0000-0000-00000A000000}"/>
    <cellStyle name="Normal 30 2" xfId="18" xr:uid="{8CB7D01C-DD85-496B-BD11-D1776558F3C4}"/>
    <cellStyle name="Normal 39" xfId="19" xr:uid="{972F4BFA-9C5F-4CF5-816F-EC252FFDB201}"/>
    <cellStyle name="Normal 4" xfId="11" xr:uid="{00000000-0005-0000-0000-00000B000000}"/>
    <cellStyle name="Normal 40" xfId="20" xr:uid="{0613AE2C-83BE-4A4F-B0CC-2949951A75EC}"/>
    <cellStyle name="Normal 41" xfId="21" xr:uid="{425B46FD-B8A3-4FE6-AAF2-306F2E07F751}"/>
    <cellStyle name="Normal 44" xfId="22" xr:uid="{6C5CDDC4-C000-432D-BE85-6FFEDE896A02}"/>
    <cellStyle name="Normal 54" xfId="14" xr:uid="{00000000-0005-0000-0000-00000C000000}"/>
    <cellStyle name="Normal 58" xfId="16" xr:uid="{00000000-0005-0000-0000-00000D000000}"/>
    <cellStyle name="Normal 59" xfId="15" xr:uid="{00000000-0005-0000-0000-00000E000000}"/>
    <cellStyle name="Normal 8" xfId="9" xr:uid="{00000000-0005-0000-0000-00000F000000}"/>
    <cellStyle name="Normal_3 Population." xfId="5" xr:uid="{00000000-0005-0000-0000-000010000000}"/>
    <cellStyle name="Normal_II-15(Population) 2" xfId="2" xr:uid="{00000000-0005-0000-0000-000011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 SERVICED UNDER HEALTH INSURANCE SCHEMES BY ATOLL, 2020-2021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8009829207292896"/>
          <c:y val="7.13151815350280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'18.18'!$W$43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</c:spPr>
          <c:invertIfNegative val="0"/>
          <c:cat>
            <c:strRef>
              <c:f>'18.18'!$V$44:$V$64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'18.18'!$W$44:$W$64</c:f>
              <c:numCache>
                <c:formatCode>#,##0_);\(#,##0\)</c:formatCode>
                <c:ptCount val="21"/>
                <c:pt idx="0">
                  <c:v>57699</c:v>
                </c:pt>
                <c:pt idx="1">
                  <c:v>19991</c:v>
                </c:pt>
                <c:pt idx="2">
                  <c:v>23979</c:v>
                </c:pt>
                <c:pt idx="3">
                  <c:v>15683</c:v>
                </c:pt>
                <c:pt idx="4">
                  <c:v>14205</c:v>
                </c:pt>
                <c:pt idx="5">
                  <c:v>20706</c:v>
                </c:pt>
                <c:pt idx="6">
                  <c:v>12974</c:v>
                </c:pt>
                <c:pt idx="7">
                  <c:v>11539</c:v>
                </c:pt>
                <c:pt idx="8">
                  <c:v>12103</c:v>
                </c:pt>
                <c:pt idx="9">
                  <c:v>7502</c:v>
                </c:pt>
                <c:pt idx="10">
                  <c:v>10468</c:v>
                </c:pt>
                <c:pt idx="11">
                  <c:v>2157</c:v>
                </c:pt>
                <c:pt idx="12">
                  <c:v>6554</c:v>
                </c:pt>
                <c:pt idx="13">
                  <c:v>5729</c:v>
                </c:pt>
                <c:pt idx="14">
                  <c:v>6980</c:v>
                </c:pt>
                <c:pt idx="15">
                  <c:v>14382</c:v>
                </c:pt>
                <c:pt idx="16">
                  <c:v>16220</c:v>
                </c:pt>
                <c:pt idx="17">
                  <c:v>13222</c:v>
                </c:pt>
                <c:pt idx="18">
                  <c:v>18540</c:v>
                </c:pt>
                <c:pt idx="19">
                  <c:v>10771</c:v>
                </c:pt>
                <c:pt idx="20">
                  <c:v>28974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7-4050-872F-7D3CC4AC9683}"/>
            </c:ext>
          </c:extLst>
        </c:ser>
        <c:ser>
          <c:idx val="3"/>
          <c:order val="1"/>
          <c:tx>
            <c:strRef>
              <c:f>'18.18'!$X$43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FFA3A3"/>
            </a:solidFill>
          </c:spPr>
          <c:invertIfNegative val="0"/>
          <c:cat>
            <c:strRef>
              <c:f>'18.18'!$V$44:$V$64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'18.18'!$X$44:$X$64</c:f>
              <c:numCache>
                <c:formatCode>General_)</c:formatCode>
                <c:ptCount val="21"/>
                <c:pt idx="0">
                  <c:v>63123</c:v>
                </c:pt>
                <c:pt idx="1">
                  <c:v>20941</c:v>
                </c:pt>
                <c:pt idx="2">
                  <c:v>24690</c:v>
                </c:pt>
                <c:pt idx="3">
                  <c:v>16661</c:v>
                </c:pt>
                <c:pt idx="4">
                  <c:v>14862</c:v>
                </c:pt>
                <c:pt idx="5">
                  <c:v>21734</c:v>
                </c:pt>
                <c:pt idx="6">
                  <c:v>13613</c:v>
                </c:pt>
                <c:pt idx="7">
                  <c:v>12175</c:v>
                </c:pt>
                <c:pt idx="8">
                  <c:v>13045</c:v>
                </c:pt>
                <c:pt idx="9">
                  <c:v>7938</c:v>
                </c:pt>
                <c:pt idx="10">
                  <c:v>10937</c:v>
                </c:pt>
                <c:pt idx="11">
                  <c:v>2323</c:v>
                </c:pt>
                <c:pt idx="12">
                  <c:v>6817</c:v>
                </c:pt>
                <c:pt idx="13">
                  <c:v>6013</c:v>
                </c:pt>
                <c:pt idx="14">
                  <c:v>7396</c:v>
                </c:pt>
                <c:pt idx="15">
                  <c:v>15191</c:v>
                </c:pt>
                <c:pt idx="16">
                  <c:v>17100</c:v>
                </c:pt>
                <c:pt idx="17">
                  <c:v>13916</c:v>
                </c:pt>
                <c:pt idx="18">
                  <c:v>19686</c:v>
                </c:pt>
                <c:pt idx="19">
                  <c:v>11500</c:v>
                </c:pt>
                <c:pt idx="20">
                  <c:v>30066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7-4050-872F-7D3CC4AC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1219856"/>
        <c:axId val="401221032"/>
      </c:barChart>
      <c:catAx>
        <c:axId val="401219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01221032"/>
        <c:crosses val="autoZero"/>
        <c:auto val="1"/>
        <c:lblAlgn val="ctr"/>
        <c:lblOffset val="100"/>
        <c:noMultiLvlLbl val="0"/>
      </c:catAx>
      <c:valAx>
        <c:axId val="401221032"/>
        <c:scaling>
          <c:orientation val="minMax"/>
          <c:max val="70000"/>
        </c:scaling>
        <c:delete val="0"/>
        <c:axPos val="l"/>
        <c:majorGridlines>
          <c:spPr>
            <a:ln>
              <a:solidFill>
                <a:srgbClr val="FFD9D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40121985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8119053422356088"/>
          <c:y val="0.32069193978305049"/>
          <c:w val="0.13110391984470349"/>
          <c:h val="6.756065003954300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942780</xdr:colOff>
      <xdr:row>33</xdr:row>
      <xdr:rowOff>27991</xdr:rowOff>
    </xdr:from>
    <xdr:to>
      <xdr:col>9</xdr:col>
      <xdr:colOff>442710</xdr:colOff>
      <xdr:row>49</xdr:row>
      <xdr:rowOff>113717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IU64"/>
  <sheetViews>
    <sheetView tabSelected="1" zoomScale="98" zoomScaleNormal="98" workbookViewId="0">
      <selection activeCell="I10" sqref="I10"/>
    </sheetView>
  </sheetViews>
  <sheetFormatPr defaultColWidth="9.140625" defaultRowHeight="15" x14ac:dyDescent="0.25"/>
  <cols>
    <col min="1" max="1" width="26.28515625" style="1" customWidth="1"/>
    <col min="2" max="2" width="14.42578125" style="1" customWidth="1"/>
    <col min="3" max="4" width="14.140625" style="1" customWidth="1"/>
    <col min="5" max="5" width="13.42578125" style="1" customWidth="1"/>
    <col min="6" max="6" width="12.7109375" style="1" customWidth="1"/>
    <col min="7" max="7" width="13" style="1" customWidth="1"/>
    <col min="8" max="8" width="19.28515625" style="34" customWidth="1"/>
    <col min="9" max="9" width="18.140625" style="34" customWidth="1"/>
    <col min="10" max="10" width="25.28515625" style="1" customWidth="1"/>
    <col min="11" max="11" width="9.140625" style="1"/>
    <col min="12" max="12" width="32.85546875" style="1" customWidth="1"/>
    <col min="13" max="13" width="35.28515625" style="1" customWidth="1"/>
    <col min="14" max="18" width="9.140625" style="1"/>
    <col min="19" max="23" width="9.140625" style="35"/>
    <col min="24" max="24" width="12.5703125" style="35" customWidth="1"/>
    <col min="25" max="29" width="9.140625" style="35"/>
    <col min="30" max="16384" width="9.140625" style="1"/>
  </cols>
  <sheetData>
    <row r="1" spans="1:29" s="2" customFormat="1" ht="21" x14ac:dyDescent="0.2">
      <c r="A1" s="89" t="s">
        <v>93</v>
      </c>
      <c r="B1" s="89"/>
      <c r="C1" s="89"/>
      <c r="D1" s="89"/>
      <c r="E1" s="89"/>
      <c r="F1" s="89"/>
      <c r="G1" s="89"/>
      <c r="H1" s="89"/>
      <c r="I1" s="89"/>
      <c r="J1" s="89"/>
    </row>
    <row r="2" spans="1:29" s="2" customFormat="1" x14ac:dyDescent="0.2">
      <c r="A2" s="90" t="s">
        <v>92</v>
      </c>
      <c r="B2" s="90"/>
      <c r="C2" s="90"/>
      <c r="D2" s="90"/>
      <c r="E2" s="90"/>
      <c r="F2" s="90"/>
      <c r="G2" s="90"/>
      <c r="H2" s="90"/>
      <c r="I2" s="90"/>
      <c r="J2" s="90"/>
    </row>
    <row r="3" spans="1:29" s="2" customFormat="1" x14ac:dyDescent="0.2">
      <c r="A3" s="66"/>
      <c r="B3" s="66"/>
      <c r="C3" s="66"/>
      <c r="D3" s="66"/>
      <c r="E3" s="66"/>
      <c r="F3" s="66"/>
      <c r="G3" s="66"/>
      <c r="H3" s="66"/>
      <c r="I3" s="66"/>
      <c r="J3" s="66"/>
    </row>
    <row r="4" spans="1:29" s="3" customFormat="1" ht="25.5" customHeight="1" x14ac:dyDescent="0.45">
      <c r="A4" s="91" t="s">
        <v>0</v>
      </c>
      <c r="B4" s="94" t="s">
        <v>1</v>
      </c>
      <c r="C4" s="96" t="s">
        <v>2</v>
      </c>
      <c r="D4" s="97"/>
      <c r="E4" s="100" t="s">
        <v>3</v>
      </c>
      <c r="F4" s="101"/>
      <c r="G4" s="104" t="s">
        <v>4</v>
      </c>
      <c r="H4" s="106" t="s">
        <v>5</v>
      </c>
      <c r="I4" s="106" t="s">
        <v>6</v>
      </c>
      <c r="J4" s="108" t="s">
        <v>7</v>
      </c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</row>
    <row r="5" spans="1:29" s="3" customFormat="1" ht="31.5" customHeight="1" x14ac:dyDescent="0.45">
      <c r="A5" s="92"/>
      <c r="B5" s="95"/>
      <c r="C5" s="98"/>
      <c r="D5" s="99"/>
      <c r="E5" s="102"/>
      <c r="F5" s="103"/>
      <c r="G5" s="105"/>
      <c r="H5" s="107"/>
      <c r="I5" s="107"/>
      <c r="J5" s="10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</row>
    <row r="6" spans="1:29" s="4" customFormat="1" ht="36" x14ac:dyDescent="0.25">
      <c r="A6" s="92"/>
      <c r="B6" s="85" t="s">
        <v>8</v>
      </c>
      <c r="C6" s="111" t="s">
        <v>9</v>
      </c>
      <c r="D6" s="112"/>
      <c r="E6" s="111" t="s">
        <v>71</v>
      </c>
      <c r="F6" s="112"/>
      <c r="G6" s="115" t="s">
        <v>10</v>
      </c>
      <c r="H6" s="113" t="s">
        <v>69</v>
      </c>
      <c r="I6" s="113" t="s">
        <v>70</v>
      </c>
      <c r="J6" s="109"/>
      <c r="L6" s="50"/>
      <c r="M6" s="1"/>
      <c r="N6" s="114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 spans="1:29" s="7" customFormat="1" ht="18" x14ac:dyDescent="0.25">
      <c r="A7" s="92"/>
      <c r="B7" s="86" t="s">
        <v>11</v>
      </c>
      <c r="C7" s="5" t="s">
        <v>12</v>
      </c>
      <c r="D7" s="6" t="s">
        <v>13</v>
      </c>
      <c r="E7" s="5" t="s">
        <v>12</v>
      </c>
      <c r="F7" s="6" t="s">
        <v>14</v>
      </c>
      <c r="G7" s="116"/>
      <c r="H7" s="113"/>
      <c r="I7" s="113"/>
      <c r="J7" s="109"/>
      <c r="L7" s="50"/>
      <c r="M7" s="1"/>
      <c r="N7" s="114"/>
    </row>
    <row r="8" spans="1:29" s="11" customFormat="1" ht="18.75" x14ac:dyDescent="0.25">
      <c r="A8" s="93"/>
      <c r="B8" s="87" t="s">
        <v>15</v>
      </c>
      <c r="C8" s="8" t="s">
        <v>16</v>
      </c>
      <c r="D8" s="9" t="s">
        <v>17</v>
      </c>
      <c r="E8" s="8" t="s">
        <v>18</v>
      </c>
      <c r="F8" s="9" t="s">
        <v>17</v>
      </c>
      <c r="G8" s="117"/>
      <c r="H8" s="10"/>
      <c r="I8" s="10"/>
      <c r="J8" s="110"/>
      <c r="L8" s="50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</row>
    <row r="9" spans="1:29" s="17" customFormat="1" ht="18.75" x14ac:dyDescent="0.25">
      <c r="A9" s="12" t="s">
        <v>19</v>
      </c>
      <c r="B9" s="88">
        <f>SUM(B10:B11)</f>
        <v>349727</v>
      </c>
      <c r="C9" s="14">
        <f>SUM(C10:C11)</f>
        <v>3067</v>
      </c>
      <c r="D9" s="48">
        <f t="shared" ref="D9:I9" si="0">SUM(D10:D11)</f>
        <v>5290</v>
      </c>
      <c r="E9" s="47">
        <f t="shared" si="0"/>
        <v>109</v>
      </c>
      <c r="F9" s="15">
        <f t="shared" si="0"/>
        <v>144</v>
      </c>
      <c r="G9" s="14">
        <f t="shared" si="0"/>
        <v>6590</v>
      </c>
      <c r="H9" s="60">
        <f>SUM(H10:H11)</f>
        <v>9646</v>
      </c>
      <c r="I9" s="82">
        <f t="shared" si="0"/>
        <v>623</v>
      </c>
      <c r="J9" s="16" t="s">
        <v>20</v>
      </c>
      <c r="L9" s="15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s="19" customFormat="1" ht="18.75" x14ac:dyDescent="0.25">
      <c r="A10" s="18" t="s">
        <v>21</v>
      </c>
      <c r="B10" s="51">
        <v>63123</v>
      </c>
      <c r="C10" s="51">
        <v>855</v>
      </c>
      <c r="D10" s="51">
        <v>1322</v>
      </c>
      <c r="E10" s="51">
        <v>17</v>
      </c>
      <c r="F10" s="52">
        <v>18</v>
      </c>
      <c r="G10" s="59">
        <v>1624</v>
      </c>
      <c r="H10" s="60">
        <v>3056</v>
      </c>
      <c r="I10" s="83">
        <v>236</v>
      </c>
      <c r="J10" s="16" t="s">
        <v>22</v>
      </c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</row>
    <row r="11" spans="1:29" s="17" customFormat="1" ht="18.75" x14ac:dyDescent="0.25">
      <c r="A11" s="12" t="s">
        <v>23</v>
      </c>
      <c r="B11" s="49">
        <f>SUM(B12:B31)</f>
        <v>286604</v>
      </c>
      <c r="C11" s="14">
        <f t="shared" ref="C11:I11" si="1">SUM(C12:C31)</f>
        <v>2212</v>
      </c>
      <c r="D11" s="46">
        <f t="shared" si="1"/>
        <v>3968</v>
      </c>
      <c r="E11" s="49">
        <f t="shared" si="1"/>
        <v>92</v>
      </c>
      <c r="F11" s="20">
        <f t="shared" si="1"/>
        <v>126</v>
      </c>
      <c r="G11" s="42">
        <f t="shared" si="1"/>
        <v>4966</v>
      </c>
      <c r="H11" s="60">
        <f t="shared" si="1"/>
        <v>6590</v>
      </c>
      <c r="I11" s="84">
        <f t="shared" si="1"/>
        <v>387</v>
      </c>
      <c r="J11" s="16" t="s">
        <v>24</v>
      </c>
      <c r="M11" s="53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s="17" customFormat="1" ht="15.75" x14ac:dyDescent="0.25">
      <c r="A12" s="61" t="s">
        <v>25</v>
      </c>
      <c r="B12" s="79">
        <v>20941</v>
      </c>
      <c r="C12" s="79">
        <v>111</v>
      </c>
      <c r="D12" s="79">
        <v>194</v>
      </c>
      <c r="E12" s="79">
        <v>2</v>
      </c>
      <c r="F12" s="79">
        <v>2</v>
      </c>
      <c r="G12" s="63">
        <v>474</v>
      </c>
      <c r="H12" s="80">
        <v>481</v>
      </c>
      <c r="I12" s="80">
        <v>34</v>
      </c>
      <c r="J12" s="77" t="s">
        <v>26</v>
      </c>
      <c r="M12" s="53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s="17" customFormat="1" ht="15.75" x14ac:dyDescent="0.25">
      <c r="A13" s="61" t="s">
        <v>27</v>
      </c>
      <c r="B13" s="79">
        <v>24690</v>
      </c>
      <c r="C13" s="79">
        <v>225</v>
      </c>
      <c r="D13" s="79">
        <v>420</v>
      </c>
      <c r="E13" s="79">
        <v>3</v>
      </c>
      <c r="F13" s="79">
        <v>3</v>
      </c>
      <c r="G13" s="63">
        <v>311</v>
      </c>
      <c r="H13" s="80">
        <v>675</v>
      </c>
      <c r="I13" s="80">
        <v>54</v>
      </c>
      <c r="J13" s="77" t="s">
        <v>28</v>
      </c>
      <c r="M13" s="53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s="17" customFormat="1" ht="15.75" x14ac:dyDescent="0.25">
      <c r="A14" s="61" t="s">
        <v>29</v>
      </c>
      <c r="B14" s="79">
        <v>16661</v>
      </c>
      <c r="C14" s="79">
        <v>105</v>
      </c>
      <c r="D14" s="79">
        <v>182</v>
      </c>
      <c r="E14" s="79">
        <v>2</v>
      </c>
      <c r="F14" s="79">
        <v>2</v>
      </c>
      <c r="G14" s="63">
        <v>230</v>
      </c>
      <c r="H14" s="80">
        <v>437</v>
      </c>
      <c r="I14" s="80">
        <v>10</v>
      </c>
      <c r="J14" s="77" t="s">
        <v>30</v>
      </c>
      <c r="M14" s="53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s="17" customFormat="1" ht="15.75" x14ac:dyDescent="0.25">
      <c r="A15" s="61" t="s">
        <v>31</v>
      </c>
      <c r="B15" s="79">
        <v>14862</v>
      </c>
      <c r="C15" s="79">
        <v>129</v>
      </c>
      <c r="D15" s="79">
        <v>228</v>
      </c>
      <c r="E15" s="79">
        <v>5</v>
      </c>
      <c r="F15" s="79">
        <v>7</v>
      </c>
      <c r="G15" s="63">
        <v>241</v>
      </c>
      <c r="H15" s="80">
        <v>258</v>
      </c>
      <c r="I15" s="80">
        <v>7</v>
      </c>
      <c r="J15" s="77" t="s">
        <v>32</v>
      </c>
      <c r="M15" s="53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s="17" customFormat="1" ht="15.75" x14ac:dyDescent="0.25">
      <c r="A16" s="61" t="s">
        <v>33</v>
      </c>
      <c r="B16" s="79">
        <v>21734</v>
      </c>
      <c r="C16" s="79">
        <v>165</v>
      </c>
      <c r="D16" s="79">
        <v>289</v>
      </c>
      <c r="E16" s="79">
        <v>4</v>
      </c>
      <c r="F16" s="79">
        <v>6</v>
      </c>
      <c r="G16" s="63">
        <v>260</v>
      </c>
      <c r="H16" s="80">
        <v>430</v>
      </c>
      <c r="I16" s="80">
        <v>10</v>
      </c>
      <c r="J16" s="77" t="s">
        <v>34</v>
      </c>
      <c r="M16" s="53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55" s="17" customFormat="1" ht="15.75" x14ac:dyDescent="0.25">
      <c r="A17" s="61" t="s">
        <v>35</v>
      </c>
      <c r="B17" s="79">
        <v>13613</v>
      </c>
      <c r="C17" s="79">
        <v>61</v>
      </c>
      <c r="D17" s="79">
        <v>106</v>
      </c>
      <c r="E17" s="79">
        <v>1</v>
      </c>
      <c r="F17" s="79">
        <v>1</v>
      </c>
      <c r="G17" s="63">
        <v>243</v>
      </c>
      <c r="H17" s="80">
        <v>256</v>
      </c>
      <c r="I17" s="80">
        <v>14</v>
      </c>
      <c r="J17" s="77" t="s">
        <v>36</v>
      </c>
      <c r="M17" s="53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55" s="17" customFormat="1" ht="18.75" customHeight="1" x14ac:dyDescent="0.25">
      <c r="A18" s="61" t="s">
        <v>37</v>
      </c>
      <c r="B18" s="79">
        <v>12175</v>
      </c>
      <c r="C18" s="79">
        <v>121</v>
      </c>
      <c r="D18" s="79">
        <v>194</v>
      </c>
      <c r="E18" s="79">
        <v>7</v>
      </c>
      <c r="F18" s="79">
        <v>7</v>
      </c>
      <c r="G18" s="63">
        <v>230</v>
      </c>
      <c r="H18" s="80">
        <v>306</v>
      </c>
      <c r="I18" s="80">
        <v>16</v>
      </c>
      <c r="J18" s="77" t="s">
        <v>38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spans="1:255" s="17" customFormat="1" ht="18.75" customHeight="1" x14ac:dyDescent="0.25">
      <c r="A19" s="61" t="s">
        <v>39</v>
      </c>
      <c r="B19" s="79">
        <v>13045</v>
      </c>
      <c r="C19" s="79">
        <v>106</v>
      </c>
      <c r="D19" s="79">
        <v>198</v>
      </c>
      <c r="E19" s="79">
        <v>2</v>
      </c>
      <c r="F19" s="79">
        <v>2</v>
      </c>
      <c r="G19" s="63">
        <v>230</v>
      </c>
      <c r="H19" s="80">
        <v>303</v>
      </c>
      <c r="I19" s="80">
        <v>0</v>
      </c>
      <c r="J19" s="77" t="s">
        <v>40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55" s="17" customFormat="1" ht="18.75" customHeight="1" x14ac:dyDescent="0.25">
      <c r="A20" s="61" t="s">
        <v>41</v>
      </c>
      <c r="B20" s="79">
        <v>7938</v>
      </c>
      <c r="C20" s="79">
        <v>63</v>
      </c>
      <c r="D20" s="79">
        <v>110</v>
      </c>
      <c r="E20" s="79">
        <v>0</v>
      </c>
      <c r="F20" s="79">
        <v>0</v>
      </c>
      <c r="G20" s="63">
        <v>185</v>
      </c>
      <c r="H20" s="80">
        <v>168</v>
      </c>
      <c r="I20" s="80">
        <v>20</v>
      </c>
      <c r="J20" s="77" t="s">
        <v>42</v>
      </c>
      <c r="S20" s="26"/>
      <c r="T20" s="26"/>
      <c r="U20" s="26"/>
      <c r="V20" s="26"/>
      <c r="W20" s="26"/>
      <c r="X20" s="26"/>
      <c r="Y20" s="35"/>
      <c r="Z20" s="23"/>
      <c r="AA20" s="26"/>
      <c r="AB20" s="26"/>
      <c r="AC20" s="26"/>
    </row>
    <row r="21" spans="1:255" s="17" customFormat="1" ht="15.75" x14ac:dyDescent="0.25">
      <c r="A21" s="61" t="s">
        <v>43</v>
      </c>
      <c r="B21" s="79">
        <v>10937</v>
      </c>
      <c r="C21" s="79">
        <v>43</v>
      </c>
      <c r="D21" s="79">
        <v>91</v>
      </c>
      <c r="E21" s="79">
        <v>2</v>
      </c>
      <c r="F21" s="79">
        <v>2</v>
      </c>
      <c r="G21" s="63">
        <v>214</v>
      </c>
      <c r="H21" s="80">
        <v>273</v>
      </c>
      <c r="I21" s="80">
        <v>0</v>
      </c>
      <c r="J21" s="77" t="s">
        <v>44</v>
      </c>
      <c r="S21" s="26"/>
      <c r="T21" s="26"/>
      <c r="U21" s="26"/>
      <c r="V21" s="26"/>
      <c r="W21" s="26"/>
      <c r="X21" s="26"/>
      <c r="Y21" s="35"/>
      <c r="Z21" s="23"/>
      <c r="AA21" s="26"/>
      <c r="AB21" s="26"/>
      <c r="AC21" s="26"/>
    </row>
    <row r="22" spans="1:255" s="17" customFormat="1" ht="18.75" customHeight="1" x14ac:dyDescent="0.25">
      <c r="A22" s="61" t="s">
        <v>45</v>
      </c>
      <c r="B22" s="79">
        <v>2323</v>
      </c>
      <c r="C22" s="79">
        <v>11</v>
      </c>
      <c r="D22" s="79">
        <v>20</v>
      </c>
      <c r="E22" s="79">
        <v>1</v>
      </c>
      <c r="F22" s="79">
        <v>3</v>
      </c>
      <c r="G22" s="63">
        <v>37</v>
      </c>
      <c r="H22" s="80">
        <v>33</v>
      </c>
      <c r="I22" s="80">
        <v>0</v>
      </c>
      <c r="J22" s="77" t="s">
        <v>46</v>
      </c>
      <c r="S22" s="26"/>
      <c r="T22" s="26"/>
      <c r="U22" s="26"/>
      <c r="V22" s="26"/>
      <c r="W22" s="26"/>
      <c r="X22" s="26"/>
      <c r="Y22" s="24"/>
      <c r="Z22" s="13"/>
      <c r="AA22" s="26"/>
      <c r="AB22" s="26"/>
      <c r="AC22" s="26"/>
    </row>
    <row r="23" spans="1:255" s="17" customFormat="1" ht="13.15" customHeight="1" x14ac:dyDescent="0.25">
      <c r="A23" s="61" t="s">
        <v>47</v>
      </c>
      <c r="B23" s="79">
        <v>6817</v>
      </c>
      <c r="C23" s="79">
        <v>38</v>
      </c>
      <c r="D23" s="79">
        <v>64</v>
      </c>
      <c r="E23" s="79">
        <v>4</v>
      </c>
      <c r="F23" s="79">
        <v>4</v>
      </c>
      <c r="G23" s="63">
        <v>108</v>
      </c>
      <c r="H23" s="80">
        <v>111</v>
      </c>
      <c r="I23" s="80">
        <v>5</v>
      </c>
      <c r="J23" s="77" t="s">
        <v>48</v>
      </c>
      <c r="S23" s="26"/>
      <c r="T23" s="26"/>
      <c r="U23" s="26"/>
      <c r="V23" s="26"/>
      <c r="W23" s="26"/>
      <c r="X23" s="26"/>
      <c r="Y23" s="21"/>
      <c r="Z23" s="25"/>
      <c r="AA23" s="26"/>
      <c r="AB23" s="26"/>
      <c r="AC23" s="26"/>
    </row>
    <row r="24" spans="1:255" s="17" customFormat="1" ht="18.75" customHeight="1" x14ac:dyDescent="0.25">
      <c r="A24" s="61" t="s">
        <v>49</v>
      </c>
      <c r="B24" s="79">
        <v>6013</v>
      </c>
      <c r="C24" s="79">
        <v>30</v>
      </c>
      <c r="D24" s="79">
        <v>46</v>
      </c>
      <c r="E24" s="79">
        <v>3</v>
      </c>
      <c r="F24" s="79">
        <v>6</v>
      </c>
      <c r="G24" s="63">
        <v>113</v>
      </c>
      <c r="H24" s="80">
        <v>126</v>
      </c>
      <c r="I24" s="80">
        <v>7</v>
      </c>
      <c r="J24" s="77" t="s">
        <v>50</v>
      </c>
      <c r="S24" s="26"/>
      <c r="T24" s="26"/>
      <c r="U24" s="26"/>
      <c r="V24" s="26"/>
      <c r="W24" s="26"/>
      <c r="X24" s="26"/>
      <c r="Y24" s="21"/>
      <c r="Z24" s="25"/>
      <c r="AA24" s="26"/>
      <c r="AB24" s="26"/>
      <c r="AC24" s="26"/>
    </row>
    <row r="25" spans="1:255" s="17" customFormat="1" ht="18.75" customHeight="1" x14ac:dyDescent="0.25">
      <c r="A25" s="61" t="s">
        <v>51</v>
      </c>
      <c r="B25" s="79">
        <v>7396</v>
      </c>
      <c r="C25" s="79">
        <v>36</v>
      </c>
      <c r="D25" s="79">
        <v>60</v>
      </c>
      <c r="E25" s="79">
        <v>0</v>
      </c>
      <c r="F25" s="79">
        <v>0</v>
      </c>
      <c r="G25" s="63">
        <v>135</v>
      </c>
      <c r="H25" s="80">
        <v>131</v>
      </c>
      <c r="I25" s="80">
        <v>7</v>
      </c>
      <c r="J25" s="77" t="s">
        <v>52</v>
      </c>
      <c r="S25" s="26"/>
      <c r="T25" s="26"/>
      <c r="U25" s="26"/>
      <c r="V25" s="26"/>
      <c r="W25" s="26"/>
      <c r="X25" s="26"/>
      <c r="Y25" s="21"/>
      <c r="Z25" s="25"/>
      <c r="AA25" s="26"/>
      <c r="AB25" s="26"/>
      <c r="AC25" s="26"/>
    </row>
    <row r="26" spans="1:255" s="17" customFormat="1" ht="18.75" customHeight="1" x14ac:dyDescent="0.25">
      <c r="A26" s="61" t="s">
        <v>53</v>
      </c>
      <c r="B26" s="79">
        <v>15191</v>
      </c>
      <c r="C26" s="79">
        <v>104</v>
      </c>
      <c r="D26" s="79">
        <v>204</v>
      </c>
      <c r="E26" s="79">
        <v>5</v>
      </c>
      <c r="F26" s="79">
        <v>5</v>
      </c>
      <c r="G26" s="63">
        <v>253</v>
      </c>
      <c r="H26" s="80">
        <v>260</v>
      </c>
      <c r="I26" s="80">
        <v>17</v>
      </c>
      <c r="J26" s="77" t="s">
        <v>54</v>
      </c>
      <c r="S26" s="26"/>
      <c r="T26" s="26"/>
      <c r="U26" s="26"/>
      <c r="V26" s="26"/>
      <c r="W26" s="26"/>
      <c r="X26" s="26"/>
      <c r="Y26" s="21"/>
      <c r="Z26" s="25"/>
      <c r="AA26" s="26"/>
      <c r="AB26" s="26"/>
      <c r="AC26" s="26"/>
    </row>
    <row r="27" spans="1:255" s="26" customFormat="1" ht="18.75" customHeight="1" x14ac:dyDescent="0.25">
      <c r="A27" s="61" t="s">
        <v>55</v>
      </c>
      <c r="B27" s="79">
        <v>17100</v>
      </c>
      <c r="C27" s="79">
        <v>191</v>
      </c>
      <c r="D27" s="79">
        <v>326</v>
      </c>
      <c r="E27" s="54">
        <v>9</v>
      </c>
      <c r="F27" s="79">
        <v>13</v>
      </c>
      <c r="G27" s="63">
        <v>282</v>
      </c>
      <c r="H27" s="80">
        <v>386</v>
      </c>
      <c r="I27" s="80">
        <v>8</v>
      </c>
      <c r="J27" s="77" t="s">
        <v>56</v>
      </c>
      <c r="Y27" s="21"/>
      <c r="Z27" s="25"/>
    </row>
    <row r="28" spans="1:255" s="27" customFormat="1" ht="18.75" customHeight="1" x14ac:dyDescent="0.25">
      <c r="A28" s="61" t="s">
        <v>57</v>
      </c>
      <c r="B28" s="79">
        <v>13916</v>
      </c>
      <c r="C28" s="79">
        <v>96</v>
      </c>
      <c r="D28" s="79">
        <v>184</v>
      </c>
      <c r="E28" s="54">
        <v>7</v>
      </c>
      <c r="F28" s="79">
        <v>7</v>
      </c>
      <c r="G28" s="63">
        <v>295</v>
      </c>
      <c r="H28" s="80">
        <v>362</v>
      </c>
      <c r="I28" s="80">
        <v>116</v>
      </c>
      <c r="J28" s="77" t="s">
        <v>58</v>
      </c>
      <c r="L28" s="17"/>
      <c r="M28" s="17"/>
      <c r="N28" s="17"/>
      <c r="O28" s="17"/>
      <c r="P28" s="17"/>
      <c r="Q28" s="17"/>
      <c r="R28" s="17"/>
      <c r="S28" s="26"/>
      <c r="T28" s="26"/>
      <c r="U28" s="26"/>
      <c r="V28" s="26"/>
      <c r="W28" s="26"/>
      <c r="X28" s="26"/>
      <c r="Y28" s="21"/>
      <c r="Z28" s="25"/>
      <c r="AA28" s="26"/>
      <c r="AB28" s="26"/>
      <c r="AC28" s="26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</row>
    <row r="29" spans="1:255" s="28" customFormat="1" ht="18.75" customHeight="1" x14ac:dyDescent="0.25">
      <c r="A29" s="61" t="s">
        <v>59</v>
      </c>
      <c r="B29" s="79">
        <v>19686</v>
      </c>
      <c r="C29" s="79">
        <v>180</v>
      </c>
      <c r="D29" s="79">
        <v>328</v>
      </c>
      <c r="E29" s="54">
        <v>15</v>
      </c>
      <c r="F29" s="79">
        <v>26</v>
      </c>
      <c r="G29" s="63">
        <v>389</v>
      </c>
      <c r="H29" s="80">
        <v>481</v>
      </c>
      <c r="I29" s="80">
        <v>25</v>
      </c>
      <c r="J29" s="77" t="s">
        <v>60</v>
      </c>
      <c r="Y29" s="21"/>
      <c r="Z29" s="25"/>
    </row>
    <row r="30" spans="1:255" s="27" customFormat="1" ht="18.75" customHeight="1" x14ac:dyDescent="0.25">
      <c r="A30" s="61" t="s">
        <v>61</v>
      </c>
      <c r="B30" s="79">
        <v>11500</v>
      </c>
      <c r="C30" s="79">
        <v>148</v>
      </c>
      <c r="D30" s="79">
        <v>278</v>
      </c>
      <c r="E30" s="54">
        <v>12</v>
      </c>
      <c r="F30" s="79">
        <v>16</v>
      </c>
      <c r="G30" s="63">
        <v>188</v>
      </c>
      <c r="H30" s="80">
        <v>364</v>
      </c>
      <c r="I30" s="80">
        <v>29</v>
      </c>
      <c r="J30" s="77" t="s">
        <v>62</v>
      </c>
      <c r="S30" s="28"/>
      <c r="T30" s="28"/>
      <c r="U30" s="28"/>
      <c r="V30" s="28"/>
      <c r="W30" s="28"/>
      <c r="X30" s="28"/>
      <c r="Y30" s="21"/>
      <c r="Z30" s="25"/>
      <c r="AA30" s="28"/>
      <c r="AB30" s="28"/>
      <c r="AC30" s="28"/>
    </row>
    <row r="31" spans="1:255" s="27" customFormat="1" ht="18.75" customHeight="1" x14ac:dyDescent="0.25">
      <c r="A31" s="62" t="s">
        <v>63</v>
      </c>
      <c r="B31" s="56">
        <v>30066</v>
      </c>
      <c r="C31" s="56">
        <v>249</v>
      </c>
      <c r="D31" s="56">
        <v>446</v>
      </c>
      <c r="E31" s="56">
        <v>8</v>
      </c>
      <c r="F31" s="56">
        <v>14</v>
      </c>
      <c r="G31" s="64">
        <v>548</v>
      </c>
      <c r="H31" s="81">
        <v>749</v>
      </c>
      <c r="I31" s="81">
        <v>8</v>
      </c>
      <c r="J31" s="78" t="s">
        <v>64</v>
      </c>
      <c r="S31" s="28"/>
      <c r="T31" s="28"/>
      <c r="U31" s="28"/>
      <c r="V31" s="28"/>
      <c r="W31" s="28"/>
      <c r="X31" s="28"/>
      <c r="Y31" s="21"/>
      <c r="Z31" s="25"/>
      <c r="AA31" s="28"/>
      <c r="AB31" s="28"/>
      <c r="AC31" s="28"/>
    </row>
    <row r="32" spans="1:255" s="30" customFormat="1" ht="17.25" customHeight="1" x14ac:dyDescent="0.2">
      <c r="A32" s="29" t="s">
        <v>65</v>
      </c>
      <c r="H32" s="31"/>
      <c r="I32" s="31"/>
      <c r="S32" s="72"/>
      <c r="T32" s="72"/>
      <c r="U32" s="72"/>
      <c r="V32" s="72"/>
      <c r="W32" s="72"/>
      <c r="X32" s="72"/>
      <c r="Y32" s="21"/>
      <c r="Z32" s="25"/>
      <c r="AA32" s="72"/>
      <c r="AB32" s="72"/>
      <c r="AC32" s="72"/>
    </row>
    <row r="33" spans="1:29" s="30" customFormat="1" ht="17.25" x14ac:dyDescent="0.2">
      <c r="A33" s="32" t="s">
        <v>66</v>
      </c>
      <c r="F33" s="30" t="s">
        <v>67</v>
      </c>
      <c r="H33" s="31"/>
      <c r="I33" s="31"/>
      <c r="J33" s="33" t="s">
        <v>68</v>
      </c>
      <c r="S33" s="72"/>
      <c r="T33" s="72"/>
      <c r="U33" s="72"/>
      <c r="V33" s="72"/>
      <c r="W33" s="72"/>
      <c r="X33" s="72"/>
      <c r="Y33" s="21"/>
      <c r="Z33" s="25"/>
      <c r="AA33" s="72"/>
      <c r="AB33" s="72"/>
      <c r="AC33" s="72"/>
    </row>
    <row r="34" spans="1:29" x14ac:dyDescent="0.25">
      <c r="Y34" s="21"/>
      <c r="Z34" s="25"/>
    </row>
    <row r="35" spans="1:29" x14ac:dyDescent="0.25">
      <c r="A35" s="35"/>
      <c r="B35" s="35"/>
      <c r="C35" s="35"/>
      <c r="D35" s="35"/>
      <c r="E35" s="35"/>
      <c r="F35" s="35"/>
      <c r="G35" s="35"/>
      <c r="H35" s="36"/>
      <c r="I35" s="36"/>
      <c r="J35" s="35"/>
      <c r="Y35" s="21"/>
      <c r="Z35" s="25"/>
    </row>
    <row r="36" spans="1:29" ht="17.25" x14ac:dyDescent="0.25">
      <c r="A36" s="32"/>
      <c r="B36" s="35"/>
      <c r="C36" s="35"/>
      <c r="D36" s="35"/>
      <c r="E36" s="35"/>
      <c r="F36" s="35"/>
      <c r="G36" s="35"/>
      <c r="H36" s="36"/>
      <c r="I36" s="36"/>
      <c r="J36" s="33"/>
      <c r="Y36" s="21"/>
      <c r="Z36" s="25"/>
    </row>
    <row r="37" spans="1:29" s="37" customFormat="1" ht="21" x14ac:dyDescent="0.2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29" s="37" customFormat="1" x14ac:dyDescent="0.2">
      <c r="A38" s="90"/>
      <c r="B38" s="90"/>
      <c r="C38" s="90"/>
      <c r="D38" s="90"/>
      <c r="E38" s="90"/>
      <c r="F38" s="90"/>
      <c r="G38" s="90"/>
      <c r="H38" s="90"/>
      <c r="I38" s="90"/>
      <c r="J38" s="90"/>
    </row>
    <row r="39" spans="1:29" s="2" customFormat="1" x14ac:dyDescent="0.2">
      <c r="A39" s="66"/>
      <c r="B39" s="66"/>
      <c r="C39" s="66"/>
      <c r="D39" s="66"/>
      <c r="E39" s="66"/>
      <c r="F39" s="66"/>
      <c r="G39" s="66"/>
      <c r="H39" s="66"/>
      <c r="I39" s="66"/>
      <c r="J39" s="66"/>
      <c r="V39" s="37"/>
      <c r="W39" s="37"/>
      <c r="X39" s="37"/>
      <c r="Y39" s="37"/>
      <c r="Z39" s="37"/>
      <c r="AA39" s="37"/>
      <c r="AB39" s="37"/>
    </row>
    <row r="40" spans="1:29" s="3" customFormat="1" ht="18" x14ac:dyDescent="0.45">
      <c r="A40" s="92"/>
      <c r="B40" s="119"/>
      <c r="C40" s="119"/>
      <c r="D40" s="119"/>
      <c r="E40" s="120"/>
      <c r="F40" s="120"/>
      <c r="G40" s="121"/>
      <c r="H40" s="122"/>
      <c r="I40" s="67"/>
      <c r="J40" s="123"/>
      <c r="S40" s="69"/>
      <c r="T40" s="69"/>
      <c r="U40" s="69"/>
      <c r="V40" s="35"/>
      <c r="W40" s="57"/>
      <c r="X40" s="26"/>
      <c r="Y40" s="57"/>
      <c r="Z40" s="26"/>
      <c r="AA40" s="57"/>
      <c r="AB40" s="26"/>
      <c r="AC40" s="69"/>
    </row>
    <row r="41" spans="1:29" s="3" customFormat="1" ht="18" x14ac:dyDescent="0.45">
      <c r="A41" s="92"/>
      <c r="B41" s="119"/>
      <c r="C41" s="119"/>
      <c r="D41" s="119"/>
      <c r="E41" s="120"/>
      <c r="F41" s="120"/>
      <c r="G41" s="121"/>
      <c r="H41" s="122"/>
      <c r="I41" s="67"/>
      <c r="J41" s="123"/>
      <c r="S41" s="69"/>
      <c r="T41" s="69"/>
      <c r="U41" s="69"/>
      <c r="V41" s="24"/>
      <c r="W41" s="58"/>
      <c r="X41" s="26"/>
      <c r="Y41" s="26"/>
      <c r="Z41" s="26"/>
      <c r="AA41" s="69"/>
      <c r="AB41" s="73"/>
      <c r="AC41" s="69"/>
    </row>
    <row r="42" spans="1:29" s="4" customFormat="1" x14ac:dyDescent="0.25">
      <c r="A42" s="92"/>
      <c r="B42" s="65"/>
      <c r="C42" s="114"/>
      <c r="D42" s="114"/>
      <c r="E42" s="114"/>
      <c r="F42" s="114"/>
      <c r="G42" s="118"/>
      <c r="H42" s="114"/>
      <c r="I42" s="65"/>
      <c r="J42" s="123"/>
      <c r="S42" s="70"/>
      <c r="T42" s="70"/>
      <c r="U42" s="70"/>
      <c r="V42" s="21"/>
      <c r="W42" s="55"/>
      <c r="X42" s="13"/>
      <c r="Y42" s="26"/>
      <c r="Z42" s="26"/>
      <c r="AA42" s="70"/>
      <c r="AB42" s="74"/>
      <c r="AC42" s="70"/>
    </row>
    <row r="43" spans="1:29" s="7" customFormat="1" x14ac:dyDescent="0.25">
      <c r="A43" s="92"/>
      <c r="B43" s="68"/>
      <c r="C43" s="68"/>
      <c r="D43" s="68"/>
      <c r="E43" s="68"/>
      <c r="F43" s="68"/>
      <c r="G43" s="118"/>
      <c r="H43" s="114"/>
      <c r="I43" s="65"/>
      <c r="J43" s="123"/>
      <c r="W43" s="7">
        <v>2020</v>
      </c>
      <c r="X43" s="7">
        <v>2021</v>
      </c>
      <c r="Z43" s="26"/>
      <c r="AB43" s="74"/>
    </row>
    <row r="44" spans="1:29" s="11" customFormat="1" ht="18.75" x14ac:dyDescent="0.25">
      <c r="A44" s="92"/>
      <c r="B44" s="38"/>
      <c r="C44" s="38"/>
      <c r="D44" s="38"/>
      <c r="E44" s="38"/>
      <c r="F44" s="38"/>
      <c r="G44" s="39"/>
      <c r="H44" s="40"/>
      <c r="I44" s="40"/>
      <c r="J44" s="123"/>
      <c r="S44" s="71"/>
      <c r="T44" s="71"/>
      <c r="U44" s="71"/>
      <c r="V44" s="24" t="s">
        <v>21</v>
      </c>
      <c r="W44" s="75">
        <v>57699</v>
      </c>
      <c r="X44" s="26">
        <f>B10</f>
        <v>63123</v>
      </c>
      <c r="Z44" s="26"/>
      <c r="AA44" s="71"/>
      <c r="AB44" s="74"/>
      <c r="AC44" s="71"/>
    </row>
    <row r="45" spans="1:29" s="17" customFormat="1" ht="18.75" x14ac:dyDescent="0.25">
      <c r="A45" s="12"/>
      <c r="B45" s="13"/>
      <c r="C45" s="15"/>
      <c r="D45" s="15"/>
      <c r="E45" s="15"/>
      <c r="F45" s="15"/>
      <c r="G45" s="15"/>
      <c r="H45" s="41"/>
      <c r="I45" s="41"/>
      <c r="J45" s="16"/>
      <c r="S45" s="26"/>
      <c r="T45" s="26"/>
      <c r="U45" s="26"/>
      <c r="V45" s="21" t="s">
        <v>72</v>
      </c>
      <c r="W45" s="74">
        <v>19991</v>
      </c>
      <c r="X45" s="26">
        <f>B12</f>
        <v>20941</v>
      </c>
      <c r="Z45" s="26"/>
      <c r="AA45" s="26"/>
      <c r="AB45" s="74"/>
      <c r="AC45" s="26"/>
    </row>
    <row r="46" spans="1:29" s="19" customFormat="1" ht="18.75" x14ac:dyDescent="0.25">
      <c r="A46" s="18"/>
      <c r="B46" s="13"/>
      <c r="C46" s="42"/>
      <c r="D46" s="42"/>
      <c r="E46" s="42"/>
      <c r="F46" s="42"/>
      <c r="G46" s="42"/>
      <c r="H46" s="41"/>
      <c r="I46" s="41"/>
      <c r="J46" s="16"/>
      <c r="S46" s="39"/>
      <c r="T46" s="39"/>
      <c r="U46" s="39"/>
      <c r="V46" s="21" t="s">
        <v>73</v>
      </c>
      <c r="W46" s="74">
        <v>23979</v>
      </c>
      <c r="X46" s="26">
        <f t="shared" ref="X46:X64" si="2">B13</f>
        <v>24690</v>
      </c>
      <c r="Z46" s="26"/>
      <c r="AA46" s="39"/>
      <c r="AB46" s="74"/>
      <c r="AC46" s="39"/>
    </row>
    <row r="47" spans="1:29" s="17" customFormat="1" ht="18.75" x14ac:dyDescent="0.25">
      <c r="A47" s="12"/>
      <c r="B47" s="15"/>
      <c r="C47" s="15"/>
      <c r="D47" s="15"/>
      <c r="E47" s="15"/>
      <c r="F47" s="15"/>
      <c r="G47" s="42"/>
      <c r="H47" s="41"/>
      <c r="I47" s="41"/>
      <c r="J47" s="16"/>
      <c r="S47" s="26"/>
      <c r="T47" s="26"/>
      <c r="U47" s="26"/>
      <c r="V47" s="21" t="s">
        <v>74</v>
      </c>
      <c r="W47" s="74">
        <v>15683</v>
      </c>
      <c r="X47" s="26">
        <f t="shared" si="2"/>
        <v>16661</v>
      </c>
      <c r="Z47" s="26"/>
      <c r="AA47" s="26"/>
      <c r="AB47" s="74"/>
      <c r="AC47" s="26"/>
    </row>
    <row r="48" spans="1:29" s="17" customFormat="1" ht="15.75" x14ac:dyDescent="0.25">
      <c r="A48" s="21"/>
      <c r="B48" s="25"/>
      <c r="C48" s="43"/>
      <c r="D48" s="43"/>
      <c r="E48" s="43"/>
      <c r="F48" s="43"/>
      <c r="G48" s="44"/>
      <c r="H48" s="45"/>
      <c r="I48" s="45"/>
      <c r="J48" s="22"/>
      <c r="S48" s="26"/>
      <c r="T48" s="26"/>
      <c r="U48" s="26"/>
      <c r="V48" s="21" t="s">
        <v>75</v>
      </c>
      <c r="W48" s="74">
        <v>14205</v>
      </c>
      <c r="X48" s="26">
        <f t="shared" si="2"/>
        <v>14862</v>
      </c>
      <c r="Z48" s="26"/>
      <c r="AA48" s="26"/>
      <c r="AB48" s="74"/>
      <c r="AC48" s="26"/>
    </row>
    <row r="49" spans="1:29" s="17" customFormat="1" ht="15.75" x14ac:dyDescent="0.25">
      <c r="A49" s="21"/>
      <c r="B49" s="25"/>
      <c r="C49" s="44"/>
      <c r="D49" s="44"/>
      <c r="E49" s="44"/>
      <c r="F49" s="44"/>
      <c r="G49" s="44"/>
      <c r="H49" s="45"/>
      <c r="I49" s="45"/>
      <c r="J49" s="22"/>
      <c r="S49" s="26"/>
      <c r="T49" s="26"/>
      <c r="U49" s="26"/>
      <c r="V49" s="21" t="s">
        <v>76</v>
      </c>
      <c r="W49" s="74">
        <v>20706</v>
      </c>
      <c r="X49" s="26">
        <f t="shared" si="2"/>
        <v>21734</v>
      </c>
      <c r="Z49" s="26"/>
      <c r="AA49" s="26"/>
      <c r="AB49" s="74"/>
      <c r="AC49" s="26"/>
    </row>
    <row r="50" spans="1:29" s="17" customFormat="1" ht="15.75" x14ac:dyDescent="0.25">
      <c r="A50" s="21"/>
      <c r="B50" s="25"/>
      <c r="C50" s="44"/>
      <c r="D50" s="44"/>
      <c r="E50" s="44"/>
      <c r="F50" s="44"/>
      <c r="G50" s="44"/>
      <c r="H50" s="45"/>
      <c r="I50" s="45"/>
      <c r="J50" s="22"/>
      <c r="S50" s="26"/>
      <c r="T50" s="26"/>
      <c r="U50" s="26"/>
      <c r="V50" s="21" t="s">
        <v>77</v>
      </c>
      <c r="W50" s="74">
        <v>12974</v>
      </c>
      <c r="X50" s="26">
        <f t="shared" si="2"/>
        <v>13613</v>
      </c>
      <c r="Z50" s="26"/>
      <c r="AA50" s="26"/>
      <c r="AB50" s="74"/>
      <c r="AC50" s="26"/>
    </row>
    <row r="51" spans="1:29" s="17" customFormat="1" ht="15.75" x14ac:dyDescent="0.25">
      <c r="A51" s="21"/>
      <c r="B51" s="25"/>
      <c r="C51" s="44"/>
      <c r="D51" s="44"/>
      <c r="E51" s="44"/>
      <c r="F51" s="44"/>
      <c r="G51" s="44"/>
      <c r="H51" s="45"/>
      <c r="I51" s="45"/>
      <c r="J51" s="22"/>
      <c r="S51" s="26"/>
      <c r="T51" s="26"/>
      <c r="U51" s="26"/>
      <c r="V51" s="21" t="s">
        <v>78</v>
      </c>
      <c r="W51" s="74">
        <v>11539</v>
      </c>
      <c r="X51" s="26">
        <f t="shared" si="2"/>
        <v>12175</v>
      </c>
      <c r="Z51" s="26"/>
      <c r="AA51" s="26"/>
      <c r="AB51" s="74"/>
      <c r="AC51" s="26"/>
    </row>
    <row r="52" spans="1:29" s="17" customFormat="1" ht="15.75" x14ac:dyDescent="0.25">
      <c r="A52" s="21"/>
      <c r="B52" s="25"/>
      <c r="C52" s="44"/>
      <c r="D52" s="44"/>
      <c r="E52" s="44"/>
      <c r="F52" s="44"/>
      <c r="G52" s="44"/>
      <c r="H52" s="45"/>
      <c r="I52" s="45"/>
      <c r="J52" s="22"/>
      <c r="S52" s="26"/>
      <c r="T52" s="26"/>
      <c r="U52" s="26"/>
      <c r="V52" s="21" t="s">
        <v>79</v>
      </c>
      <c r="W52" s="74">
        <v>12103</v>
      </c>
      <c r="X52" s="26">
        <f t="shared" si="2"/>
        <v>13045</v>
      </c>
      <c r="Z52" s="26"/>
      <c r="AA52" s="26"/>
      <c r="AB52" s="74"/>
      <c r="AC52" s="26"/>
    </row>
    <row r="53" spans="1:29" s="17" customFormat="1" ht="15.75" x14ac:dyDescent="0.25">
      <c r="A53" s="21"/>
      <c r="B53" s="25"/>
      <c r="C53" s="44"/>
      <c r="D53" s="44"/>
      <c r="E53" s="44"/>
      <c r="F53" s="44"/>
      <c r="G53" s="44"/>
      <c r="H53" s="45"/>
      <c r="I53" s="45"/>
      <c r="J53" s="22"/>
      <c r="S53" s="26"/>
      <c r="T53" s="26"/>
      <c r="U53" s="26"/>
      <c r="V53" s="21" t="s">
        <v>80</v>
      </c>
      <c r="W53" s="74">
        <v>7502</v>
      </c>
      <c r="X53" s="26">
        <f t="shared" si="2"/>
        <v>7938</v>
      </c>
      <c r="Z53" s="26"/>
      <c r="AA53" s="26"/>
      <c r="AB53" s="74"/>
      <c r="AC53" s="26"/>
    </row>
    <row r="54" spans="1:29" s="17" customFormat="1" ht="15.75" x14ac:dyDescent="0.25">
      <c r="A54" s="21"/>
      <c r="B54" s="25"/>
      <c r="C54" s="44"/>
      <c r="D54" s="44"/>
      <c r="E54" s="44"/>
      <c r="F54" s="44"/>
      <c r="G54" s="44"/>
      <c r="H54" s="45"/>
      <c r="I54" s="45"/>
      <c r="J54" s="22"/>
      <c r="S54" s="26"/>
      <c r="T54" s="26"/>
      <c r="U54" s="26"/>
      <c r="V54" s="21" t="s">
        <v>81</v>
      </c>
      <c r="W54" s="74">
        <v>10468</v>
      </c>
      <c r="X54" s="26">
        <f t="shared" si="2"/>
        <v>10937</v>
      </c>
      <c r="Z54" s="26"/>
      <c r="AA54" s="26"/>
      <c r="AB54" s="74"/>
      <c r="AC54" s="26"/>
    </row>
    <row r="55" spans="1:29" x14ac:dyDescent="0.25">
      <c r="V55" s="21" t="s">
        <v>82</v>
      </c>
      <c r="W55" s="74">
        <v>2157</v>
      </c>
      <c r="X55" s="26">
        <f t="shared" si="2"/>
        <v>2323</v>
      </c>
      <c r="Z55" s="26"/>
      <c r="AB55" s="74"/>
    </row>
    <row r="56" spans="1:29" x14ac:dyDescent="0.25">
      <c r="V56" s="21" t="s">
        <v>83</v>
      </c>
      <c r="W56" s="74">
        <v>6554</v>
      </c>
      <c r="X56" s="26">
        <f t="shared" si="2"/>
        <v>6817</v>
      </c>
      <c r="Z56" s="26"/>
      <c r="AB56" s="74"/>
    </row>
    <row r="57" spans="1:29" x14ac:dyDescent="0.25">
      <c r="V57" s="21" t="s">
        <v>84</v>
      </c>
      <c r="W57" s="74">
        <v>5729</v>
      </c>
      <c r="X57" s="26">
        <f t="shared" si="2"/>
        <v>6013</v>
      </c>
      <c r="Z57" s="26"/>
      <c r="AB57" s="74"/>
    </row>
    <row r="58" spans="1:29" x14ac:dyDescent="0.25">
      <c r="V58" s="21" t="s">
        <v>85</v>
      </c>
      <c r="W58" s="74">
        <v>6980</v>
      </c>
      <c r="X58" s="26">
        <f t="shared" si="2"/>
        <v>7396</v>
      </c>
      <c r="Z58" s="26"/>
      <c r="AB58" s="74"/>
    </row>
    <row r="59" spans="1:29" x14ac:dyDescent="0.25">
      <c r="V59" s="21" t="s">
        <v>86</v>
      </c>
      <c r="W59" s="74">
        <v>14382</v>
      </c>
      <c r="X59" s="26">
        <f t="shared" si="2"/>
        <v>15191</v>
      </c>
      <c r="AB59" s="74"/>
    </row>
    <row r="60" spans="1:29" x14ac:dyDescent="0.25">
      <c r="V60" s="21" t="s">
        <v>87</v>
      </c>
      <c r="W60" s="74">
        <v>16220</v>
      </c>
      <c r="X60" s="26">
        <f t="shared" si="2"/>
        <v>17100</v>
      </c>
      <c r="AB60" s="74"/>
    </row>
    <row r="61" spans="1:29" x14ac:dyDescent="0.25">
      <c r="V61" s="21" t="s">
        <v>88</v>
      </c>
      <c r="W61" s="74">
        <v>13222</v>
      </c>
      <c r="X61" s="26">
        <f t="shared" si="2"/>
        <v>13916</v>
      </c>
      <c r="AB61" s="74"/>
    </row>
    <row r="62" spans="1:29" x14ac:dyDescent="0.25">
      <c r="V62" s="76" t="s">
        <v>89</v>
      </c>
      <c r="W62" s="74">
        <v>18540</v>
      </c>
      <c r="X62" s="26">
        <f t="shared" si="2"/>
        <v>19686</v>
      </c>
    </row>
    <row r="63" spans="1:29" x14ac:dyDescent="0.25">
      <c r="V63" s="76" t="s">
        <v>90</v>
      </c>
      <c r="W63" s="74">
        <v>10771</v>
      </c>
      <c r="X63" s="26">
        <f t="shared" si="2"/>
        <v>11500</v>
      </c>
    </row>
    <row r="64" spans="1:29" x14ac:dyDescent="0.25">
      <c r="V64" s="76" t="s">
        <v>91</v>
      </c>
      <c r="W64" s="74">
        <v>28974</v>
      </c>
      <c r="X64" s="26">
        <f t="shared" si="2"/>
        <v>30066</v>
      </c>
    </row>
  </sheetData>
  <mergeCells count="29">
    <mergeCell ref="N6:N7"/>
    <mergeCell ref="G6:G8"/>
    <mergeCell ref="E42:F42"/>
    <mergeCell ref="G42:G43"/>
    <mergeCell ref="H42:H43"/>
    <mergeCell ref="A37:J37"/>
    <mergeCell ref="A38:J38"/>
    <mergeCell ref="A40:A44"/>
    <mergeCell ref="B40:B41"/>
    <mergeCell ref="C40:D41"/>
    <mergeCell ref="E40:F41"/>
    <mergeCell ref="G40:G41"/>
    <mergeCell ref="H40:H41"/>
    <mergeCell ref="J40:J44"/>
    <mergeCell ref="C42:D42"/>
    <mergeCell ref="A1:J1"/>
    <mergeCell ref="A2:J2"/>
    <mergeCell ref="A4:A8"/>
    <mergeCell ref="B4:B5"/>
    <mergeCell ref="C4:D5"/>
    <mergeCell ref="E4:F5"/>
    <mergeCell ref="G4:G5"/>
    <mergeCell ref="H4:H5"/>
    <mergeCell ref="I4:I5"/>
    <mergeCell ref="J4:J8"/>
    <mergeCell ref="C6:D6"/>
    <mergeCell ref="E6:F6"/>
    <mergeCell ref="H6:H7"/>
    <mergeCell ref="I6:I7"/>
  </mergeCells>
  <pageMargins left="0.7" right="0.7" top="0.75" bottom="0.75" header="0.3" footer="0.3"/>
  <pageSetup paperSize="9" scale="48" orientation="portrait" horizontalDpi="4294967295" verticalDpi="4294967295" r:id="rId1"/>
  <colBreaks count="1" manualBreakCount="1">
    <brk id="11" max="1048575" man="1"/>
  </colBreaks>
  <ignoredErrors>
    <ignoredError sqref="C11:G11 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2023-03-16T03:43:19Z</cp:lastPrinted>
  <dcterms:created xsi:type="dcterms:W3CDTF">2019-02-21T04:10:17Z</dcterms:created>
  <dcterms:modified xsi:type="dcterms:W3CDTF">2023-03-16T03:43:31Z</dcterms:modified>
</cp:coreProperties>
</file>