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ension and Social Protection\"/>
    </mc:Choice>
  </mc:AlternateContent>
  <xr:revisionPtr revIDLastSave="0" documentId="13_ncr:1_{ED927FD2-BBCB-4D21-A32E-9ADA4A2BEB33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18.24" sheetId="23" r:id="rId1"/>
  </sheets>
  <externalReferences>
    <externalReference r:id="rId2"/>
  </externalReferences>
  <definedNames>
    <definedName name="_xlnm.Print_Area" localSheetId="0">'18.24'!$A$1:$M$51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3" l="1"/>
  <c r="K8" i="23"/>
  <c r="V38" i="23" l="1"/>
  <c r="V39" i="23"/>
  <c r="V40" i="23"/>
  <c r="V41" i="23"/>
  <c r="V42" i="23"/>
  <c r="V43" i="23"/>
  <c r="V44" i="23"/>
  <c r="V45" i="23"/>
  <c r="V46" i="23"/>
  <c r="V47" i="23"/>
  <c r="V48" i="23"/>
  <c r="V49" i="23"/>
  <c r="V50" i="23"/>
  <c r="V51" i="23"/>
  <c r="V52" i="23"/>
  <c r="V53" i="23"/>
  <c r="V54" i="23"/>
  <c r="V55" i="23"/>
  <c r="V56" i="23"/>
  <c r="V57" i="23"/>
  <c r="U38" i="23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U54" i="23"/>
  <c r="U55" i="23"/>
  <c r="U56" i="23"/>
  <c r="U57" i="23"/>
  <c r="J8" i="23"/>
  <c r="J6" i="23" s="1"/>
  <c r="I8" i="23"/>
  <c r="I6" i="23" s="1"/>
  <c r="T38" i="23" l="1"/>
  <c r="S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T54" i="23"/>
  <c r="T55" i="23"/>
  <c r="T56" i="23"/>
  <c r="T57" i="23"/>
  <c r="S57" i="23" l="1"/>
  <c r="R57" i="23"/>
  <c r="S56" i="23"/>
  <c r="R56" i="23"/>
  <c r="S55" i="23"/>
  <c r="R55" i="23"/>
  <c r="S54" i="23"/>
  <c r="R54" i="23"/>
  <c r="S53" i="23"/>
  <c r="R53" i="23"/>
  <c r="S52" i="23"/>
  <c r="R52" i="23"/>
  <c r="S51" i="23"/>
  <c r="R51" i="23"/>
  <c r="S50" i="23"/>
  <c r="R50" i="23"/>
  <c r="S49" i="23"/>
  <c r="R49" i="23"/>
  <c r="S48" i="23"/>
  <c r="R48" i="23"/>
  <c r="S47" i="23"/>
  <c r="R47" i="23"/>
  <c r="S46" i="23"/>
  <c r="R46" i="23"/>
  <c r="S45" i="23"/>
  <c r="R45" i="23"/>
  <c r="S44" i="23"/>
  <c r="R44" i="23"/>
  <c r="S43" i="23"/>
  <c r="R43" i="23"/>
  <c r="S42" i="23"/>
  <c r="R42" i="23"/>
  <c r="S41" i="23"/>
  <c r="R41" i="23"/>
  <c r="S40" i="23"/>
  <c r="R40" i="23"/>
  <c r="S39" i="23"/>
  <c r="R39" i="23"/>
  <c r="R38" i="23"/>
  <c r="H8" i="23"/>
  <c r="H6" i="23" s="1"/>
  <c r="G8" i="23"/>
  <c r="G6" i="23" s="1"/>
  <c r="F8" i="23"/>
  <c r="F6" i="23" s="1"/>
  <c r="E8" i="23"/>
  <c r="E6" i="23" s="1"/>
  <c r="D8" i="23"/>
  <c r="D6" i="23" s="1"/>
  <c r="C8" i="23"/>
  <c r="C6" i="23" s="1"/>
  <c r="B8" i="23"/>
  <c r="B6" i="23" s="1"/>
</calcChain>
</file>

<file path=xl/sharedStrings.xml><?xml version="1.0" encoding="utf-8"?>
<sst xmlns="http://schemas.openxmlformats.org/spreadsheetml/2006/main" count="77" uniqueCount="77">
  <si>
    <t>ތަން</t>
  </si>
  <si>
    <t>Locality</t>
  </si>
  <si>
    <t>Republic</t>
  </si>
  <si>
    <t>މުޅި ރާއްޖެ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</si>
  <si>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</si>
  <si>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</si>
  <si>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</si>
  <si>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</si>
  <si>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</si>
  <si>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</si>
  <si>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</si>
  <si>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</si>
  <si>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</si>
  <si>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</si>
  <si>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</si>
  <si>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</si>
  <si>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</si>
  <si>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</si>
  <si>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</si>
  <si>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</si>
  <si>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</si>
  <si>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</si>
  <si>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</si>
  <si>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</si>
  <si>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</si>
  <si>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</si>
  <si>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</si>
  <si>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</si>
  <si>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</si>
  <si>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</si>
  <si>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</si>
  <si>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</si>
  <si>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</si>
  <si>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</si>
  <si>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</si>
  <si>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</si>
  <si>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</si>
  <si>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</si>
  <si>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</si>
  <si>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</si>
  <si>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</si>
  <si>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</si>
  <si>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</si>
  <si>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</si>
  <si>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</si>
  <si>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</si>
  <si>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</si>
  <si>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</si>
  <si>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</si>
  <si>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</si>
  <si>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</si>
  <si>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</si>
  <si>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</si>
  <si>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</si>
  <si>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</si>
  <si>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</si>
  <si>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</si>
  <si>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</si>
  <si>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</si>
  <si>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</si>
  <si>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</si>
  <si>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</si>
  <si>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</si>
  <si>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</si>
  <si>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</si>
  <si>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</si>
  <si>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</si>
  <si>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Note: These expenditures are based on the blocked amount 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</si>
  <si>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</si>
  <si>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</si>
  <si>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 xml:space="preserve">މަޢުލޫމާތު ދެއްވީ:  އާސަންދަ ޕްރައިވެޓް ލިމިޓެޑް </t>
  </si>
  <si>
    <t xml:space="preserve">އާސަންދަ  Aasandha   </t>
  </si>
  <si>
    <t>Male'</t>
  </si>
  <si>
    <t>Overseas expenditure</t>
  </si>
  <si>
    <t xml:space="preserve">ރާއްޖެއިން ބޭރު ހޮސްޕިޓަލް </t>
  </si>
  <si>
    <t>Table 18.24 :  EXPENDITURE UNDER HEALTH INSURANCE SCHEMES BY ATOLLS,  2014  - 2021</t>
  </si>
  <si>
    <t xml:space="preserve">ތާވަލް 18.24: އާސަންދައިގެ ދަށުން އަތޮޅުތަކުން ހިނގި ޚަރަދު، 2014 - 2021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</si>
</sst>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7" formatCode="General_)"/>
    <numFmt numFmtId="169" formatCode="_-* #,##0_-;\-* #,##0_-;_-* &quot;-&quot;??_-;_-@_-"/>
    <numFmt numFmtId="170" formatCode="0_);\(0\)"/>
  </numFmts>
  <fonts count="3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sz val="9"/>
      <name val="Courier"/>
      <family val="3"/>
    </font>
    <font>
      <b/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b/>
      <sz val="10.5"/>
      <color rgb="FFFF0000"/>
      <name val="Calibri"/>
      <family val="2"/>
      <charset val="1"/>
      <scheme val="minor"/>
    </font>
    <font>
      <sz val="11"/>
      <color theme="1"/>
      <name val="Faruma"/>
    </font>
    <font>
      <b/>
      <sz val="10.5"/>
      <name val="Calibri"/>
      <family val="2"/>
      <scheme val="minor"/>
    </font>
    <font>
      <b/>
      <sz val="10.5"/>
      <color theme="1" tint="0.14999847407452621"/>
      <name val="Faruma"/>
    </font>
    <font>
      <b/>
      <sz val="10.5"/>
      <color theme="1"/>
      <name val="Calibri"/>
      <family val="2"/>
      <charset val="1"/>
      <scheme val="minor"/>
    </font>
    <font>
      <sz val="10.5"/>
      <color theme="1" tint="0.14999847407452621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sz val="10.5"/>
      <color theme="1" tint="0.14999847407452621"/>
      <name val="A_Randhoo"/>
    </font>
    <font>
      <sz val="10.5"/>
      <color theme="1"/>
      <name val="Calibri"/>
      <family val="2"/>
      <charset val="1"/>
      <scheme val="minor"/>
    </font>
    <font>
      <sz val="10.5"/>
      <color theme="1" tint="0.14999847407452621"/>
      <name val="Faruma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2">
    <xf numFmtId="0" fontId="0" fillId="0" borderId="0"/>
    <xf numFmtId="0" fontId="3" fillId="0" borderId="1"/>
    <xf numFmtId="164" fontId="11" fillId="0" borderId="1"/>
    <xf numFmtId="0" fontId="1" fillId="0" borderId="1"/>
    <xf numFmtId="0" fontId="11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  <xf numFmtId="0" fontId="2" fillId="0" borderId="1"/>
    <xf numFmtId="0" fontId="29" fillId="0" borderId="1"/>
    <xf numFmtId="0" fontId="30" fillId="0" borderId="1" applyFill="0" applyProtection="0"/>
    <xf numFmtId="0" fontId="31" fillId="0" borderId="1"/>
    <xf numFmtId="0" fontId="31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48">
    <xf numFmtId="0" fontId="0" fillId="0" borderId="0" xfId="0"/>
    <xf numFmtId="3" fontId="5" fillId="2" borderId="1" xfId="1" applyNumberFormat="1" applyFont="1" applyFill="1"/>
    <xf numFmtId="167" fontId="12" fillId="2" borderId="1" xfId="0" applyNumberFormat="1" applyFont="1" applyFill="1" applyBorder="1"/>
    <xf numFmtId="167" fontId="0" fillId="2" borderId="0" xfId="0" applyNumberFormat="1" applyFill="1"/>
    <xf numFmtId="3" fontId="14" fillId="2" borderId="1" xfId="1" applyNumberFormat="1" applyFont="1" applyFill="1"/>
    <xf numFmtId="3" fontId="6" fillId="2" borderId="1" xfId="1" applyNumberFormat="1" applyFont="1" applyFill="1"/>
    <xf numFmtId="3" fontId="14" fillId="2" borderId="2" xfId="1" applyNumberFormat="1" applyFont="1" applyFill="1" applyBorder="1"/>
    <xf numFmtId="167" fontId="16" fillId="2" borderId="1" xfId="2" applyNumberFormat="1" applyFont="1" applyFill="1" applyAlignment="1">
      <alignment horizontal="left" vertical="center"/>
    </xf>
    <xf numFmtId="167" fontId="17" fillId="2" borderId="1" xfId="4" applyNumberFormat="1" applyFont="1" applyFill="1" applyAlignment="1">
      <alignment horizontal="right" vertical="center"/>
    </xf>
    <xf numFmtId="167" fontId="18" fillId="2" borderId="0" xfId="0" applyNumberFormat="1" applyFont="1" applyFill="1"/>
    <xf numFmtId="3" fontId="15" fillId="2" borderId="1" xfId="1" applyNumberFormat="1" applyFont="1" applyFill="1" applyAlignment="1">
      <alignment vertical="center"/>
    </xf>
    <xf numFmtId="167" fontId="10" fillId="2" borderId="1" xfId="4" applyNumberFormat="1" applyFont="1" applyFill="1" applyAlignment="1">
      <alignment horizontal="right" vertical="center"/>
    </xf>
    <xf numFmtId="0" fontId="19" fillId="2" borderId="0" xfId="0" applyFont="1" applyFill="1"/>
    <xf numFmtId="167" fontId="12" fillId="2" borderId="0" xfId="0" applyNumberFormat="1" applyFont="1" applyFill="1"/>
    <xf numFmtId="167" fontId="20" fillId="2" borderId="1" xfId="2" applyNumberFormat="1" applyFont="1" applyFill="1" applyAlignment="1">
      <alignment horizontal="left" vertical="center"/>
    </xf>
    <xf numFmtId="164" fontId="20" fillId="2" borderId="1" xfId="6" applyNumberFormat="1" applyFont="1" applyFill="1" applyBorder="1" applyAlignment="1" applyProtection="1">
      <alignment horizontal="right" vertical="center"/>
    </xf>
    <xf numFmtId="3" fontId="21" fillId="2" borderId="1" xfId="1" applyNumberFormat="1" applyFont="1" applyFill="1" applyAlignment="1">
      <alignment horizontal="right" vertical="center" indent="2"/>
    </xf>
    <xf numFmtId="167" fontId="22" fillId="2" borderId="0" xfId="0" applyNumberFormat="1" applyFont="1" applyFill="1"/>
    <xf numFmtId="0" fontId="22" fillId="2" borderId="1" xfId="0" applyFont="1" applyFill="1" applyBorder="1"/>
    <xf numFmtId="43" fontId="22" fillId="2" borderId="1" xfId="6" applyFont="1" applyFill="1" applyBorder="1"/>
    <xf numFmtId="167" fontId="22" fillId="2" borderId="1" xfId="0" applyNumberFormat="1" applyFont="1" applyFill="1" applyBorder="1"/>
    <xf numFmtId="4" fontId="22" fillId="2" borderId="1" xfId="6" applyNumberFormat="1" applyFont="1" applyFill="1" applyBorder="1" applyAlignment="1">
      <alignment horizontal="center" vertical="center"/>
    </xf>
    <xf numFmtId="3" fontId="23" fillId="2" borderId="1" xfId="1" applyNumberFormat="1" applyFont="1" applyFill="1"/>
    <xf numFmtId="164" fontId="24" fillId="2" borderId="1" xfId="6" applyNumberFormat="1" applyFont="1" applyFill="1" applyBorder="1" applyAlignment="1">
      <alignment horizontal="right" vertical="center"/>
    </xf>
    <xf numFmtId="169" fontId="25" fillId="2" borderId="1" xfId="6" applyNumberFormat="1" applyFont="1" applyFill="1"/>
    <xf numFmtId="3" fontId="26" fillId="2" borderId="1" xfId="1" applyNumberFormat="1" applyFont="1" applyFill="1" applyAlignment="1">
      <alignment horizontal="right" vertical="center" indent="2"/>
    </xf>
    <xf numFmtId="4" fontId="27" fillId="2" borderId="1" xfId="6" applyNumberFormat="1" applyFont="1" applyFill="1" applyBorder="1" applyAlignment="1">
      <alignment horizontal="center" vertical="center"/>
    </xf>
    <xf numFmtId="43" fontId="27" fillId="2" borderId="1" xfId="6" applyFont="1" applyFill="1" applyBorder="1"/>
    <xf numFmtId="167" fontId="27" fillId="2" borderId="1" xfId="0" applyNumberFormat="1" applyFont="1" applyFill="1" applyBorder="1"/>
    <xf numFmtId="0" fontId="27" fillId="2" borderId="1" xfId="0" applyFont="1" applyFill="1" applyBorder="1"/>
    <xf numFmtId="3" fontId="23" fillId="2" borderId="2" xfId="1" applyNumberFormat="1" applyFont="1" applyFill="1" applyBorder="1"/>
    <xf numFmtId="164" fontId="24" fillId="2" borderId="2" xfId="6" applyNumberFormat="1" applyFont="1" applyFill="1" applyBorder="1" applyAlignment="1">
      <alignment horizontal="right" vertical="center"/>
    </xf>
    <xf numFmtId="164" fontId="25" fillId="2" borderId="2" xfId="6" applyNumberFormat="1" applyFont="1" applyFill="1" applyBorder="1" applyAlignment="1">
      <alignment horizontal="right" vertical="center"/>
    </xf>
    <xf numFmtId="3" fontId="28" fillId="2" borderId="2" xfId="1" applyNumberFormat="1" applyFont="1" applyFill="1" applyBorder="1" applyAlignment="1">
      <alignment horizontal="right" vertical="center" indent="2"/>
    </xf>
    <xf numFmtId="167" fontId="0" fillId="2" borderId="0" xfId="0" applyNumberFormat="1" applyFill="1" applyAlignment="1">
      <alignment horizontal="right"/>
    </xf>
    <xf numFmtId="43" fontId="0" fillId="2" borderId="1" xfId="6" applyFont="1" applyFill="1"/>
    <xf numFmtId="167" fontId="12" fillId="2" borderId="1" xfId="2" applyNumberFormat="1" applyFont="1" applyFill="1"/>
    <xf numFmtId="170" fontId="0" fillId="2" borderId="1" xfId="6" applyNumberFormat="1" applyFont="1" applyFill="1"/>
    <xf numFmtId="169" fontId="25" fillId="2" borderId="1" xfId="6" applyNumberFormat="1" applyFont="1" applyFill="1" applyBorder="1"/>
    <xf numFmtId="3" fontId="4" fillId="2" borderId="1" xfId="1" applyNumberFormat="1" applyFont="1" applyFill="1" applyAlignment="1">
      <alignment horizontal="center" vertical="center" readingOrder="2"/>
    </xf>
    <xf numFmtId="3" fontId="7" fillId="2" borderId="1" xfId="1" applyNumberFormat="1" applyFont="1" applyFill="1" applyAlignment="1">
      <alignment horizontal="left" vertical="center"/>
    </xf>
    <xf numFmtId="3" fontId="7" fillId="2" borderId="2" xfId="1" applyNumberFormat="1" applyFont="1" applyFill="1" applyBorder="1" applyAlignment="1">
      <alignment horizontal="left" vertical="center"/>
    </xf>
    <xf numFmtId="3" fontId="6" fillId="2" borderId="2" xfId="1" applyNumberFormat="1" applyFont="1" applyFill="1" applyBorder="1" applyAlignment="1">
      <alignment horizontal="center" vertical="center"/>
    </xf>
    <xf numFmtId="167" fontId="13" fillId="2" borderId="1" xfId="2" applyNumberFormat="1" applyFont="1" applyFill="1" applyAlignment="1">
      <alignment horizontal="right" vertical="center" wrapText="1"/>
    </xf>
    <xf numFmtId="167" fontId="13" fillId="2" borderId="2" xfId="2" applyNumberFormat="1" applyFont="1" applyFill="1" applyBorder="1" applyAlignment="1">
      <alignment horizontal="right" vertical="center" wrapText="1"/>
    </xf>
    <xf numFmtId="3" fontId="9" fillId="2" borderId="1" xfId="1" applyNumberFormat="1" applyFont="1" applyFill="1" applyAlignment="1">
      <alignment horizontal="right" vertical="center" wrapText="1" indent="2"/>
    </xf>
    <xf numFmtId="3" fontId="9" fillId="2" borderId="2" xfId="1" applyNumberFormat="1" applyFont="1" applyFill="1" applyBorder="1" applyAlignment="1">
      <alignment horizontal="right" vertical="center" wrapText="1" indent="2"/>
    </xf>
    <xf numFmtId="0" fontId="8" fillId="2" borderId="3" xfId="0" applyFont="1" applyFill="1" applyBorder="1" applyAlignment="1">
      <alignment horizontal="center" vertical="center" wrapText="1"/>
    </xf>
  </cellXfs>
  <cellStyles count="22">
    <cellStyle name="Comma 23" xfId="7" xr:uid="{00000000-0005-0000-0000-000001000000}"/>
    <cellStyle name="Comma 3" xfId="6" xr:uid="{00000000-0005-0000-0000-000002000000}"/>
    <cellStyle name="Normal" xfId="0" builtinId="0"/>
    <cellStyle name="Normal 10" xfId="12" xr:uid="{00000000-0005-0000-0000-000004000000}"/>
    <cellStyle name="Normal 12" xfId="5" xr:uid="{00000000-0005-0000-0000-000005000000}"/>
    <cellStyle name="Normal 2" xfId="2" xr:uid="{00000000-0005-0000-0000-000006000000}"/>
    <cellStyle name="Normal 25" xfId="16" xr:uid="{00000000-0005-0000-0000-000007000000}"/>
    <cellStyle name="Normal 3" xfId="9" xr:uid="{00000000-0005-0000-0000-000008000000}"/>
    <cellStyle name="Normal 3 2" xfId="3" xr:uid="{00000000-0005-0000-0000-000009000000}"/>
    <cellStyle name="Normal 30" xfId="11" xr:uid="{00000000-0005-0000-0000-00000A000000}"/>
    <cellStyle name="Normal 30 2" xfId="17" xr:uid="{8CB7D01C-DD85-496B-BD11-D1776558F3C4}"/>
    <cellStyle name="Normal 39" xfId="18" xr:uid="{972F4BFA-9C5F-4CF5-816F-EC252FFDB201}"/>
    <cellStyle name="Normal 4" xfId="10" xr:uid="{00000000-0005-0000-0000-00000B000000}"/>
    <cellStyle name="Normal 40" xfId="19" xr:uid="{0613AE2C-83BE-4A4F-B0CC-2949951A75EC}"/>
    <cellStyle name="Normal 41" xfId="20" xr:uid="{425B46FD-B8A3-4FE6-AAF2-306F2E07F751}"/>
    <cellStyle name="Normal 44" xfId="21" xr:uid="{6C5CDDC4-C000-432D-BE85-6FFEDE896A02}"/>
    <cellStyle name="Normal 54" xfId="13" xr:uid="{00000000-0005-0000-0000-00000C000000}"/>
    <cellStyle name="Normal 58" xfId="15" xr:uid="{00000000-0005-0000-0000-00000D000000}"/>
    <cellStyle name="Normal 59" xfId="14" xr:uid="{00000000-0005-0000-0000-00000E000000}"/>
    <cellStyle name="Normal 8" xfId="8" xr:uid="{00000000-0005-0000-0000-00000F000000}"/>
    <cellStyle name="Normal_3 Population." xfId="4" xr:uid="{00000000-0005-0000-0000-000010000000}"/>
    <cellStyle name="Normal_II-15(Population) 2" xfId="1" xr:uid="{00000000-0005-0000-0000-000011000000}"/>
  </cellStyles>
  <dxfs count="0"/>
  <tableStyles count="0" defaultTableStyle="TableStyleMedium2" defaultPivotStyle="PivotStyleLight16"/>
  <colors>
    <mruColors>
      <color rgb="FFFFA3A3"/>
      <color rgb="FFFFD9D9"/>
      <color rgb="FFFFEBEB"/>
      <color rgb="FFFFCCCC"/>
      <color rgb="FFFFD5D5"/>
      <color rgb="FFFFB7B7"/>
      <color rgb="FFB2EDEC"/>
      <color rgb="FF249390"/>
      <color rgb="FF33CCCC"/>
      <color rgb="FFFFB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18.25: </a:t>
            </a:r>
            <a:r>
              <a:rPr lang="en-US" sz="1050" b="1" i="0" baseline="0">
                <a:latin typeface="+mn-lt"/>
              </a:rPr>
              <a:t>GOVERNMENT EXPENDITURE ON HEALTH INSURANCE SCHEMES BY ATOLL, 2019 - 2021</a:t>
            </a:r>
            <a:endParaRPr lang="en-US" sz="1050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6057860284030823E-2"/>
          <c:y val="0.11757119828049435"/>
          <c:w val="0.92359206154616269"/>
          <c:h val="0.7926861775271105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'18.24'!$I$4:$I$5</c:f>
              <c:strCache>
                <c:ptCount val="2"/>
                <c:pt idx="0">
                  <c:v>2019 </c:v>
                </c:pt>
              </c:strCache>
            </c:strRef>
          </c:tx>
          <c:spPr>
            <a:solidFill>
              <a:srgbClr val="FFD9D9"/>
            </a:solidFill>
          </c:spPr>
          <c:invertIfNegative val="0"/>
          <c:cat>
            <c:strRef>
              <c:f>'18.24'!$O$38:$O$57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'18.24'!$I$9:$I$28</c:f>
              <c:numCache>
                <c:formatCode>_-* #,##0_-;\-* #,##0_-;_-* "-"??_-;_-@_-</c:formatCode>
                <c:ptCount val="20"/>
                <c:pt idx="0">
                  <c:v>40448262.304399997</c:v>
                </c:pt>
                <c:pt idx="1">
                  <c:v>78971036.104199991</c:v>
                </c:pt>
                <c:pt idx="2">
                  <c:v>25952832.935399998</c:v>
                </c:pt>
                <c:pt idx="3">
                  <c:v>21571553.8116</c:v>
                </c:pt>
                <c:pt idx="4">
                  <c:v>53008180.737800002</c:v>
                </c:pt>
                <c:pt idx="5">
                  <c:v>27044367.550599996</c:v>
                </c:pt>
                <c:pt idx="6">
                  <c:v>32568445.948899999</c:v>
                </c:pt>
                <c:pt idx="7">
                  <c:v>17197161.118400004</c:v>
                </c:pt>
                <c:pt idx="8">
                  <c:v>11972620.461000001</c:v>
                </c:pt>
                <c:pt idx="9">
                  <c:v>27622860.336999997</c:v>
                </c:pt>
                <c:pt idx="10">
                  <c:v>2757929.4720000001</c:v>
                </c:pt>
                <c:pt idx="11">
                  <c:v>10031071.428399999</c:v>
                </c:pt>
                <c:pt idx="12">
                  <c:v>13925732.6666</c:v>
                </c:pt>
                <c:pt idx="13">
                  <c:v>17043507.483999997</c:v>
                </c:pt>
                <c:pt idx="14">
                  <c:v>23421048.300000004</c:v>
                </c:pt>
                <c:pt idx="15">
                  <c:v>42832104.030000001</c:v>
                </c:pt>
                <c:pt idx="16">
                  <c:v>31369978.870000001</c:v>
                </c:pt>
                <c:pt idx="17">
                  <c:v>52074088.550000012</c:v>
                </c:pt>
                <c:pt idx="18">
                  <c:v>26813330.047800001</c:v>
                </c:pt>
                <c:pt idx="19">
                  <c:v>117270900.5696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D-4D34-9068-A330A3C88CEB}"/>
            </c:ext>
          </c:extLst>
        </c:ser>
        <c:ser>
          <c:idx val="2"/>
          <c:order val="1"/>
          <c:tx>
            <c:strRef>
              <c:f>'18.24'!$J$4:$J$5</c:f>
              <c:strCache>
                <c:ptCount val="2"/>
                <c:pt idx="0">
                  <c:v>2020 </c:v>
                </c:pt>
              </c:strCache>
            </c:strRef>
          </c:tx>
          <c:spPr>
            <a:solidFill>
              <a:srgbClr val="FFA3A3"/>
            </a:solidFill>
          </c:spPr>
          <c:invertIfNegative val="0"/>
          <c:cat>
            <c:strRef>
              <c:f>'18.24'!$O$38:$O$57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'18.24'!$J$9:$J$28</c:f>
              <c:numCache>
                <c:formatCode>_-* #,##0_-;\-* #,##0_-;_-* "-"??_-;_-@_-</c:formatCode>
                <c:ptCount val="20"/>
                <c:pt idx="0">
                  <c:v>42511028.648000002</c:v>
                </c:pt>
                <c:pt idx="1">
                  <c:v>87106108.945999995</c:v>
                </c:pt>
                <c:pt idx="2">
                  <c:v>27517456.108000003</c:v>
                </c:pt>
                <c:pt idx="3">
                  <c:v>23643840.842</c:v>
                </c:pt>
                <c:pt idx="4">
                  <c:v>59567614.17400001</c:v>
                </c:pt>
                <c:pt idx="5">
                  <c:v>25655929.811999999</c:v>
                </c:pt>
                <c:pt idx="6">
                  <c:v>27942400.420000002</c:v>
                </c:pt>
                <c:pt idx="7">
                  <c:v>20342689.015000001</c:v>
                </c:pt>
                <c:pt idx="8">
                  <c:v>12008159.68</c:v>
                </c:pt>
                <c:pt idx="9">
                  <c:v>29868861.675999999</c:v>
                </c:pt>
                <c:pt idx="10">
                  <c:v>3448993.7300000004</c:v>
                </c:pt>
                <c:pt idx="11">
                  <c:v>10855208.769999998</c:v>
                </c:pt>
                <c:pt idx="12">
                  <c:v>14387088.829999998</c:v>
                </c:pt>
                <c:pt idx="13">
                  <c:v>16428599.425000001</c:v>
                </c:pt>
                <c:pt idx="14">
                  <c:v>23808645.879999999</c:v>
                </c:pt>
                <c:pt idx="15">
                  <c:v>50794534.460000008</c:v>
                </c:pt>
                <c:pt idx="16">
                  <c:v>29440804.519999996</c:v>
                </c:pt>
                <c:pt idx="17">
                  <c:v>52286749.170000002</c:v>
                </c:pt>
                <c:pt idx="18">
                  <c:v>30205366.392999999</c:v>
                </c:pt>
                <c:pt idx="19">
                  <c:v>137699477.97600001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D-4D34-9068-A330A3C88CEB}"/>
            </c:ext>
          </c:extLst>
        </c:ser>
        <c:ser>
          <c:idx val="3"/>
          <c:order val="2"/>
          <c:tx>
            <c:strRef>
              <c:f>'18.24'!$K$4:$K$5</c:f>
              <c:strCache>
                <c:ptCount val="2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'18.24'!$O$38:$O$57</c:f>
              <c:strCache>
                <c:ptCount val="20"/>
                <c:pt idx="0">
                  <c:v> 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 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'18.24'!$K$9:$K$28</c:f>
              <c:numCache>
                <c:formatCode>_-* #,##0_-;\-* #,##0_-;_-* "-"??_-;_-@_-</c:formatCode>
                <c:ptCount val="20"/>
                <c:pt idx="0">
                  <c:v>41229421.620000005</c:v>
                </c:pt>
                <c:pt idx="1">
                  <c:v>105958272.70000002</c:v>
                </c:pt>
                <c:pt idx="2">
                  <c:v>29752743.100000001</c:v>
                </c:pt>
                <c:pt idx="3">
                  <c:v>23414246.520000003</c:v>
                </c:pt>
                <c:pt idx="4">
                  <c:v>55780460.480000004</c:v>
                </c:pt>
                <c:pt idx="5">
                  <c:v>25608416.110000003</c:v>
                </c:pt>
                <c:pt idx="6">
                  <c:v>26327557.609999999</c:v>
                </c:pt>
                <c:pt idx="7">
                  <c:v>20229516.299999997</c:v>
                </c:pt>
                <c:pt idx="8">
                  <c:v>12415359.02</c:v>
                </c:pt>
                <c:pt idx="9">
                  <c:v>30407880.360000003</c:v>
                </c:pt>
                <c:pt idx="10">
                  <c:v>3630063.0300000003</c:v>
                </c:pt>
                <c:pt idx="11">
                  <c:v>9990856.0899999999</c:v>
                </c:pt>
                <c:pt idx="12">
                  <c:v>13273690.779999999</c:v>
                </c:pt>
                <c:pt idx="13">
                  <c:v>15311144.699999999</c:v>
                </c:pt>
                <c:pt idx="14">
                  <c:v>24058552.030000001</c:v>
                </c:pt>
                <c:pt idx="15">
                  <c:v>47038499.760000005</c:v>
                </c:pt>
                <c:pt idx="16">
                  <c:v>30808424.960000001</c:v>
                </c:pt>
                <c:pt idx="17">
                  <c:v>43636279.200900003</c:v>
                </c:pt>
                <c:pt idx="18">
                  <c:v>30315608.859999999</c:v>
                </c:pt>
                <c:pt idx="19">
                  <c:v>150113676.64999998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D-4D34-9068-A330A3C88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2977576"/>
        <c:axId val="402978752"/>
      </c:barChart>
      <c:catAx>
        <c:axId val="402977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02978752"/>
        <c:crosses val="autoZero"/>
        <c:auto val="1"/>
        <c:lblAlgn val="ctr"/>
        <c:lblOffset val="100"/>
        <c:tickLblSkip val="1"/>
        <c:noMultiLvlLbl val="0"/>
      </c:catAx>
      <c:valAx>
        <c:axId val="402978752"/>
        <c:scaling>
          <c:orientation val="minMax"/>
          <c:max val="1600000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40297757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3394103484616104"/>
          <c:y val="0.21996076390504921"/>
          <c:w val="0.18598910718314723"/>
          <c:h val="8.624466004081571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3" l="0.70000000000000062" r="0.70000000000000062" t="0.750000000000003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1095375</xdr:colOff>
      <xdr:row>31</xdr:row>
      <xdr:rowOff>71120</xdr:rowOff>
    </xdr:from>
    <xdr:to>
      <xdr:col>11</xdr:col>
      <xdr:colOff>590550</xdr:colOff>
      <xdr:row>49</xdr:row>
      <xdr:rowOff>130175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0.01505</cdr:x>
      <cdr:y>0.03905</cdr:y>
    </cdr:from>
    <cdr:to>
      <cdr:x>0.07558</cdr:x>
      <cdr:y>0.09584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7428" y="138431"/>
          <a:ext cx="633147" cy="2013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800" b="1"/>
            <a:t>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18.%20PENSION%20AND%20SOCIAL%20PROTECTION_NSPA%20-%20%2025.08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8.24"/>
      <sheetName val="18.25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</row>
      </sheetData>
      <sheetData sheetId="4">
        <row r="38">
          <cell r="P38" t="str">
            <v>Hospitals</v>
          </cell>
          <cell r="Q38" t="str">
            <v>Pharmacies</v>
          </cell>
          <cell r="R38" t="str">
            <v>Opticals</v>
          </cell>
          <cell r="S38" t="str">
            <v>Clinics</v>
          </cell>
          <cell r="T38" t="str">
            <v>Airfare Tickets</v>
          </cell>
          <cell r="U38" t="str">
            <v>Emergency Evacuation - Sea</v>
          </cell>
        </row>
        <row r="39">
          <cell r="P39">
            <v>1083950632.6737001</v>
          </cell>
          <cell r="Q39">
            <v>752713889.11500001</v>
          </cell>
          <cell r="R39">
            <v>27752269.409999996</v>
          </cell>
          <cell r="S39">
            <v>75774147.599999994</v>
          </cell>
          <cell r="T39">
            <v>15723963.66</v>
          </cell>
          <cell r="U39">
            <v>20773359.949999999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V57"/>
  <sheetViews>
    <sheetView tabSelected="1" zoomScaleNormal="100" workbookViewId="0">
      <selection activeCell="A2" sqref="A2:L2"/>
    </sheetView>
  </sheetViews>
  <sheetFormatPr defaultColWidth="9.140625" defaultRowHeight="15" x14ac:dyDescent="0.25"/>
  <cols>
    <col min="1" max="1" width="25" style="3" customWidth="1"/>
    <col min="2" max="3" width="20.7109375" style="34" hidden="1" customWidth="1"/>
    <col min="4" max="11" width="14.85546875" style="34" customWidth="1"/>
    <col min="12" max="12" width="30.5703125" style="3" customWidth="1"/>
    <col min="13" max="13" width="2.7109375" style="35" customWidth="1"/>
    <col min="14" max="14" width="27.140625" style="35" customWidth="1"/>
    <col min="15" max="15" width="11.28515625" style="3" customWidth="1"/>
    <col min="16" max="22" width="14.42578125" style="3" customWidth="1"/>
    <col min="23" max="16384" width="9.140625" style="3"/>
  </cols>
  <sheetData>
    <row r="1" spans="1:14" s="1" customFormat="1" ht="21" x14ac:dyDescent="0.2">
      <c r="A1" s="39" t="s">
        <v>76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4" s="1" customFormat="1" x14ac:dyDescent="0.2">
      <c r="A2" s="42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4" s="12" customFormat="1" ht="21" x14ac:dyDescent="0.55000000000000004">
      <c r="A3" s="40" t="s">
        <v>1</v>
      </c>
      <c r="B3" s="47" t="s">
        <v>71</v>
      </c>
      <c r="C3" s="47"/>
      <c r="D3" s="47"/>
      <c r="E3" s="47"/>
      <c r="F3" s="47"/>
      <c r="G3" s="47"/>
      <c r="H3" s="47"/>
      <c r="I3" s="47"/>
      <c r="J3" s="47"/>
      <c r="K3" s="47"/>
      <c r="L3" s="45" t="s">
        <v>0</v>
      </c>
    </row>
    <row r="4" spans="1:14" s="13" customFormat="1" ht="12" customHeight="1" x14ac:dyDescent="0.15">
      <c r="A4" s="40"/>
      <c r="B4" s="43">
        <v>2012</v>
      </c>
      <c r="C4" s="43">
        <v>2013</v>
      </c>
      <c r="D4" s="43">
        <v>2014</v>
      </c>
      <c r="E4" s="43">
        <v>2015</v>
      </c>
      <c r="F4" s="43">
        <v>2016</v>
      </c>
      <c r="G4" s="43">
        <v>2017</v>
      </c>
      <c r="H4" s="43">
        <v>2018</v>
      </c>
      <c r="I4" s="43">
        <v>2019</v>
      </c>
      <c r="J4" s="43">
        <v>2020</v>
      </c>
      <c r="K4" s="43">
        <v>2021</v>
      </c>
      <c r="L4" s="45"/>
    </row>
    <row r="5" spans="1:14" s="2" customFormat="1" ht="12" customHeight="1" x14ac:dyDescent="0.15">
      <c r="A5" s="41"/>
      <c r="B5" s="44"/>
      <c r="C5" s="44"/>
      <c r="D5" s="44"/>
      <c r="E5" s="44"/>
      <c r="F5" s="44"/>
      <c r="G5" s="44"/>
      <c r="H5" s="44"/>
      <c r="I5" s="44"/>
      <c r="J5" s="44"/>
      <c r="K5" s="44"/>
      <c r="L5" s="46"/>
    </row>
    <row r="6" spans="1:14" s="17" customFormat="1" ht="19.5" x14ac:dyDescent="0.25">
      <c r="A6" s="14" t="s">
        <v>2</v>
      </c>
      <c r="B6" s="15">
        <f t="shared" ref="B6:G6" si="0">B7+B8+B29</f>
        <v>782126477</v>
      </c>
      <c r="C6" s="15">
        <f t="shared" si="0"/>
        <v>744921544.64999926</v>
      </c>
      <c r="D6" s="15">
        <f t="shared" si="0"/>
        <v>1063054680.1289002</v>
      </c>
      <c r="E6" s="15">
        <f t="shared" si="0"/>
        <v>1400609841.9116001</v>
      </c>
      <c r="F6" s="15">
        <f t="shared" si="0"/>
        <v>1675199186.7772999</v>
      </c>
      <c r="G6" s="15">
        <f t="shared" si="0"/>
        <v>1797290685.4303999</v>
      </c>
      <c r="H6" s="15">
        <f>H7+H8+H29</f>
        <v>2164672440.9014001</v>
      </c>
      <c r="I6" s="15">
        <f>I7+I8+I29</f>
        <v>2433716952.1485</v>
      </c>
      <c r="J6" s="15">
        <f>J7+J8+J29</f>
        <v>2014669790.0486999</v>
      </c>
      <c r="K6" s="15">
        <f>K7+K8+K29</f>
        <v>2282636912.9889998</v>
      </c>
      <c r="L6" s="16" t="s">
        <v>3</v>
      </c>
      <c r="M6" s="9"/>
    </row>
    <row r="7" spans="1:14" s="20" customFormat="1" ht="19.5" x14ac:dyDescent="0.25">
      <c r="A7" s="14" t="s">
        <v>72</v>
      </c>
      <c r="B7" s="15">
        <v>448843963</v>
      </c>
      <c r="C7" s="15">
        <v>403043430</v>
      </c>
      <c r="D7" s="15">
        <v>529844339.34140003</v>
      </c>
      <c r="E7" s="15">
        <v>694778647.79130006</v>
      </c>
      <c r="F7" s="15">
        <v>899761456.66649997</v>
      </c>
      <c r="G7" s="15">
        <v>1040187042.5204</v>
      </c>
      <c r="H7" s="15">
        <v>1255240833.7985001</v>
      </c>
      <c r="I7" s="15">
        <v>1480247823.2519999</v>
      </c>
      <c r="J7" s="15">
        <v>1164428500.4761</v>
      </c>
      <c r="K7" s="15">
        <v>1327177554.8576999</v>
      </c>
      <c r="L7" s="16" t="s">
        <v>4</v>
      </c>
      <c r="M7" s="18"/>
      <c r="N7" s="19"/>
    </row>
    <row r="8" spans="1:14" s="20" customFormat="1" ht="19.5" x14ac:dyDescent="0.25">
      <c r="A8" s="14" t="s">
        <v>5</v>
      </c>
      <c r="B8" s="15">
        <f t="shared" ref="B8:C8" si="1">SUM(B9:B28)</f>
        <v>264760139</v>
      </c>
      <c r="C8" s="15">
        <f t="shared" si="1"/>
        <v>267510730.38999927</v>
      </c>
      <c r="D8" s="15">
        <f>SUM(D9:D28)</f>
        <v>364203693.46630007</v>
      </c>
      <c r="E8" s="15">
        <f t="shared" ref="E8:H8" si="2">SUM(E9:E28)</f>
        <v>483525096.47309995</v>
      </c>
      <c r="F8" s="15">
        <f t="shared" si="2"/>
        <v>552084045.86000001</v>
      </c>
      <c r="G8" s="15">
        <f t="shared" si="2"/>
        <v>582040521.90999997</v>
      </c>
      <c r="H8" s="15">
        <f t="shared" si="2"/>
        <v>642497891.10289991</v>
      </c>
      <c r="I8" s="15">
        <f t="shared" ref="I8:K8" si="3">SUM(I9:I28)</f>
        <v>673897012.7277</v>
      </c>
      <c r="J8" s="15">
        <f t="shared" si="3"/>
        <v>725519558.4749999</v>
      </c>
      <c r="K8" s="15">
        <f t="shared" si="3"/>
        <v>739300669.88089991</v>
      </c>
      <c r="L8" s="16" t="s">
        <v>6</v>
      </c>
      <c r="M8" s="18"/>
      <c r="N8" s="21"/>
    </row>
    <row r="9" spans="1:14" s="28" customFormat="1" ht="17.25" x14ac:dyDescent="0.25">
      <c r="A9" s="22" t="s">
        <v>7</v>
      </c>
      <c r="B9" s="23">
        <v>15101822</v>
      </c>
      <c r="C9" s="23">
        <v>16574727.689999968</v>
      </c>
      <c r="D9" s="24">
        <v>21476572.449999999</v>
      </c>
      <c r="E9" s="24">
        <v>28247167.650000002</v>
      </c>
      <c r="F9" s="24">
        <v>30277717.990000002</v>
      </c>
      <c r="G9" s="24">
        <v>34032071.780000001</v>
      </c>
      <c r="H9" s="24">
        <v>37849375.519999996</v>
      </c>
      <c r="I9" s="24">
        <v>40448262.304399997</v>
      </c>
      <c r="J9" s="24">
        <v>42511028.648000002</v>
      </c>
      <c r="K9" s="38">
        <v>41229421.620000005</v>
      </c>
      <c r="L9" s="25" t="s">
        <v>8</v>
      </c>
      <c r="M9" s="26"/>
      <c r="N9" s="27"/>
    </row>
    <row r="10" spans="1:14" s="28" customFormat="1" ht="17.25" x14ac:dyDescent="0.25">
      <c r="A10" s="22" t="s">
        <v>9</v>
      </c>
      <c r="B10" s="23">
        <v>41415958</v>
      </c>
      <c r="C10" s="23">
        <v>40695134.079999633</v>
      </c>
      <c r="D10" s="24">
        <v>47757008.690000005</v>
      </c>
      <c r="E10" s="24">
        <v>55532820.670000002</v>
      </c>
      <c r="F10" s="24">
        <v>60034554.979999997</v>
      </c>
      <c r="G10" s="24">
        <v>69991758.379999995</v>
      </c>
      <c r="H10" s="24">
        <v>73741273.559999987</v>
      </c>
      <c r="I10" s="24">
        <v>78971036.104199991</v>
      </c>
      <c r="J10" s="24">
        <v>87106108.945999995</v>
      </c>
      <c r="K10" s="38">
        <v>105958272.70000002</v>
      </c>
      <c r="L10" s="25" t="s">
        <v>10</v>
      </c>
      <c r="M10" s="27"/>
      <c r="N10" s="27"/>
    </row>
    <row r="11" spans="1:14" s="28" customFormat="1" ht="17.25" x14ac:dyDescent="0.25">
      <c r="A11" s="22" t="s">
        <v>11</v>
      </c>
      <c r="B11" s="23">
        <v>13338409</v>
      </c>
      <c r="C11" s="23">
        <v>13893985.419999985</v>
      </c>
      <c r="D11" s="24">
        <v>18573633.770000003</v>
      </c>
      <c r="E11" s="24">
        <v>22929493.010000002</v>
      </c>
      <c r="F11" s="24">
        <v>21043099.035</v>
      </c>
      <c r="G11" s="24">
        <v>22385644.167000003</v>
      </c>
      <c r="H11" s="24">
        <v>24133600.373999998</v>
      </c>
      <c r="I11" s="24">
        <v>25952832.935399998</v>
      </c>
      <c r="J11" s="24">
        <v>27517456.108000003</v>
      </c>
      <c r="K11" s="38">
        <v>29752743.100000001</v>
      </c>
      <c r="L11" s="25" t="s">
        <v>12</v>
      </c>
      <c r="M11" s="29"/>
      <c r="N11" s="27"/>
    </row>
    <row r="12" spans="1:14" s="28" customFormat="1" ht="17.25" x14ac:dyDescent="0.25">
      <c r="A12" s="22" t="s">
        <v>13</v>
      </c>
      <c r="B12" s="23">
        <v>9433955</v>
      </c>
      <c r="C12" s="23">
        <v>8314019.0199999837</v>
      </c>
      <c r="D12" s="24">
        <v>11788026.339999998</v>
      </c>
      <c r="E12" s="24">
        <v>16282824.6</v>
      </c>
      <c r="F12" s="24">
        <v>16255000.77</v>
      </c>
      <c r="G12" s="24">
        <v>17119918.760000002</v>
      </c>
      <c r="H12" s="24">
        <v>18665154.07</v>
      </c>
      <c r="I12" s="24">
        <v>21571553.8116</v>
      </c>
      <c r="J12" s="24">
        <v>23643840.842</v>
      </c>
      <c r="K12" s="38">
        <v>23414246.520000003</v>
      </c>
      <c r="L12" s="25" t="s">
        <v>14</v>
      </c>
      <c r="M12" s="29"/>
      <c r="N12" s="27"/>
    </row>
    <row r="13" spans="1:14" s="28" customFormat="1" ht="17.25" x14ac:dyDescent="0.25">
      <c r="A13" s="22" t="s">
        <v>15</v>
      </c>
      <c r="B13" s="23">
        <v>19126765</v>
      </c>
      <c r="C13" s="23">
        <v>20668283.129999995</v>
      </c>
      <c r="D13" s="24">
        <v>29304498.352999996</v>
      </c>
      <c r="E13" s="24">
        <v>40394300.450999998</v>
      </c>
      <c r="F13" s="24">
        <v>43959957.414999999</v>
      </c>
      <c r="G13" s="24">
        <v>47021244.049999997</v>
      </c>
      <c r="H13" s="24">
        <v>49456949.840000004</v>
      </c>
      <c r="I13" s="24">
        <v>53008180.737800002</v>
      </c>
      <c r="J13" s="24">
        <v>59567614.17400001</v>
      </c>
      <c r="K13" s="38">
        <v>55780460.480000004</v>
      </c>
      <c r="L13" s="25" t="s">
        <v>16</v>
      </c>
      <c r="M13" s="29"/>
      <c r="N13" s="27"/>
    </row>
    <row r="14" spans="1:14" s="28" customFormat="1" ht="17.25" x14ac:dyDescent="0.25">
      <c r="A14" s="22" t="s">
        <v>17</v>
      </c>
      <c r="B14" s="23">
        <v>10273872</v>
      </c>
      <c r="C14" s="23">
        <v>9666175.0999999773</v>
      </c>
      <c r="D14" s="24">
        <v>15482386.66</v>
      </c>
      <c r="E14" s="24">
        <v>21675172.101000004</v>
      </c>
      <c r="F14" s="24">
        <v>26651220.369999997</v>
      </c>
      <c r="G14" s="24">
        <v>30149104.175999999</v>
      </c>
      <c r="H14" s="24">
        <v>33634879.120000005</v>
      </c>
      <c r="I14" s="24">
        <v>27044367.550599996</v>
      </c>
      <c r="J14" s="24">
        <v>25655929.811999999</v>
      </c>
      <c r="K14" s="38">
        <v>25608416.110000003</v>
      </c>
      <c r="L14" s="25" t="s">
        <v>18</v>
      </c>
      <c r="M14" s="29"/>
      <c r="N14" s="27"/>
    </row>
    <row r="15" spans="1:14" s="28" customFormat="1" ht="17.25" x14ac:dyDescent="0.25">
      <c r="A15" s="22" t="s">
        <v>19</v>
      </c>
      <c r="B15" s="23">
        <v>19693974</v>
      </c>
      <c r="C15" s="23">
        <v>17144245.799999915</v>
      </c>
      <c r="D15" s="24">
        <v>23688972.940000001</v>
      </c>
      <c r="E15" s="24">
        <v>27147750.810000002</v>
      </c>
      <c r="F15" s="24">
        <v>31816789.559999999</v>
      </c>
      <c r="G15" s="24">
        <v>38642931.219999999</v>
      </c>
      <c r="H15" s="24">
        <v>35692529.049999997</v>
      </c>
      <c r="I15" s="24">
        <v>32568445.948899999</v>
      </c>
      <c r="J15" s="24">
        <v>27942400.420000002</v>
      </c>
      <c r="K15" s="38">
        <v>26327557.609999999</v>
      </c>
      <c r="L15" s="25" t="s">
        <v>20</v>
      </c>
      <c r="M15" s="27"/>
      <c r="N15" s="27"/>
    </row>
    <row r="16" spans="1:14" s="28" customFormat="1" ht="17.25" x14ac:dyDescent="0.25">
      <c r="A16" s="22" t="s">
        <v>21</v>
      </c>
      <c r="B16" s="23">
        <v>4089031</v>
      </c>
      <c r="C16" s="23">
        <v>4086512.3099999996</v>
      </c>
      <c r="D16" s="24">
        <v>7724957.6299999999</v>
      </c>
      <c r="E16" s="24">
        <v>12281541.290000001</v>
      </c>
      <c r="F16" s="24">
        <v>14543865.745000001</v>
      </c>
      <c r="G16" s="24">
        <v>15450866.840299999</v>
      </c>
      <c r="H16" s="24">
        <v>15019880.84</v>
      </c>
      <c r="I16" s="24">
        <v>17197161.118400004</v>
      </c>
      <c r="J16" s="24">
        <v>20342689.015000001</v>
      </c>
      <c r="K16" s="38">
        <v>20229516.299999997</v>
      </c>
      <c r="L16" s="25" t="s">
        <v>22</v>
      </c>
      <c r="M16" s="29"/>
      <c r="N16" s="27"/>
    </row>
    <row r="17" spans="1:15" s="28" customFormat="1" ht="17.25" x14ac:dyDescent="0.25">
      <c r="A17" s="22" t="s">
        <v>23</v>
      </c>
      <c r="B17" s="23">
        <v>4155717</v>
      </c>
      <c r="C17" s="23">
        <v>3627549.2800000003</v>
      </c>
      <c r="D17" s="24">
        <v>3540685.44</v>
      </c>
      <c r="E17" s="24">
        <v>7471919.1500000004</v>
      </c>
      <c r="F17" s="24">
        <v>8698613.1500000004</v>
      </c>
      <c r="G17" s="24">
        <v>5947100.96</v>
      </c>
      <c r="H17" s="24">
        <v>10990868.449999999</v>
      </c>
      <c r="I17" s="24">
        <v>11972620.461000001</v>
      </c>
      <c r="J17" s="24">
        <v>12008159.68</v>
      </c>
      <c r="K17" s="38">
        <v>12415359.02</v>
      </c>
      <c r="L17" s="25" t="s">
        <v>24</v>
      </c>
      <c r="M17" s="29"/>
      <c r="N17" s="27"/>
    </row>
    <row r="18" spans="1:15" s="28" customFormat="1" ht="17.25" x14ac:dyDescent="0.25">
      <c r="A18" s="22" t="s">
        <v>25</v>
      </c>
      <c r="B18" s="23">
        <v>8195340</v>
      </c>
      <c r="C18" s="23">
        <v>11106707.47999998</v>
      </c>
      <c r="D18" s="24">
        <v>13156080.83</v>
      </c>
      <c r="E18" s="24">
        <v>17498120.029999997</v>
      </c>
      <c r="F18" s="24">
        <v>21983644.324999999</v>
      </c>
      <c r="G18" s="24">
        <v>9181590.7400000021</v>
      </c>
      <c r="H18" s="24">
        <v>25909086.93</v>
      </c>
      <c r="I18" s="24">
        <v>27622860.336999997</v>
      </c>
      <c r="J18" s="24">
        <v>29868861.675999999</v>
      </c>
      <c r="K18" s="38">
        <v>30407880.360000003</v>
      </c>
      <c r="L18" s="25" t="s">
        <v>26</v>
      </c>
      <c r="M18" s="27"/>
      <c r="N18" s="27"/>
    </row>
    <row r="19" spans="1:15" s="28" customFormat="1" ht="17.25" x14ac:dyDescent="0.25">
      <c r="A19" s="22" t="s">
        <v>27</v>
      </c>
      <c r="B19" s="23">
        <v>409251</v>
      </c>
      <c r="C19" s="23">
        <v>543378.02999999898</v>
      </c>
      <c r="D19" s="24">
        <v>563786.18999999994</v>
      </c>
      <c r="E19" s="24">
        <v>1773766.73</v>
      </c>
      <c r="F19" s="24">
        <v>2451686.34</v>
      </c>
      <c r="G19" s="24">
        <v>2580520.0900000003</v>
      </c>
      <c r="H19" s="24">
        <v>2433263.37</v>
      </c>
      <c r="I19" s="24">
        <v>2757929.4720000001</v>
      </c>
      <c r="J19" s="24">
        <v>3448993.7300000004</v>
      </c>
      <c r="K19" s="38">
        <v>3630063.0300000003</v>
      </c>
      <c r="L19" s="25" t="s">
        <v>28</v>
      </c>
      <c r="M19" s="27"/>
      <c r="N19" s="27"/>
      <c r="O19" s="27"/>
    </row>
    <row r="20" spans="1:15" s="28" customFormat="1" ht="17.25" x14ac:dyDescent="0.25">
      <c r="A20" s="22" t="s">
        <v>29</v>
      </c>
      <c r="B20" s="23">
        <v>4320592</v>
      </c>
      <c r="C20" s="23">
        <v>4438872.0499999886</v>
      </c>
      <c r="D20" s="24">
        <v>9125266.5999999996</v>
      </c>
      <c r="E20" s="24">
        <v>12610137.149999999</v>
      </c>
      <c r="F20" s="24">
        <v>11946502.880000001</v>
      </c>
      <c r="G20" s="24">
        <v>7909169.9100000001</v>
      </c>
      <c r="H20" s="24">
        <v>11312990.07</v>
      </c>
      <c r="I20" s="24">
        <v>10031071.428399999</v>
      </c>
      <c r="J20" s="24">
        <v>10855208.769999998</v>
      </c>
      <c r="K20" s="38">
        <v>9990856.0899999999</v>
      </c>
      <c r="L20" s="25" t="s">
        <v>30</v>
      </c>
      <c r="M20" s="27"/>
      <c r="N20" s="27"/>
    </row>
    <row r="21" spans="1:15" s="28" customFormat="1" ht="17.25" x14ac:dyDescent="0.25">
      <c r="A21" s="22" t="s">
        <v>31</v>
      </c>
      <c r="B21" s="23">
        <v>5387983</v>
      </c>
      <c r="C21" s="23">
        <v>4886885.8999999873</v>
      </c>
      <c r="D21" s="24">
        <v>6589192.25</v>
      </c>
      <c r="E21" s="24">
        <v>9723321.2799999993</v>
      </c>
      <c r="F21" s="24">
        <v>10153645.829999998</v>
      </c>
      <c r="G21" s="24">
        <v>6358160.0700000003</v>
      </c>
      <c r="H21" s="24">
        <v>13465688.68</v>
      </c>
      <c r="I21" s="24">
        <v>13925732.6666</v>
      </c>
      <c r="J21" s="24">
        <v>14387088.829999998</v>
      </c>
      <c r="K21" s="38">
        <v>13273690.779999999</v>
      </c>
      <c r="L21" s="25" t="s">
        <v>32</v>
      </c>
      <c r="M21" s="27"/>
      <c r="N21" s="27"/>
    </row>
    <row r="22" spans="1:15" s="28" customFormat="1" ht="17.25" x14ac:dyDescent="0.25">
      <c r="A22" s="22" t="s">
        <v>33</v>
      </c>
      <c r="B22" s="23">
        <v>9032373</v>
      </c>
      <c r="C22" s="23">
        <v>9196467.5899999663</v>
      </c>
      <c r="D22" s="24">
        <v>9874084.1600000001</v>
      </c>
      <c r="E22" s="24">
        <v>12434694.649999999</v>
      </c>
      <c r="F22" s="24">
        <v>11807838.66</v>
      </c>
      <c r="G22" s="24">
        <v>13061458.859999999</v>
      </c>
      <c r="H22" s="24">
        <v>15100490.25</v>
      </c>
      <c r="I22" s="24">
        <v>17043507.483999997</v>
      </c>
      <c r="J22" s="24">
        <v>16428599.425000001</v>
      </c>
      <c r="K22" s="38">
        <v>15311144.699999999</v>
      </c>
      <c r="L22" s="25" t="s">
        <v>34</v>
      </c>
      <c r="M22" s="29"/>
      <c r="N22" s="27"/>
    </row>
    <row r="23" spans="1:15" s="28" customFormat="1" ht="17.25" x14ac:dyDescent="0.25">
      <c r="A23" s="22" t="s">
        <v>35</v>
      </c>
      <c r="B23" s="23">
        <v>10105484</v>
      </c>
      <c r="C23" s="23">
        <v>10945367.059999999</v>
      </c>
      <c r="D23" s="24">
        <v>15424283.250000004</v>
      </c>
      <c r="E23" s="24">
        <v>20505081.599999994</v>
      </c>
      <c r="F23" s="24">
        <v>22462983.789999999</v>
      </c>
      <c r="G23" s="24">
        <v>23683245.52</v>
      </c>
      <c r="H23" s="24">
        <v>21574058.689999998</v>
      </c>
      <c r="I23" s="24">
        <v>23421048.300000004</v>
      </c>
      <c r="J23" s="24">
        <v>23808645.879999999</v>
      </c>
      <c r="K23" s="38">
        <v>24058552.030000001</v>
      </c>
      <c r="L23" s="25" t="s">
        <v>36</v>
      </c>
      <c r="M23" s="27"/>
      <c r="N23" s="27"/>
    </row>
    <row r="24" spans="1:15" s="28" customFormat="1" ht="17.25" x14ac:dyDescent="0.25">
      <c r="A24" s="22" t="s">
        <v>37</v>
      </c>
      <c r="B24" s="23">
        <v>12373132</v>
      </c>
      <c r="C24" s="23">
        <v>11644595.34999999</v>
      </c>
      <c r="D24" s="24">
        <v>19121149.300000001</v>
      </c>
      <c r="E24" s="24">
        <v>27347316.960000001</v>
      </c>
      <c r="F24" s="24">
        <v>30750547.939999998</v>
      </c>
      <c r="G24" s="24">
        <v>32945144.069999997</v>
      </c>
      <c r="H24" s="24">
        <v>34810489.399999999</v>
      </c>
      <c r="I24" s="24">
        <v>42832104.030000001</v>
      </c>
      <c r="J24" s="24">
        <v>50794534.460000008</v>
      </c>
      <c r="K24" s="38">
        <v>47038499.760000005</v>
      </c>
      <c r="L24" s="25" t="s">
        <v>38</v>
      </c>
      <c r="M24" s="29"/>
      <c r="N24" s="27"/>
    </row>
    <row r="25" spans="1:15" s="28" customFormat="1" ht="17.25" x14ac:dyDescent="0.25">
      <c r="A25" s="22" t="s">
        <v>39</v>
      </c>
      <c r="B25" s="23">
        <v>12513632</v>
      </c>
      <c r="C25" s="23">
        <v>11341319.889999969</v>
      </c>
      <c r="D25" s="24">
        <v>14483951.450000001</v>
      </c>
      <c r="E25" s="24">
        <v>21910210.289999999</v>
      </c>
      <c r="F25" s="24">
        <v>25050862.829999998</v>
      </c>
      <c r="G25" s="24">
        <v>28968304</v>
      </c>
      <c r="H25" s="24">
        <v>27993704.789999999</v>
      </c>
      <c r="I25" s="24">
        <v>31369978.870000001</v>
      </c>
      <c r="J25" s="24">
        <v>29440804.519999996</v>
      </c>
      <c r="K25" s="38">
        <v>30808424.960000001</v>
      </c>
      <c r="L25" s="25" t="s">
        <v>40</v>
      </c>
      <c r="M25" s="29"/>
      <c r="N25" s="27"/>
    </row>
    <row r="26" spans="1:15" s="28" customFormat="1" ht="17.25" x14ac:dyDescent="0.25">
      <c r="A26" s="22" t="s">
        <v>41</v>
      </c>
      <c r="B26" s="23">
        <v>21084401</v>
      </c>
      <c r="C26" s="23">
        <v>22821907.67999997</v>
      </c>
      <c r="D26" s="24">
        <v>27642128.069999993</v>
      </c>
      <c r="E26" s="24">
        <v>34260241.729999997</v>
      </c>
      <c r="F26" s="24">
        <v>39536598.640000008</v>
      </c>
      <c r="G26" s="24">
        <v>44492550.350000001</v>
      </c>
      <c r="H26" s="24">
        <v>46107004.269999996</v>
      </c>
      <c r="I26" s="24">
        <v>52074088.550000012</v>
      </c>
      <c r="J26" s="24">
        <v>52286749.170000002</v>
      </c>
      <c r="K26" s="38">
        <v>43636279.200900003</v>
      </c>
      <c r="L26" s="25" t="s">
        <v>42</v>
      </c>
      <c r="M26" s="29"/>
      <c r="N26" s="27"/>
    </row>
    <row r="27" spans="1:15" s="28" customFormat="1" ht="17.25" x14ac:dyDescent="0.25">
      <c r="A27" s="22" t="s">
        <v>43</v>
      </c>
      <c r="B27" s="23">
        <v>12733438</v>
      </c>
      <c r="C27" s="23">
        <v>10712175.139999989</v>
      </c>
      <c r="D27" s="24">
        <v>12905259.859999999</v>
      </c>
      <c r="E27" s="24">
        <v>19379941.390000001</v>
      </c>
      <c r="F27" s="24">
        <v>20312685.899999999</v>
      </c>
      <c r="G27" s="24">
        <v>15456736.35</v>
      </c>
      <c r="H27" s="24">
        <v>23428238.91</v>
      </c>
      <c r="I27" s="24">
        <v>26813330.047800001</v>
      </c>
      <c r="J27" s="24">
        <v>30205366.392999999</v>
      </c>
      <c r="K27" s="38">
        <v>30315608.859999999</v>
      </c>
      <c r="L27" s="25" t="s">
        <v>44</v>
      </c>
      <c r="M27" s="27"/>
      <c r="N27" s="27"/>
    </row>
    <row r="28" spans="1:15" s="28" customFormat="1" ht="17.25" x14ac:dyDescent="0.25">
      <c r="A28" s="22" t="s">
        <v>45</v>
      </c>
      <c r="B28" s="23">
        <v>31975010</v>
      </c>
      <c r="C28" s="23">
        <v>35202422.390000001</v>
      </c>
      <c r="D28" s="24">
        <v>55981769.233300008</v>
      </c>
      <c r="E28" s="24">
        <v>74119274.931099996</v>
      </c>
      <c r="F28" s="24">
        <v>102346229.71000001</v>
      </c>
      <c r="G28" s="24">
        <v>116663001.61669999</v>
      </c>
      <c r="H28" s="24">
        <v>121178364.9189</v>
      </c>
      <c r="I28" s="24">
        <v>117270900.5696</v>
      </c>
      <c r="J28" s="24">
        <v>137699477.97600001</v>
      </c>
      <c r="K28" s="38">
        <v>150113676.64999998</v>
      </c>
      <c r="L28" s="25" t="s">
        <v>46</v>
      </c>
      <c r="M28" s="27"/>
      <c r="N28" s="27"/>
    </row>
    <row r="29" spans="1:15" s="28" customFormat="1" ht="19.5" x14ac:dyDescent="0.25">
      <c r="A29" s="30" t="s">
        <v>73</v>
      </c>
      <c r="B29" s="31">
        <v>68522375</v>
      </c>
      <c r="C29" s="31">
        <v>74367384.260000005</v>
      </c>
      <c r="D29" s="32">
        <v>169006647.32120001</v>
      </c>
      <c r="E29" s="32">
        <v>222306097.64719999</v>
      </c>
      <c r="F29" s="32">
        <v>223353684.25080001</v>
      </c>
      <c r="G29" s="32">
        <v>175063121</v>
      </c>
      <c r="H29" s="32">
        <v>266933716</v>
      </c>
      <c r="I29" s="32">
        <v>279572116.1688</v>
      </c>
      <c r="J29" s="32">
        <v>124721731.0976</v>
      </c>
      <c r="K29" s="32">
        <v>216158688.25040001</v>
      </c>
      <c r="L29" s="33" t="s">
        <v>74</v>
      </c>
      <c r="M29" s="27"/>
      <c r="N29" s="27"/>
    </row>
    <row r="30" spans="1:15" ht="17.25" x14ac:dyDescent="0.25">
      <c r="A30" s="10" t="s">
        <v>67</v>
      </c>
      <c r="L30" s="11" t="s">
        <v>68</v>
      </c>
    </row>
    <row r="31" spans="1:15" ht="17.25" x14ac:dyDescent="0.25">
      <c r="A31" s="7" t="s">
        <v>69</v>
      </c>
      <c r="L31" s="8" t="s">
        <v>70</v>
      </c>
    </row>
    <row r="32" spans="1:15" ht="17.25" x14ac:dyDescent="0.25">
      <c r="A32" s="7"/>
      <c r="L32" s="8"/>
    </row>
    <row r="33" spans="1:22" ht="17.25" x14ac:dyDescent="0.25">
      <c r="A33" s="36"/>
      <c r="L33" s="8"/>
    </row>
    <row r="35" spans="1:2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M35" s="3"/>
      <c r="N35" s="3"/>
      <c r="P35" s="37"/>
    </row>
    <row r="36" spans="1:2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M36" s="3"/>
      <c r="N36" s="3"/>
      <c r="O36" s="5"/>
      <c r="P36" s="15"/>
    </row>
    <row r="37" spans="1:2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M37" s="3"/>
      <c r="N37" s="3"/>
      <c r="P37" s="3">
        <v>2014</v>
      </c>
      <c r="Q37" s="3">
        <v>2015</v>
      </c>
      <c r="R37" s="3">
        <v>2016</v>
      </c>
      <c r="S37" s="3">
        <v>2017</v>
      </c>
      <c r="T37" s="3">
        <v>2018</v>
      </c>
      <c r="U37" s="3">
        <v>2019</v>
      </c>
      <c r="V37" s="3">
        <v>2020</v>
      </c>
    </row>
    <row r="38" spans="1:2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M38" s="3"/>
      <c r="N38" s="3"/>
      <c r="O38" s="4" t="s">
        <v>47</v>
      </c>
      <c r="P38" s="3">
        <v>21476572.449999999</v>
      </c>
      <c r="Q38" s="23">
        <v>28247167.650000002</v>
      </c>
      <c r="R38" s="3">
        <f>F9</f>
        <v>30277717.990000002</v>
      </c>
      <c r="S38" s="3">
        <f>G9</f>
        <v>34032071.780000001</v>
      </c>
      <c r="T38" s="3">
        <f>H9</f>
        <v>37849375.519999996</v>
      </c>
      <c r="U38" s="3">
        <f>I9</f>
        <v>40448262.304399997</v>
      </c>
      <c r="V38" s="3">
        <f>J9</f>
        <v>42511028.648000002</v>
      </c>
    </row>
    <row r="39" spans="1:2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M39" s="3"/>
      <c r="N39" s="3"/>
      <c r="O39" s="4" t="s">
        <v>48</v>
      </c>
      <c r="P39" s="3">
        <v>47757008.690000005</v>
      </c>
      <c r="Q39" s="23">
        <v>55532820.670000002</v>
      </c>
      <c r="R39" s="3">
        <f t="shared" ref="R39:V57" si="4">F10</f>
        <v>60034554.979999997</v>
      </c>
      <c r="S39" s="3">
        <f t="shared" si="4"/>
        <v>69991758.379999995</v>
      </c>
      <c r="T39" s="3">
        <f t="shared" si="4"/>
        <v>73741273.559999987</v>
      </c>
      <c r="U39" s="3">
        <f t="shared" si="4"/>
        <v>78971036.104199991</v>
      </c>
      <c r="V39" s="3">
        <f t="shared" si="4"/>
        <v>87106108.945999995</v>
      </c>
    </row>
    <row r="40" spans="1:2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M40" s="3"/>
      <c r="N40" s="3"/>
      <c r="O40" s="4" t="s">
        <v>49</v>
      </c>
      <c r="P40" s="3">
        <v>18573633.770000003</v>
      </c>
      <c r="Q40" s="23">
        <v>22929493.010000002</v>
      </c>
      <c r="R40" s="3">
        <f t="shared" si="4"/>
        <v>21043099.035</v>
      </c>
      <c r="S40" s="3">
        <f t="shared" si="4"/>
        <v>22385644.167000003</v>
      </c>
      <c r="T40" s="3">
        <f t="shared" si="4"/>
        <v>24133600.373999998</v>
      </c>
      <c r="U40" s="3">
        <f t="shared" si="4"/>
        <v>25952832.935399998</v>
      </c>
      <c r="V40" s="3">
        <f t="shared" si="4"/>
        <v>27517456.108000003</v>
      </c>
    </row>
    <row r="41" spans="1:2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M41" s="3"/>
      <c r="N41" s="3"/>
      <c r="O41" s="4" t="s">
        <v>50</v>
      </c>
      <c r="P41" s="3">
        <v>11788026.339999998</v>
      </c>
      <c r="Q41" s="23">
        <v>16282824.6</v>
      </c>
      <c r="R41" s="3">
        <f t="shared" si="4"/>
        <v>16255000.77</v>
      </c>
      <c r="S41" s="3">
        <f t="shared" si="4"/>
        <v>17119918.760000002</v>
      </c>
      <c r="T41" s="3">
        <f t="shared" si="4"/>
        <v>18665154.07</v>
      </c>
      <c r="U41" s="3">
        <f t="shared" si="4"/>
        <v>21571553.8116</v>
      </c>
      <c r="V41" s="3">
        <f t="shared" si="4"/>
        <v>23643840.842</v>
      </c>
    </row>
    <row r="42" spans="1:2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M42" s="3"/>
      <c r="N42" s="3"/>
      <c r="O42" s="4" t="s">
        <v>51</v>
      </c>
      <c r="P42" s="3">
        <v>29304498.352999996</v>
      </c>
      <c r="Q42" s="23">
        <v>40394300.450999998</v>
      </c>
      <c r="R42" s="3">
        <f t="shared" si="4"/>
        <v>43959957.414999999</v>
      </c>
      <c r="S42" s="3">
        <f t="shared" si="4"/>
        <v>47021244.049999997</v>
      </c>
      <c r="T42" s="3">
        <f t="shared" si="4"/>
        <v>49456949.840000004</v>
      </c>
      <c r="U42" s="3">
        <f t="shared" si="4"/>
        <v>53008180.737800002</v>
      </c>
      <c r="V42" s="3">
        <f t="shared" si="4"/>
        <v>59567614.17400001</v>
      </c>
    </row>
    <row r="43" spans="1:2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M43" s="3"/>
      <c r="N43" s="3"/>
      <c r="O43" s="4" t="s">
        <v>52</v>
      </c>
      <c r="P43" s="3">
        <v>15482386.66</v>
      </c>
      <c r="Q43" s="23">
        <v>21675172.101000004</v>
      </c>
      <c r="R43" s="3">
        <f t="shared" si="4"/>
        <v>26651220.369999997</v>
      </c>
      <c r="S43" s="3">
        <f t="shared" si="4"/>
        <v>30149104.175999999</v>
      </c>
      <c r="T43" s="3">
        <f t="shared" si="4"/>
        <v>33634879.120000005</v>
      </c>
      <c r="U43" s="3">
        <f t="shared" si="4"/>
        <v>27044367.550599996</v>
      </c>
      <c r="V43" s="3">
        <f t="shared" si="4"/>
        <v>25655929.811999999</v>
      </c>
    </row>
    <row r="44" spans="1:2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M44" s="3"/>
      <c r="N44" s="3"/>
      <c r="O44" s="4" t="s">
        <v>53</v>
      </c>
      <c r="P44" s="3">
        <v>23688972.940000001</v>
      </c>
      <c r="Q44" s="23">
        <v>27147750.810000002</v>
      </c>
      <c r="R44" s="3">
        <f t="shared" si="4"/>
        <v>31816789.559999999</v>
      </c>
      <c r="S44" s="3">
        <f t="shared" si="4"/>
        <v>38642931.219999999</v>
      </c>
      <c r="T44" s="3">
        <f t="shared" si="4"/>
        <v>35692529.049999997</v>
      </c>
      <c r="U44" s="3">
        <f t="shared" si="4"/>
        <v>32568445.948899999</v>
      </c>
      <c r="V44" s="3">
        <f t="shared" si="4"/>
        <v>27942400.420000002</v>
      </c>
    </row>
    <row r="45" spans="1:2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M45" s="3"/>
      <c r="N45" s="3"/>
      <c r="O45" s="4" t="s">
        <v>54</v>
      </c>
      <c r="P45" s="3">
        <v>7724957.6299999999</v>
      </c>
      <c r="Q45" s="23">
        <v>12281541.290000001</v>
      </c>
      <c r="R45" s="3">
        <f t="shared" si="4"/>
        <v>14543865.745000001</v>
      </c>
      <c r="S45" s="3">
        <f t="shared" si="4"/>
        <v>15450866.840299999</v>
      </c>
      <c r="T45" s="3">
        <f t="shared" si="4"/>
        <v>15019880.84</v>
      </c>
      <c r="U45" s="3">
        <f t="shared" si="4"/>
        <v>17197161.118400004</v>
      </c>
      <c r="V45" s="3">
        <f t="shared" si="4"/>
        <v>20342689.015000001</v>
      </c>
    </row>
    <row r="46" spans="1:2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M46" s="3"/>
      <c r="N46" s="3"/>
      <c r="O46" s="4" t="s">
        <v>55</v>
      </c>
      <c r="P46" s="3">
        <v>3540685.44</v>
      </c>
      <c r="Q46" s="23">
        <v>7471919.1500000004</v>
      </c>
      <c r="R46" s="3">
        <f t="shared" si="4"/>
        <v>8698613.1500000004</v>
      </c>
      <c r="S46" s="3">
        <f t="shared" si="4"/>
        <v>5947100.96</v>
      </c>
      <c r="T46" s="3">
        <f t="shared" si="4"/>
        <v>10990868.449999999</v>
      </c>
      <c r="U46" s="3">
        <f t="shared" si="4"/>
        <v>11972620.461000001</v>
      </c>
      <c r="V46" s="3">
        <f t="shared" si="4"/>
        <v>12008159.68</v>
      </c>
    </row>
    <row r="47" spans="1:2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M47" s="3"/>
      <c r="N47" s="3"/>
      <c r="O47" s="4" t="s">
        <v>56</v>
      </c>
      <c r="P47" s="3">
        <v>13156080.83</v>
      </c>
      <c r="Q47" s="23">
        <v>17498120.029999997</v>
      </c>
      <c r="R47" s="3">
        <f t="shared" si="4"/>
        <v>21983644.324999999</v>
      </c>
      <c r="S47" s="3">
        <f t="shared" si="4"/>
        <v>9181590.7400000021</v>
      </c>
      <c r="T47" s="3">
        <f t="shared" si="4"/>
        <v>25909086.93</v>
      </c>
      <c r="U47" s="3">
        <f t="shared" si="4"/>
        <v>27622860.336999997</v>
      </c>
      <c r="V47" s="3">
        <f t="shared" si="4"/>
        <v>29868861.675999999</v>
      </c>
    </row>
    <row r="48" spans="1:2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M48" s="3"/>
      <c r="N48" s="3"/>
      <c r="O48" s="4" t="s">
        <v>57</v>
      </c>
      <c r="P48" s="3">
        <v>563786.18999999994</v>
      </c>
      <c r="Q48" s="23">
        <v>1773766.73</v>
      </c>
      <c r="R48" s="3">
        <f t="shared" si="4"/>
        <v>2451686.34</v>
      </c>
      <c r="S48" s="3">
        <f t="shared" si="4"/>
        <v>2580520.0900000003</v>
      </c>
      <c r="T48" s="3">
        <f t="shared" si="4"/>
        <v>2433263.37</v>
      </c>
      <c r="U48" s="3">
        <f t="shared" si="4"/>
        <v>2757929.4720000001</v>
      </c>
      <c r="V48" s="3">
        <f t="shared" si="4"/>
        <v>3448993.7300000004</v>
      </c>
    </row>
    <row r="49" spans="2:2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M49" s="3"/>
      <c r="N49" s="3"/>
      <c r="O49" s="4" t="s">
        <v>58</v>
      </c>
      <c r="P49" s="3">
        <v>9125266.5999999996</v>
      </c>
      <c r="Q49" s="23">
        <v>12610137.149999999</v>
      </c>
      <c r="R49" s="3">
        <f t="shared" si="4"/>
        <v>11946502.880000001</v>
      </c>
      <c r="S49" s="3">
        <f t="shared" si="4"/>
        <v>7909169.9100000001</v>
      </c>
      <c r="T49" s="3">
        <f t="shared" si="4"/>
        <v>11312990.07</v>
      </c>
      <c r="U49" s="3">
        <f t="shared" si="4"/>
        <v>10031071.428399999</v>
      </c>
      <c r="V49" s="3">
        <f t="shared" si="4"/>
        <v>10855208.769999998</v>
      </c>
    </row>
    <row r="50" spans="2:2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M50" s="3"/>
      <c r="N50" s="3"/>
      <c r="O50" s="4" t="s">
        <v>59</v>
      </c>
      <c r="P50" s="3">
        <v>6589192.25</v>
      </c>
      <c r="Q50" s="23">
        <v>9723321.2799999993</v>
      </c>
      <c r="R50" s="3">
        <f t="shared" si="4"/>
        <v>10153645.829999998</v>
      </c>
      <c r="S50" s="3">
        <f t="shared" si="4"/>
        <v>6358160.0700000003</v>
      </c>
      <c r="T50" s="3">
        <f t="shared" si="4"/>
        <v>13465688.68</v>
      </c>
      <c r="U50" s="3">
        <f t="shared" si="4"/>
        <v>13925732.6666</v>
      </c>
      <c r="V50" s="3">
        <f t="shared" si="4"/>
        <v>14387088.829999998</v>
      </c>
    </row>
    <row r="51" spans="2:2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M51" s="3"/>
      <c r="N51" s="3"/>
      <c r="O51" s="4" t="s">
        <v>60</v>
      </c>
      <c r="P51" s="3">
        <v>9874084.1600000001</v>
      </c>
      <c r="Q51" s="23">
        <v>12434694.649999999</v>
      </c>
      <c r="R51" s="3">
        <f t="shared" si="4"/>
        <v>11807838.66</v>
      </c>
      <c r="S51" s="3">
        <f t="shared" si="4"/>
        <v>13061458.859999999</v>
      </c>
      <c r="T51" s="3">
        <f t="shared" si="4"/>
        <v>15100490.25</v>
      </c>
      <c r="U51" s="3">
        <f t="shared" si="4"/>
        <v>17043507.483999997</v>
      </c>
      <c r="V51" s="3">
        <f t="shared" si="4"/>
        <v>16428599.425000001</v>
      </c>
    </row>
    <row r="52" spans="2:2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M52" s="3"/>
      <c r="N52" s="3"/>
      <c r="O52" s="4" t="s">
        <v>61</v>
      </c>
      <c r="P52" s="3">
        <v>15424283.250000004</v>
      </c>
      <c r="Q52" s="23">
        <v>20505081.599999994</v>
      </c>
      <c r="R52" s="3">
        <f t="shared" si="4"/>
        <v>22462983.789999999</v>
      </c>
      <c r="S52" s="3">
        <f t="shared" si="4"/>
        <v>23683245.52</v>
      </c>
      <c r="T52" s="3">
        <f t="shared" si="4"/>
        <v>21574058.689999998</v>
      </c>
      <c r="U52" s="3">
        <f t="shared" si="4"/>
        <v>23421048.300000004</v>
      </c>
      <c r="V52" s="3">
        <f t="shared" si="4"/>
        <v>23808645.879999999</v>
      </c>
    </row>
    <row r="53" spans="2:2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M53" s="3"/>
      <c r="N53" s="3"/>
      <c r="O53" s="4" t="s">
        <v>62</v>
      </c>
      <c r="P53" s="3">
        <v>19121149.300000001</v>
      </c>
      <c r="Q53" s="23">
        <v>27347316.960000001</v>
      </c>
      <c r="R53" s="3">
        <f t="shared" si="4"/>
        <v>30750547.939999998</v>
      </c>
      <c r="S53" s="3">
        <f t="shared" si="4"/>
        <v>32945144.069999997</v>
      </c>
      <c r="T53" s="3">
        <f t="shared" si="4"/>
        <v>34810489.399999999</v>
      </c>
      <c r="U53" s="3">
        <f t="shared" si="4"/>
        <v>42832104.030000001</v>
      </c>
      <c r="V53" s="3">
        <f t="shared" si="4"/>
        <v>50794534.460000008</v>
      </c>
    </row>
    <row r="54" spans="2:2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M54" s="3"/>
      <c r="N54" s="3"/>
      <c r="O54" s="4" t="s">
        <v>63</v>
      </c>
      <c r="P54" s="3">
        <v>14483951.450000001</v>
      </c>
      <c r="Q54" s="23">
        <v>21910210.289999999</v>
      </c>
      <c r="R54" s="3">
        <f t="shared" si="4"/>
        <v>25050862.829999998</v>
      </c>
      <c r="S54" s="3">
        <f t="shared" si="4"/>
        <v>28968304</v>
      </c>
      <c r="T54" s="3">
        <f t="shared" si="4"/>
        <v>27993704.789999999</v>
      </c>
      <c r="U54" s="3">
        <f t="shared" si="4"/>
        <v>31369978.870000001</v>
      </c>
      <c r="V54" s="3">
        <f t="shared" si="4"/>
        <v>29440804.519999996</v>
      </c>
    </row>
    <row r="55" spans="2:2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M55" s="3"/>
      <c r="N55" s="3"/>
      <c r="O55" s="4" t="s">
        <v>64</v>
      </c>
      <c r="P55" s="3">
        <v>27642128.069999993</v>
      </c>
      <c r="Q55" s="23">
        <v>34260241.729999997</v>
      </c>
      <c r="R55" s="3">
        <f t="shared" si="4"/>
        <v>39536598.640000008</v>
      </c>
      <c r="S55" s="3">
        <f t="shared" si="4"/>
        <v>44492550.350000001</v>
      </c>
      <c r="T55" s="3">
        <f t="shared" si="4"/>
        <v>46107004.269999996</v>
      </c>
      <c r="U55" s="3">
        <f t="shared" si="4"/>
        <v>52074088.550000012</v>
      </c>
      <c r="V55" s="3">
        <f t="shared" si="4"/>
        <v>52286749.170000002</v>
      </c>
    </row>
    <row r="56" spans="2:2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M56" s="3"/>
      <c r="N56" s="3"/>
      <c r="O56" s="4" t="s">
        <v>65</v>
      </c>
      <c r="P56" s="3">
        <v>12905259.859999999</v>
      </c>
      <c r="Q56" s="23">
        <v>19379941.390000001</v>
      </c>
      <c r="R56" s="3">
        <f t="shared" si="4"/>
        <v>20312685.899999999</v>
      </c>
      <c r="S56" s="3">
        <f t="shared" si="4"/>
        <v>15456736.35</v>
      </c>
      <c r="T56" s="3">
        <f t="shared" si="4"/>
        <v>23428238.91</v>
      </c>
      <c r="U56" s="3">
        <f t="shared" si="4"/>
        <v>26813330.047800001</v>
      </c>
      <c r="V56" s="3">
        <f t="shared" si="4"/>
        <v>30205366.392999999</v>
      </c>
    </row>
    <row r="57" spans="2:22" x14ac:dyDescent="0.25">
      <c r="B57" s="3"/>
      <c r="C57" s="3"/>
      <c r="D57" s="3"/>
      <c r="E57" s="3"/>
      <c r="F57" s="3"/>
      <c r="G57" s="3"/>
      <c r="H57" s="3"/>
      <c r="I57" s="3"/>
      <c r="J57" s="3"/>
      <c r="K57" s="3"/>
      <c r="M57" s="3"/>
      <c r="N57" s="3"/>
      <c r="O57" s="6" t="s">
        <v>66</v>
      </c>
      <c r="P57" s="3">
        <v>55981769.233300008</v>
      </c>
      <c r="Q57" s="23">
        <v>74119274.931099996</v>
      </c>
      <c r="R57" s="3">
        <f t="shared" si="4"/>
        <v>102346229.71000001</v>
      </c>
      <c r="S57" s="3">
        <f t="shared" si="4"/>
        <v>116663001.61669999</v>
      </c>
      <c r="T57" s="3">
        <f t="shared" si="4"/>
        <v>121178364.9189</v>
      </c>
      <c r="U57" s="3">
        <f t="shared" si="4"/>
        <v>117270900.5696</v>
      </c>
      <c r="V57" s="3">
        <f t="shared" si="4"/>
        <v>137699477.97600001</v>
      </c>
    </row>
  </sheetData>
  <mergeCells count="15">
    <mergeCell ref="A2:L2"/>
    <mergeCell ref="A1:L1"/>
    <mergeCell ref="I4:I5"/>
    <mergeCell ref="J4:J5"/>
    <mergeCell ref="G4:G5"/>
    <mergeCell ref="H4:H5"/>
    <mergeCell ref="A3:A5"/>
    <mergeCell ref="L3:L5"/>
    <mergeCell ref="B4:B5"/>
    <mergeCell ref="C4:C5"/>
    <mergeCell ref="D4:D5"/>
    <mergeCell ref="E4:E5"/>
    <mergeCell ref="F4:F5"/>
    <mergeCell ref="K4:K5"/>
    <mergeCell ref="B3:K3"/>
  </mergeCells>
  <pageMargins left="0.7" right="0.7" top="0.75" bottom="0.75" header="0.3" footer="0.3"/>
  <pageSetup paperSize="9" scale="43" orientation="portrait" r:id="rId1"/>
  <colBreaks count="1" manualBreakCount="1">
    <brk id="13" max="1048575" man="1"/>
  </colBreaks>
  <ignoredErrors>
    <ignoredError sqref="D8:K8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18.24</vt:lpstr>
      <vt:lpstr>'18.24'!Print_Area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2023-03-16T03:50:47Z</cp:lastPrinted>
  <dcterms:created xsi:type="dcterms:W3CDTF">2019-02-21T04:10:17Z</dcterms:created>
  <dcterms:modified xsi:type="dcterms:W3CDTF">2023-03-16T03:51:00Z</dcterms:modified>
</cp:coreProperties>
</file>