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F8DFAFCA-F59F-4C0C-9E78-B4184C9BA604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2" sheetId="21" r:id="rId1"/>
  </sheets>
  <externalReferences>
    <externalReference r:id="rId2"/>
  </externalReferences>
  <definedNames>
    <definedName name="_xlnm.Print_Area" localSheetId="0">'18.22'!$A$1:$K$52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1" l="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8" i="21" s="1"/>
  <c r="B9" i="21"/>
  <c r="I8" i="21"/>
  <c r="I6" i="21" s="1"/>
  <c r="B6" i="21" s="1"/>
  <c r="F8" i="21"/>
  <c r="E8" i="21"/>
  <c r="D8" i="21"/>
  <c r="C8" i="21"/>
  <c r="B7" i="21"/>
  <c r="H6" i="21"/>
  <c r="G6" i="21"/>
  <c r="F6" i="21"/>
  <c r="E6" i="21"/>
  <c r="D6" i="21"/>
  <c r="C6" i="21"/>
</calcChain>
</file>

<file path=xl/sharedStrings.xml><?xml version="1.0" encoding="utf-8"?>
<sst xmlns="http://schemas.openxmlformats.org/spreadsheetml/2006/main" count="79" uniqueCount="74">
  <si>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</si>
  <si>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</si>
  <si>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</si>
  <si>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</si>
  <si>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</si>
  <si>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</si>
  <si>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</si>
  <si>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</si>
  <si>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</si>
  <si>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</si>
  <si>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</si>
  <si>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</si>
  <si>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</si>
  <si>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</si>
  <si>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</si>
  <si>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</si>
  <si>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</si>
  <si>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</si>
  <si>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</si>
  <si>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</si>
  <si>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</si>
  <si>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</si>
  <si>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</si>
  <si>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</si>
  <si>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</si>
  <si>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</si>
  <si>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</si>
  <si>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</si>
  <si>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</si>
  <si>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</si>
  <si>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</si>
  <si>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</si>
  <si>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</si>
  <si>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</si>
  <si>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</si>
  <si>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</si>
  <si>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</si>
  <si>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</si>
  <si>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</si>
  <si>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</si>
  <si>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</si>
  <si>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</si>
  <si>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</si>
  <si>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</si>
  <si>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</si>
  <si>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</si>
  <si>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</si>
  <si>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</si>
  <si>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</si>
  <si>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</si>
  <si>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</si>
  <si>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</si>
  <si>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</si>
  <si>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</si>
  <si>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</si>
  <si>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</si>
  <si>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</si>
  <si>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</si>
  <si>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</si>
  <si>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</si>
  <si>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</si>
  <si>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</si>
  <si>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</si>
  <si>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</si>
  <si>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</si>
  <si>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</si>
  <si>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</si>
  <si>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Emergency Evacuation - Air_/</t>
  </si>
  <si>
    <t xml:space="preserve">Airfare Tickets </t>
  </si>
  <si>
    <t>Emergency Evacuation - Air</t>
  </si>
  <si>
    <t>ތާވަލް 18.22: އިޖްތިމާއީ ރައްކާތެރިކަމުގެ ދަށުން އަތޮޅުތަކުން ދެވޭ ޙިދުމަތްތައް ފޯރުކޮށްދޭ ތަންތަނަށް ކުރެވިފައިވާ ޚަރަދު، 2021</t>
  </si>
  <si>
    <t>Table 18.22 :  EXPENDITURE ON AASANDHA SERVICES BY TYPE OF INSTITUTION AND ATOLL ,  2021</t>
  </si>
  <si>
    <t>location(unidentfied)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</si>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</sst>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3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 tint="0.14999847407452621"/>
      <name val="Faruma"/>
    </font>
    <font>
      <b/>
      <sz val="10"/>
      <name val="A_Randhoo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1">
    <xf numFmtId="0" fontId="0" fillId="0" borderId="0"/>
    <xf numFmtId="0" fontId="4" fillId="0" borderId="1"/>
    <xf numFmtId="164" fontId="9" fillId="0" borderId="1"/>
    <xf numFmtId="0" fontId="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32" fillId="0" borderId="1"/>
    <xf numFmtId="0" fontId="33" fillId="0" borderId="1" applyFill="0" applyProtection="0"/>
    <xf numFmtId="0" fontId="34" fillId="0" borderId="1"/>
    <xf numFmtId="0" fontId="34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56">
    <xf numFmtId="0" fontId="0" fillId="0" borderId="0" xfId="0"/>
    <xf numFmtId="0" fontId="0" fillId="2" borderId="0" xfId="0" applyFill="1"/>
    <xf numFmtId="0" fontId="0" fillId="2" borderId="1" xfId="0" applyFill="1" applyBorder="1"/>
    <xf numFmtId="0" fontId="12" fillId="2" borderId="0" xfId="0" applyFont="1" applyFill="1"/>
    <xf numFmtId="168" fontId="3" fillId="2" borderId="4" xfId="5" applyNumberFormat="1" applyFont="1" applyFill="1" applyBorder="1" applyAlignment="1">
      <alignment horizontal="right" vertical="center" wrapText="1"/>
    </xf>
    <xf numFmtId="167" fontId="17" fillId="2" borderId="4" xfId="2" applyNumberFormat="1" applyFont="1" applyFill="1" applyBorder="1" applyAlignment="1">
      <alignment horizontal="right" vertical="center" wrapText="1"/>
    </xf>
    <xf numFmtId="168" fontId="3" fillId="2" borderId="4" xfId="5" applyNumberFormat="1" applyFont="1" applyFill="1" applyBorder="1" applyAlignment="1">
      <alignment horizontal="right" vertical="center"/>
    </xf>
    <xf numFmtId="168" fontId="13" fillId="2" borderId="4" xfId="5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7" fontId="11" fillId="2" borderId="2" xfId="2" applyNumberFormat="1" applyFont="1" applyFill="1" applyBorder="1" applyAlignment="1">
      <alignment horizontal="right" vertical="center" wrapText="1"/>
    </xf>
    <xf numFmtId="167" fontId="24" fillId="2" borderId="2" xfId="2" applyNumberFormat="1" applyFont="1" applyFill="1" applyBorder="1" applyAlignment="1">
      <alignment horizontal="right" vertical="center" wrapText="1"/>
    </xf>
    <xf numFmtId="169" fontId="2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9" fontId="13" fillId="2" borderId="1" xfId="5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69" fontId="12" fillId="2" borderId="0" xfId="0" applyNumberFormat="1" applyFont="1" applyFill="1" applyAlignment="1">
      <alignment horizontal="center" vertical="center"/>
    </xf>
    <xf numFmtId="169" fontId="14" fillId="2" borderId="1" xfId="5" applyNumberFormat="1" applyFont="1" applyFill="1" applyBorder="1" applyAlignment="1"/>
    <xf numFmtId="169" fontId="16" fillId="2" borderId="1" xfId="5" applyNumberFormat="1" applyFont="1" applyFill="1" applyBorder="1" applyAlignment="1"/>
    <xf numFmtId="3" fontId="25" fillId="2" borderId="1" xfId="1" applyNumberFormat="1" applyFont="1" applyFill="1" applyAlignment="1">
      <alignment horizontal="right" vertical="center" indent="3"/>
    </xf>
    <xf numFmtId="168" fontId="3" fillId="2" borderId="1" xfId="0" applyNumberFormat="1" applyFont="1" applyFill="1" applyBorder="1" applyAlignment="1">
      <alignment horizontal="right"/>
    </xf>
    <xf numFmtId="0" fontId="26" fillId="2" borderId="1" xfId="0" applyFont="1" applyFill="1" applyBorder="1"/>
    <xf numFmtId="169" fontId="19" fillId="2" borderId="1" xfId="5" applyNumberFormat="1" applyFont="1" applyFill="1" applyBorder="1" applyAlignment="1"/>
    <xf numFmtId="168" fontId="27" fillId="2" borderId="1" xfId="5" applyNumberFormat="1" applyFont="1" applyFill="1" applyBorder="1" applyAlignment="1">
      <alignment horizontal="right" vertical="center" wrapText="1"/>
    </xf>
    <xf numFmtId="168" fontId="27" fillId="2" borderId="1" xfId="5" applyNumberFormat="1" applyFont="1" applyFill="1" applyBorder="1" applyAlignment="1">
      <alignment horizontal="right" vertical="center"/>
    </xf>
    <xf numFmtId="169" fontId="27" fillId="2" borderId="1" xfId="5" applyNumberFormat="1" applyFont="1" applyFill="1" applyBorder="1" applyAlignment="1">
      <alignment horizontal="center" vertical="center"/>
    </xf>
    <xf numFmtId="169" fontId="27" fillId="2" borderId="1" xfId="5" applyNumberFormat="1" applyFont="1" applyFill="1" applyBorder="1" applyAlignment="1">
      <alignment horizontal="right" vertical="center"/>
    </xf>
    <xf numFmtId="169" fontId="26" fillId="2" borderId="1" xfId="5" applyNumberFormat="1" applyFont="1" applyFill="1" applyBorder="1"/>
    <xf numFmtId="169" fontId="0" fillId="2" borderId="1" xfId="0" applyNumberFormat="1" applyFill="1" applyBorder="1"/>
    <xf numFmtId="169" fontId="16" fillId="2" borderId="2" xfId="5" applyNumberFormat="1" applyFont="1" applyFill="1" applyBorder="1" applyAlignment="1">
      <alignment vertical="center"/>
    </xf>
    <xf numFmtId="3" fontId="23" fillId="2" borderId="2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1" fillId="2" borderId="1" xfId="0" applyFont="1" applyFill="1" applyBorder="1" applyAlignment="1">
      <alignment vertical="center"/>
    </xf>
    <xf numFmtId="0" fontId="29" fillId="2" borderId="0" xfId="0" applyFont="1" applyFill="1" applyAlignment="1">
      <alignment vertical="center"/>
    </xf>
    <xf numFmtId="168" fontId="0" fillId="2" borderId="1" xfId="5" applyNumberFormat="1" applyFont="1" applyFill="1"/>
    <xf numFmtId="168" fontId="0" fillId="2" borderId="1" xfId="5" applyNumberFormat="1" applyFont="1" applyFill="1" applyAlignment="1">
      <alignment horizontal="right"/>
    </xf>
    <xf numFmtId="168" fontId="3" fillId="2" borderId="1" xfId="5" applyNumberFormat="1" applyFont="1" applyFill="1"/>
    <xf numFmtId="164" fontId="15" fillId="2" borderId="1" xfId="5" applyNumberFormat="1" applyFont="1" applyFill="1" applyAlignment="1">
      <alignment horizontal="right" vertical="center"/>
    </xf>
    <xf numFmtId="164" fontId="15" fillId="2" borderId="2" xfId="5" applyNumberFormat="1" applyFont="1" applyFill="1" applyBorder="1" applyAlignment="1">
      <alignment horizontal="right" vertical="center"/>
    </xf>
    <xf numFmtId="169" fontId="0" fillId="2" borderId="0" xfId="0" applyNumberFormat="1" applyFill="1"/>
    <xf numFmtId="167" fontId="10" fillId="2" borderId="1" xfId="2" applyNumberFormat="1" applyFont="1" applyFill="1" applyAlignment="1">
      <alignment horizontal="right" vertical="center" wrapText="1"/>
    </xf>
    <xf numFmtId="3" fontId="6" fillId="2" borderId="1" xfId="1" applyNumberFormat="1" applyFont="1" applyFill="1" applyAlignment="1">
      <alignment horizontal="center" vertical="top" wrapText="1"/>
    </xf>
    <xf numFmtId="169" fontId="20" fillId="2" borderId="1" xfId="5" applyNumberFormat="1" applyFont="1" applyFill="1" applyAlignment="1">
      <alignment vertical="center"/>
    </xf>
    <xf numFmtId="169" fontId="15" fillId="2" borderId="1" xfId="5" applyNumberFormat="1" applyFont="1" applyFill="1" applyAlignment="1">
      <alignment vertical="center"/>
    </xf>
    <xf numFmtId="3" fontId="23" fillId="2" borderId="1" xfId="1" applyNumberFormat="1" applyFont="1" applyFill="1" applyAlignment="1">
      <alignment horizontal="right" vertical="center"/>
    </xf>
    <xf numFmtId="164" fontId="15" fillId="2" borderId="1" xfId="5" applyNumberFormat="1" applyFont="1" applyFill="1" applyBorder="1" applyAlignment="1">
      <alignment horizontal="right" vertical="center"/>
    </xf>
    <xf numFmtId="169" fontId="15" fillId="2" borderId="1" xfId="5" applyNumberFormat="1" applyFont="1" applyFill="1" applyBorder="1" applyAlignment="1">
      <alignment vertical="center"/>
    </xf>
    <xf numFmtId="169" fontId="15" fillId="2" borderId="2" xfId="5" applyNumberFormat="1" applyFont="1" applyFill="1" applyBorder="1" applyAlignment="1">
      <alignment vertical="center"/>
    </xf>
    <xf numFmtId="167" fontId="17" fillId="2" borderId="3" xfId="2" applyNumberFormat="1" applyFont="1" applyFill="1" applyBorder="1" applyAlignment="1">
      <alignment horizontal="left" vertical="center" wrapText="1"/>
    </xf>
    <xf numFmtId="167" fontId="17" fillId="2" borderId="2" xfId="2" applyNumberFormat="1" applyFont="1" applyFill="1" applyBorder="1" applyAlignment="1">
      <alignment horizontal="left" vertical="center" wrapText="1"/>
    </xf>
    <xf numFmtId="3" fontId="5" fillId="2" borderId="1" xfId="1" applyNumberFormat="1" applyFont="1" applyFill="1" applyAlignment="1">
      <alignment horizontal="center" wrapText="1" readingOrder="2"/>
    </xf>
    <xf numFmtId="3" fontId="6" fillId="2" borderId="1" xfId="1" applyNumberFormat="1" applyFont="1" applyFill="1" applyAlignment="1">
      <alignment horizontal="center" vertical="top" wrapText="1"/>
    </xf>
    <xf numFmtId="0" fontId="22" fillId="2" borderId="3" xfId="0" applyFont="1" applyFill="1" applyBorder="1" applyAlignment="1">
      <alignment horizontal="right" vertical="center" indent="2"/>
    </xf>
    <xf numFmtId="0" fontId="22" fillId="2" borderId="2" xfId="0" applyFont="1" applyFill="1" applyBorder="1" applyAlignment="1">
      <alignment horizontal="right" vertical="center" indent="2"/>
    </xf>
  </cellXfs>
  <cellStyles count="21">
    <cellStyle name="Comma 23" xfId="6" xr:uid="{00000000-0005-0000-0000-000001000000}"/>
    <cellStyle name="Comma 3" xfId="5" xr:uid="{00000000-0005-0000-0000-000002000000}"/>
    <cellStyle name="Normal" xfId="0" builtinId="0"/>
    <cellStyle name="Normal 10" xfId="11" xr:uid="{00000000-0005-0000-0000-000004000000}"/>
    <cellStyle name="Normal 12" xfId="4" xr:uid="{00000000-0005-0000-0000-000005000000}"/>
    <cellStyle name="Normal 2" xfId="2" xr:uid="{00000000-0005-0000-0000-000006000000}"/>
    <cellStyle name="Normal 25" xfId="15" xr:uid="{00000000-0005-0000-0000-000007000000}"/>
    <cellStyle name="Normal 3" xfId="8" xr:uid="{00000000-0005-0000-0000-000008000000}"/>
    <cellStyle name="Normal 3 2" xfId="3" xr:uid="{00000000-0005-0000-0000-000009000000}"/>
    <cellStyle name="Normal 30" xfId="10" xr:uid="{00000000-0005-0000-0000-00000A000000}"/>
    <cellStyle name="Normal 30 2" xfId="16" xr:uid="{8CB7D01C-DD85-496B-BD11-D1776558F3C4}"/>
    <cellStyle name="Normal 39" xfId="17" xr:uid="{972F4BFA-9C5F-4CF5-816F-EC252FFDB201}"/>
    <cellStyle name="Normal 4" xfId="9" xr:uid="{00000000-0005-0000-0000-00000B000000}"/>
    <cellStyle name="Normal 40" xfId="18" xr:uid="{0613AE2C-83BE-4A4F-B0CC-2949951A75EC}"/>
    <cellStyle name="Normal 41" xfId="19" xr:uid="{425B46FD-B8A3-4FE6-AAF2-306F2E07F751}"/>
    <cellStyle name="Normal 44" xfId="20" xr:uid="{6C5CDDC4-C000-432D-BE85-6FFEDE896A02}"/>
    <cellStyle name="Normal 54" xfId="12" xr:uid="{00000000-0005-0000-0000-00000C000000}"/>
    <cellStyle name="Normal 58" xfId="14" xr:uid="{00000000-0005-0000-0000-00000D000000}"/>
    <cellStyle name="Normal 59" xfId="13" xr:uid="{00000000-0005-0000-0000-00000E000000}"/>
    <cellStyle name="Normal 8" xfId="7" xr:uid="{00000000-0005-0000-0000-00000F000000}"/>
    <cellStyle name="Normal_II-15(Population) 2" xfId="1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AE52"/>
  <sheetViews>
    <sheetView tabSelected="1" topLeftCell="B1" zoomScale="95" zoomScaleNormal="95" workbookViewId="0">
      <selection activeCell="K14" sqref="K14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7109375" style="1" bestFit="1" customWidth="1"/>
    <col min="4" max="6" width="15.7109375" style="1" customWidth="1"/>
    <col min="7" max="9" width="18.28515625" style="1" customWidth="1"/>
    <col min="10" max="10" width="22" style="1" bestFit="1" customWidth="1"/>
    <col min="11" max="11" width="2.7109375" style="1" customWidth="1"/>
    <col min="12" max="12" width="14.28515625" style="1" bestFit="1" customWidth="1"/>
    <col min="13" max="21" width="14.28515625" style="1" customWidth="1"/>
    <col min="22" max="22" width="9.140625" style="1"/>
    <col min="23" max="23" width="10.7109375" style="1" customWidth="1"/>
    <col min="24" max="24" width="9.85546875" style="1" customWidth="1"/>
    <col min="25" max="25" width="15.28515625" style="1" customWidth="1"/>
    <col min="26" max="31" width="16.140625" style="1" customWidth="1"/>
    <col min="32" max="16384" width="9.140625" style="1"/>
  </cols>
  <sheetData>
    <row r="1" spans="1:29" ht="21" customHeight="1" x14ac:dyDescent="0.55000000000000004">
      <c r="A1" s="52" t="s">
        <v>70</v>
      </c>
      <c r="B1" s="52"/>
      <c r="C1" s="52"/>
      <c r="D1" s="52"/>
      <c r="E1" s="52"/>
      <c r="F1" s="52"/>
      <c r="G1" s="52"/>
      <c r="H1" s="52"/>
      <c r="I1" s="52"/>
      <c r="J1" s="52"/>
    </row>
    <row r="2" spans="1:29" s="13" customFormat="1" ht="15" customHeight="1" x14ac:dyDescent="0.25">
      <c r="A2" s="53" t="s">
        <v>71</v>
      </c>
      <c r="B2" s="53"/>
      <c r="C2" s="53"/>
      <c r="D2" s="53"/>
      <c r="E2" s="53"/>
      <c r="F2" s="53"/>
      <c r="G2" s="53"/>
      <c r="H2" s="53"/>
      <c r="I2" s="53"/>
      <c r="J2" s="53"/>
    </row>
    <row r="3" spans="1:29" s="8" customForma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29" s="8" customFormat="1" ht="30" x14ac:dyDescent="0.25">
      <c r="A4" s="50" t="s">
        <v>2</v>
      </c>
      <c r="B4" s="4" t="s">
        <v>30</v>
      </c>
      <c r="C4" s="5" t="s">
        <v>31</v>
      </c>
      <c r="D4" s="5" t="s">
        <v>0</v>
      </c>
      <c r="E4" s="5" t="s">
        <v>32</v>
      </c>
      <c r="F4" s="5" t="s">
        <v>33</v>
      </c>
      <c r="G4" s="6" t="s">
        <v>66</v>
      </c>
      <c r="H4" s="7" t="s">
        <v>67</v>
      </c>
      <c r="I4" s="7" t="s">
        <v>43</v>
      </c>
      <c r="J4" s="54" t="s">
        <v>1</v>
      </c>
    </row>
    <row r="5" spans="1:29" s="8" customFormat="1" ht="18.75" customHeight="1" x14ac:dyDescent="0.25">
      <c r="A5" s="51"/>
      <c r="B5" s="9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9" t="s">
        <v>40</v>
      </c>
      <c r="H5" s="9" t="s">
        <v>41</v>
      </c>
      <c r="I5" s="9" t="s">
        <v>41</v>
      </c>
      <c r="J5" s="55"/>
    </row>
    <row r="6" spans="1:29" s="12" customFormat="1" ht="18.75" x14ac:dyDescent="0.25">
      <c r="A6" s="11" t="s">
        <v>3</v>
      </c>
      <c r="B6" s="14">
        <f>SUM(C6:I6)</f>
        <v>2282636912.6889997</v>
      </c>
      <c r="C6" s="14">
        <f>SUM(C7:C8)+C29</f>
        <v>1200529424.8559999</v>
      </c>
      <c r="D6" s="14">
        <f>SUM(D7:D8)+D31</f>
        <v>851962958.82300007</v>
      </c>
      <c r="E6" s="14">
        <f>SUM(E7:E8)</f>
        <v>34454812.159999996</v>
      </c>
      <c r="F6" s="14">
        <f>SUM(F7:F8)</f>
        <v>107374801</v>
      </c>
      <c r="G6" s="14">
        <f>SUM(G7:G8)</f>
        <v>41344989.799999997</v>
      </c>
      <c r="H6" s="14">
        <f>SUM(H7:H8)</f>
        <v>25989480.200000003</v>
      </c>
      <c r="I6" s="14">
        <f>SUM(I7:I8)</f>
        <v>20980445.850000039</v>
      </c>
      <c r="J6" s="15" t="s">
        <v>42</v>
      </c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9" s="3" customFormat="1" ht="18.75" x14ac:dyDescent="0.25">
      <c r="A7" s="17" t="s">
        <v>4</v>
      </c>
      <c r="B7" s="44">
        <f>SUM(C7:I7)</f>
        <v>1319644472.5477002</v>
      </c>
      <c r="C7" s="45">
        <v>630614457.86559999</v>
      </c>
      <c r="D7" s="45">
        <v>501619240.21210003</v>
      </c>
      <c r="E7" s="45">
        <v>29541635.16</v>
      </c>
      <c r="F7" s="45">
        <v>77199262</v>
      </c>
      <c r="G7" s="45">
        <v>41344989.799999997</v>
      </c>
      <c r="H7" s="45">
        <v>25989480.200000003</v>
      </c>
      <c r="I7" s="45">
        <v>13335407.310000041</v>
      </c>
      <c r="J7" s="15" t="s">
        <v>5</v>
      </c>
    </row>
    <row r="8" spans="1:29" s="3" customFormat="1" ht="18.75" x14ac:dyDescent="0.25">
      <c r="A8" s="17" t="s">
        <v>6</v>
      </c>
      <c r="B8" s="44">
        <f t="shared" ref="B8:F8" si="0">SUM(B9:B28)</f>
        <v>746729225.8908999</v>
      </c>
      <c r="C8" s="44">
        <f>SUM(C9:C28)</f>
        <v>353756278.74000001</v>
      </c>
      <c r="D8" s="44">
        <f t="shared" si="0"/>
        <v>350343718.61090004</v>
      </c>
      <c r="E8" s="44">
        <f t="shared" si="0"/>
        <v>4913177</v>
      </c>
      <c r="F8" s="44">
        <f t="shared" si="0"/>
        <v>30175539</v>
      </c>
      <c r="G8" s="39">
        <v>0</v>
      </c>
      <c r="H8" s="39">
        <v>0</v>
      </c>
      <c r="I8" s="44">
        <f>SUM(I9:I31)</f>
        <v>7645038.5399999991</v>
      </c>
      <c r="J8" s="15" t="s">
        <v>7</v>
      </c>
    </row>
    <row r="9" spans="1:29" ht="16.5" x14ac:dyDescent="0.25">
      <c r="A9" s="18" t="s">
        <v>8</v>
      </c>
      <c r="B9" s="45">
        <f>SUM(C9:I9)</f>
        <v>41392741.620000005</v>
      </c>
      <c r="C9" s="45">
        <v>19828752.140000001</v>
      </c>
      <c r="D9" s="45">
        <v>21400669.480000004</v>
      </c>
      <c r="E9" s="39">
        <v>0</v>
      </c>
      <c r="F9" s="39">
        <v>0</v>
      </c>
      <c r="G9" s="39">
        <v>0</v>
      </c>
      <c r="H9" s="39">
        <v>0</v>
      </c>
      <c r="I9" s="45">
        <v>163320.00000000006</v>
      </c>
      <c r="J9" s="19" t="s">
        <v>44</v>
      </c>
    </row>
    <row r="10" spans="1:29" ht="16.5" x14ac:dyDescent="0.25">
      <c r="A10" s="18" t="s">
        <v>9</v>
      </c>
      <c r="B10" s="45">
        <f t="shared" ref="B10:B31" si="1">SUM(C10:I10)</f>
        <v>108191441.09999999</v>
      </c>
      <c r="C10" s="45">
        <v>58865969.399999999</v>
      </c>
      <c r="D10" s="45">
        <v>43128293.299999997</v>
      </c>
      <c r="E10" s="45">
        <v>2571110</v>
      </c>
      <c r="F10" s="45">
        <v>1392900</v>
      </c>
      <c r="G10" s="39">
        <v>0</v>
      </c>
      <c r="H10" s="39">
        <v>0</v>
      </c>
      <c r="I10" s="45">
        <v>2233168.4</v>
      </c>
      <c r="J10" s="19" t="s">
        <v>45</v>
      </c>
    </row>
    <row r="11" spans="1:29" ht="16.5" x14ac:dyDescent="0.25">
      <c r="A11" s="18" t="s">
        <v>10</v>
      </c>
      <c r="B11" s="45">
        <f t="shared" si="1"/>
        <v>29964422.200000003</v>
      </c>
      <c r="C11" s="45">
        <v>15478294.5</v>
      </c>
      <c r="D11" s="45">
        <v>14274448.6</v>
      </c>
      <c r="E11" s="39">
        <v>0</v>
      </c>
      <c r="F11" s="39">
        <v>0</v>
      </c>
      <c r="G11" s="39">
        <v>0</v>
      </c>
      <c r="H11" s="39">
        <v>0</v>
      </c>
      <c r="I11" s="45">
        <v>211679.10000000009</v>
      </c>
      <c r="J11" s="19" t="s">
        <v>29</v>
      </c>
      <c r="K11" s="20"/>
    </row>
    <row r="12" spans="1:29" ht="16.5" x14ac:dyDescent="0.25">
      <c r="A12" s="18" t="s">
        <v>11</v>
      </c>
      <c r="B12" s="45">
        <f t="shared" si="1"/>
        <v>23511330.619999997</v>
      </c>
      <c r="C12" s="45">
        <v>10557329.5</v>
      </c>
      <c r="D12" s="45">
        <v>12856917.019999998</v>
      </c>
      <c r="E12" s="39">
        <v>0</v>
      </c>
      <c r="F12" s="39">
        <v>0</v>
      </c>
      <c r="G12" s="39">
        <v>0</v>
      </c>
      <c r="H12" s="39">
        <v>0</v>
      </c>
      <c r="I12" s="45">
        <v>97084.10000000002</v>
      </c>
      <c r="J12" s="19" t="s">
        <v>46</v>
      </c>
    </row>
    <row r="13" spans="1:29" ht="16.5" x14ac:dyDescent="0.25">
      <c r="A13" s="18" t="s">
        <v>12</v>
      </c>
      <c r="B13" s="45">
        <f t="shared" si="1"/>
        <v>56835878.980000004</v>
      </c>
      <c r="C13" s="45">
        <v>25885531</v>
      </c>
      <c r="D13" s="45">
        <v>29862929.48</v>
      </c>
      <c r="E13" s="39">
        <v>32000</v>
      </c>
      <c r="F13" s="39">
        <v>0</v>
      </c>
      <c r="G13" s="39">
        <v>0</v>
      </c>
      <c r="H13" s="39">
        <v>0</v>
      </c>
      <c r="I13" s="45">
        <v>1055418.4999999993</v>
      </c>
      <c r="J13" s="19" t="s">
        <v>47</v>
      </c>
    </row>
    <row r="14" spans="1:29" ht="16.5" x14ac:dyDescent="0.25">
      <c r="A14" s="18" t="s">
        <v>13</v>
      </c>
      <c r="B14" s="45">
        <f t="shared" si="1"/>
        <v>25762854.509999998</v>
      </c>
      <c r="C14" s="45">
        <v>12636174</v>
      </c>
      <c r="D14" s="45">
        <v>12972242.109999999</v>
      </c>
      <c r="E14" s="39">
        <v>0</v>
      </c>
      <c r="F14" s="39">
        <v>0</v>
      </c>
      <c r="G14" s="39">
        <v>0</v>
      </c>
      <c r="H14" s="39">
        <v>0</v>
      </c>
      <c r="I14" s="45">
        <v>154438.39999999999</v>
      </c>
      <c r="J14" s="19" t="s">
        <v>48</v>
      </c>
      <c r="V14" s="2"/>
      <c r="W14" s="2"/>
      <c r="X14" s="2"/>
      <c r="Y14" s="2"/>
      <c r="Z14" s="2"/>
      <c r="AA14" s="2"/>
      <c r="AB14" s="2"/>
      <c r="AC14" s="2"/>
    </row>
    <row r="15" spans="1:29" ht="16.5" x14ac:dyDescent="0.25">
      <c r="A15" s="18" t="s">
        <v>14</v>
      </c>
      <c r="B15" s="45">
        <f t="shared" si="1"/>
        <v>26402781.809999999</v>
      </c>
      <c r="C15" s="45">
        <v>11051048</v>
      </c>
      <c r="D15" s="45">
        <v>15276509.609999999</v>
      </c>
      <c r="E15" s="39">
        <v>0</v>
      </c>
      <c r="F15" s="39">
        <v>0</v>
      </c>
      <c r="G15" s="39">
        <v>0</v>
      </c>
      <c r="H15" s="39">
        <v>0</v>
      </c>
      <c r="I15" s="45">
        <v>75224.200000000012</v>
      </c>
      <c r="J15" s="19" t="s">
        <v>28</v>
      </c>
      <c r="V15" s="2"/>
      <c r="W15" s="2"/>
      <c r="X15" s="2"/>
      <c r="Y15" s="2"/>
      <c r="Z15" s="2"/>
      <c r="AA15" s="2"/>
      <c r="AB15" s="2"/>
      <c r="AC15" s="2"/>
    </row>
    <row r="16" spans="1:29" ht="16.5" x14ac:dyDescent="0.25">
      <c r="A16" s="18" t="s">
        <v>49</v>
      </c>
      <c r="B16" s="45">
        <f t="shared" si="1"/>
        <v>20389202.530000001</v>
      </c>
      <c r="C16" s="45">
        <v>9241386</v>
      </c>
      <c r="D16" s="45">
        <v>10997424.630000001</v>
      </c>
      <c r="E16" s="39">
        <v>0</v>
      </c>
      <c r="F16" s="45">
        <v>1300</v>
      </c>
      <c r="G16" s="39">
        <v>0</v>
      </c>
      <c r="H16" s="39">
        <v>0</v>
      </c>
      <c r="I16" s="45">
        <v>149091.90000000002</v>
      </c>
      <c r="J16" s="19" t="s">
        <v>50</v>
      </c>
      <c r="V16" s="2"/>
      <c r="W16" s="21"/>
      <c r="X16" s="21"/>
      <c r="Y16" s="21"/>
      <c r="Z16" s="21"/>
      <c r="AA16" s="21"/>
      <c r="AB16" s="21"/>
      <c r="AC16" s="2"/>
    </row>
    <row r="17" spans="1:29" ht="16.5" x14ac:dyDescent="0.25">
      <c r="A17" s="22" t="s">
        <v>15</v>
      </c>
      <c r="B17" s="45">
        <f t="shared" si="1"/>
        <v>12496270.32</v>
      </c>
      <c r="C17" s="45">
        <v>6696130</v>
      </c>
      <c r="D17" s="45">
        <v>5719229.0199999996</v>
      </c>
      <c r="E17" s="39">
        <v>0</v>
      </c>
      <c r="F17" s="39">
        <v>0</v>
      </c>
      <c r="G17" s="39">
        <v>0</v>
      </c>
      <c r="H17" s="39">
        <v>0</v>
      </c>
      <c r="I17" s="45">
        <v>80911.3</v>
      </c>
      <c r="J17" s="19" t="s">
        <v>51</v>
      </c>
      <c r="V17" s="2"/>
      <c r="W17" s="23"/>
      <c r="X17" s="42"/>
      <c r="Y17" s="42"/>
      <c r="Z17" s="42"/>
      <c r="AA17" s="42"/>
      <c r="AB17" s="24"/>
      <c r="AC17" s="24"/>
    </row>
    <row r="18" spans="1:29" ht="16.5" x14ac:dyDescent="0.25">
      <c r="A18" s="18" t="s">
        <v>16</v>
      </c>
      <c r="B18" s="45">
        <f t="shared" si="1"/>
        <v>30490930.940000001</v>
      </c>
      <c r="C18" s="45">
        <v>12717688</v>
      </c>
      <c r="D18" s="45">
        <v>12982277.5</v>
      </c>
      <c r="E18" s="39">
        <v>0</v>
      </c>
      <c r="F18" s="45">
        <v>4585364</v>
      </c>
      <c r="G18" s="39">
        <v>0</v>
      </c>
      <c r="H18" s="39">
        <v>0</v>
      </c>
      <c r="I18" s="45">
        <v>205601.43999999997</v>
      </c>
      <c r="J18" s="19" t="s">
        <v>52</v>
      </c>
      <c r="V18" s="2"/>
      <c r="W18" s="25"/>
      <c r="X18" s="25"/>
      <c r="Y18" s="25"/>
      <c r="Z18" s="25"/>
      <c r="AA18" s="26"/>
      <c r="AB18" s="27"/>
      <c r="AC18" s="28"/>
    </row>
    <row r="19" spans="1:29" ht="16.5" x14ac:dyDescent="0.25">
      <c r="A19" s="18" t="s">
        <v>17</v>
      </c>
      <c r="B19" s="45">
        <f t="shared" si="1"/>
        <v>3633853.8299999996</v>
      </c>
      <c r="C19" s="45">
        <v>1680099</v>
      </c>
      <c r="D19" s="45">
        <v>1949964.0299999998</v>
      </c>
      <c r="E19" s="39">
        <v>0</v>
      </c>
      <c r="F19" s="39">
        <v>0</v>
      </c>
      <c r="G19" s="39">
        <v>0</v>
      </c>
      <c r="H19" s="39">
        <v>0</v>
      </c>
      <c r="I19" s="45">
        <v>3790.7999999999997</v>
      </c>
      <c r="J19" s="19" t="s">
        <v>53</v>
      </c>
      <c r="V19" s="2"/>
      <c r="W19" s="21"/>
      <c r="X19" s="21"/>
      <c r="Y19" s="21"/>
      <c r="Z19" s="21"/>
      <c r="AA19" s="21"/>
      <c r="AB19" s="21"/>
      <c r="AC19" s="2"/>
    </row>
    <row r="20" spans="1:29" ht="16.5" x14ac:dyDescent="0.25">
      <c r="A20" s="18" t="s">
        <v>18</v>
      </c>
      <c r="B20" s="45">
        <f t="shared" si="1"/>
        <v>10071530.289999999</v>
      </c>
      <c r="C20" s="45">
        <v>5363220.4000000004</v>
      </c>
      <c r="D20" s="45">
        <v>4627635.6899999995</v>
      </c>
      <c r="E20" s="39">
        <v>0</v>
      </c>
      <c r="F20" s="39">
        <v>0</v>
      </c>
      <c r="G20" s="39">
        <v>0</v>
      </c>
      <c r="H20" s="39">
        <v>0</v>
      </c>
      <c r="I20" s="45">
        <v>80674.2</v>
      </c>
      <c r="J20" s="19" t="s">
        <v>54</v>
      </c>
      <c r="V20" s="2"/>
      <c r="W20" s="2"/>
      <c r="X20" s="2"/>
      <c r="Y20" s="2"/>
      <c r="Z20" s="2"/>
      <c r="AA20" s="2"/>
      <c r="AB20" s="2"/>
      <c r="AC20" s="2"/>
    </row>
    <row r="21" spans="1:29" ht="16.5" x14ac:dyDescent="0.25">
      <c r="A21" s="18" t="s">
        <v>19</v>
      </c>
      <c r="B21" s="45">
        <f t="shared" si="1"/>
        <v>13328095.180000002</v>
      </c>
      <c r="C21" s="45">
        <v>7195160.5</v>
      </c>
      <c r="D21" s="45">
        <v>6078530.2800000003</v>
      </c>
      <c r="E21" s="39">
        <v>0</v>
      </c>
      <c r="F21" s="39">
        <v>0</v>
      </c>
      <c r="G21" s="39">
        <v>0</v>
      </c>
      <c r="H21" s="39">
        <v>0</v>
      </c>
      <c r="I21" s="45">
        <v>54404.400000000009</v>
      </c>
      <c r="J21" s="19" t="s">
        <v>55</v>
      </c>
      <c r="V21" s="2"/>
      <c r="W21" s="2"/>
      <c r="X21" s="2"/>
      <c r="Y21" s="2"/>
      <c r="Z21" s="2"/>
      <c r="AA21" s="2"/>
      <c r="AB21" s="2"/>
      <c r="AC21" s="2"/>
    </row>
    <row r="22" spans="1:29" ht="16.5" x14ac:dyDescent="0.25">
      <c r="A22" s="18" t="s">
        <v>20</v>
      </c>
      <c r="B22" s="45">
        <f t="shared" si="1"/>
        <v>15420261.9</v>
      </c>
      <c r="C22" s="45">
        <v>7928441</v>
      </c>
      <c r="D22" s="45">
        <v>7382703.7000000011</v>
      </c>
      <c r="E22" s="39">
        <v>0</v>
      </c>
      <c r="F22" s="39">
        <v>0</v>
      </c>
      <c r="G22" s="39">
        <v>0</v>
      </c>
      <c r="H22" s="39">
        <v>0</v>
      </c>
      <c r="I22" s="45">
        <v>109117.19999999995</v>
      </c>
      <c r="J22" s="19" t="s">
        <v>56</v>
      </c>
      <c r="V22" s="2"/>
      <c r="W22" s="2"/>
      <c r="X22" s="2"/>
      <c r="Y22" s="2"/>
      <c r="Z22" s="2"/>
      <c r="AA22" s="2"/>
      <c r="AB22" s="2"/>
      <c r="AC22" s="2"/>
    </row>
    <row r="23" spans="1:29" ht="16.5" x14ac:dyDescent="0.25">
      <c r="A23" s="18" t="s">
        <v>21</v>
      </c>
      <c r="B23" s="45">
        <f t="shared" si="1"/>
        <v>24443361.130000003</v>
      </c>
      <c r="C23" s="45">
        <v>13213512.5</v>
      </c>
      <c r="D23" s="45">
        <v>10731324.530000003</v>
      </c>
      <c r="E23" s="39">
        <v>0</v>
      </c>
      <c r="F23" s="39">
        <v>113715</v>
      </c>
      <c r="G23" s="39">
        <v>0</v>
      </c>
      <c r="H23" s="39">
        <v>0</v>
      </c>
      <c r="I23" s="45">
        <v>384809.10000000009</v>
      </c>
      <c r="J23" s="19" t="s">
        <v>57</v>
      </c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18" t="s">
        <v>22</v>
      </c>
      <c r="B24" s="45">
        <f t="shared" si="1"/>
        <v>47460052.260000005</v>
      </c>
      <c r="C24" s="45">
        <v>25174382</v>
      </c>
      <c r="D24" s="45">
        <v>21864117.760000005</v>
      </c>
      <c r="E24" s="39">
        <v>0</v>
      </c>
      <c r="F24" s="39">
        <v>0</v>
      </c>
      <c r="G24" s="39">
        <v>0</v>
      </c>
      <c r="H24" s="39">
        <v>0</v>
      </c>
      <c r="I24" s="45">
        <v>421552.5</v>
      </c>
      <c r="J24" s="19" t="s">
        <v>58</v>
      </c>
      <c r="V24" s="2"/>
      <c r="W24" s="2"/>
      <c r="X24" s="2"/>
      <c r="Y24" s="2"/>
      <c r="Z24" s="2"/>
      <c r="AA24" s="2"/>
      <c r="AB24" s="2"/>
      <c r="AC24" s="2"/>
    </row>
    <row r="25" spans="1:29" ht="16.5" x14ac:dyDescent="0.25">
      <c r="A25" s="18" t="s">
        <v>23</v>
      </c>
      <c r="B25" s="45">
        <f t="shared" si="1"/>
        <v>31084689.960000001</v>
      </c>
      <c r="C25" s="45">
        <v>11450317</v>
      </c>
      <c r="D25" s="45">
        <v>19358107.960000001</v>
      </c>
      <c r="E25" s="39">
        <v>0</v>
      </c>
      <c r="F25" s="45">
        <v>0</v>
      </c>
      <c r="G25" s="39">
        <v>0</v>
      </c>
      <c r="H25" s="39">
        <v>0</v>
      </c>
      <c r="I25" s="45">
        <v>276265.00000000006</v>
      </c>
      <c r="J25" s="19" t="s">
        <v>59</v>
      </c>
      <c r="V25" s="2"/>
      <c r="W25" s="2"/>
      <c r="X25" s="2"/>
      <c r="Y25" s="2"/>
      <c r="Z25" s="2"/>
      <c r="AA25" s="2"/>
      <c r="AB25" s="2"/>
      <c r="AC25" s="2"/>
    </row>
    <row r="26" spans="1:29" ht="16.5" x14ac:dyDescent="0.25">
      <c r="A26" s="18" t="s">
        <v>24</v>
      </c>
      <c r="B26" s="45">
        <f t="shared" si="1"/>
        <v>44930708.200900003</v>
      </c>
      <c r="C26" s="45">
        <v>21725692</v>
      </c>
      <c r="D26" s="45">
        <v>21501198.2009</v>
      </c>
      <c r="E26" s="45">
        <v>298289</v>
      </c>
      <c r="F26" s="45">
        <v>111100</v>
      </c>
      <c r="G26" s="39">
        <v>0</v>
      </c>
      <c r="H26" s="39">
        <v>0</v>
      </c>
      <c r="I26" s="45">
        <v>1294428.9999999986</v>
      </c>
      <c r="J26" s="19" t="s">
        <v>60</v>
      </c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18" t="s">
        <v>25</v>
      </c>
      <c r="B27" s="45">
        <f t="shared" si="1"/>
        <v>30320378.859999999</v>
      </c>
      <c r="C27" s="45">
        <v>12191713</v>
      </c>
      <c r="D27" s="45">
        <v>14294609.860000001</v>
      </c>
      <c r="E27" s="45">
        <v>563711</v>
      </c>
      <c r="F27" s="45">
        <v>3265575</v>
      </c>
      <c r="G27" s="39">
        <v>0</v>
      </c>
      <c r="H27" s="39">
        <v>0</v>
      </c>
      <c r="I27" s="45">
        <v>4770</v>
      </c>
      <c r="J27" s="19" t="s">
        <v>27</v>
      </c>
      <c r="V27" s="2"/>
      <c r="W27" s="2"/>
      <c r="X27" s="2"/>
      <c r="Y27" s="2"/>
      <c r="Z27" s="2"/>
      <c r="AA27" s="2"/>
      <c r="AB27" s="2"/>
      <c r="AC27" s="2"/>
    </row>
    <row r="28" spans="1:29" ht="16.5" x14ac:dyDescent="0.25">
      <c r="A28" s="18" t="s">
        <v>26</v>
      </c>
      <c r="B28" s="45">
        <f t="shared" si="1"/>
        <v>150598439.64999998</v>
      </c>
      <c r="C28" s="45">
        <v>64875438.799999997</v>
      </c>
      <c r="D28" s="45">
        <v>63084585.849999994</v>
      </c>
      <c r="E28" s="45">
        <v>1448067</v>
      </c>
      <c r="F28" s="45">
        <v>20705585</v>
      </c>
      <c r="G28" s="39">
        <v>0</v>
      </c>
      <c r="H28" s="39">
        <v>0</v>
      </c>
      <c r="I28" s="45">
        <v>484763</v>
      </c>
      <c r="J28" s="19" t="s">
        <v>61</v>
      </c>
      <c r="V28" s="2"/>
      <c r="W28" s="2"/>
      <c r="X28" s="2"/>
      <c r="Y28" s="2"/>
      <c r="Z28" s="2"/>
      <c r="AA28" s="2"/>
      <c r="AB28" s="2"/>
      <c r="AC28" s="2"/>
    </row>
    <row r="29" spans="1:29" ht="18.75" x14ac:dyDescent="0.25">
      <c r="A29" s="18" t="s">
        <v>62</v>
      </c>
      <c r="B29" s="45">
        <f t="shared" si="1"/>
        <v>216158688.25040001</v>
      </c>
      <c r="C29" s="47">
        <v>216158688.25040001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6" t="s">
        <v>63</v>
      </c>
      <c r="V29" s="2"/>
      <c r="W29" s="2"/>
      <c r="X29" s="2"/>
      <c r="Y29" s="2"/>
      <c r="Z29" s="2"/>
      <c r="AA29" s="2"/>
      <c r="AB29" s="2"/>
      <c r="AC29" s="2"/>
    </row>
    <row r="30" spans="1:29" s="32" customFormat="1" ht="16.5" x14ac:dyDescent="0.2">
      <c r="A30" s="18" t="s">
        <v>72</v>
      </c>
      <c r="B30" s="45">
        <f t="shared" si="1"/>
        <v>27178.000000000004</v>
      </c>
      <c r="C30" s="48">
        <v>0</v>
      </c>
      <c r="D30" s="48">
        <v>0</v>
      </c>
      <c r="E30" s="48">
        <v>0</v>
      </c>
      <c r="F30" s="48">
        <v>0</v>
      </c>
      <c r="G30" s="47">
        <v>0</v>
      </c>
      <c r="H30" s="47">
        <v>0</v>
      </c>
      <c r="I30" s="48">
        <v>27178.000000000004</v>
      </c>
      <c r="J30" s="19"/>
      <c r="V30" s="34"/>
      <c r="W30" s="34"/>
      <c r="X30" s="34"/>
      <c r="Y30" s="34"/>
      <c r="Z30" s="34"/>
      <c r="AA30" s="34"/>
      <c r="AB30" s="34"/>
      <c r="AC30" s="34"/>
    </row>
    <row r="31" spans="1:29" s="32" customFormat="1" ht="18.75" x14ac:dyDescent="0.25">
      <c r="A31" s="29" t="s">
        <v>73</v>
      </c>
      <c r="B31" s="29">
        <f t="shared" si="1"/>
        <v>77348</v>
      </c>
      <c r="C31" s="49">
        <v>0</v>
      </c>
      <c r="D31" s="49">
        <v>0</v>
      </c>
      <c r="E31" s="49">
        <v>0</v>
      </c>
      <c r="F31" s="49">
        <v>0</v>
      </c>
      <c r="G31" s="40">
        <v>0</v>
      </c>
      <c r="H31" s="40">
        <v>0</v>
      </c>
      <c r="I31" s="49">
        <v>77348</v>
      </c>
      <c r="J31" s="30"/>
      <c r="V31" s="34"/>
      <c r="W31" s="34"/>
      <c r="X31" s="34"/>
      <c r="Y31" s="34"/>
      <c r="Z31" s="34"/>
      <c r="AA31" s="34"/>
      <c r="AB31" s="34"/>
      <c r="AC31" s="34"/>
    </row>
    <row r="32" spans="1:29" s="32" customFormat="1" ht="17.25" x14ac:dyDescent="0.25">
      <c r="A32" s="31" t="s">
        <v>64</v>
      </c>
      <c r="J32" s="33"/>
      <c r="V32" s="34"/>
      <c r="W32" s="34"/>
      <c r="X32" s="34"/>
      <c r="Y32" s="34"/>
      <c r="Z32" s="34"/>
      <c r="AA32" s="34"/>
      <c r="AB32" s="34"/>
      <c r="AC32" s="34"/>
    </row>
    <row r="33" spans="1:31" s="32" customFormat="1" ht="17.25" x14ac:dyDescent="0.25">
      <c r="A33" s="35" t="s">
        <v>65</v>
      </c>
      <c r="J33" s="33"/>
      <c r="V33" s="34"/>
      <c r="W33" s="34"/>
      <c r="X33" s="34"/>
      <c r="Y33" s="34"/>
      <c r="Z33" s="34"/>
      <c r="AA33" s="34"/>
      <c r="AB33" s="34"/>
      <c r="AC33" s="34"/>
    </row>
    <row r="34" spans="1:31" ht="17.25" x14ac:dyDescent="0.25">
      <c r="A34" s="31"/>
      <c r="B34" s="32"/>
      <c r="C34" s="32"/>
      <c r="D34" s="32"/>
      <c r="E34" s="32"/>
      <c r="F34" s="32"/>
      <c r="G34" s="32"/>
      <c r="H34" s="32"/>
      <c r="I34" s="32"/>
      <c r="J34" s="33"/>
    </row>
    <row r="38" spans="1:31" ht="25.5" x14ac:dyDescent="0.25">
      <c r="Y38" s="5" t="s">
        <v>31</v>
      </c>
      <c r="Z38" s="5" t="s">
        <v>0</v>
      </c>
      <c r="AA38" s="5" t="s">
        <v>32</v>
      </c>
      <c r="AB38" s="5" t="s">
        <v>33</v>
      </c>
      <c r="AC38" s="6" t="s">
        <v>68</v>
      </c>
      <c r="AD38" s="7" t="s">
        <v>69</v>
      </c>
      <c r="AE38" s="7" t="s">
        <v>34</v>
      </c>
    </row>
    <row r="39" spans="1:31" x14ac:dyDescent="0.25">
      <c r="Y39" s="41">
        <v>1083950632.6737001</v>
      </c>
      <c r="Z39" s="41">
        <v>752713889.11500001</v>
      </c>
      <c r="AA39" s="41">
        <v>27752269.409999996</v>
      </c>
      <c r="AB39" s="41">
        <v>75774147.599999994</v>
      </c>
      <c r="AC39" s="41">
        <v>15723963.66</v>
      </c>
      <c r="AD39" s="41">
        <v>37981527.640000001</v>
      </c>
      <c r="AE39" s="1">
        <v>20773359.949999999</v>
      </c>
    </row>
    <row r="42" spans="1:31" x14ac:dyDescent="0.25">
      <c r="A42" s="36"/>
      <c r="C42" s="37"/>
      <c r="D42" s="37"/>
      <c r="E42" s="37"/>
      <c r="F42" s="37"/>
      <c r="G42" s="37"/>
      <c r="H42" s="37"/>
      <c r="I42" s="37"/>
    </row>
    <row r="43" spans="1:31" x14ac:dyDescent="0.25">
      <c r="A43" s="36"/>
      <c r="B43" s="38"/>
      <c r="C43" s="37"/>
      <c r="D43" s="37"/>
      <c r="E43" s="37"/>
      <c r="F43" s="37"/>
      <c r="G43" s="37"/>
      <c r="H43" s="37"/>
      <c r="I43" s="37"/>
    </row>
    <row r="45" spans="1:31" x14ac:dyDescent="0.25">
      <c r="A45" s="36"/>
      <c r="B45" s="38"/>
      <c r="C45" s="37"/>
      <c r="D45" s="37"/>
      <c r="E45" s="37"/>
      <c r="F45" s="37"/>
      <c r="G45" s="37"/>
      <c r="H45" s="37"/>
      <c r="I45" s="37"/>
    </row>
    <row r="46" spans="1:31" x14ac:dyDescent="0.25">
      <c r="G46" s="37"/>
      <c r="H46" s="37"/>
      <c r="I46" s="37"/>
    </row>
    <row r="47" spans="1:31" x14ac:dyDescent="0.25">
      <c r="G47" s="37"/>
      <c r="H47" s="37"/>
      <c r="I47" s="37"/>
    </row>
    <row r="48" spans="1:31" x14ac:dyDescent="0.25">
      <c r="G48" s="37"/>
      <c r="H48" s="37"/>
      <c r="I48" s="37"/>
    </row>
    <row r="49" spans="7:9" x14ac:dyDescent="0.25">
      <c r="G49" s="37"/>
      <c r="H49" s="37"/>
      <c r="I49" s="37"/>
    </row>
    <row r="50" spans="7:9" x14ac:dyDescent="0.25">
      <c r="G50" s="37"/>
      <c r="H50" s="37"/>
      <c r="I50" s="37"/>
    </row>
    <row r="51" spans="7:9" x14ac:dyDescent="0.25">
      <c r="G51" s="37"/>
      <c r="H51" s="37"/>
      <c r="I51" s="37"/>
    </row>
    <row r="52" spans="7:9" x14ac:dyDescent="0.25">
      <c r="G52" s="37"/>
      <c r="H52" s="37"/>
      <c r="I52" s="37"/>
    </row>
  </sheetData>
  <mergeCells count="4">
    <mergeCell ref="A4:A5"/>
    <mergeCell ref="A1:J1"/>
    <mergeCell ref="A2:J2"/>
    <mergeCell ref="J4:J5"/>
  </mergeCells>
  <pageMargins left="0.7" right="0.7" top="0.75" bottom="0.75" header="0.3" footer="0.3"/>
  <pageSetup paperSize="9" scale="44" orientation="portrait" r:id="rId1"/>
  <colBreaks count="1" manualBreakCount="1">
    <brk id="11" max="1048575" man="1"/>
  </colBreaks>
  <ignoredErrors>
    <ignoredError sqref="B8" formula="1"/>
    <ignoredError sqref="C8:I8" formula="1" formulaRange="1"/>
    <ignoredError sqref="J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2023-03-16T03:52:09Z</cp:lastPrinted>
  <dcterms:created xsi:type="dcterms:W3CDTF">2019-02-21T04:10:17Z</dcterms:created>
  <dcterms:modified xsi:type="dcterms:W3CDTF">2023-03-16T03:52:20Z</dcterms:modified>
</cp:coreProperties>
</file>