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B9A8E823-36A1-4EE0-AD48-F2D56DDDBA84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0" sheetId="10" r:id="rId1"/>
  </sheets>
  <externalReferences>
    <externalReference r:id="rId2"/>
  </externalReferences>
  <definedNames>
    <definedName name="_xlnm.Print_Area" localSheetId="0">'18.10'!$A$1:$I$21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0" l="1"/>
  <c r="G18" i="10" l="1"/>
  <c r="F18" i="10"/>
  <c r="G17" i="10" l="1"/>
  <c r="D17" i="10"/>
  <c r="F17" i="10" l="1"/>
  <c r="G16" i="10" l="1"/>
  <c r="D16" i="10"/>
  <c r="F16" i="10" s="1"/>
  <c r="D15" i="10" l="1"/>
  <c r="F15" i="10" s="1"/>
  <c r="G15" i="10"/>
  <c r="G14" i="10" l="1"/>
  <c r="D14" i="10"/>
  <c r="F14" i="10" s="1"/>
  <c r="G13" i="10"/>
  <c r="D13" i="10"/>
  <c r="F13" i="10" s="1"/>
  <c r="G12" i="10"/>
  <c r="D12" i="10"/>
  <c r="F12" i="10" s="1"/>
  <c r="G11" i="10"/>
  <c r="D11" i="10"/>
  <c r="F11" i="10" s="1"/>
  <c r="G10" i="10"/>
  <c r="D10" i="10"/>
  <c r="F10" i="10" s="1"/>
  <c r="G9" i="10"/>
  <c r="D9" i="10"/>
  <c r="F9" i="10" s="1"/>
  <c r="G8" i="10"/>
  <c r="D8" i="10"/>
  <c r="F8" i="10" s="1"/>
  <c r="D7" i="10"/>
  <c r="F7" i="10" s="1"/>
</calcChain>
</file>

<file path=xl/sharedStrings.xml><?xml version="1.0" encoding="utf-8"?>
<sst xmlns="http://schemas.openxmlformats.org/spreadsheetml/2006/main" count="18" uniqueCount="18">
  <si>
    <t>އިތުރުވި މިންވަރު</t>
  </si>
  <si>
    <t>ޖުމްލަ</t>
  </si>
  <si>
    <t>% share</t>
  </si>
  <si>
    <t>% change</t>
  </si>
  <si>
    <t>Total</t>
  </si>
  <si>
    <t>Source: Maldives Pension Administration</t>
  </si>
  <si>
    <t>މަޢުލޫމާތު ދެއްވި ފަރާތް: މޯލްޑިވްސް ޕެންޝަން އެޑްމިނިސްޓްރޭޝަން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</si>
  <si>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</si>
  <si>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</si>
  <si>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</si>
  <si>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</si>
  <si>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</si>
  <si>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</si>
  <si>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</si>
  <si>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</si>
  <si>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</si>
  <si>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TABLE   18.10:  AMOUNT OF CONTRIBUTION TO RETIREMENT PENSION SCHEME BY SECTOR, 2010 - 2021</t>
  </si>
  <si>
    <t>ތާވަލު 18.10 :ރިޓާޔަމަންޓް ޕެންޝަން ސްކީމްއަށް ޕަބްލިކް އަދި ޕްރައިވެޓް ސެކްޓަރއިން ފައިސާދެއްކި މިންވަރު،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</si>
</sst>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20">
    <xf numFmtId="0" fontId="0" fillId="0" borderId="0"/>
    <xf numFmtId="164" fontId="10" fillId="0" borderId="16"/>
    <xf numFmtId="0" fontId="1" fillId="0" borderId="16"/>
    <xf numFmtId="0" fontId="1" fillId="0" borderId="16"/>
    <xf numFmtId="43" fontId="8" fillId="0" borderId="16" applyFont="0" applyFill="0" applyBorder="0" applyAlignment="0" applyProtection="0"/>
    <xf numFmtId="43" fontId="8" fillId="0" borderId="16" applyFont="0" applyFill="0" applyBorder="0" applyAlignment="0" applyProtection="0"/>
    <xf numFmtId="0" fontId="8" fillId="0" borderId="16"/>
    <xf numFmtId="0" fontId="11" fillId="0" borderId="16"/>
    <xf numFmtId="0" fontId="12" fillId="0" borderId="16" applyFill="0" applyProtection="0"/>
    <xf numFmtId="0" fontId="13" fillId="0" borderId="16"/>
    <xf numFmtId="0" fontId="13" fillId="0" borderId="16"/>
    <xf numFmtId="0" fontId="8" fillId="0" borderId="16"/>
    <xf numFmtId="0" fontId="8" fillId="0" borderId="16"/>
    <xf numFmtId="0" fontId="8" fillId="0" borderId="16"/>
    <xf numFmtId="0" fontId="8" fillId="0" borderId="16"/>
    <xf numFmtId="0" fontId="8" fillId="0" borderId="16"/>
    <xf numFmtId="0" fontId="8" fillId="0" borderId="16"/>
    <xf numFmtId="0" fontId="8" fillId="0" borderId="16"/>
    <xf numFmtId="0" fontId="8" fillId="0" borderId="16"/>
    <xf numFmtId="0" fontId="8" fillId="0" borderId="16"/>
  </cellStyleXfs>
  <cellXfs count="39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/>
    <xf numFmtId="0" fontId="2" fillId="2" borderId="2" xfId="0" applyFont="1" applyFill="1" applyBorder="1"/>
    <xf numFmtId="3" fontId="4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3" fontId="0" fillId="2" borderId="2" xfId="0" applyNumberFormat="1" applyFill="1" applyBorder="1"/>
    <xf numFmtId="0" fontId="6" fillId="2" borderId="2" xfId="0" applyFont="1" applyFill="1" applyBorder="1"/>
    <xf numFmtId="0" fontId="7" fillId="2" borderId="2" xfId="0" applyFont="1" applyFill="1" applyBorder="1"/>
    <xf numFmtId="3" fontId="4" fillId="2" borderId="1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right" vertical="center"/>
    </xf>
    <xf numFmtId="1" fontId="0" fillId="2" borderId="2" xfId="0" applyNumberFormat="1" applyFill="1" applyBorder="1" applyAlignment="1">
      <alignment horizontal="right" vertical="center"/>
    </xf>
    <xf numFmtId="1" fontId="0" fillId="2" borderId="12" xfId="0" applyNumberFormat="1" applyFill="1" applyBorder="1" applyAlignment="1">
      <alignment horizontal="right" vertical="center"/>
    </xf>
    <xf numFmtId="0" fontId="0" fillId="2" borderId="18" xfId="0" applyFill="1" applyBorder="1" applyAlignment="1">
      <alignment horizontal="center" vertical="center"/>
    </xf>
    <xf numFmtId="3" fontId="0" fillId="2" borderId="18" xfId="0" applyNumberForma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1" fontId="0" fillId="2" borderId="19" xfId="0" applyNumberFormat="1" applyFill="1" applyBorder="1" applyAlignment="1">
      <alignment horizontal="right" vertical="center"/>
    </xf>
    <xf numFmtId="1" fontId="0" fillId="2" borderId="18" xfId="0" applyNumberFormat="1" applyFill="1" applyBorder="1" applyAlignment="1">
      <alignment horizontal="right" vertical="center"/>
    </xf>
    <xf numFmtId="1" fontId="0" fillId="2" borderId="16" xfId="0" applyNumberFormat="1" applyFill="1" applyBorder="1" applyAlignment="1">
      <alignment horizontal="right" vertical="center"/>
    </xf>
    <xf numFmtId="1" fontId="0" fillId="2" borderId="15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1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7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1"/>
  <sheetViews>
    <sheetView tabSelected="1" zoomScaleNormal="100" workbookViewId="0">
      <selection activeCell="P17" sqref="P17"/>
    </sheetView>
  </sheetViews>
  <sheetFormatPr defaultColWidth="14.425781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4.42578125" style="2"/>
  </cols>
  <sheetData>
    <row r="1" spans="1:26" ht="21" customHeight="1" x14ac:dyDescent="0.55000000000000004">
      <c r="A1" s="30" t="s">
        <v>17</v>
      </c>
      <c r="B1" s="31"/>
      <c r="C1" s="31"/>
      <c r="D1" s="31"/>
      <c r="E1" s="31"/>
      <c r="F1" s="31"/>
      <c r="G1" s="32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4" t="s">
        <v>16</v>
      </c>
      <c r="B2" s="31"/>
      <c r="C2" s="31"/>
      <c r="D2" s="31"/>
      <c r="E2" s="31"/>
      <c r="F2" s="31"/>
      <c r="G2" s="3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5" t="s">
        <v>7</v>
      </c>
      <c r="B4" s="38" t="s">
        <v>8</v>
      </c>
      <c r="C4" s="38" t="s">
        <v>9</v>
      </c>
      <c r="D4" s="38" t="s">
        <v>4</v>
      </c>
      <c r="E4" s="11"/>
      <c r="F4" s="37" t="s">
        <v>10</v>
      </c>
      <c r="G4" s="3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6"/>
      <c r="B5" s="36"/>
      <c r="C5" s="36"/>
      <c r="D5" s="36"/>
      <c r="E5" s="12"/>
      <c r="F5" s="13" t="s">
        <v>2</v>
      </c>
      <c r="G5" s="13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4" t="s">
        <v>11</v>
      </c>
      <c r="B6" s="15" t="s">
        <v>12</v>
      </c>
      <c r="C6" s="15" t="s">
        <v>13</v>
      </c>
      <c r="D6" s="15" t="s">
        <v>1</v>
      </c>
      <c r="E6" s="16"/>
      <c r="F6" s="17" t="s">
        <v>14</v>
      </c>
      <c r="G6" s="17" t="s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1.5" customHeight="1" x14ac:dyDescent="0.25">
      <c r="A7" s="19">
        <v>2010</v>
      </c>
      <c r="B7" s="6">
        <v>144012812.99000001</v>
      </c>
      <c r="C7" s="6">
        <v>4343052.63</v>
      </c>
      <c r="D7" s="5">
        <f t="shared" ref="D7:D14" si="0">SUM(B7:C7)</f>
        <v>148355865.62</v>
      </c>
      <c r="E7" s="6"/>
      <c r="F7" s="20">
        <f t="shared" ref="F7:F14" si="1">(B7/D7)*100</f>
        <v>97.072544040068948</v>
      </c>
      <c r="G7" s="21" t="s">
        <v>15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19">
        <v>2011</v>
      </c>
      <c r="B8" s="6">
        <v>326364381.68000001</v>
      </c>
      <c r="C8" s="6">
        <v>256249489.41</v>
      </c>
      <c r="D8" s="5">
        <f t="shared" si="0"/>
        <v>582613871.09000003</v>
      </c>
      <c r="E8" s="6"/>
      <c r="F8" s="22">
        <f t="shared" si="1"/>
        <v>56.017269391374377</v>
      </c>
      <c r="G8" s="21">
        <f t="shared" ref="G8:G14" si="2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19">
        <v>2012</v>
      </c>
      <c r="B9" s="6">
        <v>302095970.83999997</v>
      </c>
      <c r="C9" s="6">
        <v>399524598.81999999</v>
      </c>
      <c r="D9" s="5">
        <f t="shared" si="0"/>
        <v>701620569.65999997</v>
      </c>
      <c r="E9" s="6"/>
      <c r="F9" s="22">
        <f t="shared" si="1"/>
        <v>43.056886286329004</v>
      </c>
      <c r="G9" s="21">
        <f t="shared" si="2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19">
        <v>2013</v>
      </c>
      <c r="B10" s="6">
        <v>328802942.31999999</v>
      </c>
      <c r="C10" s="6">
        <v>414071405.61000001</v>
      </c>
      <c r="D10" s="5">
        <f t="shared" si="0"/>
        <v>742874347.93000007</v>
      </c>
      <c r="E10" s="6"/>
      <c r="F10" s="22">
        <f t="shared" si="1"/>
        <v>44.260909430538391</v>
      </c>
      <c r="G10" s="21">
        <f t="shared" si="2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19">
        <v>2014</v>
      </c>
      <c r="B11" s="6">
        <v>343675121.81999999</v>
      </c>
      <c r="C11" s="6">
        <v>454365280.81999999</v>
      </c>
      <c r="D11" s="5">
        <f t="shared" si="0"/>
        <v>798040402.63999999</v>
      </c>
      <c r="E11" s="6"/>
      <c r="F11" s="22">
        <f t="shared" si="1"/>
        <v>43.064877502829084</v>
      </c>
      <c r="G11" s="21">
        <f t="shared" si="2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19">
        <v>2015</v>
      </c>
      <c r="B12" s="6">
        <v>387387234.02999997</v>
      </c>
      <c r="C12" s="6">
        <v>504476564.63999999</v>
      </c>
      <c r="D12" s="5">
        <f t="shared" si="0"/>
        <v>891863798.66999996</v>
      </c>
      <c r="E12" s="6"/>
      <c r="F12" s="22">
        <f t="shared" si="1"/>
        <v>43.4356943972493</v>
      </c>
      <c r="G12" s="21">
        <f t="shared" si="2"/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19">
        <v>2016</v>
      </c>
      <c r="B13" s="6">
        <v>393277818.06999999</v>
      </c>
      <c r="C13" s="6">
        <v>543961771.16999996</v>
      </c>
      <c r="D13" s="5">
        <f t="shared" si="0"/>
        <v>937239589.24000001</v>
      </c>
      <c r="E13" s="6"/>
      <c r="F13" s="22">
        <f t="shared" si="1"/>
        <v>41.961289576863244</v>
      </c>
      <c r="G13" s="21">
        <f t="shared" si="2"/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5">
      <c r="A14" s="19">
        <v>2017</v>
      </c>
      <c r="B14" s="6">
        <v>415671867.23000002</v>
      </c>
      <c r="C14" s="6">
        <v>607577206.46000004</v>
      </c>
      <c r="D14" s="5">
        <f t="shared" si="0"/>
        <v>1023249073.6900001</v>
      </c>
      <c r="E14" s="6"/>
      <c r="F14" s="22">
        <f t="shared" si="1"/>
        <v>40.622745518940043</v>
      </c>
      <c r="G14" s="21">
        <f t="shared" si="2"/>
        <v>5.3874343984912807</v>
      </c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5">
      <c r="A15" s="19">
        <v>2018</v>
      </c>
      <c r="B15" s="6">
        <v>437284981.49000001</v>
      </c>
      <c r="C15" s="6">
        <v>663545538.35000002</v>
      </c>
      <c r="D15" s="5">
        <f>SUM(B15:C15)</f>
        <v>1100830519.8400002</v>
      </c>
      <c r="E15" s="6"/>
      <c r="F15" s="22">
        <f>(B15/D15)*100</f>
        <v>39.723188411741802</v>
      </c>
      <c r="G15" s="21">
        <f>((B15-B14)/B15)*100</f>
        <v>4.9425695312827127</v>
      </c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 x14ac:dyDescent="0.25">
      <c r="A16" s="19">
        <v>2019</v>
      </c>
      <c r="B16" s="6">
        <v>463902380.54000002</v>
      </c>
      <c r="C16" s="6">
        <v>719923435.82000005</v>
      </c>
      <c r="D16" s="10">
        <f t="shared" ref="D16:D17" si="3">SUM(B16:C16)</f>
        <v>1183825816.3600001</v>
      </c>
      <c r="E16" s="6"/>
      <c r="F16" s="29">
        <f>(B16/D16)*100</f>
        <v>39.186709237884017</v>
      </c>
      <c r="G16" s="28">
        <f>((B16-B15)/B16)*100</f>
        <v>5.7377155553753241</v>
      </c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 x14ac:dyDescent="0.25">
      <c r="A17" s="19">
        <v>2020</v>
      </c>
      <c r="B17" s="6">
        <v>486971559.36000001</v>
      </c>
      <c r="C17" s="6">
        <v>634611158.79999995</v>
      </c>
      <c r="D17" s="10">
        <f t="shared" si="3"/>
        <v>1121582718.1599998</v>
      </c>
      <c r="E17" s="6"/>
      <c r="F17" s="29">
        <f>(B17/D17)*100</f>
        <v>43.418247399433533</v>
      </c>
      <c r="G17" s="28">
        <f>((B17-B16)/B17)*100</f>
        <v>4.7372743595783184</v>
      </c>
      <c r="H17" s="1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customHeight="1" x14ac:dyDescent="0.25">
      <c r="A18" s="23">
        <v>2021</v>
      </c>
      <c r="B18" s="24">
        <v>516189294.75999999</v>
      </c>
      <c r="C18" s="24">
        <v>738671351.38999999</v>
      </c>
      <c r="D18" s="25">
        <f t="shared" ref="D18" si="4">SUM(B18:C18)</f>
        <v>1254860646.1500001</v>
      </c>
      <c r="E18" s="24"/>
      <c r="F18" s="26">
        <f>(B18/D18)*100</f>
        <v>41.13518870351897</v>
      </c>
      <c r="G18" s="27">
        <f>((B18-B17)/B18)*100</f>
        <v>5.6602753479389065</v>
      </c>
      <c r="H18" s="1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45">
      <c r="A19" s="8" t="s">
        <v>5</v>
      </c>
      <c r="B19" s="1"/>
      <c r="C19" s="1"/>
      <c r="D19" s="1"/>
      <c r="E19" s="1"/>
      <c r="F19" s="1"/>
      <c r="G19" s="9" t="s">
        <v>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" footer="0"/>
  <pageSetup paperSize="9" scale="95" orientation="landscape" horizontalDpi="4294967295" verticalDpi="4294967295" r:id="rId1"/>
  <ignoredErrors>
    <ignoredError sqref="D7:D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2023-03-05T03:55:02Z</cp:lastPrinted>
  <dcterms:created xsi:type="dcterms:W3CDTF">2019-02-21T04:10:17Z</dcterms:created>
  <dcterms:modified xsi:type="dcterms:W3CDTF">2023-03-05T03:55:07Z</dcterms:modified>
</cp:coreProperties>
</file>