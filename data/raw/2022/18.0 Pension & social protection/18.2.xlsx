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ension and Social Protection\"/>
    </mc:Choice>
  </mc:AlternateContent>
  <xr:revisionPtr revIDLastSave="0" documentId="13_ncr:1_{0B4805D9-6130-4FB4-94BC-AC25A6730D87}" xr6:coauthVersionLast="47" xr6:coauthVersionMax="47" xr10:uidLastSave="{00000000-0000-0000-0000-000000000000}"/>
  <bookViews>
    <workbookView xWindow="-120" yWindow="-120" windowWidth="29040" windowHeight="15840" tabRatio="894" xr2:uid="{00000000-000D-0000-FFFF-FFFF00000000}"/>
  </bookViews>
  <sheets>
    <sheet name="18.2" sheetId="2" r:id="rId1"/>
  </sheets>
  <externalReferences>
    <externalReference r:id="rId2"/>
  </externalReferences>
  <definedNames>
    <definedName name="_xlnm.Print_Area" localSheetId="0">'18.2'!$A$1:$AL$40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N27" i="2" l="1"/>
  <c r="BD27" i="2"/>
  <c r="AD8" i="2" l="1"/>
  <c r="T8" i="2"/>
  <c r="K8" i="2"/>
  <c r="BN24" i="2" s="1"/>
  <c r="BD24" i="2" l="1"/>
  <c r="BM27" i="2" l="1"/>
  <c r="BC27" i="2" l="1"/>
  <c r="U8" i="2" l="1"/>
  <c r="J8" i="2"/>
  <c r="BM24" i="2" s="1"/>
  <c r="AC8" i="2"/>
  <c r="BM26" i="2" l="1"/>
  <c r="BC26" i="2" s="1"/>
  <c r="BN26" i="2"/>
  <c r="BC24" i="2"/>
  <c r="BD26" i="2" l="1"/>
  <c r="AK8" i="2" l="1"/>
  <c r="BL27" i="2" s="1"/>
  <c r="BB27" i="2" s="1"/>
  <c r="AE8" i="2" l="1"/>
  <c r="BN25" i="2" s="1"/>
  <c r="R8" i="2"/>
  <c r="BK26" i="2" s="1"/>
  <c r="BA26" i="2" s="1"/>
  <c r="H8" i="2"/>
  <c r="BK24" i="2" s="1"/>
  <c r="BA24" i="2" s="1"/>
  <c r="BD25" i="2" l="1"/>
  <c r="BN28" i="2"/>
  <c r="BL25" i="2"/>
  <c r="BB25" i="2" s="1"/>
  <c r="BM25" i="2"/>
  <c r="BC25" i="2" l="1"/>
  <c r="BM28" i="2"/>
  <c r="AV27" i="2" l="1"/>
  <c r="AU27" i="2"/>
  <c r="AT27" i="2"/>
  <c r="AT26" i="2"/>
  <c r="AT25" i="2"/>
  <c r="AT24" i="2"/>
  <c r="AJ8" i="2"/>
  <c r="BK27" i="2" s="1"/>
  <c r="BA27" i="2" s="1"/>
  <c r="AI8" i="2"/>
  <c r="BJ27" i="2" s="1"/>
  <c r="AH8" i="2"/>
  <c r="BI27" i="2" s="1"/>
  <c r="AY27" i="2" s="1"/>
  <c r="AG8" i="2"/>
  <c r="BH27" i="2" s="1"/>
  <c r="AX27" i="2" s="1"/>
  <c r="AF8" i="2"/>
  <c r="BG27" i="2" s="1"/>
  <c r="AW27" i="2" s="1"/>
  <c r="AB8" i="2"/>
  <c r="BK25" i="2" s="1"/>
  <c r="BA25" i="2" s="1"/>
  <c r="AA8" i="2"/>
  <c r="BJ25" i="2" s="1"/>
  <c r="Z8" i="2"/>
  <c r="BI25" i="2" s="1"/>
  <c r="AY25" i="2" s="1"/>
  <c r="Y8" i="2"/>
  <c r="BH25" i="2" s="1"/>
  <c r="AX25" i="2" s="1"/>
  <c r="X8" i="2"/>
  <c r="BG25" i="2" s="1"/>
  <c r="AW25" i="2" s="1"/>
  <c r="W8" i="2"/>
  <c r="BF25" i="2" s="1"/>
  <c r="AV25" i="2" s="1"/>
  <c r="V8" i="2"/>
  <c r="BE25" i="2" s="1"/>
  <c r="AU25" i="2" s="1"/>
  <c r="S8" i="2"/>
  <c r="BL26" i="2" s="1"/>
  <c r="BB26" i="2" s="1"/>
  <c r="Q8" i="2"/>
  <c r="BJ26" i="2" s="1"/>
  <c r="P8" i="2"/>
  <c r="BI26" i="2" s="1"/>
  <c r="AY26" i="2" s="1"/>
  <c r="O8" i="2"/>
  <c r="BH26" i="2" s="1"/>
  <c r="AX26" i="2" s="1"/>
  <c r="N8" i="2"/>
  <c r="BG26" i="2" s="1"/>
  <c r="AW26" i="2" s="1"/>
  <c r="M8" i="2"/>
  <c r="BF26" i="2" s="1"/>
  <c r="AV26" i="2" s="1"/>
  <c r="L8" i="2"/>
  <c r="BE26" i="2" s="1"/>
  <c r="AU26" i="2" s="1"/>
  <c r="I8" i="2"/>
  <c r="BL24" i="2" s="1"/>
  <c r="G8" i="2"/>
  <c r="BJ24" i="2" s="1"/>
  <c r="AZ24" i="2" s="1"/>
  <c r="F8" i="2"/>
  <c r="BI24" i="2" s="1"/>
  <c r="AY24" i="2" s="1"/>
  <c r="E8" i="2"/>
  <c r="BH24" i="2" s="1"/>
  <c r="AX24" i="2" s="1"/>
  <c r="D8" i="2"/>
  <c r="BG24" i="2" s="1"/>
  <c r="AW24" i="2" s="1"/>
  <c r="C8" i="2"/>
  <c r="BF24" i="2" s="1"/>
  <c r="AV24" i="2" s="1"/>
  <c r="B8" i="2"/>
  <c r="BE24" i="2" s="1"/>
  <c r="AU24" i="2" s="1"/>
  <c r="BL28" i="2" l="1"/>
  <c r="BB24" i="2"/>
  <c r="BK28" i="2"/>
  <c r="AZ27" i="2"/>
  <c r="AZ26" i="2"/>
  <c r="AZ2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Fathimath Shifaza</author>
  </authors>
  <commentList>
    <comment ref="AD12" authorId="0" shapeId="0" xr:uid="{00000000-0006-0000-0100-000001000000}">
      <text>
        <r>
          <rPr>
            <sz val="9"/>
            <color indexed="81"/>
            <rFont val="Tahoma"/>
            <family val="2"/>
          </rPr>
          <t>REVISED</t>
        </r>
      </text>
    </comment>
  </commentList>
</comments>
</file>

<file path=xl/sharedStrings.xml><?xml version="1.0" encoding="utf-8"?>
<sst xmlns="http://schemas.openxmlformats.org/spreadsheetml/2006/main" count="45" uniqueCount="45">
  <si>
    <t>(In MVR)</t>
  </si>
  <si>
    <t>Month</t>
  </si>
  <si>
    <t>އަސާސީ ޕެންޝަން</t>
  </si>
  <si>
    <t>ރިޓަޔަރމަންޓް ޕެންޝަން</t>
  </si>
  <si>
    <t>އެހެނިހެން ޕެންޝަން</t>
  </si>
  <si>
    <t>ސީނިއަ ސިޓިޒަން އެލަވަންސް</t>
  </si>
  <si>
    <t>މަސް</t>
  </si>
  <si>
    <t>ޖުމްލަ</t>
  </si>
  <si>
    <t>Basic pension</t>
  </si>
  <si>
    <t>Retirement  pension</t>
  </si>
  <si>
    <t>Other  pension</t>
  </si>
  <si>
    <t xml:space="preserve"> Senior Citizen Allowance</t>
  </si>
  <si>
    <t>Total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</si>
  <si>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</si>
  <si>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</si>
  <si>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</si>
  <si>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</si>
  <si>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</si>
  <si>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</si>
  <si>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</si>
  <si>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</si>
  <si>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</si>
  <si>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</si>
  <si>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</si>
  <si>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</si>
  <si>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</si>
  <si>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</si>
  <si>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</si>
  <si>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</si>
  <si>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</si>
  <si>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</si>
  <si>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</si>
  <si>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</si>
  <si>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</si>
  <si>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</si>
  <si>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</si>
  <si>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</si>
  <si>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t>Source: Maldives Pension Administration</t>
  </si>
  <si>
    <t>މަޢުލޫމާތު ދެއްވި ފަރާތް: މޯލްޑިވްސް ޕެންޝަން އެޑްމިނިސްޓްރޭޝަން</t>
  </si>
  <si>
    <t>In million Rf</t>
  </si>
  <si>
    <t>In Rf</t>
  </si>
  <si>
    <t xml:space="preserve">ސީނިއަރ ސިޓިޒަން އެލަވަންސް ސްކީމް ތަޢާރަފުކުރެވިފައިވާ ފެބްރުއަރީ 2014 ގައެވެ. އަދި މާރޗް 2019 ގައި ވަނީ ހުއްޓާލާފައެވެ.  </t>
  </si>
  <si>
    <t>Note: Senior Citizen Allowance was introduced in February 2014 and discontinued in March 2019.</t>
  </si>
  <si>
    <t>TABLE   18.2: MONTHLY PENSION PAYOUTS BY SCHEME, 2019- 2021</t>
  </si>
  <si>
    <t>ތާވަލު 18.2: އެކި މަސްމަހު ޕެންޝަންގެ ގޮތުގައި ސްކީމްތަކުން ދެވުނު މިންވަރު، 2019 - 2021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</si>
</sst>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1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b/>
      <sz val="9"/>
      <color rgb="FF262626"/>
      <name val="Calibri"/>
      <family val="2"/>
    </font>
    <font>
      <b/>
      <sz val="9"/>
      <color rgb="FF000000"/>
      <name val="Calibri"/>
      <family val="2"/>
    </font>
    <font>
      <sz val="11"/>
      <color rgb="FF000000"/>
      <name val="Faruma"/>
    </font>
    <font>
      <i/>
      <sz val="9"/>
      <color rgb="FF000000"/>
      <name val="Calibri"/>
      <family val="2"/>
    </font>
    <font>
      <sz val="9"/>
      <color rgb="FF000000"/>
      <name val="Faruma"/>
    </font>
    <font>
      <b/>
      <sz val="9"/>
      <color rgb="FFFF0000"/>
      <name val="Calibri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Courier"/>
      <family val="3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6E3BC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theme="0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hair">
        <color rgb="FF000000"/>
      </left>
      <right/>
      <top style="thin">
        <color indexed="64"/>
      </top>
      <bottom/>
      <diagonal/>
    </border>
    <border>
      <left/>
      <right style="hair">
        <color rgb="FF000000"/>
      </right>
      <top style="thin">
        <color indexed="64"/>
      </top>
      <bottom/>
      <diagonal/>
    </border>
  </borders>
  <cellStyleXfs count="21">
    <xf numFmtId="0" fontId="0" fillId="0" borderId="0"/>
    <xf numFmtId="43" fontId="16" fillId="0" borderId="0" applyFont="0" applyFill="0" applyBorder="0" applyAlignment="0" applyProtection="0"/>
    <xf numFmtId="164" fontId="17" fillId="0" borderId="21"/>
    <xf numFmtId="0" fontId="1" fillId="0" borderId="21"/>
    <xf numFmtId="0" fontId="1" fillId="0" borderId="21"/>
    <xf numFmtId="43" fontId="15" fillId="0" borderId="21" applyFont="0" applyFill="0" applyBorder="0" applyAlignment="0" applyProtection="0"/>
    <xf numFmtId="43" fontId="15" fillId="0" borderId="21" applyFont="0" applyFill="0" applyBorder="0" applyAlignment="0" applyProtection="0"/>
    <xf numFmtId="0" fontId="15" fillId="0" borderId="21"/>
    <xf numFmtId="0" fontId="18" fillId="0" borderId="21"/>
    <xf numFmtId="0" fontId="19" fillId="0" borderId="21" applyFill="0" applyProtection="0"/>
    <xf numFmtId="0" fontId="20" fillId="0" borderId="21"/>
    <xf numFmtId="0" fontId="20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</cellStyleXfs>
  <cellXfs count="102">
    <xf numFmtId="0" fontId="0" fillId="0" borderId="0" xfId="0"/>
    <xf numFmtId="0" fontId="0" fillId="2" borderId="2" xfId="0" applyFill="1" applyBorder="1"/>
    <xf numFmtId="0" fontId="0" fillId="3" borderId="0" xfId="0" applyFill="1"/>
    <xf numFmtId="0" fontId="4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right" vertical="center"/>
    </xf>
    <xf numFmtId="0" fontId="0" fillId="2" borderId="2" xfId="0" applyFill="1" applyBorder="1" applyAlignment="1">
      <alignment vertical="center"/>
    </xf>
    <xf numFmtId="0" fontId="4" fillId="2" borderId="14" xfId="0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right" vertical="center"/>
    </xf>
    <xf numFmtId="0" fontId="4" fillId="2" borderId="23" xfId="0" applyFont="1" applyFill="1" applyBorder="1" applyAlignment="1">
      <alignment horizontal="right" vertical="center"/>
    </xf>
    <xf numFmtId="0" fontId="4" fillId="2" borderId="15" xfId="0" applyFont="1" applyFill="1" applyBorder="1" applyAlignment="1">
      <alignment horizontal="right" vertical="center"/>
    </xf>
    <xf numFmtId="0" fontId="4" fillId="2" borderId="16" xfId="0" applyFont="1" applyFill="1" applyBorder="1" applyAlignment="1">
      <alignment horizontal="right" vertical="center"/>
    </xf>
    <xf numFmtId="164" fontId="0" fillId="2" borderId="2" xfId="0" applyNumberFormat="1" applyFill="1" applyBorder="1"/>
    <xf numFmtId="0" fontId="2" fillId="2" borderId="2" xfId="0" applyFont="1" applyFill="1" applyBorder="1" applyAlignment="1">
      <alignment horizontal="center" vertical="center"/>
    </xf>
    <xf numFmtId="0" fontId="0" fillId="2" borderId="21" xfId="0" applyFill="1" applyBorder="1"/>
    <xf numFmtId="0" fontId="6" fillId="2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/>
    </xf>
    <xf numFmtId="0" fontId="7" fillId="2" borderId="2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vertical="center"/>
    </xf>
    <xf numFmtId="0" fontId="5" fillId="2" borderId="6" xfId="0" applyFont="1" applyFill="1" applyBorder="1"/>
    <xf numFmtId="0" fontId="5" fillId="2" borderId="10" xfId="0" applyFont="1" applyFill="1" applyBorder="1"/>
    <xf numFmtId="0" fontId="4" fillId="2" borderId="2" xfId="0" applyFont="1" applyFill="1" applyBorder="1" applyAlignment="1">
      <alignment horizontal="left" vertical="center"/>
    </xf>
    <xf numFmtId="3" fontId="4" fillId="2" borderId="2" xfId="0" applyNumberFormat="1" applyFont="1" applyFill="1" applyBorder="1" applyAlignment="1">
      <alignment horizontal="right" vertical="center"/>
    </xf>
    <xf numFmtId="3" fontId="4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3" fontId="0" fillId="2" borderId="2" xfId="0" applyNumberFormat="1" applyFill="1" applyBorder="1" applyAlignment="1">
      <alignment vertical="center"/>
    </xf>
    <xf numFmtId="3" fontId="0" fillId="4" borderId="2" xfId="0" applyNumberFormat="1" applyFill="1" applyBorder="1" applyAlignment="1">
      <alignment vertical="center"/>
    </xf>
    <xf numFmtId="3" fontId="0" fillId="2" borderId="2" xfId="0" applyNumberFormat="1" applyFill="1" applyBorder="1" applyAlignment="1">
      <alignment horizontal="right" vertical="center"/>
    </xf>
    <xf numFmtId="3" fontId="0" fillId="4" borderId="2" xfId="0" applyNumberFormat="1" applyFill="1" applyBorder="1" applyAlignment="1">
      <alignment horizontal="right" vertical="center"/>
    </xf>
    <xf numFmtId="0" fontId="10" fillId="2" borderId="2" xfId="0" applyFont="1" applyFill="1" applyBorder="1" applyAlignment="1">
      <alignment horizontal="right" vertical="center"/>
    </xf>
    <xf numFmtId="3" fontId="10" fillId="2" borderId="2" xfId="0" applyNumberFormat="1" applyFont="1" applyFill="1" applyBorder="1" applyAlignment="1">
      <alignment horizontal="right" vertical="center"/>
    </xf>
    <xf numFmtId="3" fontId="0" fillId="2" borderId="2" xfId="0" applyNumberFormat="1" applyFill="1" applyBorder="1"/>
    <xf numFmtId="3" fontId="6" fillId="2" borderId="2" xfId="0" applyNumberFormat="1" applyFont="1" applyFill="1" applyBorder="1" applyAlignment="1">
      <alignment horizontal="center"/>
    </xf>
    <xf numFmtId="0" fontId="10" fillId="2" borderId="2" xfId="0" applyFont="1" applyFill="1" applyBorder="1" applyAlignment="1">
      <alignment horizontal="right"/>
    </xf>
    <xf numFmtId="3" fontId="0" fillId="2" borderId="14" xfId="0" applyNumberFormat="1" applyFill="1" applyBorder="1" applyAlignment="1">
      <alignment vertical="center"/>
    </xf>
    <xf numFmtId="3" fontId="0" fillId="4" borderId="14" xfId="0" applyNumberFormat="1" applyFill="1" applyBorder="1" applyAlignment="1">
      <alignment vertical="center"/>
    </xf>
    <xf numFmtId="3" fontId="0" fillId="2" borderId="15" xfId="0" applyNumberFormat="1" applyFill="1" applyBorder="1" applyAlignment="1">
      <alignment vertical="center"/>
    </xf>
    <xf numFmtId="3" fontId="0" fillId="2" borderId="14" xfId="0" applyNumberFormat="1" applyFill="1" applyBorder="1" applyAlignment="1">
      <alignment horizontal="right" vertical="center"/>
    </xf>
    <xf numFmtId="3" fontId="0" fillId="4" borderId="14" xfId="0" applyNumberFormat="1" applyFill="1" applyBorder="1" applyAlignment="1">
      <alignment horizontal="right" vertical="center"/>
    </xf>
    <xf numFmtId="0" fontId="10" fillId="2" borderId="14" xfId="0" applyFont="1" applyFill="1" applyBorder="1" applyAlignment="1">
      <alignment horizontal="right" vertical="center"/>
    </xf>
    <xf numFmtId="0" fontId="11" fillId="2" borderId="2" xfId="0" applyFont="1" applyFill="1" applyBorder="1" applyAlignment="1">
      <alignment vertical="center"/>
    </xf>
    <xf numFmtId="0" fontId="6" fillId="2" borderId="2" xfId="0" applyFont="1" applyFill="1" applyBorder="1"/>
    <xf numFmtId="0" fontId="12" fillId="2" borderId="2" xfId="0" applyFont="1" applyFill="1" applyBorder="1" applyAlignment="1">
      <alignment vertical="center"/>
    </xf>
    <xf numFmtId="0" fontId="6" fillId="2" borderId="21" xfId="0" applyFont="1" applyFill="1" applyBorder="1" applyAlignment="1">
      <alignment horizontal="center"/>
    </xf>
    <xf numFmtId="0" fontId="11" fillId="2" borderId="2" xfId="0" applyFont="1" applyFill="1" applyBorder="1"/>
    <xf numFmtId="3" fontId="6" fillId="2" borderId="2" xfId="0" applyNumberFormat="1" applyFont="1" applyFill="1" applyBorder="1"/>
    <xf numFmtId="0" fontId="12" fillId="2" borderId="2" xfId="0" applyFont="1" applyFill="1" applyBorder="1"/>
    <xf numFmtId="0" fontId="6" fillId="2" borderId="21" xfId="0" applyFont="1" applyFill="1" applyBorder="1"/>
    <xf numFmtId="0" fontId="9" fillId="2" borderId="2" xfId="0" applyFont="1" applyFill="1" applyBorder="1" applyAlignment="1">
      <alignment horizontal="right" vertical="center"/>
    </xf>
    <xf numFmtId="0" fontId="0" fillId="2" borderId="2" xfId="0" applyFill="1" applyBorder="1" applyAlignment="1">
      <alignment horizontal="right" vertical="center"/>
    </xf>
    <xf numFmtId="0" fontId="7" fillId="2" borderId="2" xfId="0" applyFont="1" applyFill="1" applyBorder="1" applyAlignment="1">
      <alignment horizontal="right" vertical="center"/>
    </xf>
    <xf numFmtId="3" fontId="0" fillId="3" borderId="0" xfId="0" applyNumberFormat="1" applyFill="1"/>
    <xf numFmtId="0" fontId="7" fillId="2" borderId="21" xfId="0" applyFont="1" applyFill="1" applyBorder="1"/>
    <xf numFmtId="3" fontId="4" fillId="2" borderId="21" xfId="0" applyNumberFormat="1" applyFont="1" applyFill="1" applyBorder="1" applyAlignment="1">
      <alignment horizontal="right" vertical="center"/>
    </xf>
    <xf numFmtId="3" fontId="0" fillId="2" borderId="21" xfId="0" applyNumberFormat="1" applyFill="1" applyBorder="1" applyAlignment="1">
      <alignment horizontal="right" vertical="center"/>
    </xf>
    <xf numFmtId="0" fontId="4" fillId="2" borderId="18" xfId="0" applyFont="1" applyFill="1" applyBorder="1" applyAlignment="1">
      <alignment horizontal="right" vertical="center"/>
    </xf>
    <xf numFmtId="3" fontId="0" fillId="2" borderId="21" xfId="0" applyNumberFormat="1" applyFill="1" applyBorder="1" applyAlignment="1">
      <alignment vertical="center"/>
    </xf>
    <xf numFmtId="3" fontId="0" fillId="2" borderId="23" xfId="0" applyNumberFormat="1" applyFill="1" applyBorder="1" applyAlignment="1">
      <alignment vertical="center"/>
    </xf>
    <xf numFmtId="0" fontId="0" fillId="2" borderId="2" xfId="0" applyFill="1" applyBorder="1" applyAlignment="1">
      <alignment horizontal="left" vertical="center" indent="1"/>
    </xf>
    <xf numFmtId="0" fontId="0" fillId="2" borderId="14" xfId="0" applyFill="1" applyBorder="1" applyAlignment="1">
      <alignment horizontal="left" vertical="center" indent="1"/>
    </xf>
    <xf numFmtId="3" fontId="4" fillId="2" borderId="21" xfId="0" applyNumberFormat="1" applyFont="1" applyFill="1" applyBorder="1" applyAlignment="1">
      <alignment vertical="center"/>
    </xf>
    <xf numFmtId="3" fontId="0" fillId="4" borderId="21" xfId="0" applyNumberFormat="1" applyFill="1" applyBorder="1" applyAlignment="1">
      <alignment vertical="center"/>
    </xf>
    <xf numFmtId="3" fontId="0" fillId="4" borderId="23" xfId="0" applyNumberFormat="1" applyFill="1" applyBorder="1" applyAlignment="1">
      <alignment vertical="center"/>
    </xf>
    <xf numFmtId="3" fontId="4" fillId="2" borderId="19" xfId="0" applyNumberFormat="1" applyFont="1" applyFill="1" applyBorder="1" applyAlignment="1">
      <alignment vertical="center"/>
    </xf>
    <xf numFmtId="0" fontId="12" fillId="6" borderId="21" xfId="0" applyFont="1" applyFill="1" applyBorder="1" applyAlignment="1">
      <alignment vertical="center"/>
    </xf>
    <xf numFmtId="3" fontId="0" fillId="5" borderId="21" xfId="0" applyNumberFormat="1" applyFill="1" applyBorder="1" applyAlignment="1">
      <alignment vertical="center"/>
    </xf>
    <xf numFmtId="3" fontId="0" fillId="5" borderId="21" xfId="0" applyNumberFormat="1" applyFill="1" applyBorder="1" applyAlignment="1">
      <alignment horizontal="right" vertical="center"/>
    </xf>
    <xf numFmtId="3" fontId="0" fillId="5" borderId="23" xfId="0" applyNumberFormat="1" applyFill="1" applyBorder="1" applyAlignment="1">
      <alignment vertical="center"/>
    </xf>
    <xf numFmtId="3" fontId="0" fillId="5" borderId="23" xfId="0" applyNumberFormat="1" applyFill="1" applyBorder="1" applyAlignment="1">
      <alignment horizontal="right" vertical="center"/>
    </xf>
    <xf numFmtId="3" fontId="4" fillId="2" borderId="9" xfId="0" applyNumberFormat="1" applyFont="1" applyFill="1" applyBorder="1" applyAlignment="1">
      <alignment vertical="center"/>
    </xf>
    <xf numFmtId="3" fontId="6" fillId="2" borderId="21" xfId="0" applyNumberFormat="1" applyFont="1" applyFill="1" applyBorder="1"/>
    <xf numFmtId="3" fontId="4" fillId="2" borderId="20" xfId="0" applyNumberFormat="1" applyFont="1" applyFill="1" applyBorder="1" applyAlignment="1">
      <alignment horizontal="right" vertical="center"/>
    </xf>
    <xf numFmtId="3" fontId="0" fillId="2" borderId="20" xfId="0" applyNumberFormat="1" applyFill="1" applyBorder="1" applyAlignment="1">
      <alignment vertical="center"/>
    </xf>
    <xf numFmtId="164" fontId="0" fillId="2" borderId="2" xfId="1" applyNumberFormat="1" applyFont="1" applyFill="1" applyBorder="1"/>
    <xf numFmtId="3" fontId="15" fillId="5" borderId="21" xfId="0" applyNumberFormat="1" applyFont="1" applyFill="1" applyBorder="1" applyAlignment="1">
      <alignment vertical="center"/>
    </xf>
    <xf numFmtId="3" fontId="15" fillId="5" borderId="23" xfId="0" applyNumberFormat="1" applyFont="1" applyFill="1" applyBorder="1" applyAlignment="1">
      <alignment vertical="center"/>
    </xf>
    <xf numFmtId="3" fontId="15" fillId="5" borderId="19" xfId="0" applyNumberFormat="1" applyFont="1" applyFill="1" applyBorder="1" applyAlignment="1">
      <alignment vertical="center"/>
    </xf>
    <xf numFmtId="3" fontId="15" fillId="5" borderId="17" xfId="0" applyNumberFormat="1" applyFont="1" applyFill="1" applyBorder="1" applyAlignment="1">
      <alignment vertical="center"/>
    </xf>
    <xf numFmtId="0" fontId="3" fillId="3" borderId="7" xfId="0" applyFont="1" applyFill="1" applyBorder="1"/>
    <xf numFmtId="0" fontId="3" fillId="3" borderId="13" xfId="0" applyFont="1" applyFill="1" applyBorder="1"/>
    <xf numFmtId="0" fontId="3" fillId="3" borderId="3" xfId="0" applyFont="1" applyFill="1" applyBorder="1"/>
    <xf numFmtId="0" fontId="3" fillId="3" borderId="21" xfId="0" applyFont="1" applyFill="1" applyBorder="1"/>
    <xf numFmtId="0" fontId="3" fillId="3" borderId="4" xfId="0" applyFont="1" applyFill="1" applyBorder="1"/>
    <xf numFmtId="0" fontId="4" fillId="2" borderId="12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right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3" fontId="8" fillId="2" borderId="1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/>
    </xf>
  </cellXfs>
  <cellStyles count="21">
    <cellStyle name="Comma" xfId="1" builtinId="3"/>
    <cellStyle name="Comma 23" xfId="6" xr:uid="{00000000-0005-0000-0000-000001000000}"/>
    <cellStyle name="Comma 3" xfId="5" xr:uid="{00000000-0005-0000-0000-000002000000}"/>
    <cellStyle name="Normal" xfId="0" builtinId="0"/>
    <cellStyle name="Normal 10" xfId="11" xr:uid="{00000000-0005-0000-0000-000004000000}"/>
    <cellStyle name="Normal 12" xfId="4" xr:uid="{00000000-0005-0000-0000-000005000000}"/>
    <cellStyle name="Normal 2" xfId="2" xr:uid="{00000000-0005-0000-0000-000006000000}"/>
    <cellStyle name="Normal 25" xfId="15" xr:uid="{00000000-0005-0000-0000-000007000000}"/>
    <cellStyle name="Normal 3" xfId="8" xr:uid="{00000000-0005-0000-0000-000008000000}"/>
    <cellStyle name="Normal 3 2" xfId="3" xr:uid="{00000000-0005-0000-0000-000009000000}"/>
    <cellStyle name="Normal 30" xfId="10" xr:uid="{00000000-0005-0000-0000-00000A000000}"/>
    <cellStyle name="Normal 30 2" xfId="16" xr:uid="{8CB7D01C-DD85-496B-BD11-D1776558F3C4}"/>
    <cellStyle name="Normal 39" xfId="17" xr:uid="{972F4BFA-9C5F-4CF5-816F-EC252FFDB201}"/>
    <cellStyle name="Normal 4" xfId="9" xr:uid="{00000000-0005-0000-0000-00000B000000}"/>
    <cellStyle name="Normal 40" xfId="18" xr:uid="{0613AE2C-83BE-4A4F-B0CC-2949951A75EC}"/>
    <cellStyle name="Normal 41" xfId="19" xr:uid="{425B46FD-B8A3-4FE6-AAF2-306F2E07F751}"/>
    <cellStyle name="Normal 44" xfId="20" xr:uid="{6C5CDDC4-C000-432D-BE85-6FFEDE896A02}"/>
    <cellStyle name="Normal 54" xfId="12" xr:uid="{00000000-0005-0000-0000-00000C000000}"/>
    <cellStyle name="Normal 58" xfId="14" xr:uid="{00000000-0005-0000-0000-00000D000000}"/>
    <cellStyle name="Normal 59" xfId="13" xr:uid="{00000000-0005-0000-0000-00000E000000}"/>
    <cellStyle name="Normal 8" xfId="7" xr:uid="{00000000-0005-0000-0000-00000F000000}"/>
  </cellStyles>
  <dxfs count="0"/>
  <tableStyles count="0" defaultTableStyle="TableStyleMedium2" defaultPivotStyle="PivotStyleLight16"/>
  <colors>
    <mruColors>
      <color rgb="FFFFA3A3"/>
      <color rgb="FFFFD9D9"/>
      <color rgb="FFFFEBEB"/>
      <color rgb="FFFFCCCC"/>
      <color rgb="FFFFD5D5"/>
      <color rgb="FFFFB7B7"/>
      <color rgb="FFB2EDEC"/>
      <color rgb="FF249390"/>
      <color rgb="FF33CCCC"/>
      <color rgb="FFFFBC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6217672790901131E-2"/>
          <c:y val="0.15093206372459256"/>
          <c:w val="0.89619475065616794"/>
          <c:h val="0.7358023561008362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'18.2'!$BC$23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C00000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'18.2'!$AT$24:$AT$26</c:f>
              <c:strCache>
                <c:ptCount val="3"/>
                <c:pt idx="0">
                  <c:v>Basic pension</c:v>
                </c:pt>
                <c:pt idx="1">
                  <c:v>Other  pension</c:v>
                </c:pt>
                <c:pt idx="2">
                  <c:v>Retirement  pension</c:v>
                </c:pt>
              </c:strCache>
            </c:strRef>
          </c:cat>
          <c:val>
            <c:numRef>
              <c:f>'18.2'!$BC$24:$BC$26</c:f>
              <c:numCache>
                <c:formatCode>_(* #,##0_);_(* \(#,##0\);_(* "-"??_);_(@_)</c:formatCode>
                <c:ptCount val="3"/>
                <c:pt idx="0">
                  <c:v>1033.2069669300001</c:v>
                </c:pt>
                <c:pt idx="1">
                  <c:v>315.63996715999997</c:v>
                </c:pt>
                <c:pt idx="2">
                  <c:v>123.38841645000001</c:v>
                </c:pt>
              </c:numCache>
            </c:numRef>
          </c:val>
          <c:extLst xmlns:c15="http://schemas.microsoft.com/office/drawing/2012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4ACB-4276-B2A7-EE61FC27565F}"/>
            </c:ext>
          </c:extLst>
        </c:ser>
        <c:ser>
          <c:idx val="1"/>
          <c:order val="1"/>
          <c:tx>
            <c:strRef>
              <c:f>'18.2'!$BD$23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FFB7B7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'18.2'!$AT$24:$AT$26</c:f>
              <c:strCache>
                <c:ptCount val="3"/>
                <c:pt idx="0">
                  <c:v>Basic pension</c:v>
                </c:pt>
                <c:pt idx="1">
                  <c:v>Other  pension</c:v>
                </c:pt>
                <c:pt idx="2">
                  <c:v>Retirement  pension</c:v>
                </c:pt>
              </c:strCache>
            </c:strRef>
          </c:cat>
          <c:val>
            <c:numRef>
              <c:f>'18.2'!$BD$24:$BD$26</c:f>
              <c:numCache>
                <c:formatCode>_(* #,##0_);_(* \(#,##0\);_(* "-"??_);_(@_)</c:formatCode>
                <c:ptCount val="3"/>
                <c:pt idx="0">
                  <c:v>1091.3271173300002</c:v>
                </c:pt>
                <c:pt idx="1">
                  <c:v>315.63996715999997</c:v>
                </c:pt>
                <c:pt idx="2">
                  <c:v>123.38841645000001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4ACB-4276-B2A7-EE61FC275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9099472"/>
        <c:axId val="399098296"/>
        <c:extLst/>
      </c:barChart>
      <c:catAx>
        <c:axId val="39909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/>
            </a:pPr>
            <a:endParaRPr lang="en-US"/>
          </a:p>
        </c:txPr>
        <c:crossAx val="399098296"/>
        <c:crosses val="autoZero"/>
        <c:auto val="1"/>
        <c:lblAlgn val="ctr"/>
        <c:lblOffset val="100"/>
        <c:noMultiLvlLbl val="1"/>
      </c:catAx>
      <c:valAx>
        <c:axId val="399098296"/>
        <c:scaling>
          <c:orientation val="minMax"/>
        </c:scaling>
        <c:delete val="0"/>
        <c:axPos val="l"/>
        <c:majorGridlines>
          <c:spPr>
            <a:ln>
              <a:solidFill>
                <a:srgbClr val="FFEBEB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800" b="1" i="0"/>
                </a:pPr>
                <a:r>
                  <a:rPr lang="en-US"/>
                  <a:t>In million MVR</a:t>
                </a:r>
              </a:p>
            </c:rich>
          </c:tx>
          <c:layout>
            <c:manualLayout>
              <c:xMode val="edge"/>
              <c:yMode val="edge"/>
              <c:x val="9.5238095238095247E-3"/>
              <c:y val="0.39679067966798098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 i="0"/>
            </a:pPr>
            <a:endParaRPr lang="en-US"/>
          </a:p>
        </c:txPr>
        <c:crossAx val="399099472"/>
        <c:crossesAt val="1"/>
        <c:crossBetween val="between"/>
      </c:valAx>
      <c:spPr>
        <a:solidFill>
          <a:srgbClr val="FFEBEB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2341567304086987"/>
          <c:y val="0.2254888168036201"/>
          <c:w val="0.22526569178852643"/>
          <c:h val="0.1542194225291722"/>
        </c:manualLayout>
      </c:layout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114300</xdr:colOff>
      <xdr:row>22</xdr:row>
      <xdr:rowOff>102053</xdr:rowOff>
    </xdr:from>
    <xdr:ext cx="6667500" cy="2978263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533062</xdr:colOff>
      <xdr:row>23</xdr:row>
      <xdr:rowOff>19050</xdr:rowOff>
    </xdr:from>
    <xdr:ext cx="4296114" cy="359569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2866687" y="5572125"/>
          <a:ext cx="4296114" cy="35956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263"/>
            <a:buFont typeface="Consolas"/>
            <a:buNone/>
          </a:pPr>
          <a:r>
            <a:rPr lang="en-US" sz="1050" b="1" i="0">
              <a:solidFill>
                <a:schemeClr val="dk1"/>
              </a:solidFill>
              <a:latin typeface="+mn-lt"/>
              <a:ea typeface="Consolas"/>
              <a:cs typeface="Consolas"/>
              <a:sym typeface="Consolas"/>
            </a:rPr>
            <a:t>Figure 18.4: Pension payments made under different schemes, 2020-2021</a:t>
          </a:r>
          <a:endParaRPr sz="1400">
            <a:latin typeface="+mn-lt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>
            <a:latin typeface="+mn-lt"/>
          </a:endParaRPr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18.%20PENSION%20AND%20SOCIAL%20PROTECTION_NSPA%20-%20%2025.08.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.16"/>
      <sheetName val="18.17"/>
      <sheetName val="18.18"/>
      <sheetName val="18.19"/>
      <sheetName val="18.20"/>
      <sheetName val="18.21"/>
      <sheetName val="18.22"/>
      <sheetName val="18.23"/>
      <sheetName val="18.24"/>
      <sheetName val="18.25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</row>
      </sheetData>
      <sheetData sheetId="4">
        <row r="38">
          <cell r="P38" t="str">
            <v>Hospitals</v>
          </cell>
          <cell r="Q38" t="str">
            <v>Pharmacies</v>
          </cell>
          <cell r="R38" t="str">
            <v>Opticals</v>
          </cell>
          <cell r="S38" t="str">
            <v>Clinics</v>
          </cell>
          <cell r="T38" t="str">
            <v>Airfare Tickets</v>
          </cell>
          <cell r="U38" t="str">
            <v>Emergency Evacuation - Sea</v>
          </cell>
        </row>
        <row r="39">
          <cell r="P39">
            <v>1083950632.6737001</v>
          </cell>
          <cell r="Q39">
            <v>752713889.11500001</v>
          </cell>
          <cell r="R39">
            <v>27752269.409999996</v>
          </cell>
          <cell r="S39">
            <v>75774147.599999994</v>
          </cell>
          <cell r="T39">
            <v>15723963.66</v>
          </cell>
          <cell r="U39">
            <v>20773359.949999999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BN285"/>
  <sheetViews>
    <sheetView tabSelected="1" zoomScaleNormal="100" zoomScaleSheetLayoutView="100" workbookViewId="0">
      <selection activeCell="AO11" sqref="AO11"/>
    </sheetView>
  </sheetViews>
  <sheetFormatPr defaultColWidth="14.42578125" defaultRowHeight="15" customHeight="1" x14ac:dyDescent="0.25"/>
  <cols>
    <col min="1" max="1" width="9.7109375" style="2" customWidth="1"/>
    <col min="2" max="2" width="11.5703125" style="2" hidden="1" customWidth="1"/>
    <col min="3" max="3" width="11.42578125" style="2" hidden="1" customWidth="1"/>
    <col min="4" max="5" width="12.140625" style="2" hidden="1" customWidth="1"/>
    <col min="6" max="8" width="12" style="2" hidden="1" customWidth="1"/>
    <col min="9" max="9" width="12" style="2" customWidth="1"/>
    <col min="10" max="11" width="13.28515625" style="2" customWidth="1"/>
    <col min="12" max="12" width="1.140625" style="2" customWidth="1"/>
    <col min="13" max="13" width="1.85546875" style="2" hidden="1" customWidth="1"/>
    <col min="14" max="14" width="2" style="2" hidden="1" customWidth="1"/>
    <col min="15" max="15" width="4.42578125" style="2" hidden="1" customWidth="1"/>
    <col min="16" max="16" width="1.85546875" style="2" hidden="1" customWidth="1"/>
    <col min="17" max="18" width="12" style="2" hidden="1" customWidth="1"/>
    <col min="19" max="19" width="12" style="2" customWidth="1"/>
    <col min="20" max="21" width="11.140625" style="2" customWidth="1"/>
    <col min="22" max="25" width="12.85546875" style="2" hidden="1" customWidth="1"/>
    <col min="26" max="26" width="1.42578125" style="2" customWidth="1"/>
    <col min="27" max="28" width="12" style="2" hidden="1" customWidth="1"/>
    <col min="29" max="31" width="12" style="2" customWidth="1"/>
    <col min="32" max="32" width="12.85546875" style="2" hidden="1" customWidth="1"/>
    <col min="33" max="33" width="8.140625" style="2" hidden="1" customWidth="1"/>
    <col min="34" max="36" width="12" style="2" hidden="1" customWidth="1"/>
    <col min="37" max="37" width="22.5703125" style="2" customWidth="1"/>
    <col min="38" max="38" width="14.42578125" style="2" customWidth="1"/>
    <col min="39" max="44" width="15.140625" style="2" customWidth="1"/>
    <col min="45" max="45" width="24.7109375" style="2" customWidth="1"/>
    <col min="46" max="46" width="17" style="2" customWidth="1"/>
    <col min="47" max="47" width="9.7109375" style="2" customWidth="1"/>
    <col min="48" max="49" width="9.85546875" style="2" customWidth="1"/>
    <col min="50" max="50" width="10.140625" style="2" customWidth="1"/>
    <col min="51" max="56" width="10" style="2" customWidth="1"/>
    <col min="57" max="61" width="11" style="2" customWidth="1"/>
    <col min="62" max="62" width="15.140625" style="2" customWidth="1"/>
    <col min="63" max="16384" width="14.42578125" style="2"/>
  </cols>
  <sheetData>
    <row r="1" spans="1:62" ht="20.25" customHeight="1" x14ac:dyDescent="0.25">
      <c r="A1" s="95" t="s">
        <v>44</v>
      </c>
      <c r="B1" s="83"/>
      <c r="C1" s="83"/>
      <c r="D1" s="83"/>
      <c r="E1" s="83"/>
      <c r="F1" s="83"/>
      <c r="G1" s="83"/>
      <c r="H1" s="84"/>
      <c r="I1" s="83"/>
      <c r="J1" s="84"/>
      <c r="K1" s="84"/>
      <c r="L1" s="83"/>
      <c r="M1" s="83"/>
      <c r="N1" s="83"/>
      <c r="O1" s="83"/>
      <c r="P1" s="83"/>
      <c r="Q1" s="83"/>
      <c r="R1" s="84"/>
      <c r="S1" s="83"/>
      <c r="T1" s="84"/>
      <c r="U1" s="84"/>
      <c r="V1" s="83"/>
      <c r="W1" s="83"/>
      <c r="X1" s="83"/>
      <c r="Y1" s="83"/>
      <c r="Z1" s="83"/>
      <c r="AA1" s="83"/>
      <c r="AB1" s="83"/>
      <c r="AC1" s="84"/>
      <c r="AD1" s="84"/>
      <c r="AE1" s="84"/>
      <c r="AF1" s="83"/>
      <c r="AG1" s="83"/>
      <c r="AH1" s="83"/>
      <c r="AI1" s="83"/>
      <c r="AJ1" s="83"/>
      <c r="AK1" s="84"/>
      <c r="AL1" s="85"/>
      <c r="AM1" s="12"/>
      <c r="AN1" s="12"/>
      <c r="AO1" s="12"/>
      <c r="AP1" s="12"/>
      <c r="AQ1" s="12"/>
      <c r="AR1" s="12"/>
      <c r="AS1" s="96"/>
      <c r="AT1" s="83"/>
      <c r="AU1" s="85"/>
      <c r="AV1" s="1"/>
      <c r="AW1" s="1"/>
      <c r="AX1" s="1"/>
      <c r="AY1" s="1"/>
      <c r="AZ1" s="1"/>
      <c r="BA1" s="13"/>
      <c r="BB1" s="1"/>
      <c r="BC1" s="13"/>
      <c r="BD1" s="13"/>
      <c r="BE1" s="1"/>
      <c r="BF1" s="1"/>
      <c r="BG1" s="1"/>
      <c r="BH1" s="1"/>
      <c r="BI1" s="1"/>
      <c r="BJ1" s="1"/>
    </row>
    <row r="2" spans="1:62" x14ac:dyDescent="0.25">
      <c r="A2" s="96" t="s">
        <v>43</v>
      </c>
      <c r="B2" s="83"/>
      <c r="C2" s="83"/>
      <c r="D2" s="83"/>
      <c r="E2" s="83"/>
      <c r="F2" s="83"/>
      <c r="G2" s="83"/>
      <c r="H2" s="84"/>
      <c r="I2" s="83"/>
      <c r="J2" s="84"/>
      <c r="K2" s="84"/>
      <c r="L2" s="83"/>
      <c r="M2" s="83"/>
      <c r="N2" s="83"/>
      <c r="O2" s="83"/>
      <c r="P2" s="83"/>
      <c r="Q2" s="83"/>
      <c r="R2" s="84"/>
      <c r="S2" s="83"/>
      <c r="T2" s="84"/>
      <c r="U2" s="84"/>
      <c r="V2" s="83"/>
      <c r="W2" s="83"/>
      <c r="X2" s="83"/>
      <c r="Y2" s="83"/>
      <c r="Z2" s="83"/>
      <c r="AA2" s="83"/>
      <c r="AB2" s="83"/>
      <c r="AC2" s="84"/>
      <c r="AD2" s="84"/>
      <c r="AE2" s="84"/>
      <c r="AF2" s="83"/>
      <c r="AG2" s="83"/>
      <c r="AH2" s="83"/>
      <c r="AI2" s="83"/>
      <c r="AJ2" s="83"/>
      <c r="AK2" s="84"/>
      <c r="AL2" s="85"/>
      <c r="AM2" s="3"/>
      <c r="AN2" s="3"/>
      <c r="AO2" s="3"/>
      <c r="AP2" s="3"/>
      <c r="AQ2" s="3"/>
      <c r="AR2" s="3"/>
      <c r="AS2" s="1"/>
      <c r="AT2" s="14"/>
      <c r="AU2" s="14"/>
      <c r="AV2" s="14"/>
      <c r="AW2" s="14"/>
      <c r="AX2" s="14"/>
      <c r="AY2" s="15"/>
      <c r="AZ2" s="15"/>
      <c r="BA2" s="16"/>
      <c r="BB2" s="15"/>
      <c r="BC2" s="16"/>
      <c r="BD2" s="16"/>
      <c r="BE2" s="15"/>
      <c r="BF2" s="17"/>
      <c r="BG2" s="1"/>
      <c r="BH2" s="1"/>
      <c r="BI2" s="1"/>
      <c r="BJ2" s="1"/>
    </row>
    <row r="3" spans="1:62" ht="17.25" customHeight="1" x14ac:dyDescent="0.25">
      <c r="A3" s="98" t="s">
        <v>0</v>
      </c>
      <c r="B3" s="83"/>
      <c r="C3" s="83"/>
      <c r="D3" s="83"/>
      <c r="E3" s="83"/>
      <c r="F3" s="83"/>
      <c r="G3" s="83"/>
      <c r="H3" s="84"/>
      <c r="I3" s="83"/>
      <c r="J3" s="84"/>
      <c r="K3" s="84"/>
      <c r="L3" s="83"/>
      <c r="M3" s="83"/>
      <c r="N3" s="83"/>
      <c r="O3" s="83"/>
      <c r="P3" s="83"/>
      <c r="Q3" s="83"/>
      <c r="R3" s="84"/>
      <c r="S3" s="83"/>
      <c r="T3" s="84"/>
      <c r="U3" s="84"/>
      <c r="V3" s="83"/>
      <c r="W3" s="83"/>
      <c r="X3" s="83"/>
      <c r="Y3" s="83"/>
      <c r="Z3" s="83"/>
      <c r="AA3" s="83"/>
      <c r="AB3" s="83"/>
      <c r="AC3" s="84"/>
      <c r="AD3" s="84"/>
      <c r="AE3" s="84"/>
      <c r="AF3" s="83"/>
      <c r="AG3" s="83"/>
      <c r="AH3" s="83"/>
      <c r="AI3" s="83"/>
      <c r="AJ3" s="83"/>
      <c r="AK3" s="84"/>
      <c r="AL3" s="85"/>
      <c r="AM3" s="3"/>
      <c r="AN3" s="3"/>
      <c r="AO3" s="3"/>
      <c r="AP3" s="3"/>
      <c r="AQ3" s="3"/>
      <c r="AR3" s="3"/>
      <c r="AS3" s="5"/>
      <c r="AT3" s="18"/>
      <c r="AU3" s="18"/>
      <c r="AV3" s="18"/>
      <c r="AW3" s="18"/>
      <c r="AX3" s="18"/>
      <c r="AY3" s="19"/>
      <c r="AZ3" s="19"/>
      <c r="BA3" s="20"/>
      <c r="BB3" s="19"/>
      <c r="BC3" s="20"/>
      <c r="BD3" s="20"/>
      <c r="BE3" s="19"/>
      <c r="BF3" s="21"/>
      <c r="BG3" s="5"/>
      <c r="BH3" s="5"/>
      <c r="BI3" s="1"/>
      <c r="BJ3" s="1"/>
    </row>
    <row r="4" spans="1:62" ht="1.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3"/>
      <c r="K4" s="13"/>
      <c r="L4" s="1"/>
      <c r="M4" s="1"/>
      <c r="N4" s="1"/>
      <c r="O4" s="1"/>
      <c r="P4" s="1"/>
      <c r="Q4" s="1"/>
      <c r="R4" s="1"/>
      <c r="S4" s="1"/>
      <c r="T4" s="13"/>
      <c r="U4" s="13"/>
      <c r="V4" s="1"/>
      <c r="W4" s="1"/>
      <c r="X4" s="1"/>
      <c r="Y4" s="1"/>
      <c r="Z4" s="1"/>
      <c r="AA4" s="1"/>
      <c r="AB4" s="1"/>
      <c r="AC4" s="13"/>
      <c r="AD4" s="13"/>
      <c r="AE4" s="13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4"/>
      <c r="AU4" s="14"/>
      <c r="AV4" s="14"/>
      <c r="AW4" s="14"/>
      <c r="AX4" s="14"/>
      <c r="AY4" s="15"/>
      <c r="AZ4" s="15"/>
      <c r="BA4" s="16"/>
      <c r="BB4" s="15"/>
      <c r="BC4" s="16"/>
      <c r="BD4" s="16"/>
      <c r="BE4" s="15"/>
      <c r="BF4" s="17"/>
      <c r="BG4" s="1"/>
      <c r="BH4" s="1"/>
      <c r="BI4" s="1"/>
      <c r="BJ4" s="1"/>
    </row>
    <row r="5" spans="1:62" ht="17.25" customHeight="1" x14ac:dyDescent="0.25">
      <c r="A5" s="97" t="s">
        <v>1</v>
      </c>
      <c r="B5" s="1"/>
      <c r="C5" s="22"/>
      <c r="D5" s="90" t="s">
        <v>2</v>
      </c>
      <c r="E5" s="90"/>
      <c r="F5" s="90"/>
      <c r="G5" s="90"/>
      <c r="H5" s="90"/>
      <c r="I5" s="90"/>
      <c r="J5" s="90"/>
      <c r="K5" s="91"/>
      <c r="L5" s="100" t="s">
        <v>3</v>
      </c>
      <c r="M5" s="90"/>
      <c r="N5" s="90"/>
      <c r="O5" s="90"/>
      <c r="P5" s="90"/>
      <c r="Q5" s="90"/>
      <c r="R5" s="90"/>
      <c r="S5" s="90"/>
      <c r="T5" s="90"/>
      <c r="U5" s="91"/>
      <c r="V5" s="100" t="s">
        <v>4</v>
      </c>
      <c r="W5" s="90"/>
      <c r="X5" s="90"/>
      <c r="Y5" s="90"/>
      <c r="Z5" s="90"/>
      <c r="AA5" s="90"/>
      <c r="AB5" s="90"/>
      <c r="AC5" s="90"/>
      <c r="AD5" s="90"/>
      <c r="AE5" s="91"/>
      <c r="AF5" s="99" t="s">
        <v>5</v>
      </c>
      <c r="AG5" s="99"/>
      <c r="AH5" s="99"/>
      <c r="AI5" s="99"/>
      <c r="AJ5" s="99"/>
      <c r="AK5" s="99"/>
      <c r="AL5" s="89" t="s">
        <v>6</v>
      </c>
      <c r="AM5" s="4"/>
      <c r="AN5" s="4"/>
      <c r="AO5" s="4"/>
      <c r="AP5" s="4"/>
      <c r="AQ5" s="4"/>
      <c r="AR5" s="4"/>
      <c r="AS5" s="1"/>
      <c r="AT5" s="14"/>
      <c r="AU5" s="14"/>
      <c r="AV5" s="14"/>
      <c r="AW5" s="14"/>
      <c r="AX5" s="14"/>
      <c r="AY5" s="15"/>
      <c r="AZ5" s="15"/>
      <c r="BA5" s="16"/>
      <c r="BB5" s="15"/>
      <c r="BC5" s="16"/>
      <c r="BD5" s="16"/>
      <c r="BE5" s="15"/>
      <c r="BF5" s="17"/>
      <c r="BG5" s="1"/>
      <c r="BH5" s="1"/>
      <c r="BI5" s="1"/>
      <c r="BJ5" s="1"/>
    </row>
    <row r="6" spans="1:62" ht="15" customHeight="1" x14ac:dyDescent="0.25">
      <c r="A6" s="81"/>
      <c r="B6" s="1"/>
      <c r="C6" s="23"/>
      <c r="D6" s="92" t="s">
        <v>8</v>
      </c>
      <c r="E6" s="92"/>
      <c r="F6" s="92"/>
      <c r="G6" s="92"/>
      <c r="H6" s="92"/>
      <c r="I6" s="92"/>
      <c r="J6" s="92"/>
      <c r="K6" s="93"/>
      <c r="L6" s="101" t="s">
        <v>9</v>
      </c>
      <c r="M6" s="92"/>
      <c r="N6" s="92"/>
      <c r="O6" s="92"/>
      <c r="P6" s="92"/>
      <c r="Q6" s="92"/>
      <c r="R6" s="92"/>
      <c r="S6" s="92"/>
      <c r="T6" s="92"/>
      <c r="U6" s="93"/>
      <c r="V6" s="86" t="s">
        <v>10</v>
      </c>
      <c r="W6" s="87"/>
      <c r="X6" s="87"/>
      <c r="Y6" s="87"/>
      <c r="Z6" s="87"/>
      <c r="AA6" s="87"/>
      <c r="AB6" s="87"/>
      <c r="AC6" s="87"/>
      <c r="AD6" s="87"/>
      <c r="AE6" s="88"/>
      <c r="AF6" s="87" t="s">
        <v>11</v>
      </c>
      <c r="AG6" s="87"/>
      <c r="AH6" s="87"/>
      <c r="AI6" s="87"/>
      <c r="AJ6" s="87"/>
      <c r="AK6" s="87"/>
      <c r="AL6" s="81"/>
      <c r="AM6" s="4"/>
      <c r="AN6" s="4"/>
      <c r="AO6" s="4"/>
      <c r="AP6" s="4"/>
      <c r="AQ6" s="4"/>
      <c r="AR6" s="4"/>
      <c r="AS6" s="1"/>
      <c r="AT6" s="14"/>
      <c r="AU6" s="14"/>
      <c r="AV6" s="14"/>
      <c r="AW6" s="14"/>
      <c r="AX6" s="14"/>
      <c r="AY6" s="15"/>
      <c r="AZ6" s="15"/>
      <c r="BA6" s="16"/>
      <c r="BB6" s="15"/>
      <c r="BC6" s="16"/>
      <c r="BD6" s="16"/>
      <c r="BE6" s="15"/>
      <c r="BF6" s="17"/>
      <c r="BG6" s="1"/>
      <c r="BH6" s="1"/>
      <c r="BI6" s="1"/>
      <c r="BJ6" s="1"/>
    </row>
    <row r="7" spans="1:62" ht="18" customHeight="1" x14ac:dyDescent="0.25">
      <c r="A7" s="82"/>
      <c r="B7" s="6">
        <v>2012</v>
      </c>
      <c r="C7" s="6">
        <v>2013</v>
      </c>
      <c r="D7" s="6">
        <v>2014</v>
      </c>
      <c r="E7" s="6">
        <v>2015</v>
      </c>
      <c r="F7" s="6">
        <v>2016</v>
      </c>
      <c r="G7" s="6">
        <v>2017</v>
      </c>
      <c r="H7" s="6">
        <v>2018</v>
      </c>
      <c r="I7" s="6">
        <v>2019</v>
      </c>
      <c r="J7" s="8">
        <v>2020</v>
      </c>
      <c r="K7" s="8">
        <v>2021</v>
      </c>
      <c r="L7" s="9">
        <v>2012</v>
      </c>
      <c r="M7" s="8">
        <v>2013</v>
      </c>
      <c r="N7" s="58">
        <v>2014</v>
      </c>
      <c r="O7" s="8">
        <v>2015</v>
      </c>
      <c r="P7" s="8">
        <v>2016</v>
      </c>
      <c r="Q7" s="8">
        <v>2017</v>
      </c>
      <c r="R7" s="58">
        <v>2018</v>
      </c>
      <c r="S7" s="58">
        <v>2019</v>
      </c>
      <c r="T7" s="8">
        <v>2020</v>
      </c>
      <c r="U7" s="7">
        <v>2021</v>
      </c>
      <c r="V7" s="9">
        <v>2012</v>
      </c>
      <c r="W7" s="8">
        <v>2013</v>
      </c>
      <c r="X7" s="8">
        <v>2014</v>
      </c>
      <c r="Y7" s="8">
        <v>2015</v>
      </c>
      <c r="Z7" s="8">
        <v>2016</v>
      </c>
      <c r="AA7" s="8">
        <v>2017</v>
      </c>
      <c r="AB7" s="58">
        <v>2018</v>
      </c>
      <c r="AC7" s="58">
        <v>2019</v>
      </c>
      <c r="AD7" s="58">
        <v>2020</v>
      </c>
      <c r="AE7" s="10">
        <v>2021</v>
      </c>
      <c r="AF7" s="58">
        <v>2014</v>
      </c>
      <c r="AG7" s="58">
        <v>2015</v>
      </c>
      <c r="AH7" s="6">
        <v>2016</v>
      </c>
      <c r="AI7" s="6">
        <v>2017</v>
      </c>
      <c r="AJ7" s="6">
        <v>2018</v>
      </c>
      <c r="AK7" s="58">
        <v>2019</v>
      </c>
      <c r="AL7" s="82"/>
      <c r="AM7" s="4"/>
      <c r="AN7" s="4"/>
      <c r="AO7" s="4"/>
      <c r="AP7" s="4"/>
      <c r="AQ7" s="4"/>
      <c r="AR7" s="4"/>
      <c r="AS7" s="1"/>
      <c r="AT7" s="14"/>
      <c r="AU7" s="14"/>
      <c r="AV7" s="14"/>
      <c r="AW7" s="14"/>
      <c r="AX7" s="14"/>
      <c r="AY7" s="15"/>
      <c r="AZ7" s="15"/>
      <c r="BA7" s="16"/>
      <c r="BB7" s="15"/>
      <c r="BC7" s="16"/>
      <c r="BD7" s="16"/>
      <c r="BE7" s="15"/>
      <c r="BF7" s="17"/>
      <c r="BG7" s="1"/>
      <c r="BH7" s="1"/>
      <c r="BI7" s="1"/>
      <c r="BJ7" s="1"/>
    </row>
    <row r="8" spans="1:62" ht="21.75" customHeight="1" x14ac:dyDescent="0.25">
      <c r="A8" s="24" t="s">
        <v>12</v>
      </c>
      <c r="B8" s="25">
        <f t="shared" ref="B8:AJ8" si="0">SUM(B9:B20)</f>
        <v>414738936.51999998</v>
      </c>
      <c r="C8" s="26">
        <f t="shared" si="0"/>
        <v>421204350.24000007</v>
      </c>
      <c r="D8" s="26">
        <f t="shared" si="0"/>
        <v>431707102.44000006</v>
      </c>
      <c r="E8" s="26">
        <f t="shared" si="0"/>
        <v>426999240</v>
      </c>
      <c r="F8" s="26">
        <f t="shared" si="0"/>
        <v>432115940.75</v>
      </c>
      <c r="G8" s="26">
        <f t="shared" si="0"/>
        <v>435251368.24000001</v>
      </c>
      <c r="H8" s="26">
        <f t="shared" ref="H8" si="1">SUM(H9:H20)</f>
        <v>443152107.85000008</v>
      </c>
      <c r="I8" s="26">
        <f t="shared" si="0"/>
        <v>903984286.05999994</v>
      </c>
      <c r="J8" s="26">
        <f t="shared" si="0"/>
        <v>1033206966.9300001</v>
      </c>
      <c r="K8" s="26">
        <f t="shared" ref="K8" si="2">SUM(K9:K20)</f>
        <v>1091327117.3300002</v>
      </c>
      <c r="L8" s="74">
        <f t="shared" si="0"/>
        <v>21452251.599999998</v>
      </c>
      <c r="M8" s="63">
        <f t="shared" si="0"/>
        <v>25887906.539999999</v>
      </c>
      <c r="N8" s="63">
        <f t="shared" si="0"/>
        <v>35973669.200000003</v>
      </c>
      <c r="O8" s="63">
        <f t="shared" si="0"/>
        <v>48839669.629999995</v>
      </c>
      <c r="P8" s="63">
        <f t="shared" si="0"/>
        <v>49178627.07</v>
      </c>
      <c r="Q8" s="63">
        <f t="shared" si="0"/>
        <v>54585241.880000003</v>
      </c>
      <c r="R8" s="63">
        <f t="shared" ref="R8" si="3">SUM(R9:R20)</f>
        <v>58618929.450000003</v>
      </c>
      <c r="S8" s="63">
        <f t="shared" si="0"/>
        <v>90949201.129999995</v>
      </c>
      <c r="T8" s="63">
        <f t="shared" ref="T8" si="4">SUM(T9:T20)</f>
        <v>102480521.42999998</v>
      </c>
      <c r="U8" s="72">
        <f t="shared" si="0"/>
        <v>123388416.45</v>
      </c>
      <c r="V8" s="74">
        <f t="shared" si="0"/>
        <v>240701239.62</v>
      </c>
      <c r="W8" s="63">
        <f t="shared" si="0"/>
        <v>244384239.25999996</v>
      </c>
      <c r="X8" s="63">
        <f t="shared" si="0"/>
        <v>259554054.59000003</v>
      </c>
      <c r="Y8" s="63">
        <f t="shared" si="0"/>
        <v>260118262.70999998</v>
      </c>
      <c r="Z8" s="63">
        <f t="shared" si="0"/>
        <v>264841953.93999997</v>
      </c>
      <c r="AA8" s="63">
        <f t="shared" si="0"/>
        <v>270657227.73000002</v>
      </c>
      <c r="AB8" s="63">
        <f t="shared" si="0"/>
        <v>280560577.88999999</v>
      </c>
      <c r="AC8" s="63">
        <f t="shared" ref="AC8:AE8" si="5">SUM(AC9:AC20)</f>
        <v>297502868.85000002</v>
      </c>
      <c r="AD8" s="63">
        <f t="shared" ref="AD8" si="6">SUM(AD9:AD20)</f>
        <v>292838541.17999995</v>
      </c>
      <c r="AE8" s="66">
        <f t="shared" si="5"/>
        <v>315639967.15999997</v>
      </c>
      <c r="AF8" s="63">
        <f t="shared" si="0"/>
        <v>471311711.34999996</v>
      </c>
      <c r="AG8" s="56">
        <f t="shared" si="0"/>
        <v>524547328.45999992</v>
      </c>
      <c r="AH8" s="25">
        <f t="shared" si="0"/>
        <v>533482537.69000006</v>
      </c>
      <c r="AI8" s="25">
        <f t="shared" si="0"/>
        <v>539036947.02999997</v>
      </c>
      <c r="AJ8" s="25">
        <f t="shared" si="0"/>
        <v>550823763.64999998</v>
      </c>
      <c r="AK8" s="25">
        <f>SUM(AK9:AK20)</f>
        <v>93669343.139999986</v>
      </c>
      <c r="AL8" s="27" t="s">
        <v>7</v>
      </c>
      <c r="AM8" s="27"/>
      <c r="AN8" s="27"/>
      <c r="AO8" s="27"/>
      <c r="AP8" s="27"/>
      <c r="AQ8" s="27"/>
      <c r="AR8" s="27"/>
      <c r="AS8" s="1"/>
      <c r="AT8" s="14"/>
      <c r="AU8" s="14"/>
      <c r="AV8" s="14"/>
      <c r="AW8" s="14"/>
      <c r="AX8" s="14"/>
      <c r="AY8" s="15"/>
      <c r="AZ8" s="15"/>
      <c r="BA8" s="16"/>
      <c r="BB8" s="15"/>
      <c r="BC8" s="16"/>
      <c r="BD8" s="16"/>
      <c r="BE8" s="15"/>
      <c r="BF8" s="17"/>
      <c r="BG8" s="1"/>
      <c r="BH8" s="1"/>
      <c r="BI8" s="1"/>
      <c r="BJ8" s="1"/>
    </row>
    <row r="9" spans="1:62" ht="21.75" customHeight="1" x14ac:dyDescent="0.25">
      <c r="A9" s="61" t="s">
        <v>13</v>
      </c>
      <c r="B9" s="28">
        <v>33712286.649999999</v>
      </c>
      <c r="C9" s="28">
        <v>34352075.579999998</v>
      </c>
      <c r="D9" s="28">
        <v>35615904.57</v>
      </c>
      <c r="E9" s="28">
        <v>35173546.780000001</v>
      </c>
      <c r="F9" s="28">
        <v>35955634.759999998</v>
      </c>
      <c r="G9" s="28">
        <v>35968949.509999998</v>
      </c>
      <c r="H9" s="29">
        <v>36747189</v>
      </c>
      <c r="I9" s="68">
        <v>37367611.450000003</v>
      </c>
      <c r="J9" s="68">
        <v>84205179.430000007</v>
      </c>
      <c r="K9" s="77">
        <v>89024014.049999997</v>
      </c>
      <c r="L9" s="75">
        <v>495363.58</v>
      </c>
      <c r="M9" s="59">
        <v>1151046.49</v>
      </c>
      <c r="N9" s="59">
        <v>3333784.74</v>
      </c>
      <c r="O9" s="59">
        <v>2869612.88</v>
      </c>
      <c r="P9" s="59">
        <v>5056147.95</v>
      </c>
      <c r="Q9" s="59">
        <v>3393007.22</v>
      </c>
      <c r="R9" s="64">
        <v>4966924.1900000004</v>
      </c>
      <c r="S9" s="64">
        <v>4881882.46</v>
      </c>
      <c r="T9" s="68">
        <v>7908459.1699999999</v>
      </c>
      <c r="U9" s="79">
        <v>9405236.0500000007</v>
      </c>
      <c r="V9" s="75">
        <v>19009622.079999998</v>
      </c>
      <c r="W9" s="59">
        <v>27084863.539999999</v>
      </c>
      <c r="X9" s="59">
        <v>25311700.800000001</v>
      </c>
      <c r="Y9" s="59">
        <v>26150112.129999999</v>
      </c>
      <c r="Z9" s="59">
        <v>23053097.239999998</v>
      </c>
      <c r="AA9" s="59">
        <v>21353747.300000001</v>
      </c>
      <c r="AB9" s="64">
        <v>22997843.920000002</v>
      </c>
      <c r="AC9" s="64">
        <v>23408249.120000001</v>
      </c>
      <c r="AD9" s="68">
        <v>24744606.129999999</v>
      </c>
      <c r="AE9" s="79">
        <v>26928109.16</v>
      </c>
      <c r="AF9" s="64">
        <v>0</v>
      </c>
      <c r="AG9" s="57">
        <v>43131466.32</v>
      </c>
      <c r="AH9" s="30">
        <v>44468675.030000001</v>
      </c>
      <c r="AI9" s="30">
        <v>44461770.149999999</v>
      </c>
      <c r="AJ9" s="31">
        <v>45577506.369999997</v>
      </c>
      <c r="AK9" s="69">
        <v>46596972.479999997</v>
      </c>
      <c r="AL9" s="32" t="s">
        <v>14</v>
      </c>
      <c r="AM9" s="32"/>
      <c r="AN9" s="32"/>
      <c r="AO9" s="33"/>
      <c r="AP9" s="32"/>
      <c r="AQ9" s="32"/>
      <c r="AR9" s="32"/>
      <c r="AS9" s="34"/>
      <c r="AT9" s="35"/>
      <c r="AU9" s="14"/>
      <c r="AV9" s="14"/>
      <c r="AW9" s="14"/>
      <c r="AX9" s="1"/>
      <c r="AY9" s="15"/>
      <c r="AZ9" s="15"/>
      <c r="BA9" s="16"/>
      <c r="BB9" s="15"/>
      <c r="BC9" s="16"/>
      <c r="BD9" s="16"/>
      <c r="BE9" s="15"/>
      <c r="BF9" s="17"/>
      <c r="BG9" s="1"/>
      <c r="BH9" s="1"/>
      <c r="BI9" s="1"/>
      <c r="BJ9" s="1"/>
    </row>
    <row r="10" spans="1:62" ht="21.75" customHeight="1" x14ac:dyDescent="0.25">
      <c r="A10" s="61" t="s">
        <v>15</v>
      </c>
      <c r="B10" s="28">
        <v>34725809.649999999</v>
      </c>
      <c r="C10" s="28">
        <v>35042781.850000001</v>
      </c>
      <c r="D10" s="28">
        <v>36309505.119999997</v>
      </c>
      <c r="E10" s="28">
        <v>35619868.369999997</v>
      </c>
      <c r="F10" s="28">
        <v>36146670.710000001</v>
      </c>
      <c r="G10" s="28">
        <v>36236211.920000002</v>
      </c>
      <c r="H10" s="29">
        <v>37048460.609999999</v>
      </c>
      <c r="I10" s="68">
        <v>37717369.780000001</v>
      </c>
      <c r="J10" s="68">
        <v>85047798.390000001</v>
      </c>
      <c r="K10" s="77">
        <v>89765954.069999993</v>
      </c>
      <c r="L10" s="75">
        <v>2641610.33</v>
      </c>
      <c r="M10" s="59">
        <v>1295097.28</v>
      </c>
      <c r="N10" s="59">
        <v>2690826.28</v>
      </c>
      <c r="O10" s="59">
        <v>3359620.91</v>
      </c>
      <c r="P10" s="59">
        <v>3751901.32</v>
      </c>
      <c r="Q10" s="59">
        <v>2997796.21</v>
      </c>
      <c r="R10" s="64">
        <v>4755147.32</v>
      </c>
      <c r="S10" s="64">
        <v>4799866.7699999996</v>
      </c>
      <c r="T10" s="68">
        <v>9223041.8300000001</v>
      </c>
      <c r="U10" s="79">
        <v>10240812.98</v>
      </c>
      <c r="V10" s="75">
        <v>21786716.879999999</v>
      </c>
      <c r="W10" s="59">
        <v>19943936.890000001</v>
      </c>
      <c r="X10" s="59">
        <v>23169187.48</v>
      </c>
      <c r="Y10" s="59">
        <v>22405366.890000001</v>
      </c>
      <c r="Z10" s="59">
        <v>21518501.73</v>
      </c>
      <c r="AA10" s="59">
        <v>24529736.510000002</v>
      </c>
      <c r="AB10" s="64">
        <v>25982204.170000002</v>
      </c>
      <c r="AC10" s="64">
        <v>28786380.350000001</v>
      </c>
      <c r="AD10" s="68">
        <v>24562857.760000002</v>
      </c>
      <c r="AE10" s="79">
        <v>25222298.84</v>
      </c>
      <c r="AF10" s="64">
        <v>42210402.700000003</v>
      </c>
      <c r="AG10" s="30">
        <v>43254914.210000001</v>
      </c>
      <c r="AH10" s="30">
        <v>44633060.780000001</v>
      </c>
      <c r="AI10" s="30">
        <v>44810914.170000002</v>
      </c>
      <c r="AJ10" s="31">
        <v>46034387.5</v>
      </c>
      <c r="AK10" s="69">
        <v>47072370.659999996</v>
      </c>
      <c r="AL10" s="32" t="s">
        <v>16</v>
      </c>
      <c r="AM10" s="32"/>
      <c r="AN10" s="32"/>
      <c r="AO10" s="33"/>
      <c r="AP10" s="32"/>
      <c r="AQ10" s="32"/>
      <c r="AR10" s="32"/>
      <c r="AS10" s="1"/>
      <c r="AT10" s="35"/>
      <c r="AU10" s="14"/>
      <c r="AV10" s="14"/>
      <c r="AW10" s="14"/>
      <c r="AX10" s="1"/>
      <c r="AY10" s="15"/>
      <c r="AZ10" s="15"/>
      <c r="BA10" s="16"/>
      <c r="BB10" s="15"/>
      <c r="BC10" s="16"/>
      <c r="BD10" s="16"/>
      <c r="BE10" s="15"/>
      <c r="BF10" s="17"/>
      <c r="BG10" s="1"/>
      <c r="BH10" s="1"/>
      <c r="BI10" s="1"/>
      <c r="BJ10" s="1"/>
    </row>
    <row r="11" spans="1:62" ht="21.75" customHeight="1" x14ac:dyDescent="0.25">
      <c r="A11" s="61" t="s">
        <v>17</v>
      </c>
      <c r="B11" s="28">
        <v>34806344.93</v>
      </c>
      <c r="C11" s="28">
        <v>35333148.090000004</v>
      </c>
      <c r="D11" s="28">
        <v>36566082.140000001</v>
      </c>
      <c r="E11" s="28">
        <v>35936900.219999999</v>
      </c>
      <c r="F11" s="28">
        <v>36063389.189999998</v>
      </c>
      <c r="G11" s="28">
        <v>36116743.340000004</v>
      </c>
      <c r="H11" s="29">
        <v>36970764.030000001</v>
      </c>
      <c r="I11" s="68">
        <v>82659651.840000004</v>
      </c>
      <c r="J11" s="68">
        <v>85530868.75</v>
      </c>
      <c r="K11" s="77">
        <v>90397315.459999993</v>
      </c>
      <c r="L11" s="75">
        <v>1964141.55</v>
      </c>
      <c r="M11" s="59">
        <v>1035616.01</v>
      </c>
      <c r="N11" s="59">
        <v>3356711.13</v>
      </c>
      <c r="O11" s="59">
        <v>4080271.26</v>
      </c>
      <c r="P11" s="59">
        <v>3369545.15</v>
      </c>
      <c r="Q11" s="59">
        <v>4636382.8099999996</v>
      </c>
      <c r="R11" s="64">
        <v>6350919.9199999999</v>
      </c>
      <c r="S11" s="64">
        <v>9185687.6699999999</v>
      </c>
      <c r="T11" s="68">
        <v>9275531.8399999999</v>
      </c>
      <c r="U11" s="79">
        <v>9546770.7400000002</v>
      </c>
      <c r="V11" s="75">
        <v>20394069.57</v>
      </c>
      <c r="W11" s="59">
        <v>18946228.300000001</v>
      </c>
      <c r="X11" s="59">
        <v>21310307.780000001</v>
      </c>
      <c r="Y11" s="59">
        <v>22893114.670000002</v>
      </c>
      <c r="Z11" s="59">
        <v>21786624.140000001</v>
      </c>
      <c r="AA11" s="59">
        <v>20762005.899999999</v>
      </c>
      <c r="AB11" s="64">
        <v>23647457.32</v>
      </c>
      <c r="AC11" s="64">
        <v>21772901.25</v>
      </c>
      <c r="AD11" s="68">
        <v>27314533.890000001</v>
      </c>
      <c r="AE11" s="79">
        <v>25319492</v>
      </c>
      <c r="AF11" s="64">
        <v>42833238.119999997</v>
      </c>
      <c r="AG11" s="30">
        <v>44149568.780000001</v>
      </c>
      <c r="AH11" s="30">
        <v>44537862.530000001</v>
      </c>
      <c r="AI11" s="30">
        <v>44721757.189999998</v>
      </c>
      <c r="AJ11" s="31">
        <v>45909139.420000002</v>
      </c>
      <c r="AK11" s="69">
        <v>0</v>
      </c>
      <c r="AL11" s="32" t="s">
        <v>18</v>
      </c>
      <c r="AM11" s="32"/>
      <c r="AN11" s="32"/>
      <c r="AO11" s="33"/>
      <c r="AP11" s="32"/>
      <c r="AQ11" s="32"/>
      <c r="AR11" s="32"/>
      <c r="AS11" s="1"/>
      <c r="AT11" s="35"/>
      <c r="AU11" s="14"/>
      <c r="AV11" s="14"/>
      <c r="AW11" s="14"/>
      <c r="AX11" s="14"/>
      <c r="AY11" s="15"/>
      <c r="AZ11" s="15"/>
      <c r="BA11" s="16"/>
      <c r="BB11" s="15"/>
      <c r="BC11" s="16"/>
      <c r="BD11" s="16"/>
      <c r="BE11" s="15"/>
      <c r="BF11" s="17"/>
      <c r="BG11" s="1"/>
      <c r="BH11" s="1"/>
      <c r="BI11" s="1"/>
      <c r="BJ11" s="1"/>
    </row>
    <row r="12" spans="1:62" ht="21.75" customHeight="1" x14ac:dyDescent="0.25">
      <c r="A12" s="61" t="s">
        <v>19</v>
      </c>
      <c r="B12" s="28">
        <v>34551091.759999998</v>
      </c>
      <c r="C12" s="28">
        <v>34763162.600000001</v>
      </c>
      <c r="D12" s="28">
        <v>36384131.350000001</v>
      </c>
      <c r="E12" s="28">
        <v>35534750.799999997</v>
      </c>
      <c r="F12" s="28">
        <v>36068663.939999998</v>
      </c>
      <c r="G12" s="28">
        <v>36230750.740000002</v>
      </c>
      <c r="H12" s="29">
        <v>37007732.969999999</v>
      </c>
      <c r="I12" s="68">
        <v>82729665.810000002</v>
      </c>
      <c r="J12" s="68">
        <v>85495145.260000005</v>
      </c>
      <c r="K12" s="77">
        <v>90459261.060000002</v>
      </c>
      <c r="L12" s="75">
        <v>1339288.5</v>
      </c>
      <c r="M12" s="59">
        <v>1307379.8500000001</v>
      </c>
      <c r="N12" s="59">
        <v>2347830.7599999998</v>
      </c>
      <c r="O12" s="59">
        <v>3657817.89</v>
      </c>
      <c r="P12" s="59">
        <v>4183948.61</v>
      </c>
      <c r="Q12" s="59">
        <v>6677343.46</v>
      </c>
      <c r="R12" s="64">
        <v>3639247.26</v>
      </c>
      <c r="S12" s="64">
        <v>8156775.1699999999</v>
      </c>
      <c r="T12" s="68">
        <v>7369249.71</v>
      </c>
      <c r="U12" s="79">
        <v>9415966.2599999998</v>
      </c>
      <c r="V12" s="75">
        <v>24106647.079999998</v>
      </c>
      <c r="W12" s="59">
        <v>20630305.239999998</v>
      </c>
      <c r="X12" s="59">
        <v>20403653.850000001</v>
      </c>
      <c r="Y12" s="59">
        <v>20138268.329999998</v>
      </c>
      <c r="Z12" s="59">
        <v>22144329.760000002</v>
      </c>
      <c r="AA12" s="59">
        <v>24685532.059999999</v>
      </c>
      <c r="AB12" s="64">
        <v>23186276.129999999</v>
      </c>
      <c r="AC12" s="64">
        <v>25267956.949999999</v>
      </c>
      <c r="AD12" s="68">
        <v>23545193.949999999</v>
      </c>
      <c r="AE12" s="79">
        <v>28555799.079999998</v>
      </c>
      <c r="AF12" s="64">
        <v>43089362.960000001</v>
      </c>
      <c r="AG12" s="30">
        <v>43619940.25</v>
      </c>
      <c r="AH12" s="30">
        <v>44571685.759999998</v>
      </c>
      <c r="AI12" s="30">
        <v>44880317.399999999</v>
      </c>
      <c r="AJ12" s="31">
        <v>45996533.189999998</v>
      </c>
      <c r="AK12" s="69">
        <v>0</v>
      </c>
      <c r="AL12" s="32" t="s">
        <v>20</v>
      </c>
      <c r="AM12" s="32"/>
      <c r="AN12" s="32"/>
      <c r="AO12" s="33"/>
      <c r="AP12" s="32"/>
      <c r="AQ12" s="32"/>
      <c r="AR12" s="32"/>
      <c r="AS12" s="1"/>
      <c r="AT12" s="35"/>
      <c r="AU12" s="14"/>
      <c r="AV12" s="14"/>
      <c r="AW12" s="14"/>
      <c r="AX12" s="14"/>
      <c r="AY12" s="15"/>
      <c r="AZ12" s="15"/>
      <c r="BA12" s="16"/>
      <c r="BB12" s="15"/>
      <c r="BC12" s="16"/>
      <c r="BD12" s="16"/>
      <c r="BE12" s="15"/>
      <c r="BF12" s="17"/>
      <c r="BG12" s="1"/>
      <c r="BH12" s="1"/>
      <c r="BI12" s="1"/>
      <c r="BJ12" s="1"/>
    </row>
    <row r="13" spans="1:62" ht="21.75" customHeight="1" x14ac:dyDescent="0.25">
      <c r="A13" s="61" t="s">
        <v>21</v>
      </c>
      <c r="B13" s="28">
        <v>35154019.579999998</v>
      </c>
      <c r="C13" s="28">
        <v>35516487.740000002</v>
      </c>
      <c r="D13" s="28">
        <v>36107445.780000001</v>
      </c>
      <c r="E13" s="28">
        <v>35552003.799999997</v>
      </c>
      <c r="F13" s="28">
        <v>36109165.07</v>
      </c>
      <c r="G13" s="28">
        <v>36355611.409999996</v>
      </c>
      <c r="H13" s="29">
        <v>36938771.509999998</v>
      </c>
      <c r="I13" s="68">
        <v>82872266.040000007</v>
      </c>
      <c r="J13" s="68">
        <v>85433568.219999999</v>
      </c>
      <c r="K13" s="77">
        <v>90676522.090000004</v>
      </c>
      <c r="L13" s="75">
        <v>1215734.1599999999</v>
      </c>
      <c r="M13" s="59">
        <v>2078811.7</v>
      </c>
      <c r="N13" s="59">
        <v>2585483.37</v>
      </c>
      <c r="O13" s="59">
        <v>3167794.24</v>
      </c>
      <c r="P13" s="59">
        <v>3487923.03</v>
      </c>
      <c r="Q13" s="59">
        <v>5085268.92</v>
      </c>
      <c r="R13" s="64">
        <v>3884879.53</v>
      </c>
      <c r="S13" s="64">
        <v>7823514.8600000003</v>
      </c>
      <c r="T13" s="68">
        <v>7054956.5499999998</v>
      </c>
      <c r="U13" s="79">
        <v>10948229.890000001</v>
      </c>
      <c r="V13" s="75">
        <v>20547997.280000001</v>
      </c>
      <c r="W13" s="59">
        <v>20270298.870000001</v>
      </c>
      <c r="X13" s="59">
        <v>25011795.809999999</v>
      </c>
      <c r="Y13" s="59">
        <v>23579889.43</v>
      </c>
      <c r="Z13" s="59">
        <v>23541403.390000001</v>
      </c>
      <c r="AA13" s="59">
        <v>22403673.059999999</v>
      </c>
      <c r="AB13" s="64">
        <v>24211040.039999999</v>
      </c>
      <c r="AC13" s="64">
        <v>22562985.719999999</v>
      </c>
      <c r="AD13" s="68">
        <v>24089928.109999999</v>
      </c>
      <c r="AE13" s="79">
        <v>26470935.940000001</v>
      </c>
      <c r="AF13" s="64">
        <v>42951893.25</v>
      </c>
      <c r="AG13" s="30">
        <v>43724982.609999999</v>
      </c>
      <c r="AH13" s="30">
        <v>44559908.899999999</v>
      </c>
      <c r="AI13" s="30">
        <v>45031827.07</v>
      </c>
      <c r="AJ13" s="31">
        <v>45905014</v>
      </c>
      <c r="AK13" s="69">
        <v>0</v>
      </c>
      <c r="AL13" s="32" t="s">
        <v>22</v>
      </c>
      <c r="AM13" s="32"/>
      <c r="AN13" s="32"/>
      <c r="AO13" s="32"/>
      <c r="AP13" s="32"/>
      <c r="AQ13" s="32"/>
      <c r="AR13" s="32"/>
      <c r="AS13" s="1"/>
      <c r="AT13" s="35"/>
      <c r="AU13" s="14"/>
      <c r="AV13" s="14"/>
      <c r="AW13" s="14"/>
      <c r="AX13" s="14"/>
      <c r="AY13" s="15"/>
      <c r="AZ13" s="15"/>
      <c r="BA13" s="16"/>
      <c r="BB13" s="15"/>
      <c r="BC13" s="16"/>
      <c r="BD13" s="16"/>
      <c r="BE13" s="15"/>
      <c r="BF13" s="17"/>
      <c r="BG13" s="1"/>
      <c r="BH13" s="1"/>
      <c r="BI13" s="1"/>
      <c r="BJ13" s="1"/>
    </row>
    <row r="14" spans="1:62" ht="21.75" customHeight="1" x14ac:dyDescent="0.25">
      <c r="A14" s="61" t="s">
        <v>23</v>
      </c>
      <c r="B14" s="28">
        <v>34846940.390000001</v>
      </c>
      <c r="C14" s="28">
        <v>34426002.350000001</v>
      </c>
      <c r="D14" s="28">
        <v>35813486.210000001</v>
      </c>
      <c r="E14" s="28">
        <v>35602279.990000002</v>
      </c>
      <c r="F14" s="28">
        <v>36029004.759999998</v>
      </c>
      <c r="G14" s="28">
        <v>36298219.840000004</v>
      </c>
      <c r="H14" s="29">
        <v>36925696.890000001</v>
      </c>
      <c r="I14" s="68">
        <v>82855364.069999993</v>
      </c>
      <c r="J14" s="68">
        <v>85894473.629999995</v>
      </c>
      <c r="K14" s="77">
        <v>90597280.329999998</v>
      </c>
      <c r="L14" s="75">
        <v>3534981.49</v>
      </c>
      <c r="M14" s="59">
        <v>3303174.44</v>
      </c>
      <c r="N14" s="59">
        <v>3069467.57</v>
      </c>
      <c r="O14" s="59">
        <v>2571052.06</v>
      </c>
      <c r="P14" s="59">
        <v>4518197.97</v>
      </c>
      <c r="Q14" s="59">
        <v>3981105.07</v>
      </c>
      <c r="R14" s="64">
        <v>5207816.67</v>
      </c>
      <c r="S14" s="64">
        <v>8322492.2300000004</v>
      </c>
      <c r="T14" s="68">
        <v>8321216.6799999997</v>
      </c>
      <c r="U14" s="79">
        <v>10046283.880000001</v>
      </c>
      <c r="V14" s="75">
        <v>18337900.530000001</v>
      </c>
      <c r="W14" s="59">
        <v>20376029.489999998</v>
      </c>
      <c r="X14" s="59">
        <v>19985113.239999998</v>
      </c>
      <c r="Y14" s="59">
        <v>20098179.469999999</v>
      </c>
      <c r="Z14" s="59">
        <v>21892976.16</v>
      </c>
      <c r="AA14" s="59">
        <v>20519433.440000001</v>
      </c>
      <c r="AB14" s="64">
        <v>22605156.52</v>
      </c>
      <c r="AC14" s="64">
        <v>24962914.370000001</v>
      </c>
      <c r="AD14" s="68">
        <v>23527835.149999999</v>
      </c>
      <c r="AE14" s="79">
        <v>24784633.620000001</v>
      </c>
      <c r="AF14" s="64">
        <v>42755542.670000002</v>
      </c>
      <c r="AG14" s="30">
        <v>43737662.259999998</v>
      </c>
      <c r="AH14" s="30">
        <v>44460131.060000002</v>
      </c>
      <c r="AI14" s="30">
        <v>44946197.149999999</v>
      </c>
      <c r="AJ14" s="31">
        <v>45901185.25</v>
      </c>
      <c r="AK14" s="69">
        <v>0</v>
      </c>
      <c r="AL14" s="32" t="s">
        <v>24</v>
      </c>
      <c r="AM14" s="32"/>
      <c r="AN14" s="32"/>
      <c r="AO14" s="32"/>
      <c r="AP14" s="32"/>
      <c r="AQ14" s="32"/>
      <c r="AR14" s="32"/>
      <c r="AS14" s="1"/>
      <c r="AT14" s="35"/>
      <c r="AU14" s="14"/>
      <c r="AV14" s="14"/>
      <c r="AW14" s="14"/>
      <c r="AX14" s="14"/>
      <c r="AY14" s="15"/>
      <c r="AZ14" s="15"/>
      <c r="BA14" s="16"/>
      <c r="BB14" s="15"/>
      <c r="BC14" s="16"/>
      <c r="BD14" s="16"/>
      <c r="BE14" s="15"/>
      <c r="BF14" s="17"/>
      <c r="BG14" s="1"/>
      <c r="BH14" s="1"/>
      <c r="BI14" s="1"/>
      <c r="BJ14" s="1"/>
    </row>
    <row r="15" spans="1:62" ht="21.75" customHeight="1" x14ac:dyDescent="0.25">
      <c r="A15" s="61" t="s">
        <v>25</v>
      </c>
      <c r="B15" s="28">
        <v>34616936.060000002</v>
      </c>
      <c r="C15" s="28">
        <v>35501207.700000003</v>
      </c>
      <c r="D15" s="28">
        <v>36084345.200000003</v>
      </c>
      <c r="E15" s="28">
        <v>35579809.939999998</v>
      </c>
      <c r="F15" s="28">
        <v>36001644.68</v>
      </c>
      <c r="G15" s="28">
        <v>36318836.100000001</v>
      </c>
      <c r="H15" s="29">
        <v>36963420.649999999</v>
      </c>
      <c r="I15" s="68">
        <v>82876358.700000003</v>
      </c>
      <c r="J15" s="68">
        <v>86286402.700000003</v>
      </c>
      <c r="K15" s="77">
        <v>90796978.950000003</v>
      </c>
      <c r="L15" s="75">
        <v>1519284.65</v>
      </c>
      <c r="M15" s="59">
        <v>1333414.57</v>
      </c>
      <c r="N15" s="59">
        <v>2042202.73</v>
      </c>
      <c r="O15" s="59">
        <v>2344401.7000000002</v>
      </c>
      <c r="P15" s="59">
        <v>2699440.83</v>
      </c>
      <c r="Q15" s="59">
        <v>5261600.0999999996</v>
      </c>
      <c r="R15" s="64">
        <v>5418440.29</v>
      </c>
      <c r="S15" s="64">
        <v>7757548.4100000001</v>
      </c>
      <c r="T15" s="68">
        <v>8882763.3300000001</v>
      </c>
      <c r="U15" s="79">
        <v>10129299.859999999</v>
      </c>
      <c r="V15" s="75">
        <v>19283504.379999999</v>
      </c>
      <c r="W15" s="59">
        <v>19964302.440000001</v>
      </c>
      <c r="X15" s="59">
        <v>21626914.359999999</v>
      </c>
      <c r="Y15" s="59">
        <v>21660890.57</v>
      </c>
      <c r="Z15" s="59">
        <v>21128570.030000001</v>
      </c>
      <c r="AA15" s="59">
        <v>24752976.48</v>
      </c>
      <c r="AB15" s="64">
        <v>21475970.510000002</v>
      </c>
      <c r="AC15" s="64">
        <v>23811099.420000002</v>
      </c>
      <c r="AD15" s="68">
        <v>24101938.379999999</v>
      </c>
      <c r="AE15" s="79">
        <v>25400549.43</v>
      </c>
      <c r="AF15" s="64">
        <v>43020315.149999999</v>
      </c>
      <c r="AG15" s="30">
        <v>43752500.329999998</v>
      </c>
      <c r="AH15" s="30">
        <v>44393636.399999999</v>
      </c>
      <c r="AI15" s="30">
        <v>44989173.789999999</v>
      </c>
      <c r="AJ15" s="31">
        <v>45986715.799999997</v>
      </c>
      <c r="AK15" s="69">
        <v>0</v>
      </c>
      <c r="AL15" s="32" t="s">
        <v>26</v>
      </c>
      <c r="AM15" s="32"/>
      <c r="AN15" s="32"/>
      <c r="AO15" s="32"/>
      <c r="AP15" s="32"/>
      <c r="AQ15" s="32"/>
      <c r="AR15" s="32"/>
      <c r="AS15" s="1"/>
      <c r="AT15" s="35"/>
      <c r="AU15" s="14"/>
      <c r="AV15" s="14"/>
      <c r="AW15" s="14"/>
      <c r="AX15" s="14"/>
      <c r="AY15" s="15"/>
      <c r="AZ15" s="15"/>
      <c r="BA15" s="16"/>
      <c r="BB15" s="15"/>
      <c r="BC15" s="16"/>
      <c r="BD15" s="16"/>
      <c r="BE15" s="15"/>
      <c r="BF15" s="17"/>
      <c r="BG15" s="1"/>
      <c r="BH15" s="1"/>
      <c r="BI15" s="1"/>
      <c r="BJ15" s="1"/>
    </row>
    <row r="16" spans="1:62" ht="21.75" customHeight="1" x14ac:dyDescent="0.25">
      <c r="A16" s="61" t="s">
        <v>27</v>
      </c>
      <c r="B16" s="28">
        <v>34533025.399999999</v>
      </c>
      <c r="C16" s="28">
        <v>35434664.979999997</v>
      </c>
      <c r="D16" s="28">
        <v>35620342.140000001</v>
      </c>
      <c r="E16" s="28">
        <v>35615495.32</v>
      </c>
      <c r="F16" s="28">
        <v>36033929.969999999</v>
      </c>
      <c r="G16" s="28">
        <v>36412397.18</v>
      </c>
      <c r="H16" s="29">
        <v>36987685.469999999</v>
      </c>
      <c r="I16" s="68">
        <v>82969241.530000001</v>
      </c>
      <c r="J16" s="68">
        <v>86468412.319999993</v>
      </c>
      <c r="K16" s="77">
        <v>91503229.530000001</v>
      </c>
      <c r="L16" s="75">
        <v>916177.57</v>
      </c>
      <c r="M16" s="59">
        <v>3627198.68</v>
      </c>
      <c r="N16" s="59">
        <v>2588532.9900000002</v>
      </c>
      <c r="O16" s="59">
        <v>5470143.8399999999</v>
      </c>
      <c r="P16" s="59">
        <v>2919856.3</v>
      </c>
      <c r="Q16" s="59">
        <v>5162412.24</v>
      </c>
      <c r="R16" s="64">
        <v>4193156.14</v>
      </c>
      <c r="S16" s="64">
        <v>7957664.3899999997</v>
      </c>
      <c r="T16" s="68">
        <v>8232170.2400000002</v>
      </c>
      <c r="U16" s="79">
        <v>10453579.65</v>
      </c>
      <c r="V16" s="75">
        <v>20570070.73</v>
      </c>
      <c r="W16" s="59">
        <v>18948103.859999999</v>
      </c>
      <c r="X16" s="59">
        <v>20233894.109999999</v>
      </c>
      <c r="Y16" s="59">
        <v>22064482.57</v>
      </c>
      <c r="Z16" s="59">
        <v>21944891.600000001</v>
      </c>
      <c r="AA16" s="59">
        <v>22454599.140000001</v>
      </c>
      <c r="AB16" s="64">
        <v>23526425.82</v>
      </c>
      <c r="AC16" s="64">
        <v>24308700.02</v>
      </c>
      <c r="AD16" s="68">
        <v>23542787.829999998</v>
      </c>
      <c r="AE16" s="79">
        <v>25384848.5</v>
      </c>
      <c r="AF16" s="64">
        <v>42960311.329999998</v>
      </c>
      <c r="AG16" s="30">
        <v>43870459</v>
      </c>
      <c r="AH16" s="30">
        <v>44528204.109999999</v>
      </c>
      <c r="AI16" s="30">
        <v>45041925.409999996</v>
      </c>
      <c r="AJ16" s="31">
        <v>46020459.649999999</v>
      </c>
      <c r="AK16" s="69">
        <v>0</v>
      </c>
      <c r="AL16" s="32" t="s">
        <v>28</v>
      </c>
      <c r="AM16" s="32"/>
      <c r="AN16" s="32"/>
      <c r="AO16" s="32"/>
      <c r="AP16" s="32"/>
      <c r="AQ16" s="32"/>
      <c r="AR16" s="32"/>
      <c r="AS16" s="1"/>
      <c r="AT16" s="35"/>
      <c r="AU16" s="14"/>
      <c r="AV16" s="14"/>
      <c r="AW16" s="14"/>
      <c r="AX16" s="14"/>
      <c r="AY16" s="15"/>
      <c r="AZ16" s="15"/>
      <c r="BA16" s="16"/>
      <c r="BB16" s="15"/>
      <c r="BC16" s="16"/>
      <c r="BD16" s="16"/>
      <c r="BE16" s="15"/>
      <c r="BF16" s="17"/>
      <c r="BG16" s="1"/>
      <c r="BH16" s="1"/>
      <c r="BI16" s="1"/>
      <c r="BJ16" s="1"/>
    </row>
    <row r="17" spans="1:66" ht="21.75" customHeight="1" x14ac:dyDescent="0.25">
      <c r="A17" s="61" t="s">
        <v>29</v>
      </c>
      <c r="B17" s="28">
        <v>34475645.299999997</v>
      </c>
      <c r="C17" s="28">
        <v>35107026.060000002</v>
      </c>
      <c r="D17" s="28">
        <v>35819459.600000001</v>
      </c>
      <c r="E17" s="28">
        <v>35678427.479999997</v>
      </c>
      <c r="F17" s="28">
        <v>36029592.990000002</v>
      </c>
      <c r="G17" s="28">
        <v>36446247.899999999</v>
      </c>
      <c r="H17" s="29">
        <v>36970532.670000002</v>
      </c>
      <c r="I17" s="68">
        <v>82971084.75</v>
      </c>
      <c r="J17" s="68">
        <v>87650800.219999999</v>
      </c>
      <c r="K17" s="77">
        <v>91784097.930000007</v>
      </c>
      <c r="L17" s="75">
        <v>2685645.5</v>
      </c>
      <c r="M17" s="59">
        <v>2986912.9</v>
      </c>
      <c r="N17" s="59">
        <v>2389738.73</v>
      </c>
      <c r="O17" s="59">
        <v>4094036.36</v>
      </c>
      <c r="P17" s="59">
        <v>5714928.9100000001</v>
      </c>
      <c r="Q17" s="59">
        <v>4291130.3600000003</v>
      </c>
      <c r="R17" s="64">
        <v>4639134.76</v>
      </c>
      <c r="S17" s="64">
        <v>7482628.8099999996</v>
      </c>
      <c r="T17" s="68">
        <v>10867602.789999999</v>
      </c>
      <c r="U17" s="79">
        <v>11255233.67</v>
      </c>
      <c r="V17" s="75">
        <v>18016782.370000001</v>
      </c>
      <c r="W17" s="59">
        <v>18818491.969999999</v>
      </c>
      <c r="X17" s="59">
        <v>21343950.440000001</v>
      </c>
      <c r="Y17" s="59">
        <v>21025502.440000001</v>
      </c>
      <c r="Z17" s="59">
        <v>21193752.359999999</v>
      </c>
      <c r="AA17" s="59">
        <v>22721163.620000001</v>
      </c>
      <c r="AB17" s="64">
        <v>23246985.52</v>
      </c>
      <c r="AC17" s="64">
        <v>25061212</v>
      </c>
      <c r="AD17" s="68">
        <v>24651010.469999999</v>
      </c>
      <c r="AE17" s="79">
        <v>27296824.289999999</v>
      </c>
      <c r="AF17" s="64">
        <v>42967536.020000003</v>
      </c>
      <c r="AG17" s="30">
        <v>43935052.659999996</v>
      </c>
      <c r="AH17" s="30">
        <v>44435147.43</v>
      </c>
      <c r="AI17" s="30">
        <v>45281804.299999997</v>
      </c>
      <c r="AJ17" s="31">
        <v>45982647.130000003</v>
      </c>
      <c r="AK17" s="69">
        <v>0</v>
      </c>
      <c r="AL17" s="32" t="s">
        <v>30</v>
      </c>
      <c r="AM17" s="32"/>
      <c r="AN17" s="32"/>
      <c r="AO17" s="32"/>
      <c r="AP17" s="32"/>
      <c r="AQ17" s="32"/>
      <c r="AR17" s="32"/>
      <c r="AS17" s="1"/>
      <c r="AT17" s="35"/>
      <c r="AU17" s="14"/>
      <c r="AV17" s="14"/>
      <c r="AW17" s="14"/>
      <c r="AX17" s="14"/>
      <c r="AY17" s="15"/>
      <c r="AZ17" s="15"/>
      <c r="BA17" s="16"/>
      <c r="BB17" s="15"/>
      <c r="BC17" s="16"/>
      <c r="BD17" s="16"/>
      <c r="BE17" s="15"/>
      <c r="BF17" s="17"/>
      <c r="BG17" s="1"/>
      <c r="BH17" s="1"/>
      <c r="BI17" s="1"/>
      <c r="BJ17" s="1"/>
    </row>
    <row r="18" spans="1:66" ht="21.75" customHeight="1" x14ac:dyDescent="0.25">
      <c r="A18" s="61" t="s">
        <v>31</v>
      </c>
      <c r="B18" s="28">
        <v>34594343.560000002</v>
      </c>
      <c r="C18" s="28">
        <v>35317143.350000001</v>
      </c>
      <c r="D18" s="28">
        <v>35809800.469999999</v>
      </c>
      <c r="E18" s="28">
        <v>35659371.909999996</v>
      </c>
      <c r="F18" s="28">
        <v>35962322.630000003</v>
      </c>
      <c r="G18" s="28">
        <v>36282949.869999997</v>
      </c>
      <c r="H18" s="29">
        <v>36881683.780000001</v>
      </c>
      <c r="I18" s="68">
        <v>83061418.120000005</v>
      </c>
      <c r="J18" s="68">
        <v>87032361.140000001</v>
      </c>
      <c r="K18" s="77">
        <v>91984224.239999995</v>
      </c>
      <c r="L18" s="75">
        <v>1715961.41</v>
      </c>
      <c r="M18" s="59">
        <v>2911512.09</v>
      </c>
      <c r="N18" s="59">
        <v>3281668.64</v>
      </c>
      <c r="O18" s="59">
        <v>3127019.99</v>
      </c>
      <c r="P18" s="59">
        <v>5737680.6399999997</v>
      </c>
      <c r="Q18" s="59">
        <v>5262311.57</v>
      </c>
      <c r="R18" s="64">
        <v>5013889.07</v>
      </c>
      <c r="S18" s="64">
        <v>9656842.9100000001</v>
      </c>
      <c r="T18" s="68">
        <v>7840916.3700000001</v>
      </c>
      <c r="U18" s="79">
        <v>8617969.8699999992</v>
      </c>
      <c r="V18" s="75">
        <v>19528164.620000001</v>
      </c>
      <c r="W18" s="59">
        <v>19052611.420000002</v>
      </c>
      <c r="X18" s="59">
        <v>20222911.489999998</v>
      </c>
      <c r="Y18" s="59">
        <v>19694687.600000001</v>
      </c>
      <c r="Z18" s="59">
        <v>22752764.34</v>
      </c>
      <c r="AA18" s="59">
        <v>22527771.489999998</v>
      </c>
      <c r="AB18" s="64">
        <v>23295345.75</v>
      </c>
      <c r="AC18" s="64">
        <v>25380520.93</v>
      </c>
      <c r="AD18" s="68">
        <v>23501154.859999999</v>
      </c>
      <c r="AE18" s="79">
        <v>24199617.809999999</v>
      </c>
      <c r="AF18" s="64">
        <v>43043959.509999998</v>
      </c>
      <c r="AG18" s="30">
        <v>43913866.189999998</v>
      </c>
      <c r="AH18" s="30">
        <v>44405359.340000004</v>
      </c>
      <c r="AI18" s="30">
        <v>44969354.149999999</v>
      </c>
      <c r="AJ18" s="31">
        <v>45894130.229999997</v>
      </c>
      <c r="AK18" s="69">
        <v>0</v>
      </c>
      <c r="AL18" s="32" t="s">
        <v>32</v>
      </c>
      <c r="AM18" s="32"/>
      <c r="AN18" s="32"/>
      <c r="AO18" s="32"/>
      <c r="AP18" s="32"/>
      <c r="AQ18" s="32"/>
      <c r="AR18" s="32"/>
      <c r="AS18" s="1"/>
      <c r="AT18" s="35"/>
      <c r="AU18" s="14"/>
      <c r="AV18" s="14"/>
      <c r="AW18" s="14"/>
      <c r="AX18" s="14"/>
      <c r="AY18" s="15"/>
      <c r="AZ18" s="15"/>
      <c r="BA18" s="16"/>
      <c r="BB18" s="15"/>
      <c r="BC18" s="16"/>
      <c r="BD18" s="16"/>
      <c r="BE18" s="15"/>
      <c r="BF18" s="17"/>
      <c r="BG18" s="1"/>
      <c r="BH18" s="1"/>
      <c r="BI18" s="1"/>
      <c r="BJ18" s="1"/>
    </row>
    <row r="19" spans="1:66" ht="21.75" customHeight="1" x14ac:dyDescent="0.55000000000000004">
      <c r="A19" s="61" t="s">
        <v>33</v>
      </c>
      <c r="B19" s="28">
        <v>34186099.060000002</v>
      </c>
      <c r="C19" s="28">
        <v>35528647</v>
      </c>
      <c r="D19" s="28">
        <v>35916765.130000003</v>
      </c>
      <c r="E19" s="28">
        <v>35594151.450000003</v>
      </c>
      <c r="F19" s="28">
        <v>35841590.75</v>
      </c>
      <c r="G19" s="28">
        <v>36333466.950000003</v>
      </c>
      <c r="H19" s="29">
        <v>36867780.420000002</v>
      </c>
      <c r="I19" s="68">
        <v>83011338.040000007</v>
      </c>
      <c r="J19" s="68">
        <v>86878170.810000002</v>
      </c>
      <c r="K19" s="77">
        <v>91956764.840000004</v>
      </c>
      <c r="L19" s="75">
        <v>1718102.79</v>
      </c>
      <c r="M19" s="59">
        <v>3115225.24</v>
      </c>
      <c r="N19" s="59">
        <v>6316239.1299999999</v>
      </c>
      <c r="O19" s="59">
        <v>10717532.66</v>
      </c>
      <c r="P19" s="59">
        <v>6161778.1299999999</v>
      </c>
      <c r="Q19" s="59">
        <v>4462791.46</v>
      </c>
      <c r="R19" s="64">
        <v>6112626.2000000002</v>
      </c>
      <c r="S19" s="64">
        <v>7534728.5499999998</v>
      </c>
      <c r="T19" s="68">
        <v>8670293.7899999991</v>
      </c>
      <c r="U19" s="79">
        <v>9285648.3000000007</v>
      </c>
      <c r="V19" s="75">
        <v>18635257.670000002</v>
      </c>
      <c r="W19" s="59">
        <v>20720584.449999999</v>
      </c>
      <c r="X19" s="59">
        <v>20730230.550000001</v>
      </c>
      <c r="Y19" s="59">
        <v>20986081.460000001</v>
      </c>
      <c r="Z19" s="59">
        <v>22374591.18</v>
      </c>
      <c r="AA19" s="59">
        <v>22169535.789999999</v>
      </c>
      <c r="AB19" s="64">
        <v>23794397.079999998</v>
      </c>
      <c r="AC19" s="64">
        <v>28905318</v>
      </c>
      <c r="AD19" s="68">
        <v>25078148.149999999</v>
      </c>
      <c r="AE19" s="79">
        <v>28150427.670000002</v>
      </c>
      <c r="AF19" s="64">
        <v>42800573.149999999</v>
      </c>
      <c r="AG19" s="30">
        <v>43822391.649999999</v>
      </c>
      <c r="AH19" s="30">
        <v>44228858.57</v>
      </c>
      <c r="AI19" s="30">
        <v>45004333.439999998</v>
      </c>
      <c r="AJ19" s="31">
        <v>45831243.82</v>
      </c>
      <c r="AK19" s="69">
        <v>0</v>
      </c>
      <c r="AL19" s="36" t="s">
        <v>34</v>
      </c>
      <c r="AM19" s="36"/>
      <c r="AN19" s="36"/>
      <c r="AO19" s="36"/>
      <c r="AP19" s="36"/>
      <c r="AQ19" s="36"/>
      <c r="AR19" s="36"/>
      <c r="AS19" s="1"/>
      <c r="AT19" s="35"/>
      <c r="AU19" s="14"/>
      <c r="AV19" s="14"/>
      <c r="AW19" s="14"/>
      <c r="AX19" s="14"/>
      <c r="AY19" s="15"/>
      <c r="AZ19" s="15"/>
      <c r="BA19" s="16"/>
      <c r="BB19" s="15"/>
      <c r="BC19" s="16"/>
      <c r="BD19" s="16"/>
      <c r="BE19" s="15"/>
      <c r="BF19" s="17"/>
      <c r="BG19" s="1"/>
      <c r="BH19" s="1"/>
      <c r="BI19" s="1"/>
      <c r="BJ19" s="1"/>
    </row>
    <row r="20" spans="1:66" ht="21.75" customHeight="1" x14ac:dyDescent="0.25">
      <c r="A20" s="62" t="s">
        <v>35</v>
      </c>
      <c r="B20" s="37">
        <v>34536394.18</v>
      </c>
      <c r="C20" s="37">
        <v>34882002.939999998</v>
      </c>
      <c r="D20" s="37">
        <v>35659834.729999997</v>
      </c>
      <c r="E20" s="37">
        <v>35452633.939999998</v>
      </c>
      <c r="F20" s="37">
        <v>35874331.299999997</v>
      </c>
      <c r="G20" s="37">
        <v>36250983.479999997</v>
      </c>
      <c r="H20" s="38">
        <v>36842389.850000001</v>
      </c>
      <c r="I20" s="70">
        <v>82892915.930000007</v>
      </c>
      <c r="J20" s="70">
        <v>87283786.060000002</v>
      </c>
      <c r="K20" s="78">
        <v>92381474.780000001</v>
      </c>
      <c r="L20" s="39">
        <v>1705960.07</v>
      </c>
      <c r="M20" s="60">
        <v>1742517.29</v>
      </c>
      <c r="N20" s="60">
        <v>1971183.13</v>
      </c>
      <c r="O20" s="60">
        <v>3380365.84</v>
      </c>
      <c r="P20" s="60">
        <v>1577278.23</v>
      </c>
      <c r="Q20" s="60">
        <v>3374092.46</v>
      </c>
      <c r="R20" s="65">
        <v>4436748.0999999996</v>
      </c>
      <c r="S20" s="65">
        <v>7389568.9000000004</v>
      </c>
      <c r="T20" s="70">
        <v>8834319.1300000008</v>
      </c>
      <c r="U20" s="80">
        <v>14043385.300000001</v>
      </c>
      <c r="V20" s="39">
        <v>20484506.43</v>
      </c>
      <c r="W20" s="60">
        <v>19628482.789999999</v>
      </c>
      <c r="X20" s="60">
        <v>20204394.68</v>
      </c>
      <c r="Y20" s="60">
        <v>19421687.149999999</v>
      </c>
      <c r="Z20" s="60">
        <v>21510452.010000002</v>
      </c>
      <c r="AA20" s="60">
        <v>21777052.940000001</v>
      </c>
      <c r="AB20" s="65">
        <v>22591475.109999999</v>
      </c>
      <c r="AC20" s="65">
        <v>23274630.719999999</v>
      </c>
      <c r="AD20" s="70">
        <v>24178546.5</v>
      </c>
      <c r="AE20" s="80">
        <v>27926430.82</v>
      </c>
      <c r="AF20" s="65">
        <v>42678576.490000002</v>
      </c>
      <c r="AG20" s="40">
        <v>43634524.200000003</v>
      </c>
      <c r="AH20" s="40">
        <v>44260007.780000001</v>
      </c>
      <c r="AI20" s="40">
        <v>44897572.810000002</v>
      </c>
      <c r="AJ20" s="41">
        <v>45784801.289999999</v>
      </c>
      <c r="AK20" s="71">
        <v>0</v>
      </c>
      <c r="AL20" s="42" t="s">
        <v>36</v>
      </c>
      <c r="AM20" s="32"/>
      <c r="AN20" s="32"/>
      <c r="AO20" s="32"/>
      <c r="AP20" s="32"/>
      <c r="AQ20" s="32"/>
      <c r="AR20" s="32"/>
      <c r="AS20" s="1"/>
      <c r="AT20" s="35"/>
      <c r="AU20" s="14"/>
      <c r="AV20" s="14"/>
      <c r="AW20" s="14"/>
      <c r="AX20" s="14"/>
      <c r="AY20" s="15"/>
      <c r="AZ20" s="15"/>
      <c r="BA20" s="16"/>
      <c r="BB20" s="15"/>
      <c r="BC20" s="16"/>
      <c r="BD20" s="16"/>
      <c r="BE20" s="15"/>
      <c r="BF20" s="17"/>
      <c r="BG20" s="1"/>
      <c r="BH20" s="1"/>
      <c r="BI20" s="1"/>
      <c r="BJ20" s="1"/>
    </row>
    <row r="21" spans="1:66" ht="17.25" customHeight="1" x14ac:dyDescent="0.25">
      <c r="A21" s="43" t="s">
        <v>42</v>
      </c>
      <c r="B21" s="44"/>
      <c r="C21" s="44"/>
      <c r="D21" s="44"/>
      <c r="E21" s="44"/>
      <c r="F21" s="44"/>
      <c r="G21" s="44"/>
      <c r="H21" s="44"/>
      <c r="I21" s="44"/>
      <c r="J21" s="50"/>
      <c r="K21" s="50"/>
      <c r="L21" s="44"/>
      <c r="M21" s="44"/>
      <c r="N21" s="44"/>
      <c r="O21" s="44"/>
      <c r="P21" s="44"/>
      <c r="Q21" s="44"/>
      <c r="R21" s="44"/>
      <c r="S21" s="44"/>
      <c r="T21" s="73"/>
      <c r="U21" s="73"/>
      <c r="V21" s="44"/>
      <c r="W21" s="44"/>
      <c r="X21" s="44"/>
      <c r="Y21" s="44"/>
      <c r="Z21" s="44"/>
      <c r="AA21" s="44"/>
      <c r="AB21" s="44"/>
      <c r="AC21" s="50"/>
      <c r="AD21" s="50"/>
      <c r="AE21" s="50"/>
      <c r="AF21" s="44"/>
      <c r="AG21" s="44"/>
      <c r="AH21" s="44"/>
      <c r="AI21" s="44"/>
      <c r="AJ21" s="44"/>
      <c r="AK21" s="44"/>
      <c r="AL21" s="67" t="s">
        <v>41</v>
      </c>
      <c r="AM21" s="45"/>
      <c r="AN21" s="45"/>
      <c r="AO21" s="45"/>
      <c r="AP21" s="45"/>
      <c r="AQ21" s="45"/>
      <c r="AR21" s="45"/>
      <c r="AS21" s="44"/>
      <c r="AT21" s="35"/>
      <c r="AU21" s="14"/>
      <c r="AV21" s="14"/>
      <c r="AW21" s="14"/>
      <c r="AX21" s="14"/>
      <c r="AY21" s="14"/>
      <c r="AZ21" s="14"/>
      <c r="BA21" s="46"/>
      <c r="BB21" s="14"/>
      <c r="BC21" s="46"/>
      <c r="BD21" s="46"/>
      <c r="BE21" s="14"/>
      <c r="BF21" s="44"/>
      <c r="BG21" s="44"/>
      <c r="BH21" s="44"/>
      <c r="BI21" s="1"/>
      <c r="BJ21" s="1"/>
    </row>
    <row r="22" spans="1:66" ht="17.25" customHeight="1" x14ac:dyDescent="0.45">
      <c r="A22" s="47" t="s">
        <v>37</v>
      </c>
      <c r="B22" s="44"/>
      <c r="C22" s="44"/>
      <c r="D22" s="44"/>
      <c r="E22" s="44"/>
      <c r="F22" s="44"/>
      <c r="G22" s="44"/>
      <c r="H22" s="44"/>
      <c r="I22" s="44"/>
      <c r="J22" s="50"/>
      <c r="K22" s="50"/>
      <c r="L22" s="44"/>
      <c r="M22" s="44"/>
      <c r="N22" s="44"/>
      <c r="O22" s="44"/>
      <c r="P22" s="48"/>
      <c r="Q22" s="48"/>
      <c r="R22" s="48"/>
      <c r="S22" s="48"/>
      <c r="T22" s="73"/>
      <c r="U22" s="73"/>
      <c r="V22" s="44"/>
      <c r="W22" s="44"/>
      <c r="X22" s="44"/>
      <c r="Y22" s="44"/>
      <c r="Z22" s="44"/>
      <c r="AA22" s="44"/>
      <c r="AB22" s="44"/>
      <c r="AC22" s="50"/>
      <c r="AD22" s="50"/>
      <c r="AE22" s="50"/>
      <c r="AF22" s="44"/>
      <c r="AG22" s="44"/>
      <c r="AH22" s="44"/>
      <c r="AI22" s="44"/>
      <c r="AJ22" s="44"/>
      <c r="AK22" s="44"/>
      <c r="AL22" s="49" t="s">
        <v>38</v>
      </c>
      <c r="AM22" s="49"/>
      <c r="AN22" s="49"/>
      <c r="AO22" s="49"/>
      <c r="AP22" s="49"/>
      <c r="AQ22" s="49"/>
      <c r="AR22" s="49"/>
      <c r="AS22" s="44"/>
      <c r="AT22" s="35"/>
      <c r="AU22" s="94" t="s">
        <v>39</v>
      </c>
      <c r="AV22" s="83"/>
      <c r="AW22" s="83"/>
      <c r="AX22" s="85"/>
      <c r="AY22" s="44"/>
      <c r="AZ22" s="44"/>
      <c r="BA22" s="50"/>
      <c r="BB22" s="44"/>
      <c r="BC22" s="50"/>
      <c r="BD22" s="50"/>
      <c r="BE22" s="94" t="s">
        <v>40</v>
      </c>
      <c r="BF22" s="83"/>
      <c r="BG22" s="83"/>
      <c r="BH22" s="85"/>
      <c r="BI22" s="1"/>
      <c r="BJ22" s="1"/>
    </row>
    <row r="23" spans="1:66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3"/>
      <c r="K23" s="13"/>
      <c r="L23" s="1"/>
      <c r="M23" s="1"/>
      <c r="N23" s="1"/>
      <c r="O23" s="1"/>
      <c r="P23" s="1"/>
      <c r="Q23" s="1"/>
      <c r="R23" s="1"/>
      <c r="S23" s="1"/>
      <c r="T23" s="13"/>
      <c r="U23" s="13"/>
      <c r="V23" s="1"/>
      <c r="W23" s="1"/>
      <c r="X23" s="1"/>
      <c r="Y23" s="1"/>
      <c r="Z23" s="1"/>
      <c r="AA23" s="1"/>
      <c r="AB23" s="1"/>
      <c r="AC23" s="13"/>
      <c r="AD23" s="13"/>
      <c r="AE23" s="13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35"/>
      <c r="AU23" s="14">
        <v>2012</v>
      </c>
      <c r="AV23" s="14">
        <v>2013</v>
      </c>
      <c r="AW23" s="14">
        <v>2014</v>
      </c>
      <c r="AX23" s="14">
        <v>2015</v>
      </c>
      <c r="AY23" s="14">
        <v>2016</v>
      </c>
      <c r="AZ23" s="14">
        <v>2017</v>
      </c>
      <c r="BA23" s="14">
        <v>2018</v>
      </c>
      <c r="BB23" s="14">
        <v>2019</v>
      </c>
      <c r="BC23" s="14">
        <v>2020</v>
      </c>
      <c r="BD23" s="14">
        <v>2021</v>
      </c>
      <c r="BE23" s="51">
        <v>2012</v>
      </c>
      <c r="BF23" s="51">
        <v>2013</v>
      </c>
      <c r="BG23" s="51">
        <v>2014</v>
      </c>
      <c r="BH23" s="51">
        <v>2015</v>
      </c>
      <c r="BI23" s="51">
        <v>2016</v>
      </c>
      <c r="BJ23" s="51">
        <v>2017</v>
      </c>
      <c r="BK23" s="51">
        <v>2018</v>
      </c>
      <c r="BL23" s="51">
        <v>2019</v>
      </c>
      <c r="BM23" s="2">
        <v>2020</v>
      </c>
      <c r="BN23" s="2">
        <v>2021</v>
      </c>
    </row>
    <row r="24" spans="1:66" ht="15.75" customHeight="1" x14ac:dyDescent="0.25">
      <c r="A24" s="5"/>
      <c r="B24" s="1"/>
      <c r="C24" s="1"/>
      <c r="D24" s="1"/>
      <c r="E24" s="1"/>
      <c r="F24" s="1"/>
      <c r="G24" s="1"/>
      <c r="H24" s="1"/>
      <c r="I24" s="1"/>
      <c r="J24" s="13"/>
      <c r="K24" s="13"/>
      <c r="L24" s="1"/>
      <c r="M24" s="1"/>
      <c r="N24" s="1"/>
      <c r="O24" s="1"/>
      <c r="P24" s="1"/>
      <c r="Q24" s="1"/>
      <c r="R24" s="1"/>
      <c r="S24" s="1"/>
      <c r="T24" s="13"/>
      <c r="U24" s="13"/>
      <c r="V24" s="1"/>
      <c r="W24" s="1"/>
      <c r="X24" s="1"/>
      <c r="Y24" s="1"/>
      <c r="Z24" s="1"/>
      <c r="AA24" s="1"/>
      <c r="AB24" s="1"/>
      <c r="AC24" s="13"/>
      <c r="AD24" s="13"/>
      <c r="AE24" s="13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 t="str">
        <f>D6</f>
        <v>Basic pension</v>
      </c>
      <c r="AU24" s="11">
        <f t="shared" ref="AU24:AY24" si="7">BE24/1000000</f>
        <v>414.73893651999998</v>
      </c>
      <c r="AV24" s="11">
        <f t="shared" si="7"/>
        <v>421.20435024000005</v>
      </c>
      <c r="AW24" s="11">
        <f t="shared" si="7"/>
        <v>431.70710244000009</v>
      </c>
      <c r="AX24" s="11">
        <f t="shared" si="7"/>
        <v>426.99923999999999</v>
      </c>
      <c r="AY24" s="11">
        <f t="shared" si="7"/>
        <v>432.11594074999999</v>
      </c>
      <c r="AZ24" s="11">
        <f>BJ24/1000000</f>
        <v>435.25136824000003</v>
      </c>
      <c r="BA24" s="11">
        <f>BK24/1000000</f>
        <v>443.15210785000011</v>
      </c>
      <c r="BB24" s="11">
        <f>BL24/1000000</f>
        <v>903.98428605999993</v>
      </c>
      <c r="BC24" s="11">
        <f>BM24/1000000</f>
        <v>1033.2069669300001</v>
      </c>
      <c r="BD24" s="11">
        <f>BN24/1000000</f>
        <v>1091.3271173300002</v>
      </c>
      <c r="BE24" s="30">
        <f t="shared" ref="BE24:BN24" si="8">B8</f>
        <v>414738936.51999998</v>
      </c>
      <c r="BF24" s="30">
        <f t="shared" si="8"/>
        <v>421204350.24000007</v>
      </c>
      <c r="BG24" s="30">
        <f t="shared" si="8"/>
        <v>431707102.44000006</v>
      </c>
      <c r="BH24" s="30">
        <f t="shared" si="8"/>
        <v>426999240</v>
      </c>
      <c r="BI24" s="30">
        <f t="shared" si="8"/>
        <v>432115940.75</v>
      </c>
      <c r="BJ24" s="30">
        <f t="shared" si="8"/>
        <v>435251368.24000001</v>
      </c>
      <c r="BK24" s="30">
        <f t="shared" si="8"/>
        <v>443152107.85000008</v>
      </c>
      <c r="BL24" s="30">
        <f t="shared" si="8"/>
        <v>903984286.05999994</v>
      </c>
      <c r="BM24" s="30">
        <f t="shared" si="8"/>
        <v>1033206966.9300001</v>
      </c>
      <c r="BN24" s="30">
        <f t="shared" si="8"/>
        <v>1091327117.3300002</v>
      </c>
    </row>
    <row r="25" spans="1:66" ht="15.75" customHeight="1" x14ac:dyDescent="0.25">
      <c r="A25" s="1"/>
      <c r="B25" s="44"/>
      <c r="C25" s="1"/>
      <c r="D25" s="1"/>
      <c r="E25" s="1"/>
      <c r="F25" s="1"/>
      <c r="G25" s="1"/>
      <c r="H25" s="1"/>
      <c r="I25" s="1"/>
      <c r="J25" s="13"/>
      <c r="K25" s="13"/>
      <c r="L25" s="1"/>
      <c r="M25" s="1"/>
      <c r="N25" s="1"/>
      <c r="O25" s="1"/>
      <c r="P25" s="1"/>
      <c r="Q25" s="1"/>
      <c r="R25" s="1"/>
      <c r="S25" s="1"/>
      <c r="T25" s="13"/>
      <c r="U25" s="13"/>
      <c r="V25" s="1"/>
      <c r="W25" s="1"/>
      <c r="X25" s="1"/>
      <c r="Y25" s="1"/>
      <c r="Z25" s="1"/>
      <c r="AA25" s="1"/>
      <c r="AB25" s="1"/>
      <c r="AC25" s="13"/>
      <c r="AD25" s="13"/>
      <c r="AE25" s="13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 t="str">
        <f>V6</f>
        <v>Other  pension</v>
      </c>
      <c r="AU25" s="11">
        <f t="shared" ref="AU25:BD27" si="9">BE25/1000000</f>
        <v>240.70123962</v>
      </c>
      <c r="AV25" s="11">
        <f t="shared" si="9"/>
        <v>244.38423925999996</v>
      </c>
      <c r="AW25" s="11">
        <f t="shared" si="9"/>
        <v>259.55405459000002</v>
      </c>
      <c r="AX25" s="11">
        <f t="shared" si="9"/>
        <v>260.11826270999995</v>
      </c>
      <c r="AY25" s="11">
        <f t="shared" si="9"/>
        <v>264.84195393999994</v>
      </c>
      <c r="AZ25" s="11">
        <f t="shared" si="9"/>
        <v>270.65722773000005</v>
      </c>
      <c r="BA25" s="11">
        <f t="shared" si="9"/>
        <v>280.56057788999999</v>
      </c>
      <c r="BB25" s="11">
        <f t="shared" si="9"/>
        <v>315.63996715999997</v>
      </c>
      <c r="BC25" s="11">
        <f t="shared" si="9"/>
        <v>315.63996715999997</v>
      </c>
      <c r="BD25" s="11">
        <f t="shared" si="9"/>
        <v>315.63996715999997</v>
      </c>
      <c r="BE25" s="30">
        <f t="shared" ref="BE25:BK25" si="10">V8</f>
        <v>240701239.62</v>
      </c>
      <c r="BF25" s="30">
        <f t="shared" si="10"/>
        <v>244384239.25999996</v>
      </c>
      <c r="BG25" s="30">
        <f t="shared" si="10"/>
        <v>259554054.59000003</v>
      </c>
      <c r="BH25" s="30">
        <f t="shared" si="10"/>
        <v>260118262.70999998</v>
      </c>
      <c r="BI25" s="30">
        <f t="shared" si="10"/>
        <v>264841953.93999997</v>
      </c>
      <c r="BJ25" s="30">
        <f t="shared" si="10"/>
        <v>270657227.73000002</v>
      </c>
      <c r="BK25" s="30">
        <f t="shared" si="10"/>
        <v>280560577.88999999</v>
      </c>
      <c r="BL25" s="30">
        <f>AE8</f>
        <v>315639967.15999997</v>
      </c>
      <c r="BM25" s="30">
        <f>AE8</f>
        <v>315639967.15999997</v>
      </c>
      <c r="BN25" s="30">
        <f>AE8</f>
        <v>315639967.15999997</v>
      </c>
    </row>
    <row r="26" spans="1:66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3"/>
      <c r="K26" s="13"/>
      <c r="L26" s="1"/>
      <c r="M26" s="1"/>
      <c r="N26" s="1"/>
      <c r="O26" s="1"/>
      <c r="P26" s="1"/>
      <c r="Q26" s="1"/>
      <c r="R26" s="1"/>
      <c r="S26" s="1"/>
      <c r="T26" s="13"/>
      <c r="U26" s="13"/>
      <c r="V26" s="1"/>
      <c r="W26" s="1"/>
      <c r="X26" s="1"/>
      <c r="Y26" s="1"/>
      <c r="Z26" s="1"/>
      <c r="AA26" s="1"/>
      <c r="AB26" s="1"/>
      <c r="AC26" s="13"/>
      <c r="AD26" s="13"/>
      <c r="AE26" s="13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 t="str">
        <f>L6</f>
        <v>Retirement  pension</v>
      </c>
      <c r="AU26" s="11">
        <f t="shared" ref="AU26:BB26" si="11">BE26/1000000</f>
        <v>21.452251599999997</v>
      </c>
      <c r="AV26" s="11">
        <f t="shared" si="11"/>
        <v>25.887906539999999</v>
      </c>
      <c r="AW26" s="11">
        <f t="shared" si="11"/>
        <v>35.973669200000003</v>
      </c>
      <c r="AX26" s="11">
        <f t="shared" si="11"/>
        <v>48.839669629999996</v>
      </c>
      <c r="AY26" s="11">
        <f t="shared" si="11"/>
        <v>49.178627069999997</v>
      </c>
      <c r="AZ26" s="11">
        <f t="shared" si="11"/>
        <v>54.585241880000005</v>
      </c>
      <c r="BA26" s="11">
        <f>BK26/1000000</f>
        <v>58.618929450000003</v>
      </c>
      <c r="BB26" s="11">
        <f t="shared" si="11"/>
        <v>90.949201129999992</v>
      </c>
      <c r="BC26" s="11">
        <f t="shared" si="9"/>
        <v>123.38841645000001</v>
      </c>
      <c r="BD26" s="11">
        <f t="shared" si="9"/>
        <v>123.38841645000001</v>
      </c>
      <c r="BE26" s="30">
        <f t="shared" ref="BE26:BL26" si="12">L8</f>
        <v>21452251.599999998</v>
      </c>
      <c r="BF26" s="30">
        <f t="shared" si="12"/>
        <v>25887906.539999999</v>
      </c>
      <c r="BG26" s="30">
        <f t="shared" si="12"/>
        <v>35973669.200000003</v>
      </c>
      <c r="BH26" s="30">
        <f t="shared" si="12"/>
        <v>48839669.629999995</v>
      </c>
      <c r="BI26" s="30">
        <f t="shared" si="12"/>
        <v>49178627.07</v>
      </c>
      <c r="BJ26" s="30">
        <f t="shared" si="12"/>
        <v>54585241.880000003</v>
      </c>
      <c r="BK26" s="30">
        <f t="shared" si="12"/>
        <v>58618929.450000003</v>
      </c>
      <c r="BL26" s="30">
        <f t="shared" si="12"/>
        <v>90949201.129999995</v>
      </c>
      <c r="BM26" s="30">
        <f>U8</f>
        <v>123388416.45</v>
      </c>
      <c r="BN26" s="30">
        <f>U8</f>
        <v>123388416.45</v>
      </c>
    </row>
    <row r="27" spans="1:6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3"/>
      <c r="K27" s="13"/>
      <c r="L27" s="1"/>
      <c r="M27" s="1"/>
      <c r="N27" s="1"/>
      <c r="O27" s="1"/>
      <c r="P27" s="1"/>
      <c r="Q27" s="1"/>
      <c r="R27" s="1"/>
      <c r="S27" s="1"/>
      <c r="T27" s="13"/>
      <c r="U27" s="13"/>
      <c r="V27" s="1"/>
      <c r="W27" s="1"/>
      <c r="X27" s="1"/>
      <c r="Y27" s="1"/>
      <c r="Z27" s="1"/>
      <c r="AA27" s="1"/>
      <c r="AB27" s="1"/>
      <c r="AC27" s="13"/>
      <c r="AD27" s="13"/>
      <c r="AE27" s="13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 t="str">
        <f>AF6</f>
        <v xml:space="preserve"> Senior Citizen Allowance</v>
      </c>
      <c r="AU27" s="11">
        <f t="shared" ref="AU27:AZ27" si="13">BE27/1000000</f>
        <v>0</v>
      </c>
      <c r="AV27" s="11">
        <f t="shared" si="13"/>
        <v>0</v>
      </c>
      <c r="AW27" s="11">
        <f t="shared" si="13"/>
        <v>471.31171134999994</v>
      </c>
      <c r="AX27" s="11">
        <f t="shared" si="13"/>
        <v>524.5473284599999</v>
      </c>
      <c r="AY27" s="11">
        <f t="shared" si="13"/>
        <v>533.48253769000007</v>
      </c>
      <c r="AZ27" s="11">
        <f t="shared" si="13"/>
        <v>539.03694702999996</v>
      </c>
      <c r="BA27" s="11">
        <f>BK27/1000000</f>
        <v>550.82376364999993</v>
      </c>
      <c r="BB27" s="11">
        <f>BL27/1000000</f>
        <v>93.669343139999981</v>
      </c>
      <c r="BC27" s="11">
        <f t="shared" si="9"/>
        <v>0</v>
      </c>
      <c r="BD27" s="11">
        <f t="shared" si="9"/>
        <v>0</v>
      </c>
      <c r="BE27" s="52">
        <v>0</v>
      </c>
      <c r="BF27" s="52">
        <v>0</v>
      </c>
      <c r="BG27" s="30">
        <f>AF8</f>
        <v>471311711.34999996</v>
      </c>
      <c r="BH27" s="30">
        <f>AG8</f>
        <v>524547328.45999992</v>
      </c>
      <c r="BI27" s="30">
        <f t="shared" ref="BI27" si="14">AH8</f>
        <v>533482537.69000006</v>
      </c>
      <c r="BJ27" s="30">
        <f>AI8</f>
        <v>539036947.02999997</v>
      </c>
      <c r="BK27" s="30">
        <f>AJ8</f>
        <v>550823763.64999998</v>
      </c>
      <c r="BL27" s="30">
        <f t="shared" ref="BL27" si="15">AK8</f>
        <v>93669343.139999986</v>
      </c>
      <c r="BM27" s="11">
        <f t="shared" ref="BM27:BN27" si="16">BV27/1000000</f>
        <v>0</v>
      </c>
      <c r="BN27" s="11">
        <f t="shared" si="16"/>
        <v>0</v>
      </c>
    </row>
    <row r="28" spans="1:6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3"/>
      <c r="K28" s="13"/>
      <c r="L28" s="1"/>
      <c r="M28" s="1"/>
      <c r="N28" s="1"/>
      <c r="O28" s="1"/>
      <c r="P28" s="1"/>
      <c r="Q28" s="1"/>
      <c r="R28" s="1"/>
      <c r="S28" s="1"/>
      <c r="T28" s="13"/>
      <c r="U28" s="13"/>
      <c r="V28" s="1"/>
      <c r="W28" s="1"/>
      <c r="X28" s="1"/>
      <c r="Y28" s="1"/>
      <c r="Z28" s="1"/>
      <c r="AA28" s="1"/>
      <c r="AB28" s="1"/>
      <c r="AC28" s="13"/>
      <c r="AD28" s="13"/>
      <c r="AE28" s="13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4"/>
      <c r="AU28" s="14"/>
      <c r="AV28" s="15"/>
      <c r="AW28" s="15"/>
      <c r="AX28" s="1"/>
      <c r="AY28" s="1"/>
      <c r="AZ28" s="1"/>
      <c r="BA28" s="13"/>
      <c r="BB28" s="1"/>
      <c r="BC28" s="13"/>
      <c r="BD28" s="13"/>
      <c r="BE28" s="53"/>
      <c r="BF28" s="53"/>
      <c r="BG28" s="52"/>
      <c r="BH28" s="52"/>
      <c r="BI28" s="52"/>
      <c r="BJ28" s="1"/>
      <c r="BK28" s="54">
        <f>SUM(BK24:BK27)</f>
        <v>1333155378.8400002</v>
      </c>
      <c r="BL28" s="54">
        <f>SUM(BL24:BL27)</f>
        <v>1404242797.4899998</v>
      </c>
      <c r="BM28" s="54">
        <f>SUM(BM24:BM27)</f>
        <v>1472235350.5400002</v>
      </c>
      <c r="BN28" s="54">
        <f>SUM(BN24:BN27)</f>
        <v>1530355500.9400003</v>
      </c>
    </row>
    <row r="29" spans="1:6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3"/>
      <c r="K29" s="13"/>
      <c r="L29" s="1"/>
      <c r="M29" s="1"/>
      <c r="N29" s="1"/>
      <c r="O29" s="1"/>
      <c r="P29" s="1"/>
      <c r="Q29" s="1"/>
      <c r="R29" s="1"/>
      <c r="S29" s="1"/>
      <c r="T29" s="13"/>
      <c r="U29" s="13"/>
      <c r="V29" s="1"/>
      <c r="W29" s="1"/>
      <c r="X29" s="1"/>
      <c r="Y29" s="1"/>
      <c r="Z29" s="1"/>
      <c r="AA29" s="1"/>
      <c r="AB29" s="1"/>
      <c r="AC29" s="13"/>
      <c r="AD29" s="13"/>
      <c r="AE29" s="13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4"/>
      <c r="AU29" s="14"/>
      <c r="AV29" s="15"/>
      <c r="AW29" s="15"/>
      <c r="AX29" s="15"/>
      <c r="AY29" s="17"/>
      <c r="AZ29" s="17"/>
      <c r="BA29" s="55"/>
      <c r="BB29" s="17"/>
      <c r="BC29" s="55"/>
      <c r="BD29" s="55"/>
      <c r="BE29" s="1"/>
      <c r="BF29" s="1"/>
      <c r="BG29" s="1"/>
      <c r="BH29" s="1"/>
      <c r="BI29" s="1"/>
      <c r="BJ29" s="1"/>
    </row>
    <row r="30" spans="1:6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3"/>
      <c r="K30" s="13"/>
      <c r="L30" s="1"/>
      <c r="M30" s="1"/>
      <c r="N30" s="1"/>
      <c r="O30" s="1"/>
      <c r="P30" s="1"/>
      <c r="Q30" s="1"/>
      <c r="R30" s="1"/>
      <c r="S30" s="1"/>
      <c r="T30" s="13"/>
      <c r="U30" s="13"/>
      <c r="V30" s="1"/>
      <c r="W30" s="1"/>
      <c r="X30" s="1"/>
      <c r="Y30" s="1"/>
      <c r="Z30" s="1"/>
      <c r="AA30" s="1"/>
      <c r="AB30" s="1"/>
      <c r="AC30" s="13"/>
      <c r="AD30" s="13"/>
      <c r="AE30" s="13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3"/>
      <c r="BB30" s="1"/>
      <c r="BC30" s="13"/>
      <c r="BD30" s="13"/>
      <c r="BE30" s="1"/>
      <c r="BF30" s="1"/>
      <c r="BG30" s="1"/>
      <c r="BH30" s="1"/>
      <c r="BI30" s="1"/>
      <c r="BJ30" s="1"/>
    </row>
    <row r="31" spans="1:6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3"/>
      <c r="K31" s="13"/>
      <c r="L31" s="1"/>
      <c r="M31" s="1"/>
      <c r="N31" s="1"/>
      <c r="O31" s="1"/>
      <c r="P31" s="1"/>
      <c r="Q31" s="1"/>
      <c r="R31" s="1"/>
      <c r="S31" s="1"/>
      <c r="T31" s="13"/>
      <c r="U31" s="13"/>
      <c r="V31" s="1"/>
      <c r="W31" s="1"/>
      <c r="X31" s="1"/>
      <c r="Y31" s="1"/>
      <c r="Z31" s="1"/>
      <c r="AA31" s="1"/>
      <c r="AB31" s="1"/>
      <c r="AC31" s="13"/>
      <c r="AD31" s="13"/>
      <c r="AE31" s="13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3"/>
      <c r="BB31" s="1"/>
      <c r="BC31" s="13"/>
      <c r="BD31" s="13"/>
      <c r="BE31" s="1"/>
      <c r="BF31" s="1"/>
      <c r="BG31" s="1"/>
      <c r="BH31" s="1"/>
      <c r="BI31" s="1"/>
      <c r="BJ31" s="1"/>
    </row>
    <row r="32" spans="1:6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3"/>
      <c r="K32" s="13"/>
      <c r="L32" s="1"/>
      <c r="M32" s="1"/>
      <c r="N32" s="1"/>
      <c r="O32" s="1"/>
      <c r="P32" s="1"/>
      <c r="Q32" s="1"/>
      <c r="R32" s="1"/>
      <c r="S32" s="1"/>
      <c r="T32" s="13"/>
      <c r="U32" s="13"/>
      <c r="V32" s="1"/>
      <c r="W32" s="1"/>
      <c r="X32" s="1"/>
      <c r="Y32" s="1"/>
      <c r="Z32" s="1"/>
      <c r="AA32" s="1"/>
      <c r="AB32" s="1"/>
      <c r="AC32" s="13"/>
      <c r="AD32" s="13"/>
      <c r="AE32" s="13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3"/>
      <c r="BB32" s="1"/>
      <c r="BC32" s="13"/>
      <c r="BD32" s="13"/>
      <c r="BE32" s="1"/>
      <c r="BF32" s="1"/>
      <c r="BG32" s="1"/>
      <c r="BH32" s="1"/>
      <c r="BI32" s="1"/>
      <c r="BJ32" s="1"/>
    </row>
    <row r="33" spans="1:62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3"/>
      <c r="K33" s="13"/>
      <c r="L33" s="1"/>
      <c r="M33" s="1"/>
      <c r="N33" s="1"/>
      <c r="O33" s="1"/>
      <c r="P33" s="1"/>
      <c r="Q33" s="1"/>
      <c r="R33" s="1"/>
      <c r="S33" s="1"/>
      <c r="T33" s="13"/>
      <c r="U33" s="13"/>
      <c r="V33" s="1"/>
      <c r="W33" s="1"/>
      <c r="X33" s="1"/>
      <c r="Y33" s="1"/>
      <c r="Z33" s="1"/>
      <c r="AA33" s="1"/>
      <c r="AB33" s="1"/>
      <c r="AC33" s="13"/>
      <c r="AD33" s="13"/>
      <c r="AE33" s="13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3"/>
      <c r="BB33" s="1"/>
      <c r="BC33" s="13"/>
      <c r="BD33" s="13"/>
      <c r="BE33" s="1"/>
      <c r="BF33" s="1"/>
      <c r="BG33" s="1"/>
      <c r="BH33" s="1"/>
      <c r="BI33" s="1"/>
      <c r="BJ33" s="1"/>
    </row>
    <row r="34" spans="1:62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3"/>
      <c r="K34" s="13"/>
      <c r="L34" s="1"/>
      <c r="M34" s="1"/>
      <c r="N34" s="1"/>
      <c r="O34" s="1"/>
      <c r="P34" s="1"/>
      <c r="Q34" s="1"/>
      <c r="R34" s="1"/>
      <c r="S34" s="1"/>
      <c r="T34" s="13"/>
      <c r="U34" s="13"/>
      <c r="V34" s="1"/>
      <c r="W34" s="1"/>
      <c r="X34" s="1"/>
      <c r="Y34" s="1"/>
      <c r="Z34" s="1"/>
      <c r="AA34" s="1"/>
      <c r="AB34" s="1"/>
      <c r="AC34" s="13"/>
      <c r="AD34" s="13"/>
      <c r="AE34" s="13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3"/>
      <c r="BB34" s="1"/>
      <c r="BC34" s="13"/>
      <c r="BD34" s="13"/>
      <c r="BE34" s="1"/>
      <c r="BF34" s="1"/>
      <c r="BG34" s="1"/>
      <c r="BH34" s="1"/>
      <c r="BI34" s="1"/>
      <c r="BJ34" s="1"/>
    </row>
    <row r="35" spans="1:62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3"/>
      <c r="K35" s="13"/>
      <c r="L35" s="1"/>
      <c r="M35" s="1"/>
      <c r="N35" s="1"/>
      <c r="O35" s="1"/>
      <c r="P35" s="1"/>
      <c r="Q35" s="1"/>
      <c r="R35" s="1"/>
      <c r="S35" s="1"/>
      <c r="T35" s="13"/>
      <c r="U35" s="13"/>
      <c r="V35" s="1"/>
      <c r="W35" s="1"/>
      <c r="X35" s="1"/>
      <c r="Y35" s="1"/>
      <c r="Z35" s="1"/>
      <c r="AA35" s="1"/>
      <c r="AB35" s="1"/>
      <c r="AC35" s="13"/>
      <c r="AD35" s="13"/>
      <c r="AE35" s="13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3"/>
      <c r="BB35" s="1"/>
      <c r="BC35" s="13"/>
      <c r="BD35" s="13"/>
      <c r="BE35" s="1"/>
      <c r="BF35" s="1"/>
      <c r="BG35" s="1"/>
      <c r="BH35" s="1"/>
      <c r="BI35" s="1"/>
      <c r="BJ35" s="1"/>
    </row>
    <row r="36" spans="1:62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3"/>
      <c r="K36" s="13"/>
      <c r="L36" s="1"/>
      <c r="M36" s="1"/>
      <c r="N36" s="1"/>
      <c r="O36" s="1"/>
      <c r="P36" s="1"/>
      <c r="Q36" s="1"/>
      <c r="R36" s="1"/>
      <c r="S36" s="1"/>
      <c r="T36" s="13"/>
      <c r="U36" s="13"/>
      <c r="V36" s="1"/>
      <c r="W36" s="1"/>
      <c r="X36" s="1"/>
      <c r="Y36" s="1"/>
      <c r="Z36" s="1"/>
      <c r="AA36" s="1"/>
      <c r="AB36" s="1"/>
      <c r="AC36" s="13"/>
      <c r="AD36" s="13"/>
      <c r="AE36" s="13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3"/>
      <c r="BB36" s="1"/>
      <c r="BC36" s="13"/>
      <c r="BD36" s="13"/>
      <c r="BE36" s="1"/>
      <c r="BF36" s="1"/>
      <c r="BG36" s="1"/>
      <c r="BH36" s="1"/>
      <c r="BI36" s="1"/>
      <c r="BJ36" s="1"/>
    </row>
    <row r="37" spans="1:62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3"/>
      <c r="K37" s="13"/>
      <c r="L37" s="1"/>
      <c r="M37" s="1"/>
      <c r="N37" s="1"/>
      <c r="O37" s="1"/>
      <c r="P37" s="1"/>
      <c r="Q37" s="1"/>
      <c r="R37" s="1"/>
      <c r="S37" s="1"/>
      <c r="T37" s="13"/>
      <c r="U37" s="13"/>
      <c r="V37" s="1"/>
      <c r="W37" s="1"/>
      <c r="X37" s="1"/>
      <c r="Y37" s="1"/>
      <c r="Z37" s="1"/>
      <c r="AA37" s="1"/>
      <c r="AB37" s="1"/>
      <c r="AC37" s="13"/>
      <c r="AD37" s="13"/>
      <c r="AE37" s="13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3"/>
      <c r="BB37" s="1"/>
      <c r="BC37" s="13"/>
      <c r="BD37" s="13"/>
      <c r="BE37" s="1"/>
      <c r="BF37" s="1"/>
      <c r="BG37" s="1"/>
      <c r="BH37" s="1"/>
      <c r="BI37" s="1"/>
      <c r="BJ37" s="1"/>
    </row>
    <row r="38" spans="1:62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3"/>
      <c r="K38" s="13"/>
      <c r="L38" s="1"/>
      <c r="M38" s="1"/>
      <c r="N38" s="1"/>
      <c r="O38" s="1"/>
      <c r="P38" s="1"/>
      <c r="Q38" s="1"/>
      <c r="R38" s="1"/>
      <c r="S38" s="1"/>
      <c r="T38" s="13"/>
      <c r="U38" s="13"/>
      <c r="V38" s="1"/>
      <c r="W38" s="1"/>
      <c r="X38" s="1"/>
      <c r="Y38" s="1"/>
      <c r="Z38" s="1"/>
      <c r="AA38" s="1"/>
      <c r="AB38" s="1"/>
      <c r="AC38" s="13"/>
      <c r="AD38" s="13"/>
      <c r="AE38" s="13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3"/>
      <c r="BB38" s="1"/>
      <c r="BC38" s="13"/>
      <c r="BD38" s="13"/>
      <c r="BE38" s="1"/>
      <c r="BF38" s="1"/>
      <c r="BG38" s="1"/>
      <c r="BH38" s="1"/>
      <c r="BI38" s="1"/>
      <c r="BJ38" s="1"/>
    </row>
    <row r="39" spans="1:62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3"/>
      <c r="K39" s="13"/>
      <c r="L39" s="1"/>
      <c r="M39" s="1"/>
      <c r="N39" s="1"/>
      <c r="O39" s="1"/>
      <c r="P39" s="1"/>
      <c r="Q39" s="1"/>
      <c r="R39" s="1"/>
      <c r="S39" s="1"/>
      <c r="T39" s="13"/>
      <c r="U39" s="13"/>
      <c r="V39" s="1"/>
      <c r="W39" s="1"/>
      <c r="X39" s="1"/>
      <c r="Y39" s="1"/>
      <c r="Z39" s="1"/>
      <c r="AA39" s="1"/>
      <c r="AB39" s="1"/>
      <c r="AC39" s="13"/>
      <c r="AD39" s="13"/>
      <c r="AE39" s="13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3"/>
      <c r="BB39" s="1"/>
      <c r="BC39" s="13"/>
      <c r="BD39" s="13"/>
      <c r="BE39" s="1"/>
      <c r="BF39" s="1"/>
      <c r="BG39" s="1"/>
      <c r="BH39" s="1"/>
      <c r="BI39" s="1"/>
      <c r="BJ39" s="1"/>
    </row>
    <row r="40" spans="1:62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3"/>
      <c r="K40" s="13"/>
      <c r="L40" s="1"/>
      <c r="M40" s="1"/>
      <c r="N40" s="1"/>
      <c r="O40" s="1"/>
      <c r="P40" s="1"/>
      <c r="Q40" s="1"/>
      <c r="R40" s="1"/>
      <c r="S40" s="1"/>
      <c r="T40" s="13"/>
      <c r="U40" s="13"/>
      <c r="V40" s="1"/>
      <c r="W40" s="1"/>
      <c r="X40" s="1"/>
      <c r="Y40" s="1"/>
      <c r="Z40" s="1"/>
      <c r="AA40" s="1"/>
      <c r="AB40" s="1"/>
      <c r="AC40" s="13"/>
      <c r="AD40" s="13"/>
      <c r="AE40" s="13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3"/>
      <c r="BB40" s="1"/>
      <c r="BC40" s="13"/>
      <c r="BD40" s="13"/>
      <c r="BE40" s="1"/>
      <c r="BF40" s="1"/>
      <c r="BG40" s="1"/>
      <c r="BH40" s="1"/>
      <c r="BI40" s="1"/>
      <c r="BJ40" s="1"/>
    </row>
    <row r="41" spans="1:62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3"/>
      <c r="K41" s="13"/>
      <c r="L41" s="1"/>
      <c r="M41" s="1"/>
      <c r="N41" s="1"/>
      <c r="O41" s="1"/>
      <c r="P41" s="1"/>
      <c r="Q41" s="1"/>
      <c r="R41" s="1"/>
      <c r="S41" s="1"/>
      <c r="T41" s="13"/>
      <c r="U41" s="13"/>
      <c r="V41" s="1"/>
      <c r="W41" s="1"/>
      <c r="X41" s="1"/>
      <c r="Y41" s="1"/>
      <c r="Z41" s="1"/>
      <c r="AA41" s="1"/>
      <c r="AB41" s="1"/>
      <c r="AC41" s="13"/>
      <c r="AD41" s="13"/>
      <c r="AE41" s="13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3"/>
      <c r="BB41" s="1"/>
      <c r="BC41" s="13"/>
      <c r="BD41" s="13"/>
      <c r="BE41" s="1"/>
      <c r="BF41" s="1"/>
      <c r="BG41" s="1"/>
      <c r="BH41" s="1"/>
      <c r="BI41" s="1"/>
      <c r="BJ41" s="1"/>
    </row>
    <row r="42" spans="1:62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3"/>
      <c r="K42" s="13"/>
      <c r="L42" s="1"/>
      <c r="M42" s="1"/>
      <c r="N42" s="1"/>
      <c r="O42" s="1"/>
      <c r="P42" s="1"/>
      <c r="Q42" s="1"/>
      <c r="R42" s="1"/>
      <c r="S42" s="1"/>
      <c r="T42" s="13"/>
      <c r="U42" s="13"/>
      <c r="V42" s="1"/>
      <c r="W42" s="1"/>
      <c r="X42" s="1"/>
      <c r="Y42" s="1"/>
      <c r="Z42" s="1"/>
      <c r="AA42" s="1"/>
      <c r="AB42" s="1"/>
      <c r="AC42" s="13"/>
      <c r="AD42" s="13"/>
      <c r="AE42" s="13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3"/>
      <c r="BB42" s="1"/>
      <c r="BC42" s="13"/>
      <c r="BD42" s="13"/>
      <c r="BE42" s="1"/>
      <c r="BF42" s="1"/>
      <c r="BG42" s="1"/>
      <c r="BH42" s="1"/>
      <c r="BI42" s="1"/>
      <c r="BJ42" s="1"/>
    </row>
    <row r="43" spans="1:62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3"/>
      <c r="K43" s="13"/>
      <c r="L43" s="1"/>
      <c r="M43" s="1"/>
      <c r="N43" s="1"/>
      <c r="O43" s="1"/>
      <c r="P43" s="1"/>
      <c r="Q43" s="1"/>
      <c r="R43" s="1"/>
      <c r="S43" s="1"/>
      <c r="T43" s="13"/>
      <c r="U43" s="13"/>
      <c r="V43" s="1"/>
      <c r="W43" s="1"/>
      <c r="X43" s="1"/>
      <c r="Y43" s="1"/>
      <c r="Z43" s="1"/>
      <c r="AA43" s="1"/>
      <c r="AB43" s="1"/>
      <c r="AC43" s="13"/>
      <c r="AD43" s="13"/>
      <c r="AE43" s="13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3"/>
      <c r="BB43" s="1"/>
      <c r="BC43" s="13"/>
      <c r="BD43" s="13"/>
      <c r="BE43" s="1"/>
      <c r="BF43" s="1"/>
      <c r="BG43" s="1"/>
      <c r="BH43" s="1"/>
      <c r="BI43" s="1"/>
      <c r="BJ43" s="1"/>
    </row>
    <row r="44" spans="1:62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3"/>
      <c r="K44" s="13"/>
      <c r="L44" s="1"/>
      <c r="M44" s="1"/>
      <c r="N44" s="1"/>
      <c r="O44" s="1"/>
      <c r="P44" s="1"/>
      <c r="Q44" s="1"/>
      <c r="R44" s="1"/>
      <c r="S44" s="1"/>
      <c r="T44" s="13"/>
      <c r="U44" s="13"/>
      <c r="V44" s="1"/>
      <c r="W44" s="1"/>
      <c r="X44" s="1"/>
      <c r="Y44" s="1"/>
      <c r="Z44" s="1"/>
      <c r="AA44" s="1"/>
      <c r="AB44" s="1"/>
      <c r="AC44" s="13"/>
      <c r="AD44" s="13"/>
      <c r="AE44" s="13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3"/>
      <c r="BB44" s="1"/>
      <c r="BC44" s="13"/>
      <c r="BD44" s="13"/>
      <c r="BE44" s="1"/>
      <c r="BF44" s="1"/>
      <c r="BG44" s="1"/>
      <c r="BH44" s="1"/>
      <c r="BI44" s="1"/>
      <c r="BJ44" s="1"/>
    </row>
    <row r="45" spans="1:62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3"/>
      <c r="K45" s="13"/>
      <c r="L45" s="1"/>
      <c r="M45" s="1"/>
      <c r="N45" s="1"/>
      <c r="O45" s="1"/>
      <c r="P45" s="1"/>
      <c r="Q45" s="1"/>
      <c r="R45" s="1"/>
      <c r="S45" s="1"/>
      <c r="T45" s="13"/>
      <c r="U45" s="13"/>
      <c r="V45" s="1"/>
      <c r="W45" s="1"/>
      <c r="X45" s="1"/>
      <c r="Y45" s="1"/>
      <c r="Z45" s="1"/>
      <c r="AA45" s="1"/>
      <c r="AB45" s="1"/>
      <c r="AC45" s="13"/>
      <c r="AD45" s="13"/>
      <c r="AE45" s="13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3"/>
      <c r="BB45" s="1"/>
      <c r="BC45" s="13"/>
      <c r="BD45" s="13"/>
      <c r="BE45" s="1"/>
      <c r="BF45" s="1"/>
      <c r="BG45" s="1"/>
      <c r="BH45" s="1"/>
      <c r="BI45" s="1"/>
      <c r="BJ45" s="1"/>
    </row>
    <row r="46" spans="1:62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3"/>
      <c r="K46" s="13"/>
      <c r="L46" s="1"/>
      <c r="M46" s="1"/>
      <c r="N46" s="1"/>
      <c r="O46" s="1"/>
      <c r="P46" s="1"/>
      <c r="Q46" s="1"/>
      <c r="R46" s="1"/>
      <c r="S46" s="1"/>
      <c r="T46" s="13"/>
      <c r="U46" s="13"/>
      <c r="V46" s="1"/>
      <c r="W46" s="1"/>
      <c r="X46" s="1"/>
      <c r="Y46" s="1"/>
      <c r="Z46" s="1"/>
      <c r="AA46" s="1"/>
      <c r="AB46" s="1"/>
      <c r="AC46" s="13"/>
      <c r="AD46" s="13"/>
      <c r="AE46" s="13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3"/>
      <c r="BB46" s="1"/>
      <c r="BC46" s="13"/>
      <c r="BD46" s="13"/>
      <c r="BE46" s="1"/>
      <c r="BF46" s="1"/>
      <c r="BG46" s="1"/>
      <c r="BH46" s="1"/>
      <c r="BI46" s="1"/>
      <c r="BJ46" s="1"/>
    </row>
    <row r="47" spans="1:62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3"/>
      <c r="K47" s="13"/>
      <c r="L47" s="1"/>
      <c r="M47" s="1"/>
      <c r="N47" s="1"/>
      <c r="O47" s="1"/>
      <c r="P47" s="1"/>
      <c r="Q47" s="1"/>
      <c r="R47" s="1"/>
      <c r="S47" s="1"/>
      <c r="T47" s="13"/>
      <c r="U47" s="13"/>
      <c r="V47" s="1"/>
      <c r="W47" s="1"/>
      <c r="X47" s="1"/>
      <c r="Y47" s="1"/>
      <c r="Z47" s="1"/>
      <c r="AA47" s="1"/>
      <c r="AB47" s="1"/>
      <c r="AC47" s="13"/>
      <c r="AD47" s="13"/>
      <c r="AE47" s="13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3"/>
      <c r="BB47" s="1"/>
      <c r="BC47" s="13"/>
      <c r="BD47" s="13"/>
      <c r="BE47" s="1"/>
      <c r="BF47" s="1"/>
      <c r="BG47" s="1"/>
      <c r="BH47" s="1"/>
      <c r="BI47" s="1"/>
      <c r="BJ47" s="1"/>
    </row>
    <row r="48" spans="1:62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3"/>
      <c r="K48" s="13"/>
      <c r="L48" s="1"/>
      <c r="M48" s="1"/>
      <c r="N48" s="1"/>
      <c r="O48" s="1"/>
      <c r="P48" s="1"/>
      <c r="Q48" s="1"/>
      <c r="R48" s="1"/>
      <c r="S48" s="1"/>
      <c r="T48" s="13"/>
      <c r="U48" s="13"/>
      <c r="V48" s="1"/>
      <c r="W48" s="1"/>
      <c r="X48" s="1"/>
      <c r="Y48" s="1"/>
      <c r="Z48" s="1"/>
      <c r="AA48" s="1"/>
      <c r="AB48" s="1"/>
      <c r="AC48" s="13"/>
      <c r="AD48" s="13"/>
      <c r="AE48" s="13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3"/>
      <c r="BB48" s="1"/>
      <c r="BC48" s="13"/>
      <c r="BD48" s="13"/>
      <c r="BE48" s="1"/>
      <c r="BF48" s="1"/>
      <c r="BG48" s="1"/>
      <c r="BH48" s="1"/>
      <c r="BI48" s="1"/>
      <c r="BJ48" s="1"/>
    </row>
    <row r="49" spans="1:62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3"/>
      <c r="K49" s="13"/>
      <c r="L49" s="1"/>
      <c r="M49" s="1"/>
      <c r="N49" s="1"/>
      <c r="O49" s="1"/>
      <c r="P49" s="1"/>
      <c r="Q49" s="1"/>
      <c r="R49" s="1"/>
      <c r="S49" s="1"/>
      <c r="T49" s="13"/>
      <c r="U49" s="13"/>
      <c r="V49" s="1"/>
      <c r="W49" s="1"/>
      <c r="X49" s="1"/>
      <c r="Y49" s="1"/>
      <c r="Z49" s="1"/>
      <c r="AA49" s="1"/>
      <c r="AB49" s="1"/>
      <c r="AC49" s="13"/>
      <c r="AD49" s="13"/>
      <c r="AE49" s="13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3"/>
      <c r="BB49" s="1"/>
      <c r="BC49" s="13"/>
      <c r="BD49" s="13"/>
      <c r="BE49" s="1"/>
      <c r="BF49" s="1"/>
      <c r="BG49" s="1"/>
      <c r="BH49" s="1"/>
      <c r="BI49" s="1"/>
      <c r="BJ49" s="1"/>
    </row>
    <row r="50" spans="1:62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3"/>
      <c r="K50" s="13"/>
      <c r="L50" s="1"/>
      <c r="M50" s="1"/>
      <c r="N50" s="1"/>
      <c r="O50" s="1"/>
      <c r="P50" s="1"/>
      <c r="Q50" s="1"/>
      <c r="R50" s="1"/>
      <c r="S50" s="1"/>
      <c r="T50" s="13"/>
      <c r="U50" s="13"/>
      <c r="V50" s="1"/>
      <c r="W50" s="1"/>
      <c r="X50" s="1"/>
      <c r="Y50" s="1"/>
      <c r="Z50" s="1"/>
      <c r="AA50" s="1"/>
      <c r="AB50" s="1"/>
      <c r="AC50" s="13"/>
      <c r="AD50" s="13"/>
      <c r="AE50" s="13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3"/>
      <c r="BB50" s="1"/>
      <c r="BC50" s="13"/>
      <c r="BD50" s="13"/>
      <c r="BE50" s="1"/>
      <c r="BF50" s="1"/>
      <c r="BG50" s="1"/>
      <c r="BH50" s="1"/>
      <c r="BI50" s="1"/>
      <c r="BJ50" s="1"/>
    </row>
    <row r="51" spans="1:62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3"/>
      <c r="K51" s="13"/>
      <c r="L51" s="1"/>
      <c r="M51" s="1"/>
      <c r="N51" s="1"/>
      <c r="O51" s="1"/>
      <c r="P51" s="1"/>
      <c r="Q51" s="1"/>
      <c r="R51" s="1"/>
      <c r="S51" s="1"/>
      <c r="T51" s="13"/>
      <c r="U51" s="13"/>
      <c r="V51" s="1"/>
      <c r="W51" s="1"/>
      <c r="X51" s="1"/>
      <c r="Y51" s="1"/>
      <c r="Z51" s="1"/>
      <c r="AA51" s="1"/>
      <c r="AB51" s="1"/>
      <c r="AC51" s="13"/>
      <c r="AD51" s="13"/>
      <c r="AE51" s="13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3"/>
      <c r="BB51" s="1"/>
      <c r="BC51" s="13"/>
      <c r="BD51" s="13"/>
      <c r="BE51" s="1"/>
      <c r="BF51" s="1"/>
      <c r="BG51" s="1"/>
      <c r="BH51" s="1"/>
      <c r="BI51" s="1"/>
      <c r="BJ51" s="1"/>
    </row>
    <row r="52" spans="1:62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3"/>
      <c r="K52" s="13"/>
      <c r="L52" s="1"/>
      <c r="M52" s="1"/>
      <c r="N52" s="1"/>
      <c r="O52" s="1"/>
      <c r="P52" s="1"/>
      <c r="Q52" s="1"/>
      <c r="R52" s="1"/>
      <c r="S52" s="1"/>
      <c r="T52" s="13"/>
      <c r="U52" s="13"/>
      <c r="V52" s="1"/>
      <c r="W52" s="1"/>
      <c r="X52" s="1"/>
      <c r="Y52" s="1"/>
      <c r="Z52" s="1"/>
      <c r="AA52" s="1"/>
      <c r="AB52" s="1"/>
      <c r="AC52" s="13"/>
      <c r="AD52" s="13"/>
      <c r="AE52" s="13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3"/>
      <c r="BB52" s="1"/>
      <c r="BC52" s="13"/>
      <c r="BD52" s="13"/>
      <c r="BE52" s="1"/>
      <c r="BF52" s="1"/>
      <c r="BG52" s="1"/>
      <c r="BH52" s="1"/>
      <c r="BI52" s="1"/>
      <c r="BJ52" s="1"/>
    </row>
    <row r="53" spans="1:62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3"/>
      <c r="K53" s="13"/>
      <c r="L53" s="1"/>
      <c r="M53" s="1"/>
      <c r="N53" s="1"/>
      <c r="O53" s="1"/>
      <c r="P53" s="1"/>
      <c r="Q53" s="1"/>
      <c r="R53" s="1"/>
      <c r="S53" s="1"/>
      <c r="T53" s="13"/>
      <c r="U53" s="13"/>
      <c r="V53" s="1"/>
      <c r="W53" s="1"/>
      <c r="X53" s="1"/>
      <c r="Y53" s="1"/>
      <c r="Z53" s="1"/>
      <c r="AA53" s="1"/>
      <c r="AB53" s="1"/>
      <c r="AC53" s="13"/>
      <c r="AD53" s="13"/>
      <c r="AE53" s="13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3"/>
      <c r="BB53" s="1"/>
      <c r="BC53" s="13"/>
      <c r="BD53" s="13"/>
      <c r="BE53" s="1"/>
      <c r="BF53" s="1"/>
      <c r="BG53" s="1"/>
      <c r="BH53" s="1"/>
      <c r="BI53" s="1"/>
      <c r="BJ53" s="1"/>
    </row>
    <row r="54" spans="1:62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3"/>
      <c r="K54" s="13"/>
      <c r="L54" s="1"/>
      <c r="M54" s="1"/>
      <c r="N54" s="1"/>
      <c r="O54" s="1"/>
      <c r="P54" s="1"/>
      <c r="Q54" s="1"/>
      <c r="R54" s="1"/>
      <c r="S54" s="1"/>
      <c r="T54" s="13"/>
      <c r="U54" s="13"/>
      <c r="V54" s="1"/>
      <c r="W54" s="1"/>
      <c r="X54" s="1"/>
      <c r="Y54" s="1"/>
      <c r="Z54" s="1"/>
      <c r="AA54" s="1"/>
      <c r="AB54" s="1"/>
      <c r="AC54" s="13"/>
      <c r="AD54" s="13"/>
      <c r="AE54" s="13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3"/>
      <c r="BB54" s="1"/>
      <c r="BC54" s="13"/>
      <c r="BD54" s="13"/>
      <c r="BE54" s="1"/>
      <c r="BF54" s="1"/>
      <c r="BG54" s="1"/>
      <c r="BH54" s="1"/>
      <c r="BI54" s="1"/>
      <c r="BJ54" s="1"/>
    </row>
    <row r="55" spans="1:62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3"/>
      <c r="K55" s="13"/>
      <c r="L55" s="1"/>
      <c r="M55" s="1"/>
      <c r="N55" s="1"/>
      <c r="O55" s="1"/>
      <c r="P55" s="1"/>
      <c r="Q55" s="1"/>
      <c r="R55" s="1"/>
      <c r="S55" s="1"/>
      <c r="T55" s="13"/>
      <c r="U55" s="13"/>
      <c r="V55" s="1"/>
      <c r="W55" s="1"/>
      <c r="X55" s="1"/>
      <c r="Y55" s="1"/>
      <c r="Z55" s="1"/>
      <c r="AA55" s="1"/>
      <c r="AB55" s="1"/>
      <c r="AC55" s="13"/>
      <c r="AD55" s="13"/>
      <c r="AE55" s="13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3"/>
      <c r="BB55" s="1"/>
      <c r="BC55" s="13"/>
      <c r="BD55" s="13"/>
      <c r="BE55" s="1"/>
      <c r="BF55" s="1"/>
      <c r="BG55" s="1"/>
      <c r="BH55" s="1"/>
      <c r="BI55" s="1"/>
      <c r="BJ55" s="1"/>
    </row>
    <row r="56" spans="1:62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3"/>
      <c r="K56" s="13"/>
      <c r="L56" s="1"/>
      <c r="M56" s="1"/>
      <c r="N56" s="1"/>
      <c r="O56" s="1"/>
      <c r="P56" s="1"/>
      <c r="Q56" s="1"/>
      <c r="R56" s="1"/>
      <c r="S56" s="1"/>
      <c r="T56" s="13"/>
      <c r="U56" s="13"/>
      <c r="V56" s="1"/>
      <c r="W56" s="1"/>
      <c r="X56" s="1"/>
      <c r="Y56" s="1"/>
      <c r="Z56" s="1"/>
      <c r="AA56" s="1"/>
      <c r="AB56" s="1"/>
      <c r="AC56" s="13"/>
      <c r="AD56" s="13"/>
      <c r="AE56" s="13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3"/>
      <c r="BB56" s="1"/>
      <c r="BC56" s="13"/>
      <c r="BD56" s="13"/>
      <c r="BE56" s="1"/>
      <c r="BF56" s="1"/>
      <c r="BG56" s="1"/>
      <c r="BH56" s="1"/>
      <c r="BI56" s="1"/>
      <c r="BJ56" s="1"/>
    </row>
    <row r="57" spans="1:62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3"/>
      <c r="K57" s="13"/>
      <c r="L57" s="1"/>
      <c r="M57" s="1"/>
      <c r="N57" s="1"/>
      <c r="O57" s="1"/>
      <c r="P57" s="1"/>
      <c r="Q57" s="1"/>
      <c r="R57" s="1"/>
      <c r="S57" s="1"/>
      <c r="T57" s="13"/>
      <c r="U57" s="13"/>
      <c r="V57" s="1"/>
      <c r="W57" s="1"/>
      <c r="X57" s="1"/>
      <c r="Y57" s="1"/>
      <c r="Z57" s="1"/>
      <c r="AA57" s="1"/>
      <c r="AB57" s="1"/>
      <c r="AC57" s="13"/>
      <c r="AD57" s="13"/>
      <c r="AE57" s="13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3"/>
      <c r="BB57" s="1"/>
      <c r="BC57" s="13"/>
      <c r="BD57" s="13"/>
      <c r="BE57" s="1"/>
      <c r="BF57" s="1"/>
      <c r="BG57" s="1"/>
      <c r="BH57" s="1"/>
      <c r="BI57" s="1"/>
      <c r="BJ57" s="1"/>
    </row>
    <row r="58" spans="1:62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3"/>
      <c r="K58" s="13"/>
      <c r="L58" s="1"/>
      <c r="M58" s="1"/>
      <c r="N58" s="1"/>
      <c r="O58" s="1"/>
      <c r="P58" s="1"/>
      <c r="Q58" s="1"/>
      <c r="R58" s="1"/>
      <c r="S58" s="1"/>
      <c r="T58" s="13"/>
      <c r="U58" s="13"/>
      <c r="V58" s="1"/>
      <c r="W58" s="1"/>
      <c r="X58" s="1"/>
      <c r="Y58" s="1"/>
      <c r="Z58" s="1"/>
      <c r="AA58" s="1"/>
      <c r="AB58" s="1"/>
      <c r="AC58" s="13"/>
      <c r="AD58" s="13"/>
      <c r="AE58" s="13"/>
      <c r="AF58" s="1"/>
      <c r="AG58" s="1"/>
      <c r="AH58" s="1"/>
      <c r="AI58" s="1"/>
      <c r="AJ58" s="1"/>
      <c r="AK58" s="76"/>
      <c r="AL58" s="76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3"/>
      <c r="BB58" s="1"/>
      <c r="BC58" s="13"/>
      <c r="BD58" s="13"/>
      <c r="BE58" s="1"/>
      <c r="BF58" s="1"/>
      <c r="BG58" s="1"/>
      <c r="BH58" s="1"/>
      <c r="BI58" s="1"/>
      <c r="BJ58" s="1"/>
    </row>
    <row r="59" spans="1:62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3"/>
      <c r="K59" s="13"/>
      <c r="L59" s="1"/>
      <c r="M59" s="1"/>
      <c r="N59" s="1"/>
      <c r="O59" s="1"/>
      <c r="P59" s="1"/>
      <c r="Q59" s="1"/>
      <c r="R59" s="1"/>
      <c r="S59" s="1"/>
      <c r="T59" s="13"/>
      <c r="U59" s="13"/>
      <c r="V59" s="1"/>
      <c r="W59" s="1"/>
      <c r="X59" s="1"/>
      <c r="Y59" s="1"/>
      <c r="Z59" s="1"/>
      <c r="AA59" s="1"/>
      <c r="AB59" s="1"/>
      <c r="AC59" s="13"/>
      <c r="AD59" s="13"/>
      <c r="AE59" s="13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3"/>
      <c r="BB59" s="1"/>
      <c r="BC59" s="13"/>
      <c r="BD59" s="13"/>
      <c r="BE59" s="1"/>
      <c r="BF59" s="1"/>
      <c r="BG59" s="1"/>
      <c r="BH59" s="1"/>
      <c r="BI59" s="1"/>
      <c r="BJ59" s="1"/>
    </row>
    <row r="60" spans="1:62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3"/>
      <c r="K60" s="13"/>
      <c r="L60" s="1"/>
      <c r="M60" s="1"/>
      <c r="N60" s="1"/>
      <c r="O60" s="1"/>
      <c r="P60" s="1"/>
      <c r="Q60" s="1"/>
      <c r="R60" s="1"/>
      <c r="S60" s="1"/>
      <c r="T60" s="13"/>
      <c r="U60" s="13"/>
      <c r="V60" s="1"/>
      <c r="W60" s="1"/>
      <c r="X60" s="1"/>
      <c r="Y60" s="1"/>
      <c r="Z60" s="1"/>
      <c r="AA60" s="1"/>
      <c r="AB60" s="1"/>
      <c r="AC60" s="13"/>
      <c r="AD60" s="13"/>
      <c r="AE60" s="13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3"/>
      <c r="BB60" s="1"/>
      <c r="BC60" s="13"/>
      <c r="BD60" s="13"/>
      <c r="BE60" s="1"/>
      <c r="BF60" s="1"/>
      <c r="BG60" s="1"/>
      <c r="BH60" s="1"/>
      <c r="BI60" s="1"/>
      <c r="BJ60" s="1"/>
    </row>
    <row r="61" spans="1:62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3"/>
      <c r="K61" s="13"/>
      <c r="L61" s="1"/>
      <c r="M61" s="1"/>
      <c r="N61" s="1"/>
      <c r="O61" s="1"/>
      <c r="P61" s="1"/>
      <c r="Q61" s="1"/>
      <c r="R61" s="1"/>
      <c r="S61" s="1"/>
      <c r="T61" s="13"/>
      <c r="U61" s="13"/>
      <c r="V61" s="1"/>
      <c r="W61" s="1"/>
      <c r="X61" s="1"/>
      <c r="Y61" s="1"/>
      <c r="Z61" s="1"/>
      <c r="AA61" s="1"/>
      <c r="AB61" s="1"/>
      <c r="AC61" s="13"/>
      <c r="AD61" s="13"/>
      <c r="AE61" s="13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3"/>
      <c r="BB61" s="1"/>
      <c r="BC61" s="13"/>
      <c r="BD61" s="13"/>
      <c r="BE61" s="1"/>
      <c r="BF61" s="1"/>
      <c r="BG61" s="1"/>
      <c r="BH61" s="1"/>
      <c r="BI61" s="1"/>
      <c r="BJ61" s="1"/>
    </row>
    <row r="62" spans="1:62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3"/>
      <c r="K62" s="13"/>
      <c r="L62" s="1"/>
      <c r="M62" s="1"/>
      <c r="N62" s="1"/>
      <c r="O62" s="1"/>
      <c r="P62" s="1"/>
      <c r="Q62" s="1"/>
      <c r="R62" s="1"/>
      <c r="S62" s="1"/>
      <c r="T62" s="13"/>
      <c r="U62" s="13"/>
      <c r="V62" s="1"/>
      <c r="W62" s="1"/>
      <c r="X62" s="1"/>
      <c r="Y62" s="1"/>
      <c r="Z62" s="1"/>
      <c r="AA62" s="1"/>
      <c r="AB62" s="1"/>
      <c r="AC62" s="13"/>
      <c r="AD62" s="13"/>
      <c r="AE62" s="13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3"/>
      <c r="BB62" s="1"/>
      <c r="BC62" s="13"/>
      <c r="BD62" s="13"/>
      <c r="BE62" s="1"/>
      <c r="BF62" s="1"/>
      <c r="BG62" s="1"/>
      <c r="BH62" s="1"/>
      <c r="BI62" s="1"/>
      <c r="BJ62" s="1"/>
    </row>
    <row r="63" spans="1:62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3"/>
      <c r="K63" s="13"/>
      <c r="L63" s="1"/>
      <c r="M63" s="1"/>
      <c r="N63" s="1"/>
      <c r="O63" s="1"/>
      <c r="P63" s="1"/>
      <c r="Q63" s="1"/>
      <c r="R63" s="1"/>
      <c r="S63" s="1"/>
      <c r="T63" s="13"/>
      <c r="U63" s="13"/>
      <c r="V63" s="1"/>
      <c r="W63" s="1"/>
      <c r="X63" s="1"/>
      <c r="Y63" s="1"/>
      <c r="Z63" s="1"/>
      <c r="AA63" s="1"/>
      <c r="AB63" s="1"/>
      <c r="AC63" s="13"/>
      <c r="AD63" s="13"/>
      <c r="AE63" s="13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3"/>
      <c r="BB63" s="1"/>
      <c r="BC63" s="13"/>
      <c r="BD63" s="13"/>
      <c r="BE63" s="1"/>
      <c r="BF63" s="1"/>
      <c r="BG63" s="1"/>
      <c r="BH63" s="1"/>
      <c r="BI63" s="1"/>
      <c r="BJ63" s="1"/>
    </row>
    <row r="64" spans="1:62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3"/>
      <c r="K64" s="13"/>
      <c r="L64" s="1"/>
      <c r="M64" s="1"/>
      <c r="N64" s="1"/>
      <c r="O64" s="1"/>
      <c r="P64" s="1"/>
      <c r="Q64" s="1"/>
      <c r="R64" s="1"/>
      <c r="S64" s="1"/>
      <c r="T64" s="13"/>
      <c r="U64" s="13"/>
      <c r="V64" s="1"/>
      <c r="W64" s="1"/>
      <c r="X64" s="1"/>
      <c r="Y64" s="1"/>
      <c r="Z64" s="1"/>
      <c r="AA64" s="1"/>
      <c r="AB64" s="1"/>
      <c r="AC64" s="13"/>
      <c r="AD64" s="13"/>
      <c r="AE64" s="13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3"/>
      <c r="BB64" s="1"/>
      <c r="BC64" s="13"/>
      <c r="BD64" s="13"/>
      <c r="BE64" s="1"/>
      <c r="BF64" s="1"/>
      <c r="BG64" s="1"/>
      <c r="BH64" s="1"/>
      <c r="BI64" s="1"/>
      <c r="BJ64" s="1"/>
    </row>
    <row r="65" spans="1:62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3"/>
      <c r="K65" s="13"/>
      <c r="L65" s="1"/>
      <c r="M65" s="1"/>
      <c r="N65" s="1"/>
      <c r="O65" s="1"/>
      <c r="P65" s="1"/>
      <c r="Q65" s="1"/>
      <c r="R65" s="1"/>
      <c r="S65" s="1"/>
      <c r="T65" s="13"/>
      <c r="U65" s="13"/>
      <c r="V65" s="1"/>
      <c r="W65" s="1"/>
      <c r="X65" s="1"/>
      <c r="Y65" s="1"/>
      <c r="Z65" s="1"/>
      <c r="AA65" s="1"/>
      <c r="AB65" s="1"/>
      <c r="AC65" s="13"/>
      <c r="AD65" s="13"/>
      <c r="AE65" s="13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3"/>
      <c r="BB65" s="1"/>
      <c r="BC65" s="13"/>
      <c r="BD65" s="13"/>
      <c r="BE65" s="1"/>
      <c r="BF65" s="1"/>
      <c r="BG65" s="1"/>
      <c r="BH65" s="1"/>
      <c r="BI65" s="1"/>
      <c r="BJ65" s="1"/>
    </row>
    <row r="66" spans="1:62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3"/>
      <c r="K66" s="13"/>
      <c r="L66" s="1"/>
      <c r="M66" s="1"/>
      <c r="N66" s="1"/>
      <c r="O66" s="1"/>
      <c r="P66" s="1"/>
      <c r="Q66" s="1"/>
      <c r="R66" s="1"/>
      <c r="S66" s="1"/>
      <c r="T66" s="13"/>
      <c r="U66" s="13"/>
      <c r="V66" s="1"/>
      <c r="W66" s="1"/>
      <c r="X66" s="1"/>
      <c r="Y66" s="1"/>
      <c r="Z66" s="1"/>
      <c r="AA66" s="1"/>
      <c r="AB66" s="1"/>
      <c r="AC66" s="13"/>
      <c r="AD66" s="13"/>
      <c r="AE66" s="13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3"/>
      <c r="BB66" s="1"/>
      <c r="BC66" s="13"/>
      <c r="BD66" s="13"/>
      <c r="BE66" s="1"/>
      <c r="BF66" s="1"/>
      <c r="BG66" s="1"/>
      <c r="BH66" s="1"/>
      <c r="BI66" s="1"/>
      <c r="BJ66" s="1"/>
    </row>
    <row r="67" spans="1:62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3"/>
      <c r="K67" s="13"/>
      <c r="L67" s="1"/>
      <c r="M67" s="1"/>
      <c r="N67" s="1"/>
      <c r="O67" s="1"/>
      <c r="P67" s="1"/>
      <c r="Q67" s="1"/>
      <c r="R67" s="1"/>
      <c r="S67" s="1"/>
      <c r="T67" s="13"/>
      <c r="U67" s="13"/>
      <c r="V67" s="1"/>
      <c r="W67" s="1"/>
      <c r="X67" s="1"/>
      <c r="Y67" s="1"/>
      <c r="Z67" s="1"/>
      <c r="AA67" s="1"/>
      <c r="AB67" s="1"/>
      <c r="AC67" s="13"/>
      <c r="AD67" s="13"/>
      <c r="AE67" s="13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3"/>
      <c r="BB67" s="1"/>
      <c r="BC67" s="13"/>
      <c r="BD67" s="13"/>
      <c r="BE67" s="1"/>
      <c r="BF67" s="1"/>
      <c r="BG67" s="1"/>
      <c r="BH67" s="1"/>
      <c r="BI67" s="1"/>
      <c r="BJ67" s="1"/>
    </row>
    <row r="68" spans="1:62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3"/>
      <c r="K68" s="13"/>
      <c r="L68" s="1"/>
      <c r="M68" s="1"/>
      <c r="N68" s="1"/>
      <c r="O68" s="1"/>
      <c r="P68" s="1"/>
      <c r="Q68" s="1"/>
      <c r="R68" s="1"/>
      <c r="S68" s="1"/>
      <c r="T68" s="13"/>
      <c r="U68" s="13"/>
      <c r="V68" s="1"/>
      <c r="W68" s="1"/>
      <c r="X68" s="1"/>
      <c r="Y68" s="1"/>
      <c r="Z68" s="1"/>
      <c r="AA68" s="1"/>
      <c r="AB68" s="1"/>
      <c r="AC68" s="13"/>
      <c r="AD68" s="13"/>
      <c r="AE68" s="13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3"/>
      <c r="BB68" s="1"/>
      <c r="BC68" s="13"/>
      <c r="BD68" s="13"/>
      <c r="BE68" s="1"/>
      <c r="BF68" s="1"/>
      <c r="BG68" s="1"/>
      <c r="BH68" s="1"/>
      <c r="BI68" s="1"/>
      <c r="BJ68" s="1"/>
    </row>
    <row r="69" spans="1:62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3"/>
      <c r="K69" s="13"/>
      <c r="L69" s="1"/>
      <c r="M69" s="1"/>
      <c r="N69" s="1"/>
      <c r="O69" s="1"/>
      <c r="P69" s="1"/>
      <c r="Q69" s="1"/>
      <c r="R69" s="1"/>
      <c r="S69" s="1"/>
      <c r="T69" s="13"/>
      <c r="U69" s="13"/>
      <c r="V69" s="1"/>
      <c r="W69" s="1"/>
      <c r="X69" s="1"/>
      <c r="Y69" s="1"/>
      <c r="Z69" s="1"/>
      <c r="AA69" s="1"/>
      <c r="AB69" s="1"/>
      <c r="AC69" s="13"/>
      <c r="AD69" s="13"/>
      <c r="AE69" s="13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3"/>
      <c r="BB69" s="1"/>
      <c r="BC69" s="13"/>
      <c r="BD69" s="13"/>
      <c r="BE69" s="1"/>
      <c r="BF69" s="1"/>
      <c r="BG69" s="1"/>
      <c r="BH69" s="1"/>
      <c r="BI69" s="1"/>
      <c r="BJ69" s="1"/>
    </row>
    <row r="70" spans="1:62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3"/>
      <c r="K70" s="13"/>
      <c r="L70" s="1"/>
      <c r="M70" s="1"/>
      <c r="N70" s="1"/>
      <c r="O70" s="1"/>
      <c r="P70" s="1"/>
      <c r="Q70" s="1"/>
      <c r="R70" s="1"/>
      <c r="S70" s="1"/>
      <c r="T70" s="13"/>
      <c r="U70" s="13"/>
      <c r="V70" s="1"/>
      <c r="W70" s="1"/>
      <c r="X70" s="1"/>
      <c r="Y70" s="1"/>
      <c r="Z70" s="1"/>
      <c r="AA70" s="1"/>
      <c r="AB70" s="1"/>
      <c r="AC70" s="13"/>
      <c r="AD70" s="13"/>
      <c r="AE70" s="13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3"/>
      <c r="BB70" s="1"/>
      <c r="BC70" s="13"/>
      <c r="BD70" s="13"/>
      <c r="BE70" s="1"/>
      <c r="BF70" s="1"/>
      <c r="BG70" s="1"/>
      <c r="BH70" s="1"/>
      <c r="BI70" s="1"/>
      <c r="BJ70" s="1"/>
    </row>
    <row r="71" spans="1:62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3"/>
      <c r="K71" s="13"/>
      <c r="L71" s="1"/>
      <c r="M71" s="1"/>
      <c r="N71" s="1"/>
      <c r="O71" s="1"/>
      <c r="P71" s="1"/>
      <c r="Q71" s="1"/>
      <c r="R71" s="1"/>
      <c r="S71" s="1"/>
      <c r="T71" s="13"/>
      <c r="U71" s="13"/>
      <c r="V71" s="1"/>
      <c r="W71" s="1"/>
      <c r="X71" s="1"/>
      <c r="Y71" s="1"/>
      <c r="Z71" s="1"/>
      <c r="AA71" s="1"/>
      <c r="AB71" s="1"/>
      <c r="AC71" s="13"/>
      <c r="AD71" s="13"/>
      <c r="AE71" s="13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3"/>
      <c r="BB71" s="1"/>
      <c r="BC71" s="13"/>
      <c r="BD71" s="13"/>
      <c r="BE71" s="1"/>
      <c r="BF71" s="1"/>
      <c r="BG71" s="1"/>
      <c r="BH71" s="1"/>
      <c r="BI71" s="1"/>
      <c r="BJ71" s="1"/>
    </row>
    <row r="72" spans="1:62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3"/>
      <c r="K72" s="13"/>
      <c r="L72" s="1"/>
      <c r="M72" s="1"/>
      <c r="N72" s="1"/>
      <c r="O72" s="1"/>
      <c r="P72" s="1"/>
      <c r="Q72" s="1"/>
      <c r="R72" s="1"/>
      <c r="S72" s="1"/>
      <c r="T72" s="13"/>
      <c r="U72" s="13"/>
      <c r="V72" s="1"/>
      <c r="W72" s="1"/>
      <c r="X72" s="1"/>
      <c r="Y72" s="1"/>
      <c r="Z72" s="1"/>
      <c r="AA72" s="1"/>
      <c r="AB72" s="1"/>
      <c r="AC72" s="13"/>
      <c r="AD72" s="13"/>
      <c r="AE72" s="13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3"/>
      <c r="BB72" s="1"/>
      <c r="BC72" s="13"/>
      <c r="BD72" s="13"/>
      <c r="BE72" s="1"/>
      <c r="BF72" s="1"/>
      <c r="BG72" s="1"/>
      <c r="BH72" s="1"/>
      <c r="BI72" s="1"/>
      <c r="BJ72" s="1"/>
    </row>
    <row r="73" spans="1:62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3"/>
      <c r="K73" s="13"/>
      <c r="L73" s="1"/>
      <c r="M73" s="1"/>
      <c r="N73" s="1"/>
      <c r="O73" s="1"/>
      <c r="P73" s="1"/>
      <c r="Q73" s="1"/>
      <c r="R73" s="1"/>
      <c r="S73" s="1"/>
      <c r="T73" s="13"/>
      <c r="U73" s="13"/>
      <c r="V73" s="1"/>
      <c r="W73" s="1"/>
      <c r="X73" s="1"/>
      <c r="Y73" s="1"/>
      <c r="Z73" s="1"/>
      <c r="AA73" s="1"/>
      <c r="AB73" s="1"/>
      <c r="AC73" s="13"/>
      <c r="AD73" s="13"/>
      <c r="AE73" s="13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3"/>
      <c r="BB73" s="1"/>
      <c r="BC73" s="13"/>
      <c r="BD73" s="13"/>
      <c r="BE73" s="1"/>
      <c r="BF73" s="1"/>
      <c r="BG73" s="1"/>
      <c r="BH73" s="1"/>
      <c r="BI73" s="1"/>
      <c r="BJ73" s="1"/>
    </row>
    <row r="74" spans="1:62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3"/>
      <c r="K74" s="13"/>
      <c r="L74" s="1"/>
      <c r="M74" s="1"/>
      <c r="N74" s="1"/>
      <c r="O74" s="1"/>
      <c r="P74" s="1"/>
      <c r="Q74" s="1"/>
      <c r="R74" s="1"/>
      <c r="S74" s="1"/>
      <c r="T74" s="13"/>
      <c r="U74" s="13"/>
      <c r="V74" s="1"/>
      <c r="W74" s="1"/>
      <c r="X74" s="1"/>
      <c r="Y74" s="1"/>
      <c r="Z74" s="1"/>
      <c r="AA74" s="1"/>
      <c r="AB74" s="1"/>
      <c r="AC74" s="13"/>
      <c r="AD74" s="13"/>
      <c r="AE74" s="13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3"/>
      <c r="BB74" s="1"/>
      <c r="BC74" s="13"/>
      <c r="BD74" s="13"/>
      <c r="BE74" s="1"/>
      <c r="BF74" s="1"/>
      <c r="BG74" s="1"/>
      <c r="BH74" s="1"/>
      <c r="BI74" s="1"/>
      <c r="BJ74" s="1"/>
    </row>
    <row r="75" spans="1:62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3"/>
      <c r="K75" s="13"/>
      <c r="L75" s="1"/>
      <c r="M75" s="1"/>
      <c r="N75" s="1"/>
      <c r="O75" s="1"/>
      <c r="P75" s="1"/>
      <c r="Q75" s="1"/>
      <c r="R75" s="1"/>
      <c r="S75" s="1"/>
      <c r="T75" s="13"/>
      <c r="U75" s="13"/>
      <c r="V75" s="1"/>
      <c r="W75" s="1"/>
      <c r="X75" s="1"/>
      <c r="Y75" s="1"/>
      <c r="Z75" s="1"/>
      <c r="AA75" s="1"/>
      <c r="AB75" s="1"/>
      <c r="AC75" s="13"/>
      <c r="AD75" s="13"/>
      <c r="AE75" s="13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3"/>
      <c r="BB75" s="1"/>
      <c r="BC75" s="13"/>
      <c r="BD75" s="13"/>
      <c r="BE75" s="1"/>
      <c r="BF75" s="1"/>
      <c r="BG75" s="1"/>
      <c r="BH75" s="1"/>
      <c r="BI75" s="1"/>
      <c r="BJ75" s="1"/>
    </row>
    <row r="76" spans="1:62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3"/>
      <c r="K76" s="13"/>
      <c r="L76" s="1"/>
      <c r="M76" s="1"/>
      <c r="N76" s="1"/>
      <c r="O76" s="1"/>
      <c r="P76" s="1"/>
      <c r="Q76" s="1"/>
      <c r="R76" s="1"/>
      <c r="S76" s="1"/>
      <c r="T76" s="13"/>
      <c r="U76" s="13"/>
      <c r="V76" s="1"/>
      <c r="W76" s="1"/>
      <c r="X76" s="1"/>
      <c r="Y76" s="1"/>
      <c r="Z76" s="1"/>
      <c r="AA76" s="1"/>
      <c r="AB76" s="1"/>
      <c r="AC76" s="13"/>
      <c r="AD76" s="13"/>
      <c r="AE76" s="13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3"/>
      <c r="BB76" s="1"/>
      <c r="BC76" s="13"/>
      <c r="BD76" s="13"/>
      <c r="BE76" s="1"/>
      <c r="BF76" s="1"/>
      <c r="BG76" s="1"/>
      <c r="BH76" s="1"/>
      <c r="BI76" s="1"/>
      <c r="BJ76" s="1"/>
    </row>
    <row r="77" spans="1:62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3"/>
      <c r="K77" s="13"/>
      <c r="L77" s="1"/>
      <c r="M77" s="1"/>
      <c r="N77" s="1"/>
      <c r="O77" s="1"/>
      <c r="P77" s="1"/>
      <c r="Q77" s="1"/>
      <c r="R77" s="1"/>
      <c r="S77" s="1"/>
      <c r="T77" s="13"/>
      <c r="U77" s="13"/>
      <c r="V77" s="1"/>
      <c r="W77" s="1"/>
      <c r="X77" s="1"/>
      <c r="Y77" s="1"/>
      <c r="Z77" s="1"/>
      <c r="AA77" s="1"/>
      <c r="AB77" s="1"/>
      <c r="AC77" s="13"/>
      <c r="AD77" s="13"/>
      <c r="AE77" s="13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3"/>
      <c r="BB77" s="1"/>
      <c r="BC77" s="13"/>
      <c r="BD77" s="13"/>
      <c r="BE77" s="1"/>
      <c r="BF77" s="1"/>
      <c r="BG77" s="1"/>
      <c r="BH77" s="1"/>
      <c r="BI77" s="1"/>
      <c r="BJ77" s="1"/>
    </row>
    <row r="78" spans="1:62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3"/>
      <c r="K78" s="13"/>
      <c r="L78" s="1"/>
      <c r="M78" s="1"/>
      <c r="N78" s="1"/>
      <c r="O78" s="1"/>
      <c r="P78" s="1"/>
      <c r="Q78" s="1"/>
      <c r="R78" s="1"/>
      <c r="S78" s="1"/>
      <c r="T78" s="13"/>
      <c r="U78" s="13"/>
      <c r="V78" s="1"/>
      <c r="W78" s="1"/>
      <c r="X78" s="1"/>
      <c r="Y78" s="1"/>
      <c r="Z78" s="1"/>
      <c r="AA78" s="1"/>
      <c r="AB78" s="1"/>
      <c r="AC78" s="13"/>
      <c r="AD78" s="13"/>
      <c r="AE78" s="13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3"/>
      <c r="BB78" s="1"/>
      <c r="BC78" s="13"/>
      <c r="BD78" s="13"/>
      <c r="BE78" s="1"/>
      <c r="BF78" s="1"/>
      <c r="BG78" s="1"/>
      <c r="BH78" s="1"/>
      <c r="BI78" s="1"/>
      <c r="BJ78" s="1"/>
    </row>
    <row r="79" spans="1:62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3"/>
      <c r="K79" s="13"/>
      <c r="L79" s="1"/>
      <c r="M79" s="1"/>
      <c r="N79" s="1"/>
      <c r="O79" s="1"/>
      <c r="P79" s="1"/>
      <c r="Q79" s="1"/>
      <c r="R79" s="1"/>
      <c r="S79" s="1"/>
      <c r="T79" s="13"/>
      <c r="U79" s="13"/>
      <c r="V79" s="1"/>
      <c r="W79" s="1"/>
      <c r="X79" s="1"/>
      <c r="Y79" s="1"/>
      <c r="Z79" s="1"/>
      <c r="AA79" s="1"/>
      <c r="AB79" s="1"/>
      <c r="AC79" s="13"/>
      <c r="AD79" s="13"/>
      <c r="AE79" s="13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3"/>
      <c r="BB79" s="1"/>
      <c r="BC79" s="13"/>
      <c r="BD79" s="13"/>
      <c r="BE79" s="1"/>
      <c r="BF79" s="1"/>
      <c r="BG79" s="1"/>
      <c r="BH79" s="1"/>
      <c r="BI79" s="1"/>
      <c r="BJ79" s="1"/>
    </row>
    <row r="80" spans="1:62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3"/>
      <c r="K80" s="13"/>
      <c r="L80" s="1"/>
      <c r="M80" s="1"/>
      <c r="N80" s="1"/>
      <c r="O80" s="1"/>
      <c r="P80" s="1"/>
      <c r="Q80" s="1"/>
      <c r="R80" s="1"/>
      <c r="S80" s="1"/>
      <c r="T80" s="13"/>
      <c r="U80" s="13"/>
      <c r="V80" s="1"/>
      <c r="W80" s="1"/>
      <c r="X80" s="1"/>
      <c r="Y80" s="1"/>
      <c r="Z80" s="1"/>
      <c r="AA80" s="1"/>
      <c r="AB80" s="1"/>
      <c r="AC80" s="13"/>
      <c r="AD80" s="13"/>
      <c r="AE80" s="13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3"/>
      <c r="BB80" s="1"/>
      <c r="BC80" s="13"/>
      <c r="BD80" s="13"/>
      <c r="BE80" s="1"/>
      <c r="BF80" s="1"/>
      <c r="BG80" s="1"/>
      <c r="BH80" s="1"/>
      <c r="BI80" s="1"/>
      <c r="BJ80" s="1"/>
    </row>
    <row r="81" spans="1:62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3"/>
      <c r="K81" s="13"/>
      <c r="L81" s="1"/>
      <c r="M81" s="1"/>
      <c r="N81" s="1"/>
      <c r="O81" s="1"/>
      <c r="P81" s="1"/>
      <c r="Q81" s="1"/>
      <c r="R81" s="1"/>
      <c r="S81" s="1"/>
      <c r="T81" s="13"/>
      <c r="U81" s="13"/>
      <c r="V81" s="1"/>
      <c r="W81" s="1"/>
      <c r="X81" s="1"/>
      <c r="Y81" s="1"/>
      <c r="Z81" s="1"/>
      <c r="AA81" s="1"/>
      <c r="AB81" s="1"/>
      <c r="AC81" s="13"/>
      <c r="AD81" s="13"/>
      <c r="AE81" s="13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3"/>
      <c r="BB81" s="1"/>
      <c r="BC81" s="13"/>
      <c r="BD81" s="13"/>
      <c r="BE81" s="1"/>
      <c r="BF81" s="1"/>
      <c r="BG81" s="1"/>
      <c r="BH81" s="1"/>
      <c r="BI81" s="1"/>
      <c r="BJ81" s="1"/>
    </row>
    <row r="82" spans="1:62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3"/>
      <c r="K82" s="13"/>
      <c r="L82" s="1"/>
      <c r="M82" s="1"/>
      <c r="N82" s="1"/>
      <c r="O82" s="1"/>
      <c r="P82" s="1"/>
      <c r="Q82" s="1"/>
      <c r="R82" s="1"/>
      <c r="S82" s="1"/>
      <c r="T82" s="13"/>
      <c r="U82" s="13"/>
      <c r="V82" s="1"/>
      <c r="W82" s="1"/>
      <c r="X82" s="1"/>
      <c r="Y82" s="1"/>
      <c r="Z82" s="1"/>
      <c r="AA82" s="1"/>
      <c r="AB82" s="1"/>
      <c r="AC82" s="13"/>
      <c r="AD82" s="13"/>
      <c r="AE82" s="13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3"/>
      <c r="BB82" s="1"/>
      <c r="BC82" s="13"/>
      <c r="BD82" s="13"/>
      <c r="BE82" s="1"/>
      <c r="BF82" s="1"/>
      <c r="BG82" s="1"/>
      <c r="BH82" s="1"/>
      <c r="BI82" s="1"/>
      <c r="BJ82" s="1"/>
    </row>
    <row r="83" spans="1:62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3"/>
      <c r="K83" s="13"/>
      <c r="L83" s="1"/>
      <c r="M83" s="1"/>
      <c r="N83" s="1"/>
      <c r="O83" s="1"/>
      <c r="P83" s="1"/>
      <c r="Q83" s="1"/>
      <c r="R83" s="1"/>
      <c r="S83" s="1"/>
      <c r="T83" s="13"/>
      <c r="U83" s="13"/>
      <c r="V83" s="1"/>
      <c r="W83" s="1"/>
      <c r="X83" s="1"/>
      <c r="Y83" s="1"/>
      <c r="Z83" s="1"/>
      <c r="AA83" s="1"/>
      <c r="AB83" s="1"/>
      <c r="AC83" s="13"/>
      <c r="AD83" s="13"/>
      <c r="AE83" s="13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3"/>
      <c r="BB83" s="1"/>
      <c r="BC83" s="13"/>
      <c r="BD83" s="13"/>
      <c r="BE83" s="1"/>
      <c r="BF83" s="1"/>
      <c r="BG83" s="1"/>
      <c r="BH83" s="1"/>
      <c r="BI83" s="1"/>
      <c r="BJ83" s="1"/>
    </row>
    <row r="84" spans="1:62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3"/>
      <c r="K84" s="13"/>
      <c r="L84" s="1"/>
      <c r="M84" s="1"/>
      <c r="N84" s="1"/>
      <c r="O84" s="1"/>
      <c r="P84" s="1"/>
      <c r="Q84" s="1"/>
      <c r="R84" s="1"/>
      <c r="S84" s="1"/>
      <c r="T84" s="13"/>
      <c r="U84" s="13"/>
      <c r="V84" s="1"/>
      <c r="W84" s="1"/>
      <c r="X84" s="1"/>
      <c r="Y84" s="1"/>
      <c r="Z84" s="1"/>
      <c r="AA84" s="1"/>
      <c r="AB84" s="1"/>
      <c r="AC84" s="13"/>
      <c r="AD84" s="13"/>
      <c r="AE84" s="13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3"/>
      <c r="BB84" s="1"/>
      <c r="BC84" s="13"/>
      <c r="BD84" s="13"/>
      <c r="BE84" s="1"/>
      <c r="BF84" s="1"/>
      <c r="BG84" s="1"/>
      <c r="BH84" s="1"/>
      <c r="BI84" s="1"/>
      <c r="BJ84" s="1"/>
    </row>
    <row r="85" spans="1:62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3"/>
      <c r="K85" s="13"/>
      <c r="L85" s="1"/>
      <c r="M85" s="1"/>
      <c r="N85" s="1"/>
      <c r="O85" s="1"/>
      <c r="P85" s="1"/>
      <c r="Q85" s="1"/>
      <c r="R85" s="1"/>
      <c r="S85" s="1"/>
      <c r="T85" s="13"/>
      <c r="U85" s="13"/>
      <c r="V85" s="1"/>
      <c r="W85" s="1"/>
      <c r="X85" s="1"/>
      <c r="Y85" s="1"/>
      <c r="Z85" s="1"/>
      <c r="AA85" s="1"/>
      <c r="AB85" s="1"/>
      <c r="AC85" s="13"/>
      <c r="AD85" s="13"/>
      <c r="AE85" s="13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3"/>
      <c r="BB85" s="1"/>
      <c r="BC85" s="13"/>
      <c r="BD85" s="13"/>
      <c r="BE85" s="1"/>
      <c r="BF85" s="1"/>
      <c r="BG85" s="1"/>
      <c r="BH85" s="1"/>
      <c r="BI85" s="1"/>
      <c r="BJ85" s="1"/>
    </row>
    <row r="86" spans="1:62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3"/>
      <c r="K86" s="13"/>
      <c r="L86" s="1"/>
      <c r="M86" s="1"/>
      <c r="N86" s="1"/>
      <c r="O86" s="1"/>
      <c r="P86" s="1"/>
      <c r="Q86" s="1"/>
      <c r="R86" s="1"/>
      <c r="S86" s="1"/>
      <c r="T86" s="13"/>
      <c r="U86" s="13"/>
      <c r="V86" s="1"/>
      <c r="W86" s="1"/>
      <c r="X86" s="1"/>
      <c r="Y86" s="1"/>
      <c r="Z86" s="1"/>
      <c r="AA86" s="1"/>
      <c r="AB86" s="1"/>
      <c r="AC86" s="13"/>
      <c r="AD86" s="13"/>
      <c r="AE86" s="13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3"/>
      <c r="BB86" s="1"/>
      <c r="BC86" s="13"/>
      <c r="BD86" s="13"/>
      <c r="BE86" s="1"/>
      <c r="BF86" s="1"/>
      <c r="BG86" s="1"/>
      <c r="BH86" s="1"/>
      <c r="BI86" s="1"/>
      <c r="BJ86" s="1"/>
    </row>
    <row r="87" spans="1:62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3"/>
      <c r="K87" s="13"/>
      <c r="L87" s="1"/>
      <c r="M87" s="1"/>
      <c r="N87" s="1"/>
      <c r="O87" s="1"/>
      <c r="P87" s="1"/>
      <c r="Q87" s="1"/>
      <c r="R87" s="1"/>
      <c r="S87" s="1"/>
      <c r="T87" s="13"/>
      <c r="U87" s="13"/>
      <c r="V87" s="1"/>
      <c r="W87" s="1"/>
      <c r="X87" s="1"/>
      <c r="Y87" s="1"/>
      <c r="Z87" s="1"/>
      <c r="AA87" s="1"/>
      <c r="AB87" s="1"/>
      <c r="AC87" s="13"/>
      <c r="AD87" s="13"/>
      <c r="AE87" s="13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3"/>
      <c r="BB87" s="1"/>
      <c r="BC87" s="13"/>
      <c r="BD87" s="13"/>
      <c r="BE87" s="1"/>
      <c r="BF87" s="1"/>
      <c r="BG87" s="1"/>
      <c r="BH87" s="1"/>
      <c r="BI87" s="1"/>
      <c r="BJ87" s="1"/>
    </row>
    <row r="88" spans="1:62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3"/>
      <c r="K88" s="13"/>
      <c r="L88" s="1"/>
      <c r="M88" s="1"/>
      <c r="N88" s="1"/>
      <c r="O88" s="1"/>
      <c r="P88" s="1"/>
      <c r="Q88" s="1"/>
      <c r="R88" s="1"/>
      <c r="S88" s="1"/>
      <c r="T88" s="13"/>
      <c r="U88" s="13"/>
      <c r="V88" s="1"/>
      <c r="W88" s="1"/>
      <c r="X88" s="1"/>
      <c r="Y88" s="1"/>
      <c r="Z88" s="1"/>
      <c r="AA88" s="1"/>
      <c r="AB88" s="1"/>
      <c r="AC88" s="13"/>
      <c r="AD88" s="13"/>
      <c r="AE88" s="13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3"/>
      <c r="BB88" s="1"/>
      <c r="BC88" s="13"/>
      <c r="BD88" s="13"/>
      <c r="BE88" s="1"/>
      <c r="BF88" s="1"/>
      <c r="BG88" s="1"/>
      <c r="BH88" s="1"/>
      <c r="BI88" s="1"/>
      <c r="BJ88" s="1"/>
    </row>
    <row r="89" spans="1:62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3"/>
      <c r="K89" s="13"/>
      <c r="L89" s="1"/>
      <c r="M89" s="1"/>
      <c r="N89" s="1"/>
      <c r="O89" s="1"/>
      <c r="P89" s="1"/>
      <c r="Q89" s="1"/>
      <c r="R89" s="1"/>
      <c r="S89" s="1"/>
      <c r="T89" s="13"/>
      <c r="U89" s="13"/>
      <c r="V89" s="1"/>
      <c r="W89" s="1"/>
      <c r="X89" s="1"/>
      <c r="Y89" s="1"/>
      <c r="Z89" s="1"/>
      <c r="AA89" s="1"/>
      <c r="AB89" s="1"/>
      <c r="AC89" s="13"/>
      <c r="AD89" s="13"/>
      <c r="AE89" s="13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3"/>
      <c r="BB89" s="1"/>
      <c r="BC89" s="13"/>
      <c r="BD89" s="13"/>
      <c r="BE89" s="1"/>
      <c r="BF89" s="1"/>
      <c r="BG89" s="1"/>
      <c r="BH89" s="1"/>
      <c r="BI89" s="1"/>
      <c r="BJ89" s="1"/>
    </row>
    <row r="90" spans="1:62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3"/>
      <c r="K90" s="13"/>
      <c r="L90" s="1"/>
      <c r="M90" s="1"/>
      <c r="N90" s="1"/>
      <c r="O90" s="1"/>
      <c r="P90" s="1"/>
      <c r="Q90" s="1"/>
      <c r="R90" s="1"/>
      <c r="S90" s="1"/>
      <c r="T90" s="13"/>
      <c r="U90" s="13"/>
      <c r="V90" s="1"/>
      <c r="W90" s="1"/>
      <c r="X90" s="1"/>
      <c r="Y90" s="1"/>
      <c r="Z90" s="1"/>
      <c r="AA90" s="1"/>
      <c r="AB90" s="1"/>
      <c r="AC90" s="13"/>
      <c r="AD90" s="13"/>
      <c r="AE90" s="13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3"/>
      <c r="BB90" s="1"/>
      <c r="BC90" s="13"/>
      <c r="BD90" s="13"/>
      <c r="BE90" s="1"/>
      <c r="BF90" s="1"/>
      <c r="BG90" s="1"/>
      <c r="BH90" s="1"/>
      <c r="BI90" s="1"/>
      <c r="BJ90" s="1"/>
    </row>
    <row r="91" spans="1:62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3"/>
      <c r="K91" s="13"/>
      <c r="L91" s="1"/>
      <c r="M91" s="1"/>
      <c r="N91" s="1"/>
      <c r="O91" s="1"/>
      <c r="P91" s="1"/>
      <c r="Q91" s="1"/>
      <c r="R91" s="1"/>
      <c r="S91" s="1"/>
      <c r="T91" s="13"/>
      <c r="U91" s="13"/>
      <c r="V91" s="1"/>
      <c r="W91" s="1"/>
      <c r="X91" s="1"/>
      <c r="Y91" s="1"/>
      <c r="Z91" s="1"/>
      <c r="AA91" s="1"/>
      <c r="AB91" s="1"/>
      <c r="AC91" s="13"/>
      <c r="AD91" s="13"/>
      <c r="AE91" s="13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3"/>
      <c r="BB91" s="1"/>
      <c r="BC91" s="13"/>
      <c r="BD91" s="13"/>
      <c r="BE91" s="1"/>
      <c r="BF91" s="1"/>
      <c r="BG91" s="1"/>
      <c r="BH91" s="1"/>
      <c r="BI91" s="1"/>
      <c r="BJ91" s="1"/>
    </row>
    <row r="92" spans="1:62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3"/>
      <c r="K92" s="13"/>
      <c r="L92" s="1"/>
      <c r="M92" s="1"/>
      <c r="N92" s="1"/>
      <c r="O92" s="1"/>
      <c r="P92" s="1"/>
      <c r="Q92" s="1"/>
      <c r="R92" s="1"/>
      <c r="S92" s="1"/>
      <c r="T92" s="13"/>
      <c r="U92" s="13"/>
      <c r="V92" s="1"/>
      <c r="W92" s="1"/>
      <c r="X92" s="1"/>
      <c r="Y92" s="1"/>
      <c r="Z92" s="1"/>
      <c r="AA92" s="1"/>
      <c r="AB92" s="1"/>
      <c r="AC92" s="13"/>
      <c r="AD92" s="13"/>
      <c r="AE92" s="13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3"/>
      <c r="BB92" s="1"/>
      <c r="BC92" s="13"/>
      <c r="BD92" s="13"/>
      <c r="BE92" s="1"/>
      <c r="BF92" s="1"/>
      <c r="BG92" s="1"/>
      <c r="BH92" s="1"/>
      <c r="BI92" s="1"/>
      <c r="BJ92" s="1"/>
    </row>
    <row r="93" spans="1:62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3"/>
      <c r="K93" s="13"/>
      <c r="L93" s="1"/>
      <c r="M93" s="1"/>
      <c r="N93" s="1"/>
      <c r="O93" s="1"/>
      <c r="P93" s="1"/>
      <c r="Q93" s="1"/>
      <c r="R93" s="1"/>
      <c r="S93" s="1"/>
      <c r="T93" s="13"/>
      <c r="U93" s="13"/>
      <c r="V93" s="1"/>
      <c r="W93" s="1"/>
      <c r="X93" s="1"/>
      <c r="Y93" s="1"/>
      <c r="Z93" s="1"/>
      <c r="AA93" s="1"/>
      <c r="AB93" s="1"/>
      <c r="AC93" s="13"/>
      <c r="AD93" s="13"/>
      <c r="AE93" s="13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3"/>
      <c r="BB93" s="1"/>
      <c r="BC93" s="13"/>
      <c r="BD93" s="13"/>
      <c r="BE93" s="1"/>
      <c r="BF93" s="1"/>
      <c r="BG93" s="1"/>
      <c r="BH93" s="1"/>
      <c r="BI93" s="1"/>
      <c r="BJ93" s="1"/>
    </row>
    <row r="94" spans="1:62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3"/>
      <c r="K94" s="13"/>
      <c r="L94" s="1"/>
      <c r="M94" s="1"/>
      <c r="N94" s="1"/>
      <c r="O94" s="1"/>
      <c r="P94" s="1"/>
      <c r="Q94" s="1"/>
      <c r="R94" s="1"/>
      <c r="S94" s="1"/>
      <c r="T94" s="13"/>
      <c r="U94" s="13"/>
      <c r="V94" s="1"/>
      <c r="W94" s="1"/>
      <c r="X94" s="1"/>
      <c r="Y94" s="1"/>
      <c r="Z94" s="1"/>
      <c r="AA94" s="1"/>
      <c r="AB94" s="1"/>
      <c r="AC94" s="13"/>
      <c r="AD94" s="13"/>
      <c r="AE94" s="13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3"/>
      <c r="BB94" s="1"/>
      <c r="BC94" s="13"/>
      <c r="BD94" s="13"/>
      <c r="BE94" s="1"/>
      <c r="BF94" s="1"/>
      <c r="BG94" s="1"/>
      <c r="BH94" s="1"/>
      <c r="BI94" s="1"/>
      <c r="BJ94" s="1"/>
    </row>
    <row r="95" spans="1:62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3"/>
      <c r="K95" s="13"/>
      <c r="L95" s="1"/>
      <c r="M95" s="1"/>
      <c r="N95" s="1"/>
      <c r="O95" s="1"/>
      <c r="P95" s="1"/>
      <c r="Q95" s="1"/>
      <c r="R95" s="1"/>
      <c r="S95" s="1"/>
      <c r="T95" s="13"/>
      <c r="U95" s="13"/>
      <c r="V95" s="1"/>
      <c r="W95" s="1"/>
      <c r="X95" s="1"/>
      <c r="Y95" s="1"/>
      <c r="Z95" s="1"/>
      <c r="AA95" s="1"/>
      <c r="AB95" s="1"/>
      <c r="AC95" s="13"/>
      <c r="AD95" s="13"/>
      <c r="AE95" s="13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3"/>
      <c r="BB95" s="1"/>
      <c r="BC95" s="13"/>
      <c r="BD95" s="13"/>
      <c r="BE95" s="1"/>
      <c r="BF95" s="1"/>
      <c r="BG95" s="1"/>
      <c r="BH95" s="1"/>
      <c r="BI95" s="1"/>
      <c r="BJ95" s="1"/>
    </row>
    <row r="96" spans="1:62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3"/>
      <c r="K96" s="13"/>
      <c r="L96" s="1"/>
      <c r="M96" s="1"/>
      <c r="N96" s="1"/>
      <c r="O96" s="1"/>
      <c r="P96" s="1"/>
      <c r="Q96" s="1"/>
      <c r="R96" s="1"/>
      <c r="S96" s="1"/>
      <c r="T96" s="13"/>
      <c r="U96" s="13"/>
      <c r="V96" s="1"/>
      <c r="W96" s="1"/>
      <c r="X96" s="1"/>
      <c r="Y96" s="1"/>
      <c r="Z96" s="1"/>
      <c r="AA96" s="1"/>
      <c r="AB96" s="1"/>
      <c r="AC96" s="13"/>
      <c r="AD96" s="13"/>
      <c r="AE96" s="13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3"/>
      <c r="BB96" s="1"/>
      <c r="BC96" s="13"/>
      <c r="BD96" s="13"/>
      <c r="BE96" s="1"/>
      <c r="BF96" s="1"/>
      <c r="BG96" s="1"/>
      <c r="BH96" s="1"/>
      <c r="BI96" s="1"/>
      <c r="BJ96" s="1"/>
    </row>
    <row r="97" spans="1:62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3"/>
      <c r="K97" s="13"/>
      <c r="L97" s="1"/>
      <c r="M97" s="1"/>
      <c r="N97" s="1"/>
      <c r="O97" s="1"/>
      <c r="P97" s="1"/>
      <c r="Q97" s="1"/>
      <c r="R97" s="1"/>
      <c r="S97" s="1"/>
      <c r="T97" s="13"/>
      <c r="U97" s="13"/>
      <c r="V97" s="1"/>
      <c r="W97" s="1"/>
      <c r="X97" s="1"/>
      <c r="Y97" s="1"/>
      <c r="Z97" s="1"/>
      <c r="AA97" s="1"/>
      <c r="AB97" s="1"/>
      <c r="AC97" s="13"/>
      <c r="AD97" s="13"/>
      <c r="AE97" s="13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3"/>
      <c r="BB97" s="1"/>
      <c r="BC97" s="13"/>
      <c r="BD97" s="13"/>
      <c r="BE97" s="1"/>
      <c r="BF97" s="1"/>
      <c r="BG97" s="1"/>
      <c r="BH97" s="1"/>
      <c r="BI97" s="1"/>
      <c r="BJ97" s="1"/>
    </row>
    <row r="98" spans="1:62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3"/>
      <c r="K98" s="13"/>
      <c r="L98" s="1"/>
      <c r="M98" s="1"/>
      <c r="N98" s="1"/>
      <c r="O98" s="1"/>
      <c r="P98" s="1"/>
      <c r="Q98" s="1"/>
      <c r="R98" s="1"/>
      <c r="S98" s="1"/>
      <c r="T98" s="13"/>
      <c r="U98" s="13"/>
      <c r="V98" s="1"/>
      <c r="W98" s="1"/>
      <c r="X98" s="1"/>
      <c r="Y98" s="1"/>
      <c r="Z98" s="1"/>
      <c r="AA98" s="1"/>
      <c r="AB98" s="1"/>
      <c r="AC98" s="13"/>
      <c r="AD98" s="13"/>
      <c r="AE98" s="13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3"/>
      <c r="BB98" s="1"/>
      <c r="BC98" s="13"/>
      <c r="BD98" s="13"/>
      <c r="BE98" s="1"/>
      <c r="BF98" s="1"/>
      <c r="BG98" s="1"/>
      <c r="BH98" s="1"/>
      <c r="BI98" s="1"/>
      <c r="BJ98" s="1"/>
    </row>
    <row r="99" spans="1:62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3"/>
      <c r="K99" s="13"/>
      <c r="L99" s="1"/>
      <c r="M99" s="1"/>
      <c r="N99" s="1"/>
      <c r="O99" s="1"/>
      <c r="P99" s="1"/>
      <c r="Q99" s="1"/>
      <c r="R99" s="1"/>
      <c r="S99" s="1"/>
      <c r="T99" s="13"/>
      <c r="U99" s="13"/>
      <c r="V99" s="1"/>
      <c r="W99" s="1"/>
      <c r="X99" s="1"/>
      <c r="Y99" s="1"/>
      <c r="Z99" s="1"/>
      <c r="AA99" s="1"/>
      <c r="AB99" s="1"/>
      <c r="AC99" s="13"/>
      <c r="AD99" s="13"/>
      <c r="AE99" s="13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3"/>
      <c r="BB99" s="1"/>
      <c r="BC99" s="13"/>
      <c r="BD99" s="13"/>
      <c r="BE99" s="1"/>
      <c r="BF99" s="1"/>
      <c r="BG99" s="1"/>
      <c r="BH99" s="1"/>
      <c r="BI99" s="1"/>
      <c r="BJ99" s="1"/>
    </row>
    <row r="100" spans="1:62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3"/>
      <c r="K100" s="13"/>
      <c r="L100" s="1"/>
      <c r="M100" s="1"/>
      <c r="N100" s="1"/>
      <c r="O100" s="1"/>
      <c r="P100" s="1"/>
      <c r="Q100" s="1"/>
      <c r="R100" s="1"/>
      <c r="S100" s="1"/>
      <c r="T100" s="13"/>
      <c r="U100" s="13"/>
      <c r="V100" s="1"/>
      <c r="W100" s="1"/>
      <c r="X100" s="1"/>
      <c r="Y100" s="1"/>
      <c r="Z100" s="1"/>
      <c r="AA100" s="1"/>
      <c r="AB100" s="1"/>
      <c r="AC100" s="13"/>
      <c r="AD100" s="13"/>
      <c r="AE100" s="13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3"/>
      <c r="BB100" s="1"/>
      <c r="BC100" s="13"/>
      <c r="BD100" s="13"/>
      <c r="BE100" s="1"/>
      <c r="BF100" s="1"/>
      <c r="BG100" s="1"/>
      <c r="BH100" s="1"/>
      <c r="BI100" s="1"/>
      <c r="BJ100" s="1"/>
    </row>
    <row r="101" spans="1:62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3"/>
      <c r="K101" s="13"/>
      <c r="L101" s="1"/>
      <c r="M101" s="1"/>
      <c r="N101" s="1"/>
      <c r="O101" s="1"/>
      <c r="P101" s="1"/>
      <c r="Q101" s="1"/>
      <c r="R101" s="1"/>
      <c r="S101" s="1"/>
      <c r="T101" s="13"/>
      <c r="U101" s="13"/>
      <c r="V101" s="1"/>
      <c r="W101" s="1"/>
      <c r="X101" s="1"/>
      <c r="Y101" s="1"/>
      <c r="Z101" s="1"/>
      <c r="AA101" s="1"/>
      <c r="AB101" s="1"/>
      <c r="AC101" s="13"/>
      <c r="AD101" s="13"/>
      <c r="AE101" s="13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3"/>
      <c r="BB101" s="1"/>
      <c r="BC101" s="13"/>
      <c r="BD101" s="13"/>
      <c r="BE101" s="1"/>
      <c r="BF101" s="1"/>
      <c r="BG101" s="1"/>
      <c r="BH101" s="1"/>
      <c r="BI101" s="1"/>
      <c r="BJ101" s="1"/>
    </row>
    <row r="102" spans="1:62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3"/>
      <c r="K102" s="13"/>
      <c r="L102" s="1"/>
      <c r="M102" s="1"/>
      <c r="N102" s="1"/>
      <c r="O102" s="1"/>
      <c r="P102" s="1"/>
      <c r="Q102" s="1"/>
      <c r="R102" s="1"/>
      <c r="S102" s="1"/>
      <c r="T102" s="13"/>
      <c r="U102" s="13"/>
      <c r="V102" s="1"/>
      <c r="W102" s="1"/>
      <c r="X102" s="1"/>
      <c r="Y102" s="1"/>
      <c r="Z102" s="1"/>
      <c r="AA102" s="1"/>
      <c r="AB102" s="1"/>
      <c r="AC102" s="13"/>
      <c r="AD102" s="13"/>
      <c r="AE102" s="13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3"/>
      <c r="BB102" s="1"/>
      <c r="BC102" s="13"/>
      <c r="BD102" s="13"/>
      <c r="BE102" s="1"/>
      <c r="BF102" s="1"/>
      <c r="BG102" s="1"/>
      <c r="BH102" s="1"/>
      <c r="BI102" s="1"/>
      <c r="BJ102" s="1"/>
    </row>
    <row r="103" spans="1:62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3"/>
      <c r="K103" s="13"/>
      <c r="L103" s="1"/>
      <c r="M103" s="1"/>
      <c r="N103" s="1"/>
      <c r="O103" s="1"/>
      <c r="P103" s="1"/>
      <c r="Q103" s="1"/>
      <c r="R103" s="1"/>
      <c r="S103" s="1"/>
      <c r="T103" s="13"/>
      <c r="U103" s="13"/>
      <c r="V103" s="1"/>
      <c r="W103" s="1"/>
      <c r="X103" s="1"/>
      <c r="Y103" s="1"/>
      <c r="Z103" s="1"/>
      <c r="AA103" s="1"/>
      <c r="AB103" s="1"/>
      <c r="AC103" s="13"/>
      <c r="AD103" s="13"/>
      <c r="AE103" s="13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3"/>
      <c r="BB103" s="1"/>
      <c r="BC103" s="13"/>
      <c r="BD103" s="13"/>
      <c r="BE103" s="1"/>
      <c r="BF103" s="1"/>
      <c r="BG103" s="1"/>
      <c r="BH103" s="1"/>
      <c r="BI103" s="1"/>
      <c r="BJ103" s="1"/>
    </row>
    <row r="104" spans="1:62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3"/>
      <c r="K104" s="13"/>
      <c r="L104" s="1"/>
      <c r="M104" s="1"/>
      <c r="N104" s="1"/>
      <c r="O104" s="1"/>
      <c r="P104" s="1"/>
      <c r="Q104" s="1"/>
      <c r="R104" s="1"/>
      <c r="S104" s="1"/>
      <c r="T104" s="13"/>
      <c r="U104" s="13"/>
      <c r="V104" s="1"/>
      <c r="W104" s="1"/>
      <c r="X104" s="1"/>
      <c r="Y104" s="1"/>
      <c r="Z104" s="1"/>
      <c r="AA104" s="1"/>
      <c r="AB104" s="1"/>
      <c r="AC104" s="13"/>
      <c r="AD104" s="13"/>
      <c r="AE104" s="13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3"/>
      <c r="BB104" s="1"/>
      <c r="BC104" s="13"/>
      <c r="BD104" s="13"/>
      <c r="BE104" s="1"/>
      <c r="BF104" s="1"/>
      <c r="BG104" s="1"/>
      <c r="BH104" s="1"/>
      <c r="BI104" s="1"/>
      <c r="BJ104" s="1"/>
    </row>
    <row r="105" spans="1:62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3"/>
      <c r="K105" s="13"/>
      <c r="L105" s="1"/>
      <c r="M105" s="1"/>
      <c r="N105" s="1"/>
      <c r="O105" s="1"/>
      <c r="P105" s="1"/>
      <c r="Q105" s="1"/>
      <c r="R105" s="1"/>
      <c r="S105" s="1"/>
      <c r="T105" s="13"/>
      <c r="U105" s="13"/>
      <c r="V105" s="1"/>
      <c r="W105" s="1"/>
      <c r="X105" s="1"/>
      <c r="Y105" s="1"/>
      <c r="Z105" s="1"/>
      <c r="AA105" s="1"/>
      <c r="AB105" s="1"/>
      <c r="AC105" s="13"/>
      <c r="AD105" s="13"/>
      <c r="AE105" s="13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3"/>
      <c r="BB105" s="1"/>
      <c r="BC105" s="13"/>
      <c r="BD105" s="13"/>
      <c r="BE105" s="1"/>
      <c r="BF105" s="1"/>
      <c r="BG105" s="1"/>
      <c r="BH105" s="1"/>
      <c r="BI105" s="1"/>
      <c r="BJ105" s="1"/>
    </row>
    <row r="106" spans="1:62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3"/>
      <c r="K106" s="13"/>
      <c r="L106" s="1"/>
      <c r="M106" s="1"/>
      <c r="N106" s="1"/>
      <c r="O106" s="1"/>
      <c r="P106" s="1"/>
      <c r="Q106" s="1"/>
      <c r="R106" s="1"/>
      <c r="S106" s="1"/>
      <c r="T106" s="13"/>
      <c r="U106" s="13"/>
      <c r="V106" s="1"/>
      <c r="W106" s="1"/>
      <c r="X106" s="1"/>
      <c r="Y106" s="1"/>
      <c r="Z106" s="1"/>
      <c r="AA106" s="1"/>
      <c r="AB106" s="1"/>
      <c r="AC106" s="13"/>
      <c r="AD106" s="13"/>
      <c r="AE106" s="13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3"/>
      <c r="BB106" s="1"/>
      <c r="BC106" s="13"/>
      <c r="BD106" s="13"/>
      <c r="BE106" s="1"/>
      <c r="BF106" s="1"/>
      <c r="BG106" s="1"/>
      <c r="BH106" s="1"/>
      <c r="BI106" s="1"/>
      <c r="BJ106" s="1"/>
    </row>
    <row r="107" spans="1:62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3"/>
      <c r="K107" s="13"/>
      <c r="L107" s="1"/>
      <c r="M107" s="1"/>
      <c r="N107" s="1"/>
      <c r="O107" s="1"/>
      <c r="P107" s="1"/>
      <c r="Q107" s="1"/>
      <c r="R107" s="1"/>
      <c r="S107" s="1"/>
      <c r="T107" s="13"/>
      <c r="U107" s="13"/>
      <c r="V107" s="1"/>
      <c r="W107" s="1"/>
      <c r="X107" s="1"/>
      <c r="Y107" s="1"/>
      <c r="Z107" s="1"/>
      <c r="AA107" s="1"/>
      <c r="AB107" s="1"/>
      <c r="AC107" s="13"/>
      <c r="AD107" s="13"/>
      <c r="AE107" s="13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3"/>
      <c r="BB107" s="1"/>
      <c r="BC107" s="13"/>
      <c r="BD107" s="13"/>
      <c r="BE107" s="1"/>
      <c r="BF107" s="1"/>
      <c r="BG107" s="1"/>
      <c r="BH107" s="1"/>
      <c r="BI107" s="1"/>
      <c r="BJ107" s="1"/>
    </row>
    <row r="108" spans="1:62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3"/>
      <c r="K108" s="13"/>
      <c r="L108" s="1"/>
      <c r="M108" s="1"/>
      <c r="N108" s="1"/>
      <c r="O108" s="1"/>
      <c r="P108" s="1"/>
      <c r="Q108" s="1"/>
      <c r="R108" s="1"/>
      <c r="S108" s="1"/>
      <c r="T108" s="13"/>
      <c r="U108" s="13"/>
      <c r="V108" s="1"/>
      <c r="W108" s="1"/>
      <c r="X108" s="1"/>
      <c r="Y108" s="1"/>
      <c r="Z108" s="1"/>
      <c r="AA108" s="1"/>
      <c r="AB108" s="1"/>
      <c r="AC108" s="13"/>
      <c r="AD108" s="13"/>
      <c r="AE108" s="13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3"/>
      <c r="BB108" s="1"/>
      <c r="BC108" s="13"/>
      <c r="BD108" s="13"/>
      <c r="BE108" s="1"/>
      <c r="BF108" s="1"/>
      <c r="BG108" s="1"/>
      <c r="BH108" s="1"/>
      <c r="BI108" s="1"/>
      <c r="BJ108" s="1"/>
    </row>
    <row r="109" spans="1:62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3"/>
      <c r="K109" s="13"/>
      <c r="L109" s="1"/>
      <c r="M109" s="1"/>
      <c r="N109" s="1"/>
      <c r="O109" s="1"/>
      <c r="P109" s="1"/>
      <c r="Q109" s="1"/>
      <c r="R109" s="1"/>
      <c r="S109" s="1"/>
      <c r="T109" s="13"/>
      <c r="U109" s="13"/>
      <c r="V109" s="1"/>
      <c r="W109" s="1"/>
      <c r="X109" s="1"/>
      <c r="Y109" s="1"/>
      <c r="Z109" s="1"/>
      <c r="AA109" s="1"/>
      <c r="AB109" s="1"/>
      <c r="AC109" s="13"/>
      <c r="AD109" s="13"/>
      <c r="AE109" s="13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3"/>
      <c r="BB109" s="1"/>
      <c r="BC109" s="13"/>
      <c r="BD109" s="13"/>
      <c r="BE109" s="1"/>
      <c r="BF109" s="1"/>
      <c r="BG109" s="1"/>
      <c r="BH109" s="1"/>
      <c r="BI109" s="1"/>
      <c r="BJ109" s="1"/>
    </row>
    <row r="110" spans="1:62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3"/>
      <c r="K110" s="13"/>
      <c r="L110" s="1"/>
      <c r="M110" s="1"/>
      <c r="N110" s="1"/>
      <c r="O110" s="1"/>
      <c r="P110" s="1"/>
      <c r="Q110" s="1"/>
      <c r="R110" s="1"/>
      <c r="S110" s="1"/>
      <c r="T110" s="13"/>
      <c r="U110" s="13"/>
      <c r="V110" s="1"/>
      <c r="W110" s="1"/>
      <c r="X110" s="1"/>
      <c r="Y110" s="1"/>
      <c r="Z110" s="1"/>
      <c r="AA110" s="1"/>
      <c r="AB110" s="1"/>
      <c r="AC110" s="13"/>
      <c r="AD110" s="13"/>
      <c r="AE110" s="13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3"/>
      <c r="BB110" s="1"/>
      <c r="BC110" s="13"/>
      <c r="BD110" s="13"/>
      <c r="BE110" s="1"/>
      <c r="BF110" s="1"/>
      <c r="BG110" s="1"/>
      <c r="BH110" s="1"/>
      <c r="BI110" s="1"/>
      <c r="BJ110" s="1"/>
    </row>
    <row r="111" spans="1:62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3"/>
      <c r="K111" s="13"/>
      <c r="L111" s="1"/>
      <c r="M111" s="1"/>
      <c r="N111" s="1"/>
      <c r="O111" s="1"/>
      <c r="P111" s="1"/>
      <c r="Q111" s="1"/>
      <c r="R111" s="1"/>
      <c r="S111" s="1"/>
      <c r="T111" s="13"/>
      <c r="U111" s="13"/>
      <c r="V111" s="1"/>
      <c r="W111" s="1"/>
      <c r="X111" s="1"/>
      <c r="Y111" s="1"/>
      <c r="Z111" s="1"/>
      <c r="AA111" s="1"/>
      <c r="AB111" s="1"/>
      <c r="AC111" s="13"/>
      <c r="AD111" s="13"/>
      <c r="AE111" s="13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3"/>
      <c r="BB111" s="1"/>
      <c r="BC111" s="13"/>
      <c r="BD111" s="13"/>
      <c r="BE111" s="1"/>
      <c r="BF111" s="1"/>
      <c r="BG111" s="1"/>
      <c r="BH111" s="1"/>
      <c r="BI111" s="1"/>
      <c r="BJ111" s="1"/>
    </row>
    <row r="112" spans="1:62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3"/>
      <c r="K112" s="13"/>
      <c r="L112" s="1"/>
      <c r="M112" s="1"/>
      <c r="N112" s="1"/>
      <c r="O112" s="1"/>
      <c r="P112" s="1"/>
      <c r="Q112" s="1"/>
      <c r="R112" s="1"/>
      <c r="S112" s="1"/>
      <c r="T112" s="13"/>
      <c r="U112" s="13"/>
      <c r="V112" s="1"/>
      <c r="W112" s="1"/>
      <c r="X112" s="1"/>
      <c r="Y112" s="1"/>
      <c r="Z112" s="1"/>
      <c r="AA112" s="1"/>
      <c r="AB112" s="1"/>
      <c r="AC112" s="13"/>
      <c r="AD112" s="13"/>
      <c r="AE112" s="13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3"/>
      <c r="BB112" s="1"/>
      <c r="BC112" s="13"/>
      <c r="BD112" s="13"/>
      <c r="BE112" s="1"/>
      <c r="BF112" s="1"/>
      <c r="BG112" s="1"/>
      <c r="BH112" s="1"/>
      <c r="BI112" s="1"/>
      <c r="BJ112" s="1"/>
    </row>
    <row r="113" spans="1:62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3"/>
      <c r="K113" s="13"/>
      <c r="L113" s="1"/>
      <c r="M113" s="1"/>
      <c r="N113" s="1"/>
      <c r="O113" s="1"/>
      <c r="P113" s="1"/>
      <c r="Q113" s="1"/>
      <c r="R113" s="1"/>
      <c r="S113" s="1"/>
      <c r="T113" s="13"/>
      <c r="U113" s="13"/>
      <c r="V113" s="1"/>
      <c r="W113" s="1"/>
      <c r="X113" s="1"/>
      <c r="Y113" s="1"/>
      <c r="Z113" s="1"/>
      <c r="AA113" s="1"/>
      <c r="AB113" s="1"/>
      <c r="AC113" s="13"/>
      <c r="AD113" s="13"/>
      <c r="AE113" s="13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3"/>
      <c r="BB113" s="1"/>
      <c r="BC113" s="13"/>
      <c r="BD113" s="13"/>
      <c r="BE113" s="1"/>
      <c r="BF113" s="1"/>
      <c r="BG113" s="1"/>
      <c r="BH113" s="1"/>
      <c r="BI113" s="1"/>
      <c r="BJ113" s="1"/>
    </row>
    <row r="114" spans="1:62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3"/>
      <c r="K114" s="13"/>
      <c r="L114" s="1"/>
      <c r="M114" s="1"/>
      <c r="N114" s="1"/>
      <c r="O114" s="1"/>
      <c r="P114" s="1"/>
      <c r="Q114" s="1"/>
      <c r="R114" s="1"/>
      <c r="S114" s="1"/>
      <c r="T114" s="13"/>
      <c r="U114" s="13"/>
      <c r="V114" s="1"/>
      <c r="W114" s="1"/>
      <c r="X114" s="1"/>
      <c r="Y114" s="1"/>
      <c r="Z114" s="1"/>
      <c r="AA114" s="1"/>
      <c r="AB114" s="1"/>
      <c r="AC114" s="13"/>
      <c r="AD114" s="13"/>
      <c r="AE114" s="13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3"/>
      <c r="BB114" s="1"/>
      <c r="BC114" s="13"/>
      <c r="BD114" s="13"/>
      <c r="BE114" s="1"/>
      <c r="BF114" s="1"/>
      <c r="BG114" s="1"/>
      <c r="BH114" s="1"/>
      <c r="BI114" s="1"/>
      <c r="BJ114" s="1"/>
    </row>
    <row r="115" spans="1:62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3"/>
      <c r="K115" s="13"/>
      <c r="L115" s="1"/>
      <c r="M115" s="1"/>
      <c r="N115" s="1"/>
      <c r="O115" s="1"/>
      <c r="P115" s="1"/>
      <c r="Q115" s="1"/>
      <c r="R115" s="1"/>
      <c r="S115" s="1"/>
      <c r="T115" s="13"/>
      <c r="U115" s="13"/>
      <c r="V115" s="1"/>
      <c r="W115" s="1"/>
      <c r="X115" s="1"/>
      <c r="Y115" s="1"/>
      <c r="Z115" s="1"/>
      <c r="AA115" s="1"/>
      <c r="AB115" s="1"/>
      <c r="AC115" s="13"/>
      <c r="AD115" s="13"/>
      <c r="AE115" s="13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3"/>
      <c r="BB115" s="1"/>
      <c r="BC115" s="13"/>
      <c r="BD115" s="13"/>
      <c r="BE115" s="1"/>
      <c r="BF115" s="1"/>
      <c r="BG115" s="1"/>
      <c r="BH115" s="1"/>
      <c r="BI115" s="1"/>
      <c r="BJ115" s="1"/>
    </row>
    <row r="116" spans="1:62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3"/>
      <c r="K116" s="13"/>
      <c r="L116" s="1"/>
      <c r="M116" s="1"/>
      <c r="N116" s="1"/>
      <c r="O116" s="1"/>
      <c r="P116" s="1"/>
      <c r="Q116" s="1"/>
      <c r="R116" s="1"/>
      <c r="S116" s="1"/>
      <c r="T116" s="13"/>
      <c r="U116" s="13"/>
      <c r="V116" s="1"/>
      <c r="W116" s="1"/>
      <c r="X116" s="1"/>
      <c r="Y116" s="1"/>
      <c r="Z116" s="1"/>
      <c r="AA116" s="1"/>
      <c r="AB116" s="1"/>
      <c r="AC116" s="13"/>
      <c r="AD116" s="13"/>
      <c r="AE116" s="13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3"/>
      <c r="BB116" s="1"/>
      <c r="BC116" s="13"/>
      <c r="BD116" s="13"/>
      <c r="BE116" s="1"/>
      <c r="BF116" s="1"/>
      <c r="BG116" s="1"/>
      <c r="BH116" s="1"/>
      <c r="BI116" s="1"/>
      <c r="BJ116" s="1"/>
    </row>
    <row r="117" spans="1:62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3"/>
      <c r="K117" s="13"/>
      <c r="L117" s="1"/>
      <c r="M117" s="1"/>
      <c r="N117" s="1"/>
      <c r="O117" s="1"/>
      <c r="P117" s="1"/>
      <c r="Q117" s="1"/>
      <c r="R117" s="1"/>
      <c r="S117" s="1"/>
      <c r="T117" s="13"/>
      <c r="U117" s="13"/>
      <c r="V117" s="1"/>
      <c r="W117" s="1"/>
      <c r="X117" s="1"/>
      <c r="Y117" s="1"/>
      <c r="Z117" s="1"/>
      <c r="AA117" s="1"/>
      <c r="AB117" s="1"/>
      <c r="AC117" s="13"/>
      <c r="AD117" s="13"/>
      <c r="AE117" s="13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3"/>
      <c r="BB117" s="1"/>
      <c r="BC117" s="13"/>
      <c r="BD117" s="13"/>
      <c r="BE117" s="1"/>
      <c r="BF117" s="1"/>
      <c r="BG117" s="1"/>
      <c r="BH117" s="1"/>
      <c r="BI117" s="1"/>
      <c r="BJ117" s="1"/>
    </row>
    <row r="118" spans="1:62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3"/>
      <c r="K118" s="13"/>
      <c r="L118" s="1"/>
      <c r="M118" s="1"/>
      <c r="N118" s="1"/>
      <c r="O118" s="1"/>
      <c r="P118" s="1"/>
      <c r="Q118" s="1"/>
      <c r="R118" s="1"/>
      <c r="S118" s="1"/>
      <c r="T118" s="13"/>
      <c r="U118" s="13"/>
      <c r="V118" s="1"/>
      <c r="W118" s="1"/>
      <c r="X118" s="1"/>
      <c r="Y118" s="1"/>
      <c r="Z118" s="1"/>
      <c r="AA118" s="1"/>
      <c r="AB118" s="1"/>
      <c r="AC118" s="13"/>
      <c r="AD118" s="13"/>
      <c r="AE118" s="13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3"/>
      <c r="BB118" s="1"/>
      <c r="BC118" s="13"/>
      <c r="BD118" s="13"/>
      <c r="BE118" s="1"/>
      <c r="BF118" s="1"/>
      <c r="BG118" s="1"/>
      <c r="BH118" s="1"/>
      <c r="BI118" s="1"/>
      <c r="BJ118" s="1"/>
    </row>
    <row r="119" spans="1:62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3"/>
      <c r="K119" s="13"/>
      <c r="L119" s="1"/>
      <c r="M119" s="1"/>
      <c r="N119" s="1"/>
      <c r="O119" s="1"/>
      <c r="P119" s="1"/>
      <c r="Q119" s="1"/>
      <c r="R119" s="1"/>
      <c r="S119" s="1"/>
      <c r="T119" s="13"/>
      <c r="U119" s="13"/>
      <c r="V119" s="1"/>
      <c r="W119" s="1"/>
      <c r="X119" s="1"/>
      <c r="Y119" s="1"/>
      <c r="Z119" s="1"/>
      <c r="AA119" s="1"/>
      <c r="AB119" s="1"/>
      <c r="AC119" s="13"/>
      <c r="AD119" s="13"/>
      <c r="AE119" s="13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3"/>
      <c r="BB119" s="1"/>
      <c r="BC119" s="13"/>
      <c r="BD119" s="13"/>
      <c r="BE119" s="1"/>
      <c r="BF119" s="1"/>
      <c r="BG119" s="1"/>
      <c r="BH119" s="1"/>
      <c r="BI119" s="1"/>
      <c r="BJ119" s="1"/>
    </row>
    <row r="120" spans="1:62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3"/>
      <c r="K120" s="13"/>
      <c r="L120" s="1"/>
      <c r="M120" s="1"/>
      <c r="N120" s="1"/>
      <c r="O120" s="1"/>
      <c r="P120" s="1"/>
      <c r="Q120" s="1"/>
      <c r="R120" s="1"/>
      <c r="S120" s="1"/>
      <c r="T120" s="13"/>
      <c r="U120" s="13"/>
      <c r="V120" s="1"/>
      <c r="W120" s="1"/>
      <c r="X120" s="1"/>
      <c r="Y120" s="1"/>
      <c r="Z120" s="1"/>
      <c r="AA120" s="1"/>
      <c r="AB120" s="1"/>
      <c r="AC120" s="13"/>
      <c r="AD120" s="13"/>
      <c r="AE120" s="13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3"/>
      <c r="BB120" s="1"/>
      <c r="BC120" s="13"/>
      <c r="BD120" s="13"/>
      <c r="BE120" s="1"/>
      <c r="BF120" s="1"/>
      <c r="BG120" s="1"/>
      <c r="BH120" s="1"/>
      <c r="BI120" s="1"/>
      <c r="BJ120" s="1"/>
    </row>
    <row r="121" spans="1:62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3"/>
      <c r="K121" s="13"/>
      <c r="L121" s="1"/>
      <c r="M121" s="1"/>
      <c r="N121" s="1"/>
      <c r="O121" s="1"/>
      <c r="P121" s="1"/>
      <c r="Q121" s="1"/>
      <c r="R121" s="1"/>
      <c r="S121" s="1"/>
      <c r="T121" s="13"/>
      <c r="U121" s="13"/>
      <c r="V121" s="1"/>
      <c r="W121" s="1"/>
      <c r="X121" s="1"/>
      <c r="Y121" s="1"/>
      <c r="Z121" s="1"/>
      <c r="AA121" s="1"/>
      <c r="AB121" s="1"/>
      <c r="AC121" s="13"/>
      <c r="AD121" s="13"/>
      <c r="AE121" s="13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3"/>
      <c r="BB121" s="1"/>
      <c r="BC121" s="13"/>
      <c r="BD121" s="13"/>
      <c r="BE121" s="1"/>
      <c r="BF121" s="1"/>
      <c r="BG121" s="1"/>
      <c r="BH121" s="1"/>
      <c r="BI121" s="1"/>
      <c r="BJ121" s="1"/>
    </row>
    <row r="122" spans="1:62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3"/>
      <c r="K122" s="13"/>
      <c r="L122" s="1"/>
      <c r="M122" s="1"/>
      <c r="N122" s="1"/>
      <c r="O122" s="1"/>
      <c r="P122" s="1"/>
      <c r="Q122" s="1"/>
      <c r="R122" s="1"/>
      <c r="S122" s="1"/>
      <c r="T122" s="13"/>
      <c r="U122" s="13"/>
      <c r="V122" s="1"/>
      <c r="W122" s="1"/>
      <c r="X122" s="1"/>
      <c r="Y122" s="1"/>
      <c r="Z122" s="1"/>
      <c r="AA122" s="1"/>
      <c r="AB122" s="1"/>
      <c r="AC122" s="13"/>
      <c r="AD122" s="13"/>
      <c r="AE122" s="13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3"/>
      <c r="BB122" s="1"/>
      <c r="BC122" s="13"/>
      <c r="BD122" s="13"/>
      <c r="BE122" s="1"/>
      <c r="BF122" s="1"/>
      <c r="BG122" s="1"/>
      <c r="BH122" s="1"/>
      <c r="BI122" s="1"/>
      <c r="BJ122" s="1"/>
    </row>
    <row r="123" spans="1:62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3"/>
      <c r="K123" s="13"/>
      <c r="L123" s="1"/>
      <c r="M123" s="1"/>
      <c r="N123" s="1"/>
      <c r="O123" s="1"/>
      <c r="P123" s="1"/>
      <c r="Q123" s="1"/>
      <c r="R123" s="1"/>
      <c r="S123" s="1"/>
      <c r="T123" s="13"/>
      <c r="U123" s="13"/>
      <c r="V123" s="1"/>
      <c r="W123" s="1"/>
      <c r="X123" s="1"/>
      <c r="Y123" s="1"/>
      <c r="Z123" s="1"/>
      <c r="AA123" s="1"/>
      <c r="AB123" s="1"/>
      <c r="AC123" s="13"/>
      <c r="AD123" s="13"/>
      <c r="AE123" s="13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3"/>
      <c r="BB123" s="1"/>
      <c r="BC123" s="13"/>
      <c r="BD123" s="13"/>
      <c r="BE123" s="1"/>
      <c r="BF123" s="1"/>
      <c r="BG123" s="1"/>
      <c r="BH123" s="1"/>
      <c r="BI123" s="1"/>
      <c r="BJ123" s="1"/>
    </row>
    <row r="124" spans="1:62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3"/>
      <c r="K124" s="13"/>
      <c r="L124" s="1"/>
      <c r="M124" s="1"/>
      <c r="N124" s="1"/>
      <c r="O124" s="1"/>
      <c r="P124" s="1"/>
      <c r="Q124" s="1"/>
      <c r="R124" s="1"/>
      <c r="S124" s="1"/>
      <c r="T124" s="13"/>
      <c r="U124" s="13"/>
      <c r="V124" s="1"/>
      <c r="W124" s="1"/>
      <c r="X124" s="1"/>
      <c r="Y124" s="1"/>
      <c r="Z124" s="1"/>
      <c r="AA124" s="1"/>
      <c r="AB124" s="1"/>
      <c r="AC124" s="13"/>
      <c r="AD124" s="13"/>
      <c r="AE124" s="13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3"/>
      <c r="BB124" s="1"/>
      <c r="BC124" s="13"/>
      <c r="BD124" s="13"/>
      <c r="BE124" s="1"/>
      <c r="BF124" s="1"/>
      <c r="BG124" s="1"/>
      <c r="BH124" s="1"/>
      <c r="BI124" s="1"/>
      <c r="BJ124" s="1"/>
    </row>
    <row r="125" spans="1:62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3"/>
      <c r="K125" s="13"/>
      <c r="L125" s="1"/>
      <c r="M125" s="1"/>
      <c r="N125" s="1"/>
      <c r="O125" s="1"/>
      <c r="P125" s="1"/>
      <c r="Q125" s="1"/>
      <c r="R125" s="1"/>
      <c r="S125" s="1"/>
      <c r="T125" s="13"/>
      <c r="U125" s="13"/>
      <c r="V125" s="1"/>
      <c r="W125" s="1"/>
      <c r="X125" s="1"/>
      <c r="Y125" s="1"/>
      <c r="Z125" s="1"/>
      <c r="AA125" s="1"/>
      <c r="AB125" s="1"/>
      <c r="AC125" s="13"/>
      <c r="AD125" s="13"/>
      <c r="AE125" s="13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3"/>
      <c r="BB125" s="1"/>
      <c r="BC125" s="13"/>
      <c r="BD125" s="13"/>
      <c r="BE125" s="1"/>
      <c r="BF125" s="1"/>
      <c r="BG125" s="1"/>
      <c r="BH125" s="1"/>
      <c r="BI125" s="1"/>
      <c r="BJ125" s="1"/>
    </row>
    <row r="126" spans="1:62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3"/>
      <c r="K126" s="13"/>
      <c r="L126" s="1"/>
      <c r="M126" s="1"/>
      <c r="N126" s="1"/>
      <c r="O126" s="1"/>
      <c r="P126" s="1"/>
      <c r="Q126" s="1"/>
      <c r="R126" s="1"/>
      <c r="S126" s="1"/>
      <c r="T126" s="13"/>
      <c r="U126" s="13"/>
      <c r="V126" s="1"/>
      <c r="W126" s="1"/>
      <c r="X126" s="1"/>
      <c r="Y126" s="1"/>
      <c r="Z126" s="1"/>
      <c r="AA126" s="1"/>
      <c r="AB126" s="1"/>
      <c r="AC126" s="13"/>
      <c r="AD126" s="13"/>
      <c r="AE126" s="13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3"/>
      <c r="BB126" s="1"/>
      <c r="BC126" s="13"/>
      <c r="BD126" s="13"/>
      <c r="BE126" s="1"/>
      <c r="BF126" s="1"/>
      <c r="BG126" s="1"/>
      <c r="BH126" s="1"/>
      <c r="BI126" s="1"/>
      <c r="BJ126" s="1"/>
    </row>
    <row r="127" spans="1:62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3"/>
      <c r="K127" s="13"/>
      <c r="L127" s="1"/>
      <c r="M127" s="1"/>
      <c r="N127" s="1"/>
      <c r="O127" s="1"/>
      <c r="P127" s="1"/>
      <c r="Q127" s="1"/>
      <c r="R127" s="1"/>
      <c r="S127" s="1"/>
      <c r="T127" s="13"/>
      <c r="U127" s="13"/>
      <c r="V127" s="1"/>
      <c r="W127" s="1"/>
      <c r="X127" s="1"/>
      <c r="Y127" s="1"/>
      <c r="Z127" s="1"/>
      <c r="AA127" s="1"/>
      <c r="AB127" s="1"/>
      <c r="AC127" s="13"/>
      <c r="AD127" s="13"/>
      <c r="AE127" s="13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3"/>
      <c r="BB127" s="1"/>
      <c r="BC127" s="13"/>
      <c r="BD127" s="13"/>
      <c r="BE127" s="1"/>
      <c r="BF127" s="1"/>
      <c r="BG127" s="1"/>
      <c r="BH127" s="1"/>
      <c r="BI127" s="1"/>
      <c r="BJ127" s="1"/>
    </row>
    <row r="128" spans="1:62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3"/>
      <c r="K128" s="13"/>
      <c r="L128" s="1"/>
      <c r="M128" s="1"/>
      <c r="N128" s="1"/>
      <c r="O128" s="1"/>
      <c r="P128" s="1"/>
      <c r="Q128" s="1"/>
      <c r="R128" s="1"/>
      <c r="S128" s="1"/>
      <c r="T128" s="13"/>
      <c r="U128" s="13"/>
      <c r="V128" s="1"/>
      <c r="W128" s="1"/>
      <c r="X128" s="1"/>
      <c r="Y128" s="1"/>
      <c r="Z128" s="1"/>
      <c r="AA128" s="1"/>
      <c r="AB128" s="1"/>
      <c r="AC128" s="13"/>
      <c r="AD128" s="13"/>
      <c r="AE128" s="13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3"/>
      <c r="BB128" s="1"/>
      <c r="BC128" s="13"/>
      <c r="BD128" s="13"/>
      <c r="BE128" s="1"/>
      <c r="BF128" s="1"/>
      <c r="BG128" s="1"/>
      <c r="BH128" s="1"/>
      <c r="BI128" s="1"/>
      <c r="BJ128" s="1"/>
    </row>
    <row r="129" spans="1:62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3"/>
      <c r="K129" s="13"/>
      <c r="L129" s="1"/>
      <c r="M129" s="1"/>
      <c r="N129" s="1"/>
      <c r="O129" s="1"/>
      <c r="P129" s="1"/>
      <c r="Q129" s="1"/>
      <c r="R129" s="1"/>
      <c r="S129" s="1"/>
      <c r="T129" s="13"/>
      <c r="U129" s="13"/>
      <c r="V129" s="1"/>
      <c r="W129" s="1"/>
      <c r="X129" s="1"/>
      <c r="Y129" s="1"/>
      <c r="Z129" s="1"/>
      <c r="AA129" s="1"/>
      <c r="AB129" s="1"/>
      <c r="AC129" s="13"/>
      <c r="AD129" s="13"/>
      <c r="AE129" s="13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3"/>
      <c r="BB129" s="1"/>
      <c r="BC129" s="13"/>
      <c r="BD129" s="13"/>
      <c r="BE129" s="1"/>
      <c r="BF129" s="1"/>
      <c r="BG129" s="1"/>
      <c r="BH129" s="1"/>
      <c r="BI129" s="1"/>
      <c r="BJ129" s="1"/>
    </row>
    <row r="130" spans="1:62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3"/>
      <c r="K130" s="13"/>
      <c r="L130" s="1"/>
      <c r="M130" s="1"/>
      <c r="N130" s="1"/>
      <c r="O130" s="1"/>
      <c r="P130" s="1"/>
      <c r="Q130" s="1"/>
      <c r="R130" s="1"/>
      <c r="S130" s="1"/>
      <c r="T130" s="13"/>
      <c r="U130" s="13"/>
      <c r="V130" s="1"/>
      <c r="W130" s="1"/>
      <c r="X130" s="1"/>
      <c r="Y130" s="1"/>
      <c r="Z130" s="1"/>
      <c r="AA130" s="1"/>
      <c r="AB130" s="1"/>
      <c r="AC130" s="13"/>
      <c r="AD130" s="13"/>
      <c r="AE130" s="13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3"/>
      <c r="BB130" s="1"/>
      <c r="BC130" s="13"/>
      <c r="BD130" s="13"/>
      <c r="BE130" s="1"/>
      <c r="BF130" s="1"/>
      <c r="BG130" s="1"/>
      <c r="BH130" s="1"/>
      <c r="BI130" s="1"/>
      <c r="BJ130" s="1"/>
    </row>
    <row r="131" spans="1:62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3"/>
      <c r="K131" s="13"/>
      <c r="L131" s="1"/>
      <c r="M131" s="1"/>
      <c r="N131" s="1"/>
      <c r="O131" s="1"/>
      <c r="P131" s="1"/>
      <c r="Q131" s="1"/>
      <c r="R131" s="1"/>
      <c r="S131" s="1"/>
      <c r="T131" s="13"/>
      <c r="U131" s="13"/>
      <c r="V131" s="1"/>
      <c r="W131" s="1"/>
      <c r="X131" s="1"/>
      <c r="Y131" s="1"/>
      <c r="Z131" s="1"/>
      <c r="AA131" s="1"/>
      <c r="AB131" s="1"/>
      <c r="AC131" s="13"/>
      <c r="AD131" s="13"/>
      <c r="AE131" s="13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3"/>
      <c r="BB131" s="1"/>
      <c r="BC131" s="13"/>
      <c r="BD131" s="13"/>
      <c r="BE131" s="1"/>
      <c r="BF131" s="1"/>
      <c r="BG131" s="1"/>
      <c r="BH131" s="1"/>
      <c r="BI131" s="1"/>
      <c r="BJ131" s="1"/>
    </row>
    <row r="132" spans="1:62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3"/>
      <c r="K132" s="13"/>
      <c r="L132" s="1"/>
      <c r="M132" s="1"/>
      <c r="N132" s="1"/>
      <c r="O132" s="1"/>
      <c r="P132" s="1"/>
      <c r="Q132" s="1"/>
      <c r="R132" s="1"/>
      <c r="S132" s="1"/>
      <c r="T132" s="13"/>
      <c r="U132" s="13"/>
      <c r="V132" s="1"/>
      <c r="W132" s="1"/>
      <c r="X132" s="1"/>
      <c r="Y132" s="1"/>
      <c r="Z132" s="1"/>
      <c r="AA132" s="1"/>
      <c r="AB132" s="1"/>
      <c r="AC132" s="13"/>
      <c r="AD132" s="13"/>
      <c r="AE132" s="13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3"/>
      <c r="BB132" s="1"/>
      <c r="BC132" s="13"/>
      <c r="BD132" s="13"/>
      <c r="BE132" s="1"/>
      <c r="BF132" s="1"/>
      <c r="BG132" s="1"/>
      <c r="BH132" s="1"/>
      <c r="BI132" s="1"/>
      <c r="BJ132" s="1"/>
    </row>
    <row r="133" spans="1:62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3"/>
      <c r="K133" s="13"/>
      <c r="L133" s="1"/>
      <c r="M133" s="1"/>
      <c r="N133" s="1"/>
      <c r="O133" s="1"/>
      <c r="P133" s="1"/>
      <c r="Q133" s="1"/>
      <c r="R133" s="1"/>
      <c r="S133" s="1"/>
      <c r="T133" s="13"/>
      <c r="U133" s="13"/>
      <c r="V133" s="1"/>
      <c r="W133" s="1"/>
      <c r="X133" s="1"/>
      <c r="Y133" s="1"/>
      <c r="Z133" s="1"/>
      <c r="AA133" s="1"/>
      <c r="AB133" s="1"/>
      <c r="AC133" s="13"/>
      <c r="AD133" s="13"/>
      <c r="AE133" s="13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3"/>
      <c r="BB133" s="1"/>
      <c r="BC133" s="13"/>
      <c r="BD133" s="13"/>
      <c r="BE133" s="1"/>
      <c r="BF133" s="1"/>
      <c r="BG133" s="1"/>
      <c r="BH133" s="1"/>
      <c r="BI133" s="1"/>
      <c r="BJ133" s="1"/>
    </row>
    <row r="134" spans="1:62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3"/>
      <c r="K134" s="13"/>
      <c r="L134" s="1"/>
      <c r="M134" s="1"/>
      <c r="N134" s="1"/>
      <c r="O134" s="1"/>
      <c r="P134" s="1"/>
      <c r="Q134" s="1"/>
      <c r="R134" s="1"/>
      <c r="S134" s="1"/>
      <c r="T134" s="13"/>
      <c r="U134" s="13"/>
      <c r="V134" s="1"/>
      <c r="W134" s="1"/>
      <c r="X134" s="1"/>
      <c r="Y134" s="1"/>
      <c r="Z134" s="1"/>
      <c r="AA134" s="1"/>
      <c r="AB134" s="1"/>
      <c r="AC134" s="13"/>
      <c r="AD134" s="13"/>
      <c r="AE134" s="13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3"/>
      <c r="BB134" s="1"/>
      <c r="BC134" s="13"/>
      <c r="BD134" s="13"/>
      <c r="BE134" s="1"/>
      <c r="BF134" s="1"/>
      <c r="BG134" s="1"/>
      <c r="BH134" s="1"/>
      <c r="BI134" s="1"/>
      <c r="BJ134" s="1"/>
    </row>
    <row r="135" spans="1:62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3"/>
      <c r="K135" s="13"/>
      <c r="L135" s="1"/>
      <c r="M135" s="1"/>
      <c r="N135" s="1"/>
      <c r="O135" s="1"/>
      <c r="P135" s="1"/>
      <c r="Q135" s="1"/>
      <c r="R135" s="1"/>
      <c r="S135" s="1"/>
      <c r="T135" s="13"/>
      <c r="U135" s="13"/>
      <c r="V135" s="1"/>
      <c r="W135" s="1"/>
      <c r="X135" s="1"/>
      <c r="Y135" s="1"/>
      <c r="Z135" s="1"/>
      <c r="AA135" s="1"/>
      <c r="AB135" s="1"/>
      <c r="AC135" s="13"/>
      <c r="AD135" s="13"/>
      <c r="AE135" s="13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3"/>
      <c r="BB135" s="1"/>
      <c r="BC135" s="13"/>
      <c r="BD135" s="13"/>
      <c r="BE135" s="1"/>
      <c r="BF135" s="1"/>
      <c r="BG135" s="1"/>
      <c r="BH135" s="1"/>
      <c r="BI135" s="1"/>
      <c r="BJ135" s="1"/>
    </row>
    <row r="136" spans="1:62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3"/>
      <c r="K136" s="13"/>
      <c r="L136" s="1"/>
      <c r="M136" s="1"/>
      <c r="N136" s="1"/>
      <c r="O136" s="1"/>
      <c r="P136" s="1"/>
      <c r="Q136" s="1"/>
      <c r="R136" s="1"/>
      <c r="S136" s="1"/>
      <c r="T136" s="13"/>
      <c r="U136" s="13"/>
      <c r="V136" s="1"/>
      <c r="W136" s="1"/>
      <c r="X136" s="1"/>
      <c r="Y136" s="1"/>
      <c r="Z136" s="1"/>
      <c r="AA136" s="1"/>
      <c r="AB136" s="1"/>
      <c r="AC136" s="13"/>
      <c r="AD136" s="13"/>
      <c r="AE136" s="13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3"/>
      <c r="BB136" s="1"/>
      <c r="BC136" s="13"/>
      <c r="BD136" s="13"/>
      <c r="BE136" s="1"/>
      <c r="BF136" s="1"/>
      <c r="BG136" s="1"/>
      <c r="BH136" s="1"/>
      <c r="BI136" s="1"/>
      <c r="BJ136" s="1"/>
    </row>
    <row r="137" spans="1:62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3"/>
      <c r="K137" s="13"/>
      <c r="L137" s="1"/>
      <c r="M137" s="1"/>
      <c r="N137" s="1"/>
      <c r="O137" s="1"/>
      <c r="P137" s="1"/>
      <c r="Q137" s="1"/>
      <c r="R137" s="1"/>
      <c r="S137" s="1"/>
      <c r="T137" s="13"/>
      <c r="U137" s="13"/>
      <c r="V137" s="1"/>
      <c r="W137" s="1"/>
      <c r="X137" s="1"/>
      <c r="Y137" s="1"/>
      <c r="Z137" s="1"/>
      <c r="AA137" s="1"/>
      <c r="AB137" s="1"/>
      <c r="AC137" s="13"/>
      <c r="AD137" s="13"/>
      <c r="AE137" s="13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3"/>
      <c r="BB137" s="1"/>
      <c r="BC137" s="13"/>
      <c r="BD137" s="13"/>
      <c r="BE137" s="1"/>
      <c r="BF137" s="1"/>
      <c r="BG137" s="1"/>
      <c r="BH137" s="1"/>
      <c r="BI137" s="1"/>
      <c r="BJ137" s="1"/>
    </row>
    <row r="138" spans="1:62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3"/>
      <c r="K138" s="13"/>
      <c r="L138" s="1"/>
      <c r="M138" s="1"/>
      <c r="N138" s="1"/>
      <c r="O138" s="1"/>
      <c r="P138" s="1"/>
      <c r="Q138" s="1"/>
      <c r="R138" s="1"/>
      <c r="S138" s="1"/>
      <c r="T138" s="13"/>
      <c r="U138" s="13"/>
      <c r="V138" s="1"/>
      <c r="W138" s="1"/>
      <c r="X138" s="1"/>
      <c r="Y138" s="1"/>
      <c r="Z138" s="1"/>
      <c r="AA138" s="1"/>
      <c r="AB138" s="1"/>
      <c r="AC138" s="13"/>
      <c r="AD138" s="13"/>
      <c r="AE138" s="13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3"/>
      <c r="BB138" s="1"/>
      <c r="BC138" s="13"/>
      <c r="BD138" s="13"/>
      <c r="BE138" s="1"/>
      <c r="BF138" s="1"/>
      <c r="BG138" s="1"/>
      <c r="BH138" s="1"/>
      <c r="BI138" s="1"/>
      <c r="BJ138" s="1"/>
    </row>
    <row r="139" spans="1:62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3"/>
      <c r="K139" s="13"/>
      <c r="L139" s="1"/>
      <c r="M139" s="1"/>
      <c r="N139" s="1"/>
      <c r="O139" s="1"/>
      <c r="P139" s="1"/>
      <c r="Q139" s="1"/>
      <c r="R139" s="1"/>
      <c r="S139" s="1"/>
      <c r="T139" s="13"/>
      <c r="U139" s="13"/>
      <c r="V139" s="1"/>
      <c r="W139" s="1"/>
      <c r="X139" s="1"/>
      <c r="Y139" s="1"/>
      <c r="Z139" s="1"/>
      <c r="AA139" s="1"/>
      <c r="AB139" s="1"/>
      <c r="AC139" s="13"/>
      <c r="AD139" s="13"/>
      <c r="AE139" s="13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3"/>
      <c r="BB139" s="1"/>
      <c r="BC139" s="13"/>
      <c r="BD139" s="13"/>
      <c r="BE139" s="1"/>
      <c r="BF139" s="1"/>
      <c r="BG139" s="1"/>
      <c r="BH139" s="1"/>
      <c r="BI139" s="1"/>
      <c r="BJ139" s="1"/>
    </row>
    <row r="140" spans="1:62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3"/>
      <c r="K140" s="13"/>
      <c r="L140" s="1"/>
      <c r="M140" s="1"/>
      <c r="N140" s="1"/>
      <c r="O140" s="1"/>
      <c r="P140" s="1"/>
      <c r="Q140" s="1"/>
      <c r="R140" s="1"/>
      <c r="S140" s="1"/>
      <c r="T140" s="13"/>
      <c r="U140" s="13"/>
      <c r="V140" s="1"/>
      <c r="W140" s="1"/>
      <c r="X140" s="1"/>
      <c r="Y140" s="1"/>
      <c r="Z140" s="1"/>
      <c r="AA140" s="1"/>
      <c r="AB140" s="1"/>
      <c r="AC140" s="13"/>
      <c r="AD140" s="13"/>
      <c r="AE140" s="13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3"/>
      <c r="BB140" s="1"/>
      <c r="BC140" s="13"/>
      <c r="BD140" s="13"/>
      <c r="BE140" s="1"/>
      <c r="BF140" s="1"/>
      <c r="BG140" s="1"/>
      <c r="BH140" s="1"/>
      <c r="BI140" s="1"/>
      <c r="BJ140" s="1"/>
    </row>
    <row r="141" spans="1:62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3"/>
      <c r="K141" s="13"/>
      <c r="L141" s="1"/>
      <c r="M141" s="1"/>
      <c r="N141" s="1"/>
      <c r="O141" s="1"/>
      <c r="P141" s="1"/>
      <c r="Q141" s="1"/>
      <c r="R141" s="1"/>
      <c r="S141" s="1"/>
      <c r="T141" s="13"/>
      <c r="U141" s="13"/>
      <c r="V141" s="1"/>
      <c r="W141" s="1"/>
      <c r="X141" s="1"/>
      <c r="Y141" s="1"/>
      <c r="Z141" s="1"/>
      <c r="AA141" s="1"/>
      <c r="AB141" s="1"/>
      <c r="AC141" s="13"/>
      <c r="AD141" s="13"/>
      <c r="AE141" s="13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3"/>
      <c r="BB141" s="1"/>
      <c r="BC141" s="13"/>
      <c r="BD141" s="13"/>
      <c r="BE141" s="1"/>
      <c r="BF141" s="1"/>
      <c r="BG141" s="1"/>
      <c r="BH141" s="1"/>
      <c r="BI141" s="1"/>
      <c r="BJ141" s="1"/>
    </row>
    <row r="142" spans="1:62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3"/>
      <c r="K142" s="13"/>
      <c r="L142" s="1"/>
      <c r="M142" s="1"/>
      <c r="N142" s="1"/>
      <c r="O142" s="1"/>
      <c r="P142" s="1"/>
      <c r="Q142" s="1"/>
      <c r="R142" s="1"/>
      <c r="S142" s="1"/>
      <c r="T142" s="13"/>
      <c r="U142" s="13"/>
      <c r="V142" s="1"/>
      <c r="W142" s="1"/>
      <c r="X142" s="1"/>
      <c r="Y142" s="1"/>
      <c r="Z142" s="1"/>
      <c r="AA142" s="1"/>
      <c r="AB142" s="1"/>
      <c r="AC142" s="13"/>
      <c r="AD142" s="13"/>
      <c r="AE142" s="13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3"/>
      <c r="BB142" s="1"/>
      <c r="BC142" s="13"/>
      <c r="BD142" s="13"/>
      <c r="BE142" s="1"/>
      <c r="BF142" s="1"/>
      <c r="BG142" s="1"/>
      <c r="BH142" s="1"/>
      <c r="BI142" s="1"/>
      <c r="BJ142" s="1"/>
    </row>
    <row r="143" spans="1:62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3"/>
      <c r="K143" s="13"/>
      <c r="L143" s="1"/>
      <c r="M143" s="1"/>
      <c r="N143" s="1"/>
      <c r="O143" s="1"/>
      <c r="P143" s="1"/>
      <c r="Q143" s="1"/>
      <c r="R143" s="1"/>
      <c r="S143" s="1"/>
      <c r="T143" s="13"/>
      <c r="U143" s="13"/>
      <c r="V143" s="1"/>
      <c r="W143" s="1"/>
      <c r="X143" s="1"/>
      <c r="Y143" s="1"/>
      <c r="Z143" s="1"/>
      <c r="AA143" s="1"/>
      <c r="AB143" s="1"/>
      <c r="AC143" s="13"/>
      <c r="AD143" s="13"/>
      <c r="AE143" s="13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3"/>
      <c r="BB143" s="1"/>
      <c r="BC143" s="13"/>
      <c r="BD143" s="13"/>
      <c r="BE143" s="1"/>
      <c r="BF143" s="1"/>
      <c r="BG143" s="1"/>
      <c r="BH143" s="1"/>
      <c r="BI143" s="1"/>
      <c r="BJ143" s="1"/>
    </row>
    <row r="144" spans="1:62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3"/>
      <c r="K144" s="13"/>
      <c r="L144" s="1"/>
      <c r="M144" s="1"/>
      <c r="N144" s="1"/>
      <c r="O144" s="1"/>
      <c r="P144" s="1"/>
      <c r="Q144" s="1"/>
      <c r="R144" s="1"/>
      <c r="S144" s="1"/>
      <c r="T144" s="13"/>
      <c r="U144" s="13"/>
      <c r="V144" s="1"/>
      <c r="W144" s="1"/>
      <c r="X144" s="1"/>
      <c r="Y144" s="1"/>
      <c r="Z144" s="1"/>
      <c r="AA144" s="1"/>
      <c r="AB144" s="1"/>
      <c r="AC144" s="13"/>
      <c r="AD144" s="13"/>
      <c r="AE144" s="13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3"/>
      <c r="BB144" s="1"/>
      <c r="BC144" s="13"/>
      <c r="BD144" s="13"/>
      <c r="BE144" s="1"/>
      <c r="BF144" s="1"/>
      <c r="BG144" s="1"/>
      <c r="BH144" s="1"/>
      <c r="BI144" s="1"/>
      <c r="BJ144" s="1"/>
    </row>
    <row r="145" spans="1:62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3"/>
      <c r="K145" s="13"/>
      <c r="L145" s="1"/>
      <c r="M145" s="1"/>
      <c r="N145" s="1"/>
      <c r="O145" s="1"/>
      <c r="P145" s="1"/>
      <c r="Q145" s="1"/>
      <c r="R145" s="1"/>
      <c r="S145" s="1"/>
      <c r="T145" s="13"/>
      <c r="U145" s="13"/>
      <c r="V145" s="1"/>
      <c r="W145" s="1"/>
      <c r="X145" s="1"/>
      <c r="Y145" s="1"/>
      <c r="Z145" s="1"/>
      <c r="AA145" s="1"/>
      <c r="AB145" s="1"/>
      <c r="AC145" s="13"/>
      <c r="AD145" s="13"/>
      <c r="AE145" s="13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3"/>
      <c r="BB145" s="1"/>
      <c r="BC145" s="13"/>
      <c r="BD145" s="13"/>
      <c r="BE145" s="1"/>
      <c r="BF145" s="1"/>
      <c r="BG145" s="1"/>
      <c r="BH145" s="1"/>
      <c r="BI145" s="1"/>
      <c r="BJ145" s="1"/>
    </row>
    <row r="146" spans="1:62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3"/>
      <c r="K146" s="13"/>
      <c r="L146" s="1"/>
      <c r="M146" s="1"/>
      <c r="N146" s="1"/>
      <c r="O146" s="1"/>
      <c r="P146" s="1"/>
      <c r="Q146" s="1"/>
      <c r="R146" s="1"/>
      <c r="S146" s="1"/>
      <c r="T146" s="13"/>
      <c r="U146" s="13"/>
      <c r="V146" s="1"/>
      <c r="W146" s="1"/>
      <c r="X146" s="1"/>
      <c r="Y146" s="1"/>
      <c r="Z146" s="1"/>
      <c r="AA146" s="1"/>
      <c r="AB146" s="1"/>
      <c r="AC146" s="13"/>
      <c r="AD146" s="13"/>
      <c r="AE146" s="13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3"/>
      <c r="BB146" s="1"/>
      <c r="BC146" s="13"/>
      <c r="BD146" s="13"/>
      <c r="BE146" s="1"/>
      <c r="BF146" s="1"/>
      <c r="BG146" s="1"/>
      <c r="BH146" s="1"/>
      <c r="BI146" s="1"/>
      <c r="BJ146" s="1"/>
    </row>
    <row r="147" spans="1:62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3"/>
      <c r="K147" s="13"/>
      <c r="L147" s="1"/>
      <c r="M147" s="1"/>
      <c r="N147" s="1"/>
      <c r="O147" s="1"/>
      <c r="P147" s="1"/>
      <c r="Q147" s="1"/>
      <c r="R147" s="1"/>
      <c r="S147" s="1"/>
      <c r="T147" s="13"/>
      <c r="U147" s="13"/>
      <c r="V147" s="1"/>
      <c r="W147" s="1"/>
      <c r="X147" s="1"/>
      <c r="Y147" s="1"/>
      <c r="Z147" s="1"/>
      <c r="AA147" s="1"/>
      <c r="AB147" s="1"/>
      <c r="AC147" s="13"/>
      <c r="AD147" s="13"/>
      <c r="AE147" s="13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3"/>
      <c r="BB147" s="1"/>
      <c r="BC147" s="13"/>
      <c r="BD147" s="13"/>
      <c r="BE147" s="1"/>
      <c r="BF147" s="1"/>
      <c r="BG147" s="1"/>
      <c r="BH147" s="1"/>
      <c r="BI147" s="1"/>
      <c r="BJ147" s="1"/>
    </row>
    <row r="148" spans="1:62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3"/>
      <c r="K148" s="13"/>
      <c r="L148" s="1"/>
      <c r="M148" s="1"/>
      <c r="N148" s="1"/>
      <c r="O148" s="1"/>
      <c r="P148" s="1"/>
      <c r="Q148" s="1"/>
      <c r="R148" s="1"/>
      <c r="S148" s="1"/>
      <c r="T148" s="13"/>
      <c r="U148" s="13"/>
      <c r="V148" s="1"/>
      <c r="W148" s="1"/>
      <c r="X148" s="1"/>
      <c r="Y148" s="1"/>
      <c r="Z148" s="1"/>
      <c r="AA148" s="1"/>
      <c r="AB148" s="1"/>
      <c r="AC148" s="13"/>
      <c r="AD148" s="13"/>
      <c r="AE148" s="13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3"/>
      <c r="BB148" s="1"/>
      <c r="BC148" s="13"/>
      <c r="BD148" s="13"/>
      <c r="BE148" s="1"/>
      <c r="BF148" s="1"/>
      <c r="BG148" s="1"/>
      <c r="BH148" s="1"/>
      <c r="BI148" s="1"/>
      <c r="BJ148" s="1"/>
    </row>
    <row r="149" spans="1:62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3"/>
      <c r="K149" s="13"/>
      <c r="L149" s="1"/>
      <c r="M149" s="1"/>
      <c r="N149" s="1"/>
      <c r="O149" s="1"/>
      <c r="P149" s="1"/>
      <c r="Q149" s="1"/>
      <c r="R149" s="1"/>
      <c r="S149" s="1"/>
      <c r="T149" s="13"/>
      <c r="U149" s="13"/>
      <c r="V149" s="1"/>
      <c r="W149" s="1"/>
      <c r="X149" s="1"/>
      <c r="Y149" s="1"/>
      <c r="Z149" s="1"/>
      <c r="AA149" s="1"/>
      <c r="AB149" s="1"/>
      <c r="AC149" s="13"/>
      <c r="AD149" s="13"/>
      <c r="AE149" s="13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3"/>
      <c r="BB149" s="1"/>
      <c r="BC149" s="13"/>
      <c r="BD149" s="13"/>
      <c r="BE149" s="1"/>
      <c r="BF149" s="1"/>
      <c r="BG149" s="1"/>
      <c r="BH149" s="1"/>
      <c r="BI149" s="1"/>
      <c r="BJ149" s="1"/>
    </row>
    <row r="150" spans="1:62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3"/>
      <c r="K150" s="13"/>
      <c r="L150" s="1"/>
      <c r="M150" s="1"/>
      <c r="N150" s="1"/>
      <c r="O150" s="1"/>
      <c r="P150" s="1"/>
      <c r="Q150" s="1"/>
      <c r="R150" s="1"/>
      <c r="S150" s="1"/>
      <c r="T150" s="13"/>
      <c r="U150" s="13"/>
      <c r="V150" s="1"/>
      <c r="W150" s="1"/>
      <c r="X150" s="1"/>
      <c r="Y150" s="1"/>
      <c r="Z150" s="1"/>
      <c r="AA150" s="1"/>
      <c r="AB150" s="1"/>
      <c r="AC150" s="13"/>
      <c r="AD150" s="13"/>
      <c r="AE150" s="13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3"/>
      <c r="BB150" s="1"/>
      <c r="BC150" s="13"/>
      <c r="BD150" s="13"/>
      <c r="BE150" s="1"/>
      <c r="BF150" s="1"/>
      <c r="BG150" s="1"/>
      <c r="BH150" s="1"/>
      <c r="BI150" s="1"/>
      <c r="BJ150" s="1"/>
    </row>
    <row r="151" spans="1:62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3"/>
      <c r="K151" s="13"/>
      <c r="L151" s="1"/>
      <c r="M151" s="1"/>
      <c r="N151" s="1"/>
      <c r="O151" s="1"/>
      <c r="P151" s="1"/>
      <c r="Q151" s="1"/>
      <c r="R151" s="1"/>
      <c r="S151" s="1"/>
      <c r="T151" s="13"/>
      <c r="U151" s="13"/>
      <c r="V151" s="1"/>
      <c r="W151" s="1"/>
      <c r="X151" s="1"/>
      <c r="Y151" s="1"/>
      <c r="Z151" s="1"/>
      <c r="AA151" s="1"/>
      <c r="AB151" s="1"/>
      <c r="AC151" s="13"/>
      <c r="AD151" s="13"/>
      <c r="AE151" s="13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3"/>
      <c r="BB151" s="1"/>
      <c r="BC151" s="13"/>
      <c r="BD151" s="13"/>
      <c r="BE151" s="1"/>
      <c r="BF151" s="1"/>
      <c r="BG151" s="1"/>
      <c r="BH151" s="1"/>
      <c r="BI151" s="1"/>
      <c r="BJ151" s="1"/>
    </row>
    <row r="152" spans="1:62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3"/>
      <c r="K152" s="13"/>
      <c r="L152" s="1"/>
      <c r="M152" s="1"/>
      <c r="N152" s="1"/>
      <c r="O152" s="1"/>
      <c r="P152" s="1"/>
      <c r="Q152" s="1"/>
      <c r="R152" s="1"/>
      <c r="S152" s="1"/>
      <c r="T152" s="13"/>
      <c r="U152" s="13"/>
      <c r="V152" s="1"/>
      <c r="W152" s="1"/>
      <c r="X152" s="1"/>
      <c r="Y152" s="1"/>
      <c r="Z152" s="1"/>
      <c r="AA152" s="1"/>
      <c r="AB152" s="1"/>
      <c r="AC152" s="13"/>
      <c r="AD152" s="13"/>
      <c r="AE152" s="13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3"/>
      <c r="BB152" s="1"/>
      <c r="BC152" s="13"/>
      <c r="BD152" s="13"/>
      <c r="BE152" s="1"/>
      <c r="BF152" s="1"/>
      <c r="BG152" s="1"/>
      <c r="BH152" s="1"/>
      <c r="BI152" s="1"/>
      <c r="BJ152" s="1"/>
    </row>
    <row r="153" spans="1:62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3"/>
      <c r="K153" s="13"/>
      <c r="L153" s="1"/>
      <c r="M153" s="1"/>
      <c r="N153" s="1"/>
      <c r="O153" s="1"/>
      <c r="P153" s="1"/>
      <c r="Q153" s="1"/>
      <c r="R153" s="1"/>
      <c r="S153" s="1"/>
      <c r="T153" s="13"/>
      <c r="U153" s="13"/>
      <c r="V153" s="1"/>
      <c r="W153" s="1"/>
      <c r="X153" s="1"/>
      <c r="Y153" s="1"/>
      <c r="Z153" s="1"/>
      <c r="AA153" s="1"/>
      <c r="AB153" s="1"/>
      <c r="AC153" s="13"/>
      <c r="AD153" s="13"/>
      <c r="AE153" s="13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3"/>
      <c r="BB153" s="1"/>
      <c r="BC153" s="13"/>
      <c r="BD153" s="13"/>
      <c r="BE153" s="1"/>
      <c r="BF153" s="1"/>
      <c r="BG153" s="1"/>
      <c r="BH153" s="1"/>
      <c r="BI153" s="1"/>
      <c r="BJ153" s="1"/>
    </row>
    <row r="154" spans="1:62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3"/>
      <c r="K154" s="13"/>
      <c r="L154" s="1"/>
      <c r="M154" s="1"/>
      <c r="N154" s="1"/>
      <c r="O154" s="1"/>
      <c r="P154" s="1"/>
      <c r="Q154" s="1"/>
      <c r="R154" s="1"/>
      <c r="S154" s="1"/>
      <c r="T154" s="13"/>
      <c r="U154" s="13"/>
      <c r="V154" s="1"/>
      <c r="W154" s="1"/>
      <c r="X154" s="1"/>
      <c r="Y154" s="1"/>
      <c r="Z154" s="1"/>
      <c r="AA154" s="1"/>
      <c r="AB154" s="1"/>
      <c r="AC154" s="13"/>
      <c r="AD154" s="13"/>
      <c r="AE154" s="13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3"/>
      <c r="BB154" s="1"/>
      <c r="BC154" s="13"/>
      <c r="BD154" s="13"/>
      <c r="BE154" s="1"/>
      <c r="BF154" s="1"/>
      <c r="BG154" s="1"/>
      <c r="BH154" s="1"/>
      <c r="BI154" s="1"/>
      <c r="BJ154" s="1"/>
    </row>
    <row r="155" spans="1:62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3"/>
      <c r="K155" s="13"/>
      <c r="L155" s="1"/>
      <c r="M155" s="1"/>
      <c r="N155" s="1"/>
      <c r="O155" s="1"/>
      <c r="P155" s="1"/>
      <c r="Q155" s="1"/>
      <c r="R155" s="1"/>
      <c r="S155" s="1"/>
      <c r="T155" s="13"/>
      <c r="U155" s="13"/>
      <c r="V155" s="1"/>
      <c r="W155" s="1"/>
      <c r="X155" s="1"/>
      <c r="Y155" s="1"/>
      <c r="Z155" s="1"/>
      <c r="AA155" s="1"/>
      <c r="AB155" s="1"/>
      <c r="AC155" s="13"/>
      <c r="AD155" s="13"/>
      <c r="AE155" s="13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3"/>
      <c r="BB155" s="1"/>
      <c r="BC155" s="13"/>
      <c r="BD155" s="13"/>
      <c r="BE155" s="1"/>
      <c r="BF155" s="1"/>
      <c r="BG155" s="1"/>
      <c r="BH155" s="1"/>
      <c r="BI155" s="1"/>
      <c r="BJ155" s="1"/>
    </row>
    <row r="156" spans="1:62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3"/>
      <c r="K156" s="13"/>
      <c r="L156" s="1"/>
      <c r="M156" s="1"/>
      <c r="N156" s="1"/>
      <c r="O156" s="1"/>
      <c r="P156" s="1"/>
      <c r="Q156" s="1"/>
      <c r="R156" s="1"/>
      <c r="S156" s="1"/>
      <c r="T156" s="13"/>
      <c r="U156" s="13"/>
      <c r="V156" s="1"/>
      <c r="W156" s="1"/>
      <c r="X156" s="1"/>
      <c r="Y156" s="1"/>
      <c r="Z156" s="1"/>
      <c r="AA156" s="1"/>
      <c r="AB156" s="1"/>
      <c r="AC156" s="13"/>
      <c r="AD156" s="13"/>
      <c r="AE156" s="13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3"/>
      <c r="BB156" s="1"/>
      <c r="BC156" s="13"/>
      <c r="BD156" s="13"/>
      <c r="BE156" s="1"/>
      <c r="BF156" s="1"/>
      <c r="BG156" s="1"/>
      <c r="BH156" s="1"/>
      <c r="BI156" s="1"/>
      <c r="BJ156" s="1"/>
    </row>
    <row r="157" spans="1:62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3"/>
      <c r="K157" s="13"/>
      <c r="L157" s="1"/>
      <c r="M157" s="1"/>
      <c r="N157" s="1"/>
      <c r="O157" s="1"/>
      <c r="P157" s="1"/>
      <c r="Q157" s="1"/>
      <c r="R157" s="1"/>
      <c r="S157" s="1"/>
      <c r="T157" s="13"/>
      <c r="U157" s="13"/>
      <c r="V157" s="1"/>
      <c r="W157" s="1"/>
      <c r="X157" s="1"/>
      <c r="Y157" s="1"/>
      <c r="Z157" s="1"/>
      <c r="AA157" s="1"/>
      <c r="AB157" s="1"/>
      <c r="AC157" s="13"/>
      <c r="AD157" s="13"/>
      <c r="AE157" s="13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3"/>
      <c r="BB157" s="1"/>
      <c r="BC157" s="13"/>
      <c r="BD157" s="13"/>
      <c r="BE157" s="1"/>
      <c r="BF157" s="1"/>
      <c r="BG157" s="1"/>
      <c r="BH157" s="1"/>
      <c r="BI157" s="1"/>
      <c r="BJ157" s="1"/>
    </row>
    <row r="158" spans="1:62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3"/>
      <c r="K158" s="13"/>
      <c r="L158" s="1"/>
      <c r="M158" s="1"/>
      <c r="N158" s="1"/>
      <c r="O158" s="1"/>
      <c r="P158" s="1"/>
      <c r="Q158" s="1"/>
      <c r="R158" s="1"/>
      <c r="S158" s="1"/>
      <c r="T158" s="13"/>
      <c r="U158" s="13"/>
      <c r="V158" s="1"/>
      <c r="W158" s="1"/>
      <c r="X158" s="1"/>
      <c r="Y158" s="1"/>
      <c r="Z158" s="1"/>
      <c r="AA158" s="1"/>
      <c r="AB158" s="1"/>
      <c r="AC158" s="13"/>
      <c r="AD158" s="13"/>
      <c r="AE158" s="13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3"/>
      <c r="BB158" s="1"/>
      <c r="BC158" s="13"/>
      <c r="BD158" s="13"/>
      <c r="BE158" s="1"/>
      <c r="BF158" s="1"/>
      <c r="BG158" s="1"/>
      <c r="BH158" s="1"/>
      <c r="BI158" s="1"/>
      <c r="BJ158" s="1"/>
    </row>
    <row r="159" spans="1:62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3"/>
      <c r="K159" s="13"/>
      <c r="L159" s="1"/>
      <c r="M159" s="1"/>
      <c r="N159" s="1"/>
      <c r="O159" s="1"/>
      <c r="P159" s="1"/>
      <c r="Q159" s="1"/>
      <c r="R159" s="1"/>
      <c r="S159" s="1"/>
      <c r="T159" s="13"/>
      <c r="U159" s="13"/>
      <c r="V159" s="1"/>
      <c r="W159" s="1"/>
      <c r="X159" s="1"/>
      <c r="Y159" s="1"/>
      <c r="Z159" s="1"/>
      <c r="AA159" s="1"/>
      <c r="AB159" s="1"/>
      <c r="AC159" s="13"/>
      <c r="AD159" s="13"/>
      <c r="AE159" s="13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3"/>
      <c r="BB159" s="1"/>
      <c r="BC159" s="13"/>
      <c r="BD159" s="13"/>
      <c r="BE159" s="1"/>
      <c r="BF159" s="1"/>
      <c r="BG159" s="1"/>
      <c r="BH159" s="1"/>
      <c r="BI159" s="1"/>
      <c r="BJ159" s="1"/>
    </row>
    <row r="160" spans="1:62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3"/>
      <c r="K160" s="13"/>
      <c r="L160" s="1"/>
      <c r="M160" s="1"/>
      <c r="N160" s="1"/>
      <c r="O160" s="1"/>
      <c r="P160" s="1"/>
      <c r="Q160" s="1"/>
      <c r="R160" s="1"/>
      <c r="S160" s="1"/>
      <c r="T160" s="13"/>
      <c r="U160" s="13"/>
      <c r="V160" s="1"/>
      <c r="W160" s="1"/>
      <c r="X160" s="1"/>
      <c r="Y160" s="1"/>
      <c r="Z160" s="1"/>
      <c r="AA160" s="1"/>
      <c r="AB160" s="1"/>
      <c r="AC160" s="13"/>
      <c r="AD160" s="13"/>
      <c r="AE160" s="13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3"/>
      <c r="BB160" s="1"/>
      <c r="BC160" s="13"/>
      <c r="BD160" s="13"/>
      <c r="BE160" s="1"/>
      <c r="BF160" s="1"/>
      <c r="BG160" s="1"/>
      <c r="BH160" s="1"/>
      <c r="BI160" s="1"/>
      <c r="BJ160" s="1"/>
    </row>
    <row r="161" spans="1:62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3"/>
      <c r="K161" s="13"/>
      <c r="L161" s="1"/>
      <c r="M161" s="1"/>
      <c r="N161" s="1"/>
      <c r="O161" s="1"/>
      <c r="P161" s="1"/>
      <c r="Q161" s="1"/>
      <c r="R161" s="1"/>
      <c r="S161" s="1"/>
      <c r="T161" s="13"/>
      <c r="U161" s="13"/>
      <c r="V161" s="1"/>
      <c r="W161" s="1"/>
      <c r="X161" s="1"/>
      <c r="Y161" s="1"/>
      <c r="Z161" s="1"/>
      <c r="AA161" s="1"/>
      <c r="AB161" s="1"/>
      <c r="AC161" s="13"/>
      <c r="AD161" s="13"/>
      <c r="AE161" s="13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3"/>
      <c r="BB161" s="1"/>
      <c r="BC161" s="13"/>
      <c r="BD161" s="13"/>
      <c r="BE161" s="1"/>
      <c r="BF161" s="1"/>
      <c r="BG161" s="1"/>
      <c r="BH161" s="1"/>
      <c r="BI161" s="1"/>
      <c r="BJ161" s="1"/>
    </row>
    <row r="162" spans="1:62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3"/>
      <c r="K162" s="13"/>
      <c r="L162" s="1"/>
      <c r="M162" s="1"/>
      <c r="N162" s="1"/>
      <c r="O162" s="1"/>
      <c r="P162" s="1"/>
      <c r="Q162" s="1"/>
      <c r="R162" s="1"/>
      <c r="S162" s="1"/>
      <c r="T162" s="13"/>
      <c r="U162" s="13"/>
      <c r="V162" s="1"/>
      <c r="W162" s="1"/>
      <c r="X162" s="1"/>
      <c r="Y162" s="1"/>
      <c r="Z162" s="1"/>
      <c r="AA162" s="1"/>
      <c r="AB162" s="1"/>
      <c r="AC162" s="13"/>
      <c r="AD162" s="13"/>
      <c r="AE162" s="13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3"/>
      <c r="BB162" s="1"/>
      <c r="BC162" s="13"/>
      <c r="BD162" s="13"/>
      <c r="BE162" s="1"/>
      <c r="BF162" s="1"/>
      <c r="BG162" s="1"/>
      <c r="BH162" s="1"/>
      <c r="BI162" s="1"/>
      <c r="BJ162" s="1"/>
    </row>
    <row r="163" spans="1:62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3"/>
      <c r="K163" s="13"/>
      <c r="L163" s="1"/>
      <c r="M163" s="1"/>
      <c r="N163" s="1"/>
      <c r="O163" s="1"/>
      <c r="P163" s="1"/>
      <c r="Q163" s="1"/>
      <c r="R163" s="1"/>
      <c r="S163" s="1"/>
      <c r="T163" s="13"/>
      <c r="U163" s="13"/>
      <c r="V163" s="1"/>
      <c r="W163" s="1"/>
      <c r="X163" s="1"/>
      <c r="Y163" s="1"/>
      <c r="Z163" s="1"/>
      <c r="AA163" s="1"/>
      <c r="AB163" s="1"/>
      <c r="AC163" s="13"/>
      <c r="AD163" s="13"/>
      <c r="AE163" s="13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3"/>
      <c r="BB163" s="1"/>
      <c r="BC163" s="13"/>
      <c r="BD163" s="13"/>
      <c r="BE163" s="1"/>
      <c r="BF163" s="1"/>
      <c r="BG163" s="1"/>
      <c r="BH163" s="1"/>
      <c r="BI163" s="1"/>
      <c r="BJ163" s="1"/>
    </row>
    <row r="164" spans="1:62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3"/>
      <c r="K164" s="13"/>
      <c r="L164" s="1"/>
      <c r="M164" s="1"/>
      <c r="N164" s="1"/>
      <c r="O164" s="1"/>
      <c r="P164" s="1"/>
      <c r="Q164" s="1"/>
      <c r="R164" s="1"/>
      <c r="S164" s="1"/>
      <c r="T164" s="13"/>
      <c r="U164" s="13"/>
      <c r="V164" s="1"/>
      <c r="W164" s="1"/>
      <c r="X164" s="1"/>
      <c r="Y164" s="1"/>
      <c r="Z164" s="1"/>
      <c r="AA164" s="1"/>
      <c r="AB164" s="1"/>
      <c r="AC164" s="13"/>
      <c r="AD164" s="13"/>
      <c r="AE164" s="13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3"/>
      <c r="BB164" s="1"/>
      <c r="BC164" s="13"/>
      <c r="BD164" s="13"/>
      <c r="BE164" s="1"/>
      <c r="BF164" s="1"/>
      <c r="BG164" s="1"/>
      <c r="BH164" s="1"/>
      <c r="BI164" s="1"/>
      <c r="BJ164" s="1"/>
    </row>
    <row r="165" spans="1:62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3"/>
      <c r="K165" s="13"/>
      <c r="L165" s="1"/>
      <c r="M165" s="1"/>
      <c r="N165" s="1"/>
      <c r="O165" s="1"/>
      <c r="P165" s="1"/>
      <c r="Q165" s="1"/>
      <c r="R165" s="1"/>
      <c r="S165" s="1"/>
      <c r="T165" s="13"/>
      <c r="U165" s="13"/>
      <c r="V165" s="1"/>
      <c r="W165" s="1"/>
      <c r="X165" s="1"/>
      <c r="Y165" s="1"/>
      <c r="Z165" s="1"/>
      <c r="AA165" s="1"/>
      <c r="AB165" s="1"/>
      <c r="AC165" s="13"/>
      <c r="AD165" s="13"/>
      <c r="AE165" s="13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3"/>
      <c r="BB165" s="1"/>
      <c r="BC165" s="13"/>
      <c r="BD165" s="13"/>
      <c r="BE165" s="1"/>
      <c r="BF165" s="1"/>
      <c r="BG165" s="1"/>
      <c r="BH165" s="1"/>
      <c r="BI165" s="1"/>
      <c r="BJ165" s="1"/>
    </row>
    <row r="166" spans="1:62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3"/>
      <c r="K166" s="13"/>
      <c r="L166" s="1"/>
      <c r="M166" s="1"/>
      <c r="N166" s="1"/>
      <c r="O166" s="1"/>
      <c r="P166" s="1"/>
      <c r="Q166" s="1"/>
      <c r="R166" s="1"/>
      <c r="S166" s="1"/>
      <c r="T166" s="13"/>
      <c r="U166" s="13"/>
      <c r="V166" s="1"/>
      <c r="W166" s="1"/>
      <c r="X166" s="1"/>
      <c r="Y166" s="1"/>
      <c r="Z166" s="1"/>
      <c r="AA166" s="1"/>
      <c r="AB166" s="1"/>
      <c r="AC166" s="13"/>
      <c r="AD166" s="13"/>
      <c r="AE166" s="13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3"/>
      <c r="BB166" s="1"/>
      <c r="BC166" s="13"/>
      <c r="BD166" s="13"/>
      <c r="BE166" s="1"/>
      <c r="BF166" s="1"/>
      <c r="BG166" s="1"/>
      <c r="BH166" s="1"/>
      <c r="BI166" s="1"/>
      <c r="BJ166" s="1"/>
    </row>
    <row r="167" spans="1:62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3"/>
      <c r="K167" s="13"/>
      <c r="L167" s="1"/>
      <c r="M167" s="1"/>
      <c r="N167" s="1"/>
      <c r="O167" s="1"/>
      <c r="P167" s="1"/>
      <c r="Q167" s="1"/>
      <c r="R167" s="1"/>
      <c r="S167" s="1"/>
      <c r="T167" s="13"/>
      <c r="U167" s="13"/>
      <c r="V167" s="1"/>
      <c r="W167" s="1"/>
      <c r="X167" s="1"/>
      <c r="Y167" s="1"/>
      <c r="Z167" s="1"/>
      <c r="AA167" s="1"/>
      <c r="AB167" s="1"/>
      <c r="AC167" s="13"/>
      <c r="AD167" s="13"/>
      <c r="AE167" s="13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3"/>
      <c r="BB167" s="1"/>
      <c r="BC167" s="13"/>
      <c r="BD167" s="13"/>
      <c r="BE167" s="1"/>
      <c r="BF167" s="1"/>
      <c r="BG167" s="1"/>
      <c r="BH167" s="1"/>
      <c r="BI167" s="1"/>
      <c r="BJ167" s="1"/>
    </row>
    <row r="168" spans="1:62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3"/>
      <c r="K168" s="13"/>
      <c r="L168" s="1"/>
      <c r="M168" s="1"/>
      <c r="N168" s="1"/>
      <c r="O168" s="1"/>
      <c r="P168" s="1"/>
      <c r="Q168" s="1"/>
      <c r="R168" s="1"/>
      <c r="S168" s="1"/>
      <c r="T168" s="13"/>
      <c r="U168" s="13"/>
      <c r="V168" s="1"/>
      <c r="W168" s="1"/>
      <c r="X168" s="1"/>
      <c r="Y168" s="1"/>
      <c r="Z168" s="1"/>
      <c r="AA168" s="1"/>
      <c r="AB168" s="1"/>
      <c r="AC168" s="13"/>
      <c r="AD168" s="13"/>
      <c r="AE168" s="13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3"/>
      <c r="BB168" s="1"/>
      <c r="BC168" s="13"/>
      <c r="BD168" s="13"/>
      <c r="BE168" s="1"/>
      <c r="BF168" s="1"/>
      <c r="BG168" s="1"/>
      <c r="BH168" s="1"/>
      <c r="BI168" s="1"/>
      <c r="BJ168" s="1"/>
    </row>
    <row r="169" spans="1:62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3"/>
      <c r="K169" s="13"/>
      <c r="L169" s="1"/>
      <c r="M169" s="1"/>
      <c r="N169" s="1"/>
      <c r="O169" s="1"/>
      <c r="P169" s="1"/>
      <c r="Q169" s="1"/>
      <c r="R169" s="1"/>
      <c r="S169" s="1"/>
      <c r="T169" s="13"/>
      <c r="U169" s="13"/>
      <c r="V169" s="1"/>
      <c r="W169" s="1"/>
      <c r="X169" s="1"/>
      <c r="Y169" s="1"/>
      <c r="Z169" s="1"/>
      <c r="AA169" s="1"/>
      <c r="AB169" s="1"/>
      <c r="AC169" s="13"/>
      <c r="AD169" s="13"/>
      <c r="AE169" s="13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3"/>
      <c r="BB169" s="1"/>
      <c r="BC169" s="13"/>
      <c r="BD169" s="13"/>
      <c r="BE169" s="1"/>
      <c r="BF169" s="1"/>
      <c r="BG169" s="1"/>
      <c r="BH169" s="1"/>
      <c r="BI169" s="1"/>
      <c r="BJ169" s="1"/>
    </row>
    <row r="170" spans="1:62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3"/>
      <c r="K170" s="13"/>
      <c r="L170" s="1"/>
      <c r="M170" s="1"/>
      <c r="N170" s="1"/>
      <c r="O170" s="1"/>
      <c r="P170" s="1"/>
      <c r="Q170" s="1"/>
      <c r="R170" s="1"/>
      <c r="S170" s="1"/>
      <c r="T170" s="13"/>
      <c r="U170" s="13"/>
      <c r="V170" s="1"/>
      <c r="W170" s="1"/>
      <c r="X170" s="1"/>
      <c r="Y170" s="1"/>
      <c r="Z170" s="1"/>
      <c r="AA170" s="1"/>
      <c r="AB170" s="1"/>
      <c r="AC170" s="13"/>
      <c r="AD170" s="13"/>
      <c r="AE170" s="13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3"/>
      <c r="BB170" s="1"/>
      <c r="BC170" s="13"/>
      <c r="BD170" s="13"/>
      <c r="BE170" s="1"/>
      <c r="BF170" s="1"/>
      <c r="BG170" s="1"/>
      <c r="BH170" s="1"/>
      <c r="BI170" s="1"/>
      <c r="BJ170" s="1"/>
    </row>
    <row r="171" spans="1:62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3"/>
      <c r="K171" s="13"/>
      <c r="L171" s="1"/>
      <c r="M171" s="1"/>
      <c r="N171" s="1"/>
      <c r="O171" s="1"/>
      <c r="P171" s="1"/>
      <c r="Q171" s="1"/>
      <c r="R171" s="1"/>
      <c r="S171" s="1"/>
      <c r="T171" s="13"/>
      <c r="U171" s="13"/>
      <c r="V171" s="1"/>
      <c r="W171" s="1"/>
      <c r="X171" s="1"/>
      <c r="Y171" s="1"/>
      <c r="Z171" s="1"/>
      <c r="AA171" s="1"/>
      <c r="AB171" s="1"/>
      <c r="AC171" s="13"/>
      <c r="AD171" s="13"/>
      <c r="AE171" s="13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3"/>
      <c r="BB171" s="1"/>
      <c r="BC171" s="13"/>
      <c r="BD171" s="13"/>
      <c r="BE171" s="1"/>
      <c r="BF171" s="1"/>
      <c r="BG171" s="1"/>
      <c r="BH171" s="1"/>
      <c r="BI171" s="1"/>
      <c r="BJ171" s="1"/>
    </row>
    <row r="172" spans="1:62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3"/>
      <c r="K172" s="13"/>
      <c r="L172" s="1"/>
      <c r="M172" s="1"/>
      <c r="N172" s="1"/>
      <c r="O172" s="1"/>
      <c r="P172" s="1"/>
      <c r="Q172" s="1"/>
      <c r="R172" s="1"/>
      <c r="S172" s="1"/>
      <c r="T172" s="13"/>
      <c r="U172" s="13"/>
      <c r="V172" s="1"/>
      <c r="W172" s="1"/>
      <c r="X172" s="1"/>
      <c r="Y172" s="1"/>
      <c r="Z172" s="1"/>
      <c r="AA172" s="1"/>
      <c r="AB172" s="1"/>
      <c r="AC172" s="13"/>
      <c r="AD172" s="13"/>
      <c r="AE172" s="13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3"/>
      <c r="BB172" s="1"/>
      <c r="BC172" s="13"/>
      <c r="BD172" s="13"/>
      <c r="BE172" s="1"/>
      <c r="BF172" s="1"/>
      <c r="BG172" s="1"/>
      <c r="BH172" s="1"/>
      <c r="BI172" s="1"/>
      <c r="BJ172" s="1"/>
    </row>
    <row r="173" spans="1:62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3"/>
      <c r="K173" s="13"/>
      <c r="L173" s="1"/>
      <c r="M173" s="1"/>
      <c r="N173" s="1"/>
      <c r="O173" s="1"/>
      <c r="P173" s="1"/>
      <c r="Q173" s="1"/>
      <c r="R173" s="1"/>
      <c r="S173" s="1"/>
      <c r="T173" s="13"/>
      <c r="U173" s="13"/>
      <c r="V173" s="1"/>
      <c r="W173" s="1"/>
      <c r="X173" s="1"/>
      <c r="Y173" s="1"/>
      <c r="Z173" s="1"/>
      <c r="AA173" s="1"/>
      <c r="AB173" s="1"/>
      <c r="AC173" s="13"/>
      <c r="AD173" s="13"/>
      <c r="AE173" s="13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3"/>
      <c r="BB173" s="1"/>
      <c r="BC173" s="13"/>
      <c r="BD173" s="13"/>
      <c r="BE173" s="1"/>
      <c r="BF173" s="1"/>
      <c r="BG173" s="1"/>
      <c r="BH173" s="1"/>
      <c r="BI173" s="1"/>
      <c r="BJ173" s="1"/>
    </row>
    <row r="174" spans="1:62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3"/>
      <c r="K174" s="13"/>
      <c r="L174" s="1"/>
      <c r="M174" s="1"/>
      <c r="N174" s="1"/>
      <c r="O174" s="1"/>
      <c r="P174" s="1"/>
      <c r="Q174" s="1"/>
      <c r="R174" s="1"/>
      <c r="S174" s="1"/>
      <c r="T174" s="13"/>
      <c r="U174" s="13"/>
      <c r="V174" s="1"/>
      <c r="W174" s="1"/>
      <c r="X174" s="1"/>
      <c r="Y174" s="1"/>
      <c r="Z174" s="1"/>
      <c r="AA174" s="1"/>
      <c r="AB174" s="1"/>
      <c r="AC174" s="13"/>
      <c r="AD174" s="13"/>
      <c r="AE174" s="13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3"/>
      <c r="BB174" s="1"/>
      <c r="BC174" s="13"/>
      <c r="BD174" s="13"/>
      <c r="BE174" s="1"/>
      <c r="BF174" s="1"/>
      <c r="BG174" s="1"/>
      <c r="BH174" s="1"/>
      <c r="BI174" s="1"/>
      <c r="BJ174" s="1"/>
    </row>
    <row r="175" spans="1:62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3"/>
      <c r="K175" s="13"/>
      <c r="L175" s="1"/>
      <c r="M175" s="1"/>
      <c r="N175" s="1"/>
      <c r="O175" s="1"/>
      <c r="P175" s="1"/>
      <c r="Q175" s="1"/>
      <c r="R175" s="1"/>
      <c r="S175" s="1"/>
      <c r="T175" s="13"/>
      <c r="U175" s="13"/>
      <c r="V175" s="1"/>
      <c r="W175" s="1"/>
      <c r="X175" s="1"/>
      <c r="Y175" s="1"/>
      <c r="Z175" s="1"/>
      <c r="AA175" s="1"/>
      <c r="AB175" s="1"/>
      <c r="AC175" s="13"/>
      <c r="AD175" s="13"/>
      <c r="AE175" s="13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3"/>
      <c r="BB175" s="1"/>
      <c r="BC175" s="13"/>
      <c r="BD175" s="13"/>
      <c r="BE175" s="1"/>
      <c r="BF175" s="1"/>
      <c r="BG175" s="1"/>
      <c r="BH175" s="1"/>
      <c r="BI175" s="1"/>
      <c r="BJ175" s="1"/>
    </row>
    <row r="176" spans="1:62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3"/>
      <c r="K176" s="13"/>
      <c r="L176" s="1"/>
      <c r="M176" s="1"/>
      <c r="N176" s="1"/>
      <c r="O176" s="1"/>
      <c r="P176" s="1"/>
      <c r="Q176" s="1"/>
      <c r="R176" s="1"/>
      <c r="S176" s="1"/>
      <c r="T176" s="13"/>
      <c r="U176" s="13"/>
      <c r="V176" s="1"/>
      <c r="W176" s="1"/>
      <c r="X176" s="1"/>
      <c r="Y176" s="1"/>
      <c r="Z176" s="1"/>
      <c r="AA176" s="1"/>
      <c r="AB176" s="1"/>
      <c r="AC176" s="13"/>
      <c r="AD176" s="13"/>
      <c r="AE176" s="13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3"/>
      <c r="BB176" s="1"/>
      <c r="BC176" s="13"/>
      <c r="BD176" s="13"/>
      <c r="BE176" s="1"/>
      <c r="BF176" s="1"/>
      <c r="BG176" s="1"/>
      <c r="BH176" s="1"/>
      <c r="BI176" s="1"/>
      <c r="BJ176" s="1"/>
    </row>
    <row r="177" spans="1:62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3"/>
      <c r="K177" s="13"/>
      <c r="L177" s="1"/>
      <c r="M177" s="1"/>
      <c r="N177" s="1"/>
      <c r="O177" s="1"/>
      <c r="P177" s="1"/>
      <c r="Q177" s="1"/>
      <c r="R177" s="1"/>
      <c r="S177" s="1"/>
      <c r="T177" s="13"/>
      <c r="U177" s="13"/>
      <c r="V177" s="1"/>
      <c r="W177" s="1"/>
      <c r="X177" s="1"/>
      <c r="Y177" s="1"/>
      <c r="Z177" s="1"/>
      <c r="AA177" s="1"/>
      <c r="AB177" s="1"/>
      <c r="AC177" s="13"/>
      <c r="AD177" s="13"/>
      <c r="AE177" s="13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3"/>
      <c r="BB177" s="1"/>
      <c r="BC177" s="13"/>
      <c r="BD177" s="13"/>
      <c r="BE177" s="1"/>
      <c r="BF177" s="1"/>
      <c r="BG177" s="1"/>
      <c r="BH177" s="1"/>
      <c r="BI177" s="1"/>
      <c r="BJ177" s="1"/>
    </row>
    <row r="178" spans="1:62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3"/>
      <c r="K178" s="13"/>
      <c r="L178" s="1"/>
      <c r="M178" s="1"/>
      <c r="N178" s="1"/>
      <c r="O178" s="1"/>
      <c r="P178" s="1"/>
      <c r="Q178" s="1"/>
      <c r="R178" s="1"/>
      <c r="S178" s="1"/>
      <c r="T178" s="13"/>
      <c r="U178" s="13"/>
      <c r="V178" s="1"/>
      <c r="W178" s="1"/>
      <c r="X178" s="1"/>
      <c r="Y178" s="1"/>
      <c r="Z178" s="1"/>
      <c r="AA178" s="1"/>
      <c r="AB178" s="1"/>
      <c r="AC178" s="13"/>
      <c r="AD178" s="13"/>
      <c r="AE178" s="13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3"/>
      <c r="BB178" s="1"/>
      <c r="BC178" s="13"/>
      <c r="BD178" s="13"/>
      <c r="BE178" s="1"/>
      <c r="BF178" s="1"/>
      <c r="BG178" s="1"/>
      <c r="BH178" s="1"/>
      <c r="BI178" s="1"/>
      <c r="BJ178" s="1"/>
    </row>
    <row r="179" spans="1:62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3"/>
      <c r="K179" s="13"/>
      <c r="L179" s="1"/>
      <c r="M179" s="1"/>
      <c r="N179" s="1"/>
      <c r="O179" s="1"/>
      <c r="P179" s="1"/>
      <c r="Q179" s="1"/>
      <c r="R179" s="1"/>
      <c r="S179" s="1"/>
      <c r="T179" s="13"/>
      <c r="U179" s="13"/>
      <c r="V179" s="1"/>
      <c r="W179" s="1"/>
      <c r="X179" s="1"/>
      <c r="Y179" s="1"/>
      <c r="Z179" s="1"/>
      <c r="AA179" s="1"/>
      <c r="AB179" s="1"/>
      <c r="AC179" s="13"/>
      <c r="AD179" s="13"/>
      <c r="AE179" s="13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3"/>
      <c r="BB179" s="1"/>
      <c r="BC179" s="13"/>
      <c r="BD179" s="13"/>
      <c r="BE179" s="1"/>
      <c r="BF179" s="1"/>
      <c r="BG179" s="1"/>
      <c r="BH179" s="1"/>
      <c r="BI179" s="1"/>
      <c r="BJ179" s="1"/>
    </row>
    <row r="180" spans="1:62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3"/>
      <c r="K180" s="13"/>
      <c r="L180" s="1"/>
      <c r="M180" s="1"/>
      <c r="N180" s="1"/>
      <c r="O180" s="1"/>
      <c r="P180" s="1"/>
      <c r="Q180" s="1"/>
      <c r="R180" s="1"/>
      <c r="S180" s="1"/>
      <c r="T180" s="13"/>
      <c r="U180" s="13"/>
      <c r="V180" s="1"/>
      <c r="W180" s="1"/>
      <c r="X180" s="1"/>
      <c r="Y180" s="1"/>
      <c r="Z180" s="1"/>
      <c r="AA180" s="1"/>
      <c r="AB180" s="1"/>
      <c r="AC180" s="13"/>
      <c r="AD180" s="13"/>
      <c r="AE180" s="13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3"/>
      <c r="BB180" s="1"/>
      <c r="BC180" s="13"/>
      <c r="BD180" s="13"/>
      <c r="BE180" s="1"/>
      <c r="BF180" s="1"/>
      <c r="BG180" s="1"/>
      <c r="BH180" s="1"/>
      <c r="BI180" s="1"/>
      <c r="BJ180" s="1"/>
    </row>
    <row r="181" spans="1:62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3"/>
      <c r="K181" s="13"/>
      <c r="L181" s="1"/>
      <c r="M181" s="1"/>
      <c r="N181" s="1"/>
      <c r="O181" s="1"/>
      <c r="P181" s="1"/>
      <c r="Q181" s="1"/>
      <c r="R181" s="1"/>
      <c r="S181" s="1"/>
      <c r="T181" s="13"/>
      <c r="U181" s="13"/>
      <c r="V181" s="1"/>
      <c r="W181" s="1"/>
      <c r="X181" s="1"/>
      <c r="Y181" s="1"/>
      <c r="Z181" s="1"/>
      <c r="AA181" s="1"/>
      <c r="AB181" s="1"/>
      <c r="AC181" s="13"/>
      <c r="AD181" s="13"/>
      <c r="AE181" s="13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3"/>
      <c r="BB181" s="1"/>
      <c r="BC181" s="13"/>
      <c r="BD181" s="13"/>
      <c r="BE181" s="1"/>
      <c r="BF181" s="1"/>
      <c r="BG181" s="1"/>
      <c r="BH181" s="1"/>
      <c r="BI181" s="1"/>
      <c r="BJ181" s="1"/>
    </row>
    <row r="182" spans="1:62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3"/>
      <c r="K182" s="13"/>
      <c r="L182" s="1"/>
      <c r="M182" s="1"/>
      <c r="N182" s="1"/>
      <c r="O182" s="1"/>
      <c r="P182" s="1"/>
      <c r="Q182" s="1"/>
      <c r="R182" s="1"/>
      <c r="S182" s="1"/>
      <c r="T182" s="13"/>
      <c r="U182" s="13"/>
      <c r="V182" s="1"/>
      <c r="W182" s="1"/>
      <c r="X182" s="1"/>
      <c r="Y182" s="1"/>
      <c r="Z182" s="1"/>
      <c r="AA182" s="1"/>
      <c r="AB182" s="1"/>
      <c r="AC182" s="13"/>
      <c r="AD182" s="13"/>
      <c r="AE182" s="13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3"/>
      <c r="BB182" s="1"/>
      <c r="BC182" s="13"/>
      <c r="BD182" s="13"/>
      <c r="BE182" s="1"/>
      <c r="BF182" s="1"/>
      <c r="BG182" s="1"/>
      <c r="BH182" s="1"/>
      <c r="BI182" s="1"/>
      <c r="BJ182" s="1"/>
    </row>
    <row r="183" spans="1:62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3"/>
      <c r="K183" s="13"/>
      <c r="L183" s="1"/>
      <c r="M183" s="1"/>
      <c r="N183" s="1"/>
      <c r="O183" s="1"/>
      <c r="P183" s="1"/>
      <c r="Q183" s="1"/>
      <c r="R183" s="1"/>
      <c r="S183" s="1"/>
      <c r="T183" s="13"/>
      <c r="U183" s="13"/>
      <c r="V183" s="1"/>
      <c r="W183" s="1"/>
      <c r="X183" s="1"/>
      <c r="Y183" s="1"/>
      <c r="Z183" s="1"/>
      <c r="AA183" s="1"/>
      <c r="AB183" s="1"/>
      <c r="AC183" s="13"/>
      <c r="AD183" s="13"/>
      <c r="AE183" s="13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3"/>
      <c r="BB183" s="1"/>
      <c r="BC183" s="13"/>
      <c r="BD183" s="13"/>
      <c r="BE183" s="1"/>
      <c r="BF183" s="1"/>
      <c r="BG183" s="1"/>
      <c r="BH183" s="1"/>
      <c r="BI183" s="1"/>
      <c r="BJ183" s="1"/>
    </row>
    <row r="184" spans="1:62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3"/>
      <c r="K184" s="13"/>
      <c r="L184" s="1"/>
      <c r="M184" s="1"/>
      <c r="N184" s="1"/>
      <c r="O184" s="1"/>
      <c r="P184" s="1"/>
      <c r="Q184" s="1"/>
      <c r="R184" s="1"/>
      <c r="S184" s="1"/>
      <c r="T184" s="13"/>
      <c r="U184" s="13"/>
      <c r="V184" s="1"/>
      <c r="W184" s="1"/>
      <c r="X184" s="1"/>
      <c r="Y184" s="1"/>
      <c r="Z184" s="1"/>
      <c r="AA184" s="1"/>
      <c r="AB184" s="1"/>
      <c r="AC184" s="13"/>
      <c r="AD184" s="13"/>
      <c r="AE184" s="13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3"/>
      <c r="BB184" s="1"/>
      <c r="BC184" s="13"/>
      <c r="BD184" s="13"/>
      <c r="BE184" s="1"/>
      <c r="BF184" s="1"/>
      <c r="BG184" s="1"/>
      <c r="BH184" s="1"/>
      <c r="BI184" s="1"/>
      <c r="BJ184" s="1"/>
    </row>
    <row r="185" spans="1:62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3"/>
      <c r="K185" s="13"/>
      <c r="L185" s="1"/>
      <c r="M185" s="1"/>
      <c r="N185" s="1"/>
      <c r="O185" s="1"/>
      <c r="P185" s="1"/>
      <c r="Q185" s="1"/>
      <c r="R185" s="1"/>
      <c r="S185" s="1"/>
      <c r="T185" s="13"/>
      <c r="U185" s="13"/>
      <c r="V185" s="1"/>
      <c r="W185" s="1"/>
      <c r="X185" s="1"/>
      <c r="Y185" s="1"/>
      <c r="Z185" s="1"/>
      <c r="AA185" s="1"/>
      <c r="AB185" s="1"/>
      <c r="AC185" s="13"/>
      <c r="AD185" s="13"/>
      <c r="AE185" s="13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3"/>
      <c r="BB185" s="1"/>
      <c r="BC185" s="13"/>
      <c r="BD185" s="13"/>
      <c r="BE185" s="1"/>
      <c r="BF185" s="1"/>
      <c r="BG185" s="1"/>
      <c r="BH185" s="1"/>
      <c r="BI185" s="1"/>
      <c r="BJ185" s="1"/>
    </row>
    <row r="186" spans="1:62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3"/>
      <c r="K186" s="13"/>
      <c r="L186" s="1"/>
      <c r="M186" s="1"/>
      <c r="N186" s="1"/>
      <c r="O186" s="1"/>
      <c r="P186" s="1"/>
      <c r="Q186" s="1"/>
      <c r="R186" s="1"/>
      <c r="S186" s="1"/>
      <c r="T186" s="13"/>
      <c r="U186" s="13"/>
      <c r="V186" s="1"/>
      <c r="W186" s="1"/>
      <c r="X186" s="1"/>
      <c r="Y186" s="1"/>
      <c r="Z186" s="1"/>
      <c r="AA186" s="1"/>
      <c r="AB186" s="1"/>
      <c r="AC186" s="13"/>
      <c r="AD186" s="13"/>
      <c r="AE186" s="13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3"/>
      <c r="BB186" s="1"/>
      <c r="BC186" s="13"/>
      <c r="BD186" s="13"/>
      <c r="BE186" s="1"/>
      <c r="BF186" s="1"/>
      <c r="BG186" s="1"/>
      <c r="BH186" s="1"/>
      <c r="BI186" s="1"/>
      <c r="BJ186" s="1"/>
    </row>
    <row r="187" spans="1:62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3"/>
      <c r="K187" s="13"/>
      <c r="L187" s="1"/>
      <c r="M187" s="1"/>
      <c r="N187" s="1"/>
      <c r="O187" s="1"/>
      <c r="P187" s="1"/>
      <c r="Q187" s="1"/>
      <c r="R187" s="1"/>
      <c r="S187" s="1"/>
      <c r="T187" s="13"/>
      <c r="U187" s="13"/>
      <c r="V187" s="1"/>
      <c r="W187" s="1"/>
      <c r="X187" s="1"/>
      <c r="Y187" s="1"/>
      <c r="Z187" s="1"/>
      <c r="AA187" s="1"/>
      <c r="AB187" s="1"/>
      <c r="AC187" s="13"/>
      <c r="AD187" s="13"/>
      <c r="AE187" s="13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3"/>
      <c r="BB187" s="1"/>
      <c r="BC187" s="13"/>
      <c r="BD187" s="13"/>
      <c r="BE187" s="1"/>
      <c r="BF187" s="1"/>
      <c r="BG187" s="1"/>
      <c r="BH187" s="1"/>
      <c r="BI187" s="1"/>
      <c r="BJ187" s="1"/>
    </row>
    <row r="188" spans="1:62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3"/>
      <c r="K188" s="13"/>
      <c r="L188" s="1"/>
      <c r="M188" s="1"/>
      <c r="N188" s="1"/>
      <c r="O188" s="1"/>
      <c r="P188" s="1"/>
      <c r="Q188" s="1"/>
      <c r="R188" s="1"/>
      <c r="S188" s="1"/>
      <c r="T188" s="13"/>
      <c r="U188" s="13"/>
      <c r="V188" s="1"/>
      <c r="W188" s="1"/>
      <c r="X188" s="1"/>
      <c r="Y188" s="1"/>
      <c r="Z188" s="1"/>
      <c r="AA188" s="1"/>
      <c r="AB188" s="1"/>
      <c r="AC188" s="13"/>
      <c r="AD188" s="13"/>
      <c r="AE188" s="13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3"/>
      <c r="BB188" s="1"/>
      <c r="BC188" s="13"/>
      <c r="BD188" s="13"/>
      <c r="BE188" s="1"/>
      <c r="BF188" s="1"/>
      <c r="BG188" s="1"/>
      <c r="BH188" s="1"/>
      <c r="BI188" s="1"/>
      <c r="BJ188" s="1"/>
    </row>
    <row r="189" spans="1:62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3"/>
      <c r="K189" s="13"/>
      <c r="L189" s="1"/>
      <c r="M189" s="1"/>
      <c r="N189" s="1"/>
      <c r="O189" s="1"/>
      <c r="P189" s="1"/>
      <c r="Q189" s="1"/>
      <c r="R189" s="1"/>
      <c r="S189" s="1"/>
      <c r="T189" s="13"/>
      <c r="U189" s="13"/>
      <c r="V189" s="1"/>
      <c r="W189" s="1"/>
      <c r="X189" s="1"/>
      <c r="Y189" s="1"/>
      <c r="Z189" s="1"/>
      <c r="AA189" s="1"/>
      <c r="AB189" s="1"/>
      <c r="AC189" s="13"/>
      <c r="AD189" s="13"/>
      <c r="AE189" s="13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3"/>
      <c r="BB189" s="1"/>
      <c r="BC189" s="13"/>
      <c r="BD189" s="13"/>
      <c r="BE189" s="1"/>
      <c r="BF189" s="1"/>
      <c r="BG189" s="1"/>
      <c r="BH189" s="1"/>
      <c r="BI189" s="1"/>
      <c r="BJ189" s="1"/>
    </row>
    <row r="190" spans="1:62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3"/>
      <c r="K190" s="13"/>
      <c r="L190" s="1"/>
      <c r="M190" s="1"/>
      <c r="N190" s="1"/>
      <c r="O190" s="1"/>
      <c r="P190" s="1"/>
      <c r="Q190" s="1"/>
      <c r="R190" s="1"/>
      <c r="S190" s="1"/>
      <c r="T190" s="13"/>
      <c r="U190" s="13"/>
      <c r="V190" s="1"/>
      <c r="W190" s="1"/>
      <c r="X190" s="1"/>
      <c r="Y190" s="1"/>
      <c r="Z190" s="1"/>
      <c r="AA190" s="1"/>
      <c r="AB190" s="1"/>
      <c r="AC190" s="13"/>
      <c r="AD190" s="13"/>
      <c r="AE190" s="13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3"/>
      <c r="BB190" s="1"/>
      <c r="BC190" s="13"/>
      <c r="BD190" s="13"/>
      <c r="BE190" s="1"/>
      <c r="BF190" s="1"/>
      <c r="BG190" s="1"/>
      <c r="BH190" s="1"/>
      <c r="BI190" s="1"/>
      <c r="BJ190" s="1"/>
    </row>
    <row r="191" spans="1:62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3"/>
      <c r="K191" s="13"/>
      <c r="L191" s="1"/>
      <c r="M191" s="1"/>
      <c r="N191" s="1"/>
      <c r="O191" s="1"/>
      <c r="P191" s="1"/>
      <c r="Q191" s="1"/>
      <c r="R191" s="1"/>
      <c r="S191" s="1"/>
      <c r="T191" s="13"/>
      <c r="U191" s="13"/>
      <c r="V191" s="1"/>
      <c r="W191" s="1"/>
      <c r="X191" s="1"/>
      <c r="Y191" s="1"/>
      <c r="Z191" s="1"/>
      <c r="AA191" s="1"/>
      <c r="AB191" s="1"/>
      <c r="AC191" s="13"/>
      <c r="AD191" s="13"/>
      <c r="AE191" s="13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3"/>
      <c r="BB191" s="1"/>
      <c r="BC191" s="13"/>
      <c r="BD191" s="13"/>
      <c r="BE191" s="1"/>
      <c r="BF191" s="1"/>
      <c r="BG191" s="1"/>
      <c r="BH191" s="1"/>
      <c r="BI191" s="1"/>
      <c r="BJ191" s="1"/>
    </row>
    <row r="192" spans="1:62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3"/>
      <c r="K192" s="13"/>
      <c r="L192" s="1"/>
      <c r="M192" s="1"/>
      <c r="N192" s="1"/>
      <c r="O192" s="1"/>
      <c r="P192" s="1"/>
      <c r="Q192" s="1"/>
      <c r="R192" s="1"/>
      <c r="S192" s="1"/>
      <c r="T192" s="13"/>
      <c r="U192" s="13"/>
      <c r="V192" s="1"/>
      <c r="W192" s="1"/>
      <c r="X192" s="1"/>
      <c r="Y192" s="1"/>
      <c r="Z192" s="1"/>
      <c r="AA192" s="1"/>
      <c r="AB192" s="1"/>
      <c r="AC192" s="13"/>
      <c r="AD192" s="13"/>
      <c r="AE192" s="13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3"/>
      <c r="BB192" s="1"/>
      <c r="BC192" s="13"/>
      <c r="BD192" s="13"/>
      <c r="BE192" s="1"/>
      <c r="BF192" s="1"/>
      <c r="BG192" s="1"/>
      <c r="BH192" s="1"/>
      <c r="BI192" s="1"/>
      <c r="BJ192" s="1"/>
    </row>
    <row r="193" spans="1:62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3"/>
      <c r="K193" s="13"/>
      <c r="L193" s="1"/>
      <c r="M193" s="1"/>
      <c r="N193" s="1"/>
      <c r="O193" s="1"/>
      <c r="P193" s="1"/>
      <c r="Q193" s="1"/>
      <c r="R193" s="1"/>
      <c r="S193" s="1"/>
      <c r="T193" s="13"/>
      <c r="U193" s="13"/>
      <c r="V193" s="1"/>
      <c r="W193" s="1"/>
      <c r="X193" s="1"/>
      <c r="Y193" s="1"/>
      <c r="Z193" s="1"/>
      <c r="AA193" s="1"/>
      <c r="AB193" s="1"/>
      <c r="AC193" s="13"/>
      <c r="AD193" s="13"/>
      <c r="AE193" s="13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3"/>
      <c r="BB193" s="1"/>
      <c r="BC193" s="13"/>
      <c r="BD193" s="13"/>
      <c r="BE193" s="1"/>
      <c r="BF193" s="1"/>
      <c r="BG193" s="1"/>
      <c r="BH193" s="1"/>
      <c r="BI193" s="1"/>
      <c r="BJ193" s="1"/>
    </row>
    <row r="194" spans="1:62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3"/>
      <c r="K194" s="13"/>
      <c r="L194" s="1"/>
      <c r="M194" s="1"/>
      <c r="N194" s="1"/>
      <c r="O194" s="1"/>
      <c r="P194" s="1"/>
      <c r="Q194" s="1"/>
      <c r="R194" s="1"/>
      <c r="S194" s="1"/>
      <c r="T194" s="13"/>
      <c r="U194" s="13"/>
      <c r="V194" s="1"/>
      <c r="W194" s="1"/>
      <c r="X194" s="1"/>
      <c r="Y194" s="1"/>
      <c r="Z194" s="1"/>
      <c r="AA194" s="1"/>
      <c r="AB194" s="1"/>
      <c r="AC194" s="13"/>
      <c r="AD194" s="13"/>
      <c r="AE194" s="13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3"/>
      <c r="BB194" s="1"/>
      <c r="BC194" s="13"/>
      <c r="BD194" s="13"/>
      <c r="BE194" s="1"/>
      <c r="BF194" s="1"/>
      <c r="BG194" s="1"/>
      <c r="BH194" s="1"/>
      <c r="BI194" s="1"/>
      <c r="BJ194" s="1"/>
    </row>
    <row r="195" spans="1:62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3"/>
      <c r="K195" s="13"/>
      <c r="L195" s="1"/>
      <c r="M195" s="1"/>
      <c r="N195" s="1"/>
      <c r="O195" s="1"/>
      <c r="P195" s="1"/>
      <c r="Q195" s="1"/>
      <c r="R195" s="1"/>
      <c r="S195" s="1"/>
      <c r="T195" s="13"/>
      <c r="U195" s="13"/>
      <c r="V195" s="1"/>
      <c r="W195" s="1"/>
      <c r="X195" s="1"/>
      <c r="Y195" s="1"/>
      <c r="Z195" s="1"/>
      <c r="AA195" s="1"/>
      <c r="AB195" s="1"/>
      <c r="AC195" s="13"/>
      <c r="AD195" s="13"/>
      <c r="AE195" s="13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3"/>
      <c r="BB195" s="1"/>
      <c r="BC195" s="13"/>
      <c r="BD195" s="13"/>
      <c r="BE195" s="1"/>
      <c r="BF195" s="1"/>
      <c r="BG195" s="1"/>
      <c r="BH195" s="1"/>
      <c r="BI195" s="1"/>
      <c r="BJ195" s="1"/>
    </row>
    <row r="196" spans="1:62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3"/>
      <c r="K196" s="13"/>
      <c r="L196" s="1"/>
      <c r="M196" s="1"/>
      <c r="N196" s="1"/>
      <c r="O196" s="1"/>
      <c r="P196" s="1"/>
      <c r="Q196" s="1"/>
      <c r="R196" s="1"/>
      <c r="S196" s="1"/>
      <c r="T196" s="13"/>
      <c r="U196" s="13"/>
      <c r="V196" s="1"/>
      <c r="W196" s="1"/>
      <c r="X196" s="1"/>
      <c r="Y196" s="1"/>
      <c r="Z196" s="1"/>
      <c r="AA196" s="1"/>
      <c r="AB196" s="1"/>
      <c r="AC196" s="13"/>
      <c r="AD196" s="13"/>
      <c r="AE196" s="13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3"/>
      <c r="BB196" s="1"/>
      <c r="BC196" s="13"/>
      <c r="BD196" s="13"/>
      <c r="BE196" s="1"/>
      <c r="BF196" s="1"/>
      <c r="BG196" s="1"/>
      <c r="BH196" s="1"/>
      <c r="BI196" s="1"/>
      <c r="BJ196" s="1"/>
    </row>
    <row r="197" spans="1:62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3"/>
      <c r="K197" s="13"/>
      <c r="L197" s="1"/>
      <c r="M197" s="1"/>
      <c r="N197" s="1"/>
      <c r="O197" s="1"/>
      <c r="P197" s="1"/>
      <c r="Q197" s="1"/>
      <c r="R197" s="1"/>
      <c r="S197" s="1"/>
      <c r="T197" s="13"/>
      <c r="U197" s="13"/>
      <c r="V197" s="1"/>
      <c r="W197" s="1"/>
      <c r="X197" s="1"/>
      <c r="Y197" s="1"/>
      <c r="Z197" s="1"/>
      <c r="AA197" s="1"/>
      <c r="AB197" s="1"/>
      <c r="AC197" s="13"/>
      <c r="AD197" s="13"/>
      <c r="AE197" s="13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3"/>
      <c r="BB197" s="1"/>
      <c r="BC197" s="13"/>
      <c r="BD197" s="13"/>
      <c r="BE197" s="1"/>
      <c r="BF197" s="1"/>
      <c r="BG197" s="1"/>
      <c r="BH197" s="1"/>
      <c r="BI197" s="1"/>
      <c r="BJ197" s="1"/>
    </row>
    <row r="198" spans="1:62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3"/>
      <c r="K198" s="13"/>
      <c r="L198" s="1"/>
      <c r="M198" s="1"/>
      <c r="N198" s="1"/>
      <c r="O198" s="1"/>
      <c r="P198" s="1"/>
      <c r="Q198" s="1"/>
      <c r="R198" s="1"/>
      <c r="S198" s="1"/>
      <c r="T198" s="13"/>
      <c r="U198" s="13"/>
      <c r="V198" s="1"/>
      <c r="W198" s="1"/>
      <c r="X198" s="1"/>
      <c r="Y198" s="1"/>
      <c r="Z198" s="1"/>
      <c r="AA198" s="1"/>
      <c r="AB198" s="1"/>
      <c r="AC198" s="13"/>
      <c r="AD198" s="13"/>
      <c r="AE198" s="13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3"/>
      <c r="BB198" s="1"/>
      <c r="BC198" s="13"/>
      <c r="BD198" s="13"/>
      <c r="BE198" s="1"/>
      <c r="BF198" s="1"/>
      <c r="BG198" s="1"/>
      <c r="BH198" s="1"/>
      <c r="BI198" s="1"/>
      <c r="BJ198" s="1"/>
    </row>
    <row r="199" spans="1:62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3"/>
      <c r="K199" s="13"/>
      <c r="L199" s="1"/>
      <c r="M199" s="1"/>
      <c r="N199" s="1"/>
      <c r="O199" s="1"/>
      <c r="P199" s="1"/>
      <c r="Q199" s="1"/>
      <c r="R199" s="1"/>
      <c r="S199" s="1"/>
      <c r="T199" s="13"/>
      <c r="U199" s="13"/>
      <c r="V199" s="1"/>
      <c r="W199" s="1"/>
      <c r="X199" s="1"/>
      <c r="Y199" s="1"/>
      <c r="Z199" s="1"/>
      <c r="AA199" s="1"/>
      <c r="AB199" s="1"/>
      <c r="AC199" s="13"/>
      <c r="AD199" s="13"/>
      <c r="AE199" s="13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3"/>
      <c r="BB199" s="1"/>
      <c r="BC199" s="13"/>
      <c r="BD199" s="13"/>
      <c r="BE199" s="1"/>
      <c r="BF199" s="1"/>
      <c r="BG199" s="1"/>
      <c r="BH199" s="1"/>
      <c r="BI199" s="1"/>
      <c r="BJ199" s="1"/>
    </row>
    <row r="200" spans="1:62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3"/>
      <c r="K200" s="13"/>
      <c r="L200" s="1"/>
      <c r="M200" s="1"/>
      <c r="N200" s="1"/>
      <c r="O200" s="1"/>
      <c r="P200" s="1"/>
      <c r="Q200" s="1"/>
      <c r="R200" s="1"/>
      <c r="S200" s="1"/>
      <c r="T200" s="13"/>
      <c r="U200" s="13"/>
      <c r="V200" s="1"/>
      <c r="W200" s="1"/>
      <c r="X200" s="1"/>
      <c r="Y200" s="1"/>
      <c r="Z200" s="1"/>
      <c r="AA200" s="1"/>
      <c r="AB200" s="1"/>
      <c r="AC200" s="13"/>
      <c r="AD200" s="13"/>
      <c r="AE200" s="13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3"/>
      <c r="BB200" s="1"/>
      <c r="BC200" s="13"/>
      <c r="BD200" s="13"/>
      <c r="BE200" s="1"/>
      <c r="BF200" s="1"/>
      <c r="BG200" s="1"/>
      <c r="BH200" s="1"/>
      <c r="BI200" s="1"/>
      <c r="BJ200" s="1"/>
    </row>
    <row r="201" spans="1:62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3"/>
      <c r="K201" s="13"/>
      <c r="L201" s="1"/>
      <c r="M201" s="1"/>
      <c r="N201" s="1"/>
      <c r="O201" s="1"/>
      <c r="P201" s="1"/>
      <c r="Q201" s="1"/>
      <c r="R201" s="1"/>
      <c r="S201" s="1"/>
      <c r="T201" s="13"/>
      <c r="U201" s="13"/>
      <c r="V201" s="1"/>
      <c r="W201" s="1"/>
      <c r="X201" s="1"/>
      <c r="Y201" s="1"/>
      <c r="Z201" s="1"/>
      <c r="AA201" s="1"/>
      <c r="AB201" s="1"/>
      <c r="AC201" s="13"/>
      <c r="AD201" s="13"/>
      <c r="AE201" s="13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3"/>
      <c r="BB201" s="1"/>
      <c r="BC201" s="13"/>
      <c r="BD201" s="13"/>
      <c r="BE201" s="1"/>
      <c r="BF201" s="1"/>
      <c r="BG201" s="1"/>
      <c r="BH201" s="1"/>
      <c r="BI201" s="1"/>
      <c r="BJ201" s="1"/>
    </row>
    <row r="202" spans="1:62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3"/>
      <c r="K202" s="13"/>
      <c r="L202" s="1"/>
      <c r="M202" s="1"/>
      <c r="N202" s="1"/>
      <c r="O202" s="1"/>
      <c r="P202" s="1"/>
      <c r="Q202" s="1"/>
      <c r="R202" s="1"/>
      <c r="S202" s="1"/>
      <c r="T202" s="13"/>
      <c r="U202" s="13"/>
      <c r="V202" s="1"/>
      <c r="W202" s="1"/>
      <c r="X202" s="1"/>
      <c r="Y202" s="1"/>
      <c r="Z202" s="1"/>
      <c r="AA202" s="1"/>
      <c r="AB202" s="1"/>
      <c r="AC202" s="13"/>
      <c r="AD202" s="13"/>
      <c r="AE202" s="13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3"/>
      <c r="BB202" s="1"/>
      <c r="BC202" s="13"/>
      <c r="BD202" s="13"/>
      <c r="BE202" s="1"/>
      <c r="BF202" s="1"/>
      <c r="BG202" s="1"/>
      <c r="BH202" s="1"/>
      <c r="BI202" s="1"/>
      <c r="BJ202" s="1"/>
    </row>
    <row r="203" spans="1:62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3"/>
      <c r="K203" s="13"/>
      <c r="L203" s="1"/>
      <c r="M203" s="1"/>
      <c r="N203" s="1"/>
      <c r="O203" s="1"/>
      <c r="P203" s="1"/>
      <c r="Q203" s="1"/>
      <c r="R203" s="1"/>
      <c r="S203" s="1"/>
      <c r="T203" s="13"/>
      <c r="U203" s="13"/>
      <c r="V203" s="1"/>
      <c r="W203" s="1"/>
      <c r="X203" s="1"/>
      <c r="Y203" s="1"/>
      <c r="Z203" s="1"/>
      <c r="AA203" s="1"/>
      <c r="AB203" s="1"/>
      <c r="AC203" s="13"/>
      <c r="AD203" s="13"/>
      <c r="AE203" s="13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3"/>
      <c r="BB203" s="1"/>
      <c r="BC203" s="13"/>
      <c r="BD203" s="13"/>
      <c r="BE203" s="1"/>
      <c r="BF203" s="1"/>
      <c r="BG203" s="1"/>
      <c r="BH203" s="1"/>
      <c r="BI203" s="1"/>
      <c r="BJ203" s="1"/>
    </row>
    <row r="204" spans="1:62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3"/>
      <c r="K204" s="13"/>
      <c r="L204" s="1"/>
      <c r="M204" s="1"/>
      <c r="N204" s="1"/>
      <c r="O204" s="1"/>
      <c r="P204" s="1"/>
      <c r="Q204" s="1"/>
      <c r="R204" s="1"/>
      <c r="S204" s="1"/>
      <c r="T204" s="13"/>
      <c r="U204" s="13"/>
      <c r="V204" s="1"/>
      <c r="W204" s="1"/>
      <c r="X204" s="1"/>
      <c r="Y204" s="1"/>
      <c r="Z204" s="1"/>
      <c r="AA204" s="1"/>
      <c r="AB204" s="1"/>
      <c r="AC204" s="13"/>
      <c r="AD204" s="13"/>
      <c r="AE204" s="13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3"/>
      <c r="BB204" s="1"/>
      <c r="BC204" s="13"/>
      <c r="BD204" s="13"/>
      <c r="BE204" s="1"/>
      <c r="BF204" s="1"/>
      <c r="BG204" s="1"/>
      <c r="BH204" s="1"/>
      <c r="BI204" s="1"/>
      <c r="BJ204" s="1"/>
    </row>
    <row r="205" spans="1:62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3"/>
      <c r="K205" s="13"/>
      <c r="L205" s="1"/>
      <c r="M205" s="1"/>
      <c r="N205" s="1"/>
      <c r="O205" s="1"/>
      <c r="P205" s="1"/>
      <c r="Q205" s="1"/>
      <c r="R205" s="1"/>
      <c r="S205" s="1"/>
      <c r="T205" s="13"/>
      <c r="U205" s="13"/>
      <c r="V205" s="1"/>
      <c r="W205" s="1"/>
      <c r="X205" s="1"/>
      <c r="Y205" s="1"/>
      <c r="Z205" s="1"/>
      <c r="AA205" s="1"/>
      <c r="AB205" s="1"/>
      <c r="AC205" s="13"/>
      <c r="AD205" s="13"/>
      <c r="AE205" s="13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3"/>
      <c r="BB205" s="1"/>
      <c r="BC205" s="13"/>
      <c r="BD205" s="13"/>
      <c r="BE205" s="1"/>
      <c r="BF205" s="1"/>
      <c r="BG205" s="1"/>
      <c r="BH205" s="1"/>
      <c r="BI205" s="1"/>
      <c r="BJ205" s="1"/>
    </row>
    <row r="206" spans="1:62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3"/>
      <c r="K206" s="13"/>
      <c r="L206" s="1"/>
      <c r="M206" s="1"/>
      <c r="N206" s="1"/>
      <c r="O206" s="1"/>
      <c r="P206" s="1"/>
      <c r="Q206" s="1"/>
      <c r="R206" s="1"/>
      <c r="S206" s="1"/>
      <c r="T206" s="13"/>
      <c r="U206" s="13"/>
      <c r="V206" s="1"/>
      <c r="W206" s="1"/>
      <c r="X206" s="1"/>
      <c r="Y206" s="1"/>
      <c r="Z206" s="1"/>
      <c r="AA206" s="1"/>
      <c r="AB206" s="1"/>
      <c r="AC206" s="13"/>
      <c r="AD206" s="13"/>
      <c r="AE206" s="13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3"/>
      <c r="BB206" s="1"/>
      <c r="BC206" s="13"/>
      <c r="BD206" s="13"/>
      <c r="BE206" s="1"/>
      <c r="BF206" s="1"/>
      <c r="BG206" s="1"/>
      <c r="BH206" s="1"/>
      <c r="BI206" s="1"/>
      <c r="BJ206" s="1"/>
    </row>
    <row r="207" spans="1:62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3"/>
      <c r="K207" s="13"/>
      <c r="L207" s="1"/>
      <c r="M207" s="1"/>
      <c r="N207" s="1"/>
      <c r="O207" s="1"/>
      <c r="P207" s="1"/>
      <c r="Q207" s="1"/>
      <c r="R207" s="1"/>
      <c r="S207" s="1"/>
      <c r="T207" s="13"/>
      <c r="U207" s="13"/>
      <c r="V207" s="1"/>
      <c r="W207" s="1"/>
      <c r="X207" s="1"/>
      <c r="Y207" s="1"/>
      <c r="Z207" s="1"/>
      <c r="AA207" s="1"/>
      <c r="AB207" s="1"/>
      <c r="AC207" s="13"/>
      <c r="AD207" s="13"/>
      <c r="AE207" s="13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3"/>
      <c r="BB207" s="1"/>
      <c r="BC207" s="13"/>
      <c r="BD207" s="13"/>
      <c r="BE207" s="1"/>
      <c r="BF207" s="1"/>
      <c r="BG207" s="1"/>
      <c r="BH207" s="1"/>
      <c r="BI207" s="1"/>
      <c r="BJ207" s="1"/>
    </row>
    <row r="208" spans="1:62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3"/>
      <c r="K208" s="13"/>
      <c r="L208" s="1"/>
      <c r="M208" s="1"/>
      <c r="N208" s="1"/>
      <c r="O208" s="1"/>
      <c r="P208" s="1"/>
      <c r="Q208" s="1"/>
      <c r="R208" s="1"/>
      <c r="S208" s="1"/>
      <c r="T208" s="13"/>
      <c r="U208" s="13"/>
      <c r="V208" s="1"/>
      <c r="W208" s="1"/>
      <c r="X208" s="1"/>
      <c r="Y208" s="1"/>
      <c r="Z208" s="1"/>
      <c r="AA208" s="1"/>
      <c r="AB208" s="1"/>
      <c r="AC208" s="13"/>
      <c r="AD208" s="13"/>
      <c r="AE208" s="13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3"/>
      <c r="BB208" s="1"/>
      <c r="BC208" s="13"/>
      <c r="BD208" s="13"/>
      <c r="BE208" s="1"/>
      <c r="BF208" s="1"/>
      <c r="BG208" s="1"/>
      <c r="BH208" s="1"/>
      <c r="BI208" s="1"/>
      <c r="BJ208" s="1"/>
    </row>
    <row r="209" spans="1:62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3"/>
      <c r="K209" s="13"/>
      <c r="L209" s="1"/>
      <c r="M209" s="1"/>
      <c r="N209" s="1"/>
      <c r="O209" s="1"/>
      <c r="P209" s="1"/>
      <c r="Q209" s="1"/>
      <c r="R209" s="1"/>
      <c r="S209" s="1"/>
      <c r="T209" s="13"/>
      <c r="U209" s="13"/>
      <c r="V209" s="1"/>
      <c r="W209" s="1"/>
      <c r="X209" s="1"/>
      <c r="Y209" s="1"/>
      <c r="Z209" s="1"/>
      <c r="AA209" s="1"/>
      <c r="AB209" s="1"/>
      <c r="AC209" s="13"/>
      <c r="AD209" s="13"/>
      <c r="AE209" s="13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3"/>
      <c r="BB209" s="1"/>
      <c r="BC209" s="13"/>
      <c r="BD209" s="13"/>
      <c r="BE209" s="1"/>
      <c r="BF209" s="1"/>
      <c r="BG209" s="1"/>
      <c r="BH209" s="1"/>
      <c r="BI209" s="1"/>
      <c r="BJ209" s="1"/>
    </row>
    <row r="210" spans="1:62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3"/>
      <c r="K210" s="13"/>
      <c r="L210" s="1"/>
      <c r="M210" s="1"/>
      <c r="N210" s="1"/>
      <c r="O210" s="1"/>
      <c r="P210" s="1"/>
      <c r="Q210" s="1"/>
      <c r="R210" s="1"/>
      <c r="S210" s="1"/>
      <c r="T210" s="13"/>
      <c r="U210" s="13"/>
      <c r="V210" s="1"/>
      <c r="W210" s="1"/>
      <c r="X210" s="1"/>
      <c r="Y210" s="1"/>
      <c r="Z210" s="1"/>
      <c r="AA210" s="1"/>
      <c r="AB210" s="1"/>
      <c r="AC210" s="13"/>
      <c r="AD210" s="13"/>
      <c r="AE210" s="13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3"/>
      <c r="BB210" s="1"/>
      <c r="BC210" s="13"/>
      <c r="BD210" s="13"/>
      <c r="BE210" s="1"/>
      <c r="BF210" s="1"/>
      <c r="BG210" s="1"/>
      <c r="BH210" s="1"/>
      <c r="BI210" s="1"/>
      <c r="BJ210" s="1"/>
    </row>
    <row r="211" spans="1:62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3"/>
      <c r="K211" s="13"/>
      <c r="L211" s="1"/>
      <c r="M211" s="1"/>
      <c r="N211" s="1"/>
      <c r="O211" s="1"/>
      <c r="P211" s="1"/>
      <c r="Q211" s="1"/>
      <c r="R211" s="1"/>
      <c r="S211" s="1"/>
      <c r="T211" s="13"/>
      <c r="U211" s="13"/>
      <c r="V211" s="1"/>
      <c r="W211" s="1"/>
      <c r="X211" s="1"/>
      <c r="Y211" s="1"/>
      <c r="Z211" s="1"/>
      <c r="AA211" s="1"/>
      <c r="AB211" s="1"/>
      <c r="AC211" s="13"/>
      <c r="AD211" s="13"/>
      <c r="AE211" s="13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3"/>
      <c r="BB211" s="1"/>
      <c r="BC211" s="13"/>
      <c r="BD211" s="13"/>
      <c r="BE211" s="1"/>
      <c r="BF211" s="1"/>
      <c r="BG211" s="1"/>
      <c r="BH211" s="1"/>
      <c r="BI211" s="1"/>
      <c r="BJ211" s="1"/>
    </row>
    <row r="212" spans="1:62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3"/>
      <c r="K212" s="13"/>
      <c r="L212" s="1"/>
      <c r="M212" s="1"/>
      <c r="N212" s="1"/>
      <c r="O212" s="1"/>
      <c r="P212" s="1"/>
      <c r="Q212" s="1"/>
      <c r="R212" s="1"/>
      <c r="S212" s="1"/>
      <c r="T212" s="13"/>
      <c r="U212" s="13"/>
      <c r="V212" s="1"/>
      <c r="W212" s="1"/>
      <c r="X212" s="1"/>
      <c r="Y212" s="1"/>
      <c r="Z212" s="1"/>
      <c r="AA212" s="1"/>
      <c r="AB212" s="1"/>
      <c r="AC212" s="13"/>
      <c r="AD212" s="13"/>
      <c r="AE212" s="13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3"/>
      <c r="BB212" s="1"/>
      <c r="BC212" s="13"/>
      <c r="BD212" s="13"/>
      <c r="BE212" s="1"/>
      <c r="BF212" s="1"/>
      <c r="BG212" s="1"/>
      <c r="BH212" s="1"/>
      <c r="BI212" s="1"/>
      <c r="BJ212" s="1"/>
    </row>
    <row r="213" spans="1:62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3"/>
      <c r="K213" s="13"/>
      <c r="L213" s="1"/>
      <c r="M213" s="1"/>
      <c r="N213" s="1"/>
      <c r="O213" s="1"/>
      <c r="P213" s="1"/>
      <c r="Q213" s="1"/>
      <c r="R213" s="1"/>
      <c r="S213" s="1"/>
      <c r="T213" s="13"/>
      <c r="U213" s="13"/>
      <c r="V213" s="1"/>
      <c r="W213" s="1"/>
      <c r="X213" s="1"/>
      <c r="Y213" s="1"/>
      <c r="Z213" s="1"/>
      <c r="AA213" s="1"/>
      <c r="AB213" s="1"/>
      <c r="AC213" s="13"/>
      <c r="AD213" s="13"/>
      <c r="AE213" s="13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3"/>
      <c r="BB213" s="1"/>
      <c r="BC213" s="13"/>
      <c r="BD213" s="13"/>
      <c r="BE213" s="1"/>
      <c r="BF213" s="1"/>
      <c r="BG213" s="1"/>
      <c r="BH213" s="1"/>
      <c r="BI213" s="1"/>
      <c r="BJ213" s="1"/>
    </row>
    <row r="214" spans="1:62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3"/>
      <c r="K214" s="13"/>
      <c r="L214" s="1"/>
      <c r="M214" s="1"/>
      <c r="N214" s="1"/>
      <c r="O214" s="1"/>
      <c r="P214" s="1"/>
      <c r="Q214" s="1"/>
      <c r="R214" s="1"/>
      <c r="S214" s="1"/>
      <c r="T214" s="13"/>
      <c r="U214" s="13"/>
      <c r="V214" s="1"/>
      <c r="W214" s="1"/>
      <c r="X214" s="1"/>
      <c r="Y214" s="1"/>
      <c r="Z214" s="1"/>
      <c r="AA214" s="1"/>
      <c r="AB214" s="1"/>
      <c r="AC214" s="13"/>
      <c r="AD214" s="13"/>
      <c r="AE214" s="13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3"/>
      <c r="BB214" s="1"/>
      <c r="BC214" s="13"/>
      <c r="BD214" s="13"/>
      <c r="BE214" s="1"/>
      <c r="BF214" s="1"/>
      <c r="BG214" s="1"/>
      <c r="BH214" s="1"/>
      <c r="BI214" s="1"/>
      <c r="BJ214" s="1"/>
    </row>
    <row r="215" spans="1:62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3"/>
      <c r="K215" s="13"/>
      <c r="L215" s="1"/>
      <c r="M215" s="1"/>
      <c r="N215" s="1"/>
      <c r="O215" s="1"/>
      <c r="P215" s="1"/>
      <c r="Q215" s="1"/>
      <c r="R215" s="1"/>
      <c r="S215" s="1"/>
      <c r="T215" s="13"/>
      <c r="U215" s="13"/>
      <c r="V215" s="1"/>
      <c r="W215" s="1"/>
      <c r="X215" s="1"/>
      <c r="Y215" s="1"/>
      <c r="Z215" s="1"/>
      <c r="AA215" s="1"/>
      <c r="AB215" s="1"/>
      <c r="AC215" s="13"/>
      <c r="AD215" s="13"/>
      <c r="AE215" s="13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3"/>
      <c r="BB215" s="1"/>
      <c r="BC215" s="13"/>
      <c r="BD215" s="13"/>
      <c r="BE215" s="1"/>
      <c r="BF215" s="1"/>
      <c r="BG215" s="1"/>
      <c r="BH215" s="1"/>
      <c r="BI215" s="1"/>
      <c r="BJ215" s="1"/>
    </row>
    <row r="216" spans="1:62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3"/>
      <c r="K216" s="13"/>
      <c r="L216" s="1"/>
      <c r="M216" s="1"/>
      <c r="N216" s="1"/>
      <c r="O216" s="1"/>
      <c r="P216" s="1"/>
      <c r="Q216" s="1"/>
      <c r="R216" s="1"/>
      <c r="S216" s="1"/>
      <c r="T216" s="13"/>
      <c r="U216" s="13"/>
      <c r="V216" s="1"/>
      <c r="W216" s="1"/>
      <c r="X216" s="1"/>
      <c r="Y216" s="1"/>
      <c r="Z216" s="1"/>
      <c r="AA216" s="1"/>
      <c r="AB216" s="1"/>
      <c r="AC216" s="13"/>
      <c r="AD216" s="13"/>
      <c r="AE216" s="13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3"/>
      <c r="BB216" s="1"/>
      <c r="BC216" s="13"/>
      <c r="BD216" s="13"/>
      <c r="BE216" s="1"/>
      <c r="BF216" s="1"/>
      <c r="BG216" s="1"/>
      <c r="BH216" s="1"/>
      <c r="BI216" s="1"/>
      <c r="BJ216" s="1"/>
    </row>
    <row r="217" spans="1:62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3"/>
      <c r="K217" s="13"/>
      <c r="L217" s="1"/>
      <c r="M217" s="1"/>
      <c r="N217" s="1"/>
      <c r="O217" s="1"/>
      <c r="P217" s="1"/>
      <c r="Q217" s="1"/>
      <c r="R217" s="1"/>
      <c r="S217" s="1"/>
      <c r="T217" s="13"/>
      <c r="U217" s="13"/>
      <c r="V217" s="1"/>
      <c r="W217" s="1"/>
      <c r="X217" s="1"/>
      <c r="Y217" s="1"/>
      <c r="Z217" s="1"/>
      <c r="AA217" s="1"/>
      <c r="AB217" s="1"/>
      <c r="AC217" s="13"/>
      <c r="AD217" s="13"/>
      <c r="AE217" s="13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3"/>
      <c r="BB217" s="1"/>
      <c r="BC217" s="13"/>
      <c r="BD217" s="13"/>
      <c r="BE217" s="1"/>
      <c r="BF217" s="1"/>
      <c r="BG217" s="1"/>
      <c r="BH217" s="1"/>
      <c r="BI217" s="1"/>
      <c r="BJ217" s="1"/>
    </row>
    <row r="218" spans="1:62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3"/>
      <c r="K218" s="13"/>
      <c r="L218" s="1"/>
      <c r="M218" s="1"/>
      <c r="N218" s="1"/>
      <c r="O218" s="1"/>
      <c r="P218" s="1"/>
      <c r="Q218" s="1"/>
      <c r="R218" s="1"/>
      <c r="S218" s="1"/>
      <c r="T218" s="13"/>
      <c r="U218" s="13"/>
      <c r="V218" s="1"/>
      <c r="W218" s="1"/>
      <c r="X218" s="1"/>
      <c r="Y218" s="1"/>
      <c r="Z218" s="1"/>
      <c r="AA218" s="1"/>
      <c r="AB218" s="1"/>
      <c r="AC218" s="13"/>
      <c r="AD218" s="13"/>
      <c r="AE218" s="13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3"/>
      <c r="BB218" s="1"/>
      <c r="BC218" s="13"/>
      <c r="BD218" s="13"/>
      <c r="BE218" s="1"/>
      <c r="BF218" s="1"/>
      <c r="BG218" s="1"/>
      <c r="BH218" s="1"/>
      <c r="BI218" s="1"/>
      <c r="BJ218" s="1"/>
    </row>
    <row r="219" spans="1:62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3"/>
      <c r="K219" s="13"/>
      <c r="L219" s="1"/>
      <c r="M219" s="1"/>
      <c r="N219" s="1"/>
      <c r="O219" s="1"/>
      <c r="P219" s="1"/>
      <c r="Q219" s="1"/>
      <c r="R219" s="1"/>
      <c r="S219" s="1"/>
      <c r="T219" s="13"/>
      <c r="U219" s="13"/>
      <c r="V219" s="1"/>
      <c r="W219" s="1"/>
      <c r="X219" s="1"/>
      <c r="Y219" s="1"/>
      <c r="Z219" s="1"/>
      <c r="AA219" s="1"/>
      <c r="AB219" s="1"/>
      <c r="AC219" s="13"/>
      <c r="AD219" s="13"/>
      <c r="AE219" s="13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3"/>
      <c r="BB219" s="1"/>
      <c r="BC219" s="13"/>
      <c r="BD219" s="13"/>
      <c r="BE219" s="1"/>
      <c r="BF219" s="1"/>
      <c r="BG219" s="1"/>
      <c r="BH219" s="1"/>
      <c r="BI219" s="1"/>
      <c r="BJ219" s="1"/>
    </row>
    <row r="220" spans="1:62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3"/>
      <c r="K220" s="13"/>
      <c r="L220" s="1"/>
      <c r="M220" s="1"/>
      <c r="N220" s="1"/>
      <c r="O220" s="1"/>
      <c r="P220" s="1"/>
      <c r="Q220" s="1"/>
      <c r="R220" s="1"/>
      <c r="S220" s="1"/>
      <c r="T220" s="13"/>
      <c r="U220" s="13"/>
      <c r="V220" s="1"/>
      <c r="W220" s="1"/>
      <c r="X220" s="1"/>
      <c r="Y220" s="1"/>
      <c r="Z220" s="1"/>
      <c r="AA220" s="1"/>
      <c r="AB220" s="1"/>
      <c r="AC220" s="13"/>
      <c r="AD220" s="13"/>
      <c r="AE220" s="13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3"/>
      <c r="BB220" s="1"/>
      <c r="BC220" s="13"/>
      <c r="BD220" s="13"/>
      <c r="BE220" s="1"/>
      <c r="BF220" s="1"/>
      <c r="BG220" s="1"/>
      <c r="BH220" s="1"/>
      <c r="BI220" s="1"/>
      <c r="BJ220" s="1"/>
    </row>
    <row r="221" spans="1:62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3"/>
      <c r="K221" s="13"/>
      <c r="L221" s="1"/>
      <c r="M221" s="1"/>
      <c r="N221" s="1"/>
      <c r="O221" s="1"/>
      <c r="P221" s="1"/>
      <c r="Q221" s="1"/>
      <c r="R221" s="1"/>
      <c r="S221" s="1"/>
      <c r="T221" s="13"/>
      <c r="U221" s="13"/>
      <c r="V221" s="1"/>
      <c r="W221" s="1"/>
      <c r="X221" s="1"/>
      <c r="Y221" s="1"/>
      <c r="Z221" s="1"/>
      <c r="AA221" s="1"/>
      <c r="AB221" s="1"/>
      <c r="AC221" s="13"/>
      <c r="AD221" s="13"/>
      <c r="AE221" s="13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3"/>
      <c r="BB221" s="1"/>
      <c r="BC221" s="13"/>
      <c r="BD221" s="13"/>
      <c r="BE221" s="1"/>
      <c r="BF221" s="1"/>
      <c r="BG221" s="1"/>
      <c r="BH221" s="1"/>
      <c r="BI221" s="1"/>
      <c r="BJ221" s="1"/>
    </row>
    <row r="222" spans="1:62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3"/>
      <c r="K222" s="13"/>
      <c r="L222" s="1"/>
      <c r="M222" s="1"/>
      <c r="N222" s="1"/>
      <c r="O222" s="1"/>
      <c r="P222" s="1"/>
      <c r="Q222" s="1"/>
      <c r="R222" s="1"/>
      <c r="S222" s="1"/>
      <c r="T222" s="13"/>
      <c r="U222" s="13"/>
      <c r="V222" s="1"/>
      <c r="W222" s="1"/>
      <c r="X222" s="1"/>
      <c r="Y222" s="1"/>
      <c r="Z222" s="1"/>
      <c r="AA222" s="1"/>
      <c r="AB222" s="1"/>
      <c r="AC222" s="13"/>
      <c r="AD222" s="13"/>
      <c r="AE222" s="13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3"/>
      <c r="BB222" s="1"/>
      <c r="BC222" s="13"/>
      <c r="BD222" s="13"/>
      <c r="BE222" s="1"/>
      <c r="BF222" s="1"/>
      <c r="BG222" s="1"/>
      <c r="BH222" s="1"/>
      <c r="BI222" s="1"/>
      <c r="BJ222" s="1"/>
    </row>
    <row r="223" spans="1:62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3"/>
      <c r="K223" s="13"/>
      <c r="L223" s="1"/>
      <c r="M223" s="1"/>
      <c r="N223" s="1"/>
      <c r="O223" s="1"/>
      <c r="P223" s="1"/>
      <c r="Q223" s="1"/>
      <c r="R223" s="1"/>
      <c r="S223" s="1"/>
      <c r="T223" s="13"/>
      <c r="U223" s="13"/>
      <c r="V223" s="1"/>
      <c r="W223" s="1"/>
      <c r="X223" s="1"/>
      <c r="Y223" s="1"/>
      <c r="Z223" s="1"/>
      <c r="AA223" s="1"/>
      <c r="AB223" s="1"/>
      <c r="AC223" s="13"/>
      <c r="AD223" s="13"/>
      <c r="AE223" s="13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3"/>
      <c r="BB223" s="1"/>
      <c r="BC223" s="13"/>
      <c r="BD223" s="13"/>
      <c r="BE223" s="1"/>
      <c r="BF223" s="1"/>
      <c r="BG223" s="1"/>
      <c r="BH223" s="1"/>
      <c r="BI223" s="1"/>
      <c r="BJ223" s="1"/>
    </row>
    <row r="224" spans="1:62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3"/>
      <c r="K224" s="13"/>
      <c r="L224" s="1"/>
      <c r="M224" s="1"/>
      <c r="N224" s="1"/>
      <c r="O224" s="1"/>
      <c r="P224" s="1"/>
      <c r="Q224" s="1"/>
      <c r="R224" s="1"/>
      <c r="S224" s="1"/>
      <c r="T224" s="13"/>
      <c r="U224" s="13"/>
      <c r="V224" s="1"/>
      <c r="W224" s="1"/>
      <c r="X224" s="1"/>
      <c r="Y224" s="1"/>
      <c r="Z224" s="1"/>
      <c r="AA224" s="1"/>
      <c r="AB224" s="1"/>
      <c r="AC224" s="13"/>
      <c r="AD224" s="13"/>
      <c r="AE224" s="13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3"/>
      <c r="BB224" s="1"/>
      <c r="BC224" s="13"/>
      <c r="BD224" s="13"/>
      <c r="BE224" s="1"/>
      <c r="BF224" s="1"/>
      <c r="BG224" s="1"/>
      <c r="BH224" s="1"/>
      <c r="BI224" s="1"/>
      <c r="BJ224" s="1"/>
    </row>
    <row r="225" spans="1:62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3"/>
      <c r="K225" s="13"/>
      <c r="L225" s="1"/>
      <c r="M225" s="1"/>
      <c r="N225" s="1"/>
      <c r="O225" s="1"/>
      <c r="P225" s="1"/>
      <c r="Q225" s="1"/>
      <c r="R225" s="1"/>
      <c r="S225" s="1"/>
      <c r="T225" s="13"/>
      <c r="U225" s="13"/>
      <c r="V225" s="1"/>
      <c r="W225" s="1"/>
      <c r="X225" s="1"/>
      <c r="Y225" s="1"/>
      <c r="Z225" s="1"/>
      <c r="AA225" s="1"/>
      <c r="AB225" s="1"/>
      <c r="AC225" s="13"/>
      <c r="AD225" s="13"/>
      <c r="AE225" s="13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3"/>
      <c r="BB225" s="1"/>
      <c r="BC225" s="13"/>
      <c r="BD225" s="13"/>
      <c r="BE225" s="1"/>
      <c r="BF225" s="1"/>
      <c r="BG225" s="1"/>
      <c r="BH225" s="1"/>
      <c r="BI225" s="1"/>
      <c r="BJ225" s="1"/>
    </row>
    <row r="226" spans="1:62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3"/>
      <c r="K226" s="13"/>
      <c r="L226" s="1"/>
      <c r="M226" s="1"/>
      <c r="N226" s="1"/>
      <c r="O226" s="1"/>
      <c r="P226" s="1"/>
      <c r="Q226" s="1"/>
      <c r="R226" s="1"/>
      <c r="S226" s="1"/>
      <c r="T226" s="13"/>
      <c r="U226" s="13"/>
      <c r="V226" s="1"/>
      <c r="W226" s="1"/>
      <c r="X226" s="1"/>
      <c r="Y226" s="1"/>
      <c r="Z226" s="1"/>
      <c r="AA226" s="1"/>
      <c r="AB226" s="1"/>
      <c r="AC226" s="13"/>
      <c r="AD226" s="13"/>
      <c r="AE226" s="13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3"/>
      <c r="BB226" s="1"/>
      <c r="BC226" s="13"/>
      <c r="BD226" s="13"/>
      <c r="BE226" s="1"/>
      <c r="BF226" s="1"/>
      <c r="BG226" s="1"/>
      <c r="BH226" s="1"/>
      <c r="BI226" s="1"/>
      <c r="BJ226" s="1"/>
    </row>
    <row r="227" spans="1:62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3"/>
      <c r="K227" s="13"/>
      <c r="L227" s="1"/>
      <c r="M227" s="1"/>
      <c r="N227" s="1"/>
      <c r="O227" s="1"/>
      <c r="P227" s="1"/>
      <c r="Q227" s="1"/>
      <c r="R227" s="1"/>
      <c r="S227" s="1"/>
      <c r="T227" s="13"/>
      <c r="U227" s="13"/>
      <c r="V227" s="1"/>
      <c r="W227" s="1"/>
      <c r="X227" s="1"/>
      <c r="Y227" s="1"/>
      <c r="Z227" s="1"/>
      <c r="AA227" s="1"/>
      <c r="AB227" s="1"/>
      <c r="AC227" s="13"/>
      <c r="AD227" s="13"/>
      <c r="AE227" s="13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3"/>
      <c r="BB227" s="1"/>
      <c r="BC227" s="13"/>
      <c r="BD227" s="13"/>
      <c r="BE227" s="1"/>
      <c r="BF227" s="1"/>
      <c r="BG227" s="1"/>
      <c r="BH227" s="1"/>
      <c r="BI227" s="1"/>
      <c r="BJ227" s="1"/>
    </row>
    <row r="228" spans="1:62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3"/>
      <c r="K228" s="13"/>
      <c r="L228" s="1"/>
      <c r="M228" s="1"/>
      <c r="N228" s="1"/>
      <c r="O228" s="1"/>
      <c r="P228" s="1"/>
      <c r="Q228" s="1"/>
      <c r="R228" s="1"/>
      <c r="S228" s="1"/>
      <c r="T228" s="13"/>
      <c r="U228" s="13"/>
      <c r="V228" s="1"/>
      <c r="W228" s="1"/>
      <c r="X228" s="1"/>
      <c r="Y228" s="1"/>
      <c r="Z228" s="1"/>
      <c r="AA228" s="1"/>
      <c r="AB228" s="1"/>
      <c r="AC228" s="13"/>
      <c r="AD228" s="13"/>
      <c r="AE228" s="13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3"/>
      <c r="BB228" s="1"/>
      <c r="BC228" s="13"/>
      <c r="BD228" s="13"/>
      <c r="BE228" s="1"/>
      <c r="BF228" s="1"/>
      <c r="BG228" s="1"/>
      <c r="BH228" s="1"/>
      <c r="BI228" s="1"/>
      <c r="BJ228" s="1"/>
    </row>
    <row r="229" spans="1:62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3"/>
      <c r="K229" s="13"/>
      <c r="L229" s="1"/>
      <c r="M229" s="1"/>
      <c r="N229" s="1"/>
      <c r="O229" s="1"/>
      <c r="P229" s="1"/>
      <c r="Q229" s="1"/>
      <c r="R229" s="1"/>
      <c r="S229" s="1"/>
      <c r="T229" s="13"/>
      <c r="U229" s="13"/>
      <c r="V229" s="1"/>
      <c r="W229" s="1"/>
      <c r="X229" s="1"/>
      <c r="Y229" s="1"/>
      <c r="Z229" s="1"/>
      <c r="AA229" s="1"/>
      <c r="AB229" s="1"/>
      <c r="AC229" s="13"/>
      <c r="AD229" s="13"/>
      <c r="AE229" s="13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3"/>
      <c r="BB229" s="1"/>
      <c r="BC229" s="13"/>
      <c r="BD229" s="13"/>
      <c r="BE229" s="1"/>
      <c r="BF229" s="1"/>
      <c r="BG229" s="1"/>
      <c r="BH229" s="1"/>
      <c r="BI229" s="1"/>
      <c r="BJ229" s="1"/>
    </row>
    <row r="230" spans="1:62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3"/>
      <c r="K230" s="13"/>
      <c r="L230" s="1"/>
      <c r="M230" s="1"/>
      <c r="N230" s="1"/>
      <c r="O230" s="1"/>
      <c r="P230" s="1"/>
      <c r="Q230" s="1"/>
      <c r="R230" s="1"/>
      <c r="S230" s="1"/>
      <c r="T230" s="13"/>
      <c r="U230" s="13"/>
      <c r="V230" s="1"/>
      <c r="W230" s="1"/>
      <c r="X230" s="1"/>
      <c r="Y230" s="1"/>
      <c r="Z230" s="1"/>
      <c r="AA230" s="1"/>
      <c r="AB230" s="1"/>
      <c r="AC230" s="13"/>
      <c r="AD230" s="13"/>
      <c r="AE230" s="13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3"/>
      <c r="BB230" s="1"/>
      <c r="BC230" s="13"/>
      <c r="BD230" s="13"/>
      <c r="BE230" s="1"/>
      <c r="BF230" s="1"/>
      <c r="BG230" s="1"/>
      <c r="BH230" s="1"/>
      <c r="BI230" s="1"/>
      <c r="BJ230" s="1"/>
    </row>
    <row r="231" spans="1:62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3"/>
      <c r="K231" s="13"/>
      <c r="L231" s="1"/>
      <c r="M231" s="1"/>
      <c r="N231" s="1"/>
      <c r="O231" s="1"/>
      <c r="P231" s="1"/>
      <c r="Q231" s="1"/>
      <c r="R231" s="1"/>
      <c r="S231" s="1"/>
      <c r="T231" s="13"/>
      <c r="U231" s="13"/>
      <c r="V231" s="1"/>
      <c r="W231" s="1"/>
      <c r="X231" s="1"/>
      <c r="Y231" s="1"/>
      <c r="Z231" s="1"/>
      <c r="AA231" s="1"/>
      <c r="AB231" s="1"/>
      <c r="AC231" s="13"/>
      <c r="AD231" s="13"/>
      <c r="AE231" s="13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3"/>
      <c r="BB231" s="1"/>
      <c r="BC231" s="13"/>
      <c r="BD231" s="13"/>
      <c r="BE231" s="1"/>
      <c r="BF231" s="1"/>
      <c r="BG231" s="1"/>
      <c r="BH231" s="1"/>
      <c r="BI231" s="1"/>
      <c r="BJ231" s="1"/>
    </row>
    <row r="232" spans="1:62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3"/>
      <c r="K232" s="13"/>
      <c r="L232" s="1"/>
      <c r="M232" s="1"/>
      <c r="N232" s="1"/>
      <c r="O232" s="1"/>
      <c r="P232" s="1"/>
      <c r="Q232" s="1"/>
      <c r="R232" s="1"/>
      <c r="S232" s="1"/>
      <c r="T232" s="13"/>
      <c r="U232" s="13"/>
      <c r="V232" s="1"/>
      <c r="W232" s="1"/>
      <c r="X232" s="1"/>
      <c r="Y232" s="1"/>
      <c r="Z232" s="1"/>
      <c r="AA232" s="1"/>
      <c r="AB232" s="1"/>
      <c r="AC232" s="13"/>
      <c r="AD232" s="13"/>
      <c r="AE232" s="13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3"/>
      <c r="BB232" s="1"/>
      <c r="BC232" s="13"/>
      <c r="BD232" s="13"/>
      <c r="BE232" s="1"/>
      <c r="BF232" s="1"/>
      <c r="BG232" s="1"/>
      <c r="BH232" s="1"/>
      <c r="BI232" s="1"/>
      <c r="BJ232" s="1"/>
    </row>
    <row r="233" spans="1:62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3"/>
      <c r="K233" s="13"/>
      <c r="L233" s="1"/>
      <c r="M233" s="1"/>
      <c r="N233" s="1"/>
      <c r="O233" s="1"/>
      <c r="P233" s="1"/>
      <c r="Q233" s="1"/>
      <c r="R233" s="1"/>
      <c r="S233" s="1"/>
      <c r="T233" s="13"/>
      <c r="U233" s="13"/>
      <c r="V233" s="1"/>
      <c r="W233" s="1"/>
      <c r="X233" s="1"/>
      <c r="Y233" s="1"/>
      <c r="Z233" s="1"/>
      <c r="AA233" s="1"/>
      <c r="AB233" s="1"/>
      <c r="AC233" s="13"/>
      <c r="AD233" s="13"/>
      <c r="AE233" s="13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3"/>
      <c r="BB233" s="1"/>
      <c r="BC233" s="13"/>
      <c r="BD233" s="13"/>
      <c r="BE233" s="1"/>
      <c r="BF233" s="1"/>
      <c r="BG233" s="1"/>
      <c r="BH233" s="1"/>
      <c r="BI233" s="1"/>
      <c r="BJ233" s="1"/>
    </row>
    <row r="234" spans="1:62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3"/>
      <c r="K234" s="13"/>
      <c r="L234" s="1"/>
      <c r="M234" s="1"/>
      <c r="N234" s="1"/>
      <c r="O234" s="1"/>
      <c r="P234" s="1"/>
      <c r="Q234" s="1"/>
      <c r="R234" s="1"/>
      <c r="S234" s="1"/>
      <c r="T234" s="13"/>
      <c r="U234" s="13"/>
      <c r="V234" s="1"/>
      <c r="W234" s="1"/>
      <c r="X234" s="1"/>
      <c r="Y234" s="1"/>
      <c r="Z234" s="1"/>
      <c r="AA234" s="1"/>
      <c r="AB234" s="1"/>
      <c r="AC234" s="13"/>
      <c r="AD234" s="13"/>
      <c r="AE234" s="13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3"/>
      <c r="BB234" s="1"/>
      <c r="BC234" s="13"/>
      <c r="BD234" s="13"/>
      <c r="BE234" s="1"/>
      <c r="BF234" s="1"/>
      <c r="BG234" s="1"/>
      <c r="BH234" s="1"/>
      <c r="BI234" s="1"/>
      <c r="BJ234" s="1"/>
    </row>
    <row r="235" spans="1:62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3"/>
      <c r="K235" s="13"/>
      <c r="L235" s="1"/>
      <c r="M235" s="1"/>
      <c r="N235" s="1"/>
      <c r="O235" s="1"/>
      <c r="P235" s="1"/>
      <c r="Q235" s="1"/>
      <c r="R235" s="1"/>
      <c r="S235" s="1"/>
      <c r="T235" s="13"/>
      <c r="U235" s="13"/>
      <c r="V235" s="1"/>
      <c r="W235" s="1"/>
      <c r="X235" s="1"/>
      <c r="Y235" s="1"/>
      <c r="Z235" s="1"/>
      <c r="AA235" s="1"/>
      <c r="AB235" s="1"/>
      <c r="AC235" s="13"/>
      <c r="AD235" s="13"/>
      <c r="AE235" s="13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3"/>
      <c r="BB235" s="1"/>
      <c r="BC235" s="13"/>
      <c r="BD235" s="13"/>
      <c r="BE235" s="1"/>
      <c r="BF235" s="1"/>
      <c r="BG235" s="1"/>
      <c r="BH235" s="1"/>
      <c r="BI235" s="1"/>
      <c r="BJ235" s="1"/>
    </row>
    <row r="236" spans="1:62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3"/>
      <c r="K236" s="13"/>
      <c r="L236" s="1"/>
      <c r="M236" s="1"/>
      <c r="N236" s="1"/>
      <c r="O236" s="1"/>
      <c r="P236" s="1"/>
      <c r="Q236" s="1"/>
      <c r="R236" s="1"/>
      <c r="S236" s="1"/>
      <c r="T236" s="13"/>
      <c r="U236" s="13"/>
      <c r="V236" s="1"/>
      <c r="W236" s="1"/>
      <c r="X236" s="1"/>
      <c r="Y236" s="1"/>
      <c r="Z236" s="1"/>
      <c r="AA236" s="1"/>
      <c r="AB236" s="1"/>
      <c r="AC236" s="13"/>
      <c r="AD236" s="13"/>
      <c r="AE236" s="13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3"/>
      <c r="BB236" s="1"/>
      <c r="BC236" s="13"/>
      <c r="BD236" s="13"/>
      <c r="BE236" s="1"/>
      <c r="BF236" s="1"/>
      <c r="BG236" s="1"/>
      <c r="BH236" s="1"/>
      <c r="BI236" s="1"/>
      <c r="BJ236" s="1"/>
    </row>
    <row r="237" spans="1:62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3"/>
      <c r="K237" s="13"/>
      <c r="L237" s="1"/>
      <c r="M237" s="1"/>
      <c r="N237" s="1"/>
      <c r="O237" s="1"/>
      <c r="P237" s="1"/>
      <c r="Q237" s="1"/>
      <c r="R237" s="1"/>
      <c r="S237" s="1"/>
      <c r="T237" s="13"/>
      <c r="U237" s="13"/>
      <c r="V237" s="1"/>
      <c r="W237" s="1"/>
      <c r="X237" s="1"/>
      <c r="Y237" s="1"/>
      <c r="Z237" s="1"/>
      <c r="AA237" s="1"/>
      <c r="AB237" s="1"/>
      <c r="AC237" s="13"/>
      <c r="AD237" s="13"/>
      <c r="AE237" s="13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3"/>
      <c r="BB237" s="1"/>
      <c r="BC237" s="13"/>
      <c r="BD237" s="13"/>
      <c r="BE237" s="1"/>
      <c r="BF237" s="1"/>
      <c r="BG237" s="1"/>
      <c r="BH237" s="1"/>
      <c r="BI237" s="1"/>
      <c r="BJ237" s="1"/>
    </row>
    <row r="238" spans="1:62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3"/>
      <c r="K238" s="13"/>
      <c r="L238" s="1"/>
      <c r="M238" s="1"/>
      <c r="N238" s="1"/>
      <c r="O238" s="1"/>
      <c r="P238" s="1"/>
      <c r="Q238" s="1"/>
      <c r="R238" s="1"/>
      <c r="S238" s="1"/>
      <c r="T238" s="13"/>
      <c r="U238" s="13"/>
      <c r="V238" s="1"/>
      <c r="W238" s="1"/>
      <c r="X238" s="1"/>
      <c r="Y238" s="1"/>
      <c r="Z238" s="1"/>
      <c r="AA238" s="1"/>
      <c r="AB238" s="1"/>
      <c r="AC238" s="13"/>
      <c r="AD238" s="13"/>
      <c r="AE238" s="13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3"/>
      <c r="BB238" s="1"/>
      <c r="BC238" s="13"/>
      <c r="BD238" s="13"/>
      <c r="BE238" s="1"/>
      <c r="BF238" s="1"/>
      <c r="BG238" s="1"/>
      <c r="BH238" s="1"/>
      <c r="BI238" s="1"/>
      <c r="BJ238" s="1"/>
    </row>
    <row r="239" spans="1:62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3"/>
      <c r="K239" s="13"/>
      <c r="L239" s="1"/>
      <c r="M239" s="1"/>
      <c r="N239" s="1"/>
      <c r="O239" s="1"/>
      <c r="P239" s="1"/>
      <c r="Q239" s="1"/>
      <c r="R239" s="1"/>
      <c r="S239" s="1"/>
      <c r="T239" s="13"/>
      <c r="U239" s="13"/>
      <c r="V239" s="1"/>
      <c r="W239" s="1"/>
      <c r="X239" s="1"/>
      <c r="Y239" s="1"/>
      <c r="Z239" s="1"/>
      <c r="AA239" s="1"/>
      <c r="AB239" s="1"/>
      <c r="AC239" s="13"/>
      <c r="AD239" s="13"/>
      <c r="AE239" s="13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3"/>
      <c r="BB239" s="1"/>
      <c r="BC239" s="13"/>
      <c r="BD239" s="13"/>
      <c r="BE239" s="1"/>
      <c r="BF239" s="1"/>
      <c r="BG239" s="1"/>
      <c r="BH239" s="1"/>
      <c r="BI239" s="1"/>
      <c r="BJ239" s="1"/>
    </row>
    <row r="240" spans="1:62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3"/>
      <c r="K240" s="13"/>
      <c r="L240" s="1"/>
      <c r="M240" s="1"/>
      <c r="N240" s="1"/>
      <c r="O240" s="1"/>
      <c r="P240" s="1"/>
      <c r="Q240" s="1"/>
      <c r="R240" s="1"/>
      <c r="S240" s="1"/>
      <c r="T240" s="13"/>
      <c r="U240" s="13"/>
      <c r="V240" s="1"/>
      <c r="W240" s="1"/>
      <c r="X240" s="1"/>
      <c r="Y240" s="1"/>
      <c r="Z240" s="1"/>
      <c r="AA240" s="1"/>
      <c r="AB240" s="1"/>
      <c r="AC240" s="13"/>
      <c r="AD240" s="13"/>
      <c r="AE240" s="13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3"/>
      <c r="BB240" s="1"/>
      <c r="BC240" s="13"/>
      <c r="BD240" s="13"/>
      <c r="BE240" s="1"/>
      <c r="BF240" s="1"/>
      <c r="BG240" s="1"/>
      <c r="BH240" s="1"/>
      <c r="BI240" s="1"/>
      <c r="BJ240" s="1"/>
    </row>
    <row r="241" spans="1:62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3"/>
      <c r="K241" s="13"/>
      <c r="L241" s="1"/>
      <c r="M241" s="1"/>
      <c r="N241" s="1"/>
      <c r="O241" s="1"/>
      <c r="P241" s="1"/>
      <c r="Q241" s="1"/>
      <c r="R241" s="1"/>
      <c r="S241" s="1"/>
      <c r="T241" s="13"/>
      <c r="U241" s="13"/>
      <c r="V241" s="1"/>
      <c r="W241" s="1"/>
      <c r="X241" s="1"/>
      <c r="Y241" s="1"/>
      <c r="Z241" s="1"/>
      <c r="AA241" s="1"/>
      <c r="AB241" s="1"/>
      <c r="AC241" s="13"/>
      <c r="AD241" s="13"/>
      <c r="AE241" s="13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3"/>
      <c r="BB241" s="1"/>
      <c r="BC241" s="13"/>
      <c r="BD241" s="13"/>
      <c r="BE241" s="1"/>
      <c r="BF241" s="1"/>
      <c r="BG241" s="1"/>
      <c r="BH241" s="1"/>
      <c r="BI241" s="1"/>
      <c r="BJ241" s="1"/>
    </row>
    <row r="242" spans="1:62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3"/>
      <c r="K242" s="13"/>
      <c r="L242" s="1"/>
      <c r="M242" s="1"/>
      <c r="N242" s="1"/>
      <c r="O242" s="1"/>
      <c r="P242" s="1"/>
      <c r="Q242" s="1"/>
      <c r="R242" s="1"/>
      <c r="S242" s="1"/>
      <c r="T242" s="13"/>
      <c r="U242" s="13"/>
      <c r="V242" s="1"/>
      <c r="W242" s="1"/>
      <c r="X242" s="1"/>
      <c r="Y242" s="1"/>
      <c r="Z242" s="1"/>
      <c r="AA242" s="1"/>
      <c r="AB242" s="1"/>
      <c r="AC242" s="13"/>
      <c r="AD242" s="13"/>
      <c r="AE242" s="13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3"/>
      <c r="BB242" s="1"/>
      <c r="BC242" s="13"/>
      <c r="BD242" s="13"/>
      <c r="BE242" s="1"/>
      <c r="BF242" s="1"/>
      <c r="BG242" s="1"/>
      <c r="BH242" s="1"/>
      <c r="BI242" s="1"/>
      <c r="BJ242" s="1"/>
    </row>
    <row r="243" spans="1:62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3"/>
      <c r="K243" s="13"/>
      <c r="L243" s="1"/>
      <c r="M243" s="1"/>
      <c r="N243" s="1"/>
      <c r="O243" s="1"/>
      <c r="P243" s="1"/>
      <c r="Q243" s="1"/>
      <c r="R243" s="1"/>
      <c r="S243" s="1"/>
      <c r="T243" s="13"/>
      <c r="U243" s="13"/>
      <c r="V243" s="1"/>
      <c r="W243" s="1"/>
      <c r="X243" s="1"/>
      <c r="Y243" s="1"/>
      <c r="Z243" s="1"/>
      <c r="AA243" s="1"/>
      <c r="AB243" s="1"/>
      <c r="AC243" s="13"/>
      <c r="AD243" s="13"/>
      <c r="AE243" s="13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3"/>
      <c r="BB243" s="1"/>
      <c r="BC243" s="13"/>
      <c r="BD243" s="13"/>
      <c r="BE243" s="1"/>
      <c r="BF243" s="1"/>
      <c r="BG243" s="1"/>
      <c r="BH243" s="1"/>
      <c r="BI243" s="1"/>
      <c r="BJ243" s="1"/>
    </row>
    <row r="244" spans="1:62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3"/>
      <c r="K244" s="13"/>
      <c r="L244" s="1"/>
      <c r="M244" s="1"/>
      <c r="N244" s="1"/>
      <c r="O244" s="1"/>
      <c r="P244" s="1"/>
      <c r="Q244" s="1"/>
      <c r="R244" s="1"/>
      <c r="S244" s="1"/>
      <c r="T244" s="13"/>
      <c r="U244" s="13"/>
      <c r="V244" s="1"/>
      <c r="W244" s="1"/>
      <c r="X244" s="1"/>
      <c r="Y244" s="1"/>
      <c r="Z244" s="1"/>
      <c r="AA244" s="1"/>
      <c r="AB244" s="1"/>
      <c r="AC244" s="13"/>
      <c r="AD244" s="13"/>
      <c r="AE244" s="13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3"/>
      <c r="BB244" s="1"/>
      <c r="BC244" s="13"/>
      <c r="BD244" s="13"/>
      <c r="BE244" s="1"/>
      <c r="BF244" s="1"/>
      <c r="BG244" s="1"/>
      <c r="BH244" s="1"/>
      <c r="BI244" s="1"/>
      <c r="BJ244" s="1"/>
    </row>
    <row r="245" spans="1:62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3"/>
      <c r="K245" s="13"/>
      <c r="L245" s="1"/>
      <c r="M245" s="1"/>
      <c r="N245" s="1"/>
      <c r="O245" s="1"/>
      <c r="P245" s="1"/>
      <c r="Q245" s="1"/>
      <c r="R245" s="1"/>
      <c r="S245" s="1"/>
      <c r="T245" s="13"/>
      <c r="U245" s="13"/>
      <c r="V245" s="1"/>
      <c r="W245" s="1"/>
      <c r="X245" s="1"/>
      <c r="Y245" s="1"/>
      <c r="Z245" s="1"/>
      <c r="AA245" s="1"/>
      <c r="AB245" s="1"/>
      <c r="AC245" s="13"/>
      <c r="AD245" s="13"/>
      <c r="AE245" s="13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3"/>
      <c r="BB245" s="1"/>
      <c r="BC245" s="13"/>
      <c r="BD245" s="13"/>
      <c r="BE245" s="1"/>
      <c r="BF245" s="1"/>
      <c r="BG245" s="1"/>
      <c r="BH245" s="1"/>
      <c r="BI245" s="1"/>
      <c r="BJ245" s="1"/>
    </row>
    <row r="246" spans="1:62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3"/>
      <c r="K246" s="13"/>
      <c r="L246" s="1"/>
      <c r="M246" s="1"/>
      <c r="N246" s="1"/>
      <c r="O246" s="1"/>
      <c r="P246" s="1"/>
      <c r="Q246" s="1"/>
      <c r="R246" s="1"/>
      <c r="S246" s="1"/>
      <c r="T246" s="13"/>
      <c r="U246" s="13"/>
      <c r="V246" s="1"/>
      <c r="W246" s="1"/>
      <c r="X246" s="1"/>
      <c r="Y246" s="1"/>
      <c r="Z246" s="1"/>
      <c r="AA246" s="1"/>
      <c r="AB246" s="1"/>
      <c r="AC246" s="13"/>
      <c r="AD246" s="13"/>
      <c r="AE246" s="13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3"/>
      <c r="BB246" s="1"/>
      <c r="BC246" s="13"/>
      <c r="BD246" s="13"/>
      <c r="BE246" s="1"/>
      <c r="BF246" s="1"/>
      <c r="BG246" s="1"/>
      <c r="BH246" s="1"/>
      <c r="BI246" s="1"/>
      <c r="BJ246" s="1"/>
    </row>
    <row r="247" spans="1:62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3"/>
      <c r="K247" s="13"/>
      <c r="L247" s="1"/>
      <c r="M247" s="1"/>
      <c r="N247" s="1"/>
      <c r="O247" s="1"/>
      <c r="P247" s="1"/>
      <c r="Q247" s="1"/>
      <c r="R247" s="1"/>
      <c r="S247" s="1"/>
      <c r="T247" s="13"/>
      <c r="U247" s="13"/>
      <c r="V247" s="1"/>
      <c r="W247" s="1"/>
      <c r="X247" s="1"/>
      <c r="Y247" s="1"/>
      <c r="Z247" s="1"/>
      <c r="AA247" s="1"/>
      <c r="AB247" s="1"/>
      <c r="AC247" s="13"/>
      <c r="AD247" s="13"/>
      <c r="AE247" s="13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3"/>
      <c r="BB247" s="1"/>
      <c r="BC247" s="13"/>
      <c r="BD247" s="13"/>
      <c r="BE247" s="1"/>
      <c r="BF247" s="1"/>
      <c r="BG247" s="1"/>
      <c r="BH247" s="1"/>
      <c r="BI247" s="1"/>
      <c r="BJ247" s="1"/>
    </row>
    <row r="248" spans="1:62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3"/>
      <c r="K248" s="13"/>
      <c r="L248" s="1"/>
      <c r="M248" s="1"/>
      <c r="N248" s="1"/>
      <c r="O248" s="1"/>
      <c r="P248" s="1"/>
      <c r="Q248" s="1"/>
      <c r="R248" s="1"/>
      <c r="S248" s="1"/>
      <c r="T248" s="13"/>
      <c r="U248" s="13"/>
      <c r="V248" s="1"/>
      <c r="W248" s="1"/>
      <c r="X248" s="1"/>
      <c r="Y248" s="1"/>
      <c r="Z248" s="1"/>
      <c r="AA248" s="1"/>
      <c r="AB248" s="1"/>
      <c r="AC248" s="13"/>
      <c r="AD248" s="13"/>
      <c r="AE248" s="13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3"/>
      <c r="BB248" s="1"/>
      <c r="BC248" s="13"/>
      <c r="BD248" s="13"/>
      <c r="BE248" s="1"/>
      <c r="BF248" s="1"/>
      <c r="BG248" s="1"/>
      <c r="BH248" s="1"/>
      <c r="BI248" s="1"/>
      <c r="BJ248" s="1"/>
    </row>
    <row r="249" spans="1:62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3"/>
      <c r="K249" s="13"/>
      <c r="L249" s="1"/>
      <c r="M249" s="1"/>
      <c r="N249" s="1"/>
      <c r="O249" s="1"/>
      <c r="P249" s="1"/>
      <c r="Q249" s="1"/>
      <c r="R249" s="1"/>
      <c r="S249" s="1"/>
      <c r="T249" s="13"/>
      <c r="U249" s="13"/>
      <c r="V249" s="1"/>
      <c r="W249" s="1"/>
      <c r="X249" s="1"/>
      <c r="Y249" s="1"/>
      <c r="Z249" s="1"/>
      <c r="AA249" s="1"/>
      <c r="AB249" s="1"/>
      <c r="AC249" s="13"/>
      <c r="AD249" s="13"/>
      <c r="AE249" s="13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3"/>
      <c r="BB249" s="1"/>
      <c r="BC249" s="13"/>
      <c r="BD249" s="13"/>
      <c r="BE249" s="1"/>
      <c r="BF249" s="1"/>
      <c r="BG249" s="1"/>
      <c r="BH249" s="1"/>
      <c r="BI249" s="1"/>
      <c r="BJ249" s="1"/>
    </row>
    <row r="250" spans="1:62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3"/>
      <c r="K250" s="13"/>
      <c r="L250" s="1"/>
      <c r="M250" s="1"/>
      <c r="N250" s="1"/>
      <c r="O250" s="1"/>
      <c r="P250" s="1"/>
      <c r="Q250" s="1"/>
      <c r="R250" s="1"/>
      <c r="S250" s="1"/>
      <c r="T250" s="13"/>
      <c r="U250" s="13"/>
      <c r="V250" s="1"/>
      <c r="W250" s="1"/>
      <c r="X250" s="1"/>
      <c r="Y250" s="1"/>
      <c r="Z250" s="1"/>
      <c r="AA250" s="1"/>
      <c r="AB250" s="1"/>
      <c r="AC250" s="13"/>
      <c r="AD250" s="13"/>
      <c r="AE250" s="13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3"/>
      <c r="BB250" s="1"/>
      <c r="BC250" s="13"/>
      <c r="BD250" s="13"/>
      <c r="BE250" s="1"/>
      <c r="BF250" s="1"/>
      <c r="BG250" s="1"/>
      <c r="BH250" s="1"/>
      <c r="BI250" s="1"/>
      <c r="BJ250" s="1"/>
    </row>
    <row r="251" spans="1:62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3"/>
      <c r="K251" s="13"/>
      <c r="L251" s="1"/>
      <c r="M251" s="1"/>
      <c r="N251" s="1"/>
      <c r="O251" s="1"/>
      <c r="P251" s="1"/>
      <c r="Q251" s="1"/>
      <c r="R251" s="1"/>
      <c r="S251" s="1"/>
      <c r="T251" s="13"/>
      <c r="U251" s="13"/>
      <c r="V251" s="1"/>
      <c r="W251" s="1"/>
      <c r="X251" s="1"/>
      <c r="Y251" s="1"/>
      <c r="Z251" s="1"/>
      <c r="AA251" s="1"/>
      <c r="AB251" s="1"/>
      <c r="AC251" s="13"/>
      <c r="AD251" s="13"/>
      <c r="AE251" s="13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3"/>
      <c r="BB251" s="1"/>
      <c r="BC251" s="13"/>
      <c r="BD251" s="13"/>
      <c r="BE251" s="1"/>
      <c r="BF251" s="1"/>
      <c r="BG251" s="1"/>
      <c r="BH251" s="1"/>
      <c r="BI251" s="1"/>
      <c r="BJ251" s="1"/>
    </row>
    <row r="252" spans="1:62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3"/>
      <c r="K252" s="13"/>
      <c r="L252" s="1"/>
      <c r="M252" s="1"/>
      <c r="N252" s="1"/>
      <c r="O252" s="1"/>
      <c r="P252" s="1"/>
      <c r="Q252" s="1"/>
      <c r="R252" s="1"/>
      <c r="S252" s="1"/>
      <c r="T252" s="13"/>
      <c r="U252" s="13"/>
      <c r="V252" s="1"/>
      <c r="W252" s="1"/>
      <c r="X252" s="1"/>
      <c r="Y252" s="1"/>
      <c r="Z252" s="1"/>
      <c r="AA252" s="1"/>
      <c r="AB252" s="1"/>
      <c r="AC252" s="13"/>
      <c r="AD252" s="13"/>
      <c r="AE252" s="13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3"/>
      <c r="BB252" s="1"/>
      <c r="BC252" s="13"/>
      <c r="BD252" s="13"/>
      <c r="BE252" s="1"/>
      <c r="BF252" s="1"/>
      <c r="BG252" s="1"/>
      <c r="BH252" s="1"/>
      <c r="BI252" s="1"/>
      <c r="BJ252" s="1"/>
    </row>
    <row r="253" spans="1:62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3"/>
      <c r="K253" s="13"/>
      <c r="L253" s="1"/>
      <c r="M253" s="1"/>
      <c r="N253" s="1"/>
      <c r="O253" s="1"/>
      <c r="P253" s="1"/>
      <c r="Q253" s="1"/>
      <c r="R253" s="1"/>
      <c r="S253" s="1"/>
      <c r="T253" s="13"/>
      <c r="U253" s="13"/>
      <c r="V253" s="1"/>
      <c r="W253" s="1"/>
      <c r="X253" s="1"/>
      <c r="Y253" s="1"/>
      <c r="Z253" s="1"/>
      <c r="AA253" s="1"/>
      <c r="AB253" s="1"/>
      <c r="AC253" s="13"/>
      <c r="AD253" s="13"/>
      <c r="AE253" s="13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3"/>
      <c r="BB253" s="1"/>
      <c r="BC253" s="13"/>
      <c r="BD253" s="13"/>
      <c r="BE253" s="1"/>
      <c r="BF253" s="1"/>
      <c r="BG253" s="1"/>
      <c r="BH253" s="1"/>
      <c r="BI253" s="1"/>
      <c r="BJ253" s="1"/>
    </row>
    <row r="254" spans="1:62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3"/>
      <c r="K254" s="13"/>
      <c r="L254" s="1"/>
      <c r="M254" s="1"/>
      <c r="N254" s="1"/>
      <c r="O254" s="1"/>
      <c r="P254" s="1"/>
      <c r="Q254" s="1"/>
      <c r="R254" s="1"/>
      <c r="S254" s="1"/>
      <c r="T254" s="13"/>
      <c r="U254" s="13"/>
      <c r="V254" s="1"/>
      <c r="W254" s="1"/>
      <c r="X254" s="1"/>
      <c r="Y254" s="1"/>
      <c r="Z254" s="1"/>
      <c r="AA254" s="1"/>
      <c r="AB254" s="1"/>
      <c r="AC254" s="13"/>
      <c r="AD254" s="13"/>
      <c r="AE254" s="13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3"/>
      <c r="BB254" s="1"/>
      <c r="BC254" s="13"/>
      <c r="BD254" s="13"/>
      <c r="BE254" s="1"/>
      <c r="BF254" s="1"/>
      <c r="BG254" s="1"/>
      <c r="BH254" s="1"/>
      <c r="BI254" s="1"/>
      <c r="BJ254" s="1"/>
    </row>
    <row r="255" spans="1:62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3"/>
      <c r="K255" s="13"/>
      <c r="L255" s="1"/>
      <c r="M255" s="1"/>
      <c r="N255" s="1"/>
      <c r="O255" s="1"/>
      <c r="P255" s="1"/>
      <c r="Q255" s="1"/>
      <c r="R255" s="1"/>
      <c r="S255" s="1"/>
      <c r="T255" s="13"/>
      <c r="U255" s="13"/>
      <c r="V255" s="1"/>
      <c r="W255" s="1"/>
      <c r="X255" s="1"/>
      <c r="Y255" s="1"/>
      <c r="Z255" s="1"/>
      <c r="AA255" s="1"/>
      <c r="AB255" s="1"/>
      <c r="AC255" s="13"/>
      <c r="AD255" s="13"/>
      <c r="AE255" s="13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3"/>
      <c r="BB255" s="1"/>
      <c r="BC255" s="13"/>
      <c r="BD255" s="13"/>
      <c r="BE255" s="1"/>
      <c r="BF255" s="1"/>
      <c r="BG255" s="1"/>
      <c r="BH255" s="1"/>
      <c r="BI255" s="1"/>
      <c r="BJ255" s="1"/>
    </row>
    <row r="256" spans="1:62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3"/>
      <c r="K256" s="13"/>
      <c r="L256" s="1"/>
      <c r="M256" s="1"/>
      <c r="N256" s="1"/>
      <c r="O256" s="1"/>
      <c r="P256" s="1"/>
      <c r="Q256" s="1"/>
      <c r="R256" s="1"/>
      <c r="S256" s="1"/>
      <c r="T256" s="13"/>
      <c r="U256" s="13"/>
      <c r="V256" s="1"/>
      <c r="W256" s="1"/>
      <c r="X256" s="1"/>
      <c r="Y256" s="1"/>
      <c r="Z256" s="1"/>
      <c r="AA256" s="1"/>
      <c r="AB256" s="1"/>
      <c r="AC256" s="13"/>
      <c r="AD256" s="13"/>
      <c r="AE256" s="13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3"/>
      <c r="BB256" s="1"/>
      <c r="BC256" s="13"/>
      <c r="BD256" s="13"/>
      <c r="BE256" s="1"/>
      <c r="BF256" s="1"/>
      <c r="BG256" s="1"/>
      <c r="BH256" s="1"/>
      <c r="BI256" s="1"/>
      <c r="BJ256" s="1"/>
    </row>
    <row r="257" spans="1:62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3"/>
      <c r="K257" s="13"/>
      <c r="L257" s="1"/>
      <c r="M257" s="1"/>
      <c r="N257" s="1"/>
      <c r="O257" s="1"/>
      <c r="P257" s="1"/>
      <c r="Q257" s="1"/>
      <c r="R257" s="1"/>
      <c r="S257" s="1"/>
      <c r="T257" s="13"/>
      <c r="U257" s="13"/>
      <c r="V257" s="1"/>
      <c r="W257" s="1"/>
      <c r="X257" s="1"/>
      <c r="Y257" s="1"/>
      <c r="Z257" s="1"/>
      <c r="AA257" s="1"/>
      <c r="AB257" s="1"/>
      <c r="AC257" s="13"/>
      <c r="AD257" s="13"/>
      <c r="AE257" s="13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3"/>
      <c r="BB257" s="1"/>
      <c r="BC257" s="13"/>
      <c r="BD257" s="13"/>
      <c r="BE257" s="1"/>
      <c r="BF257" s="1"/>
      <c r="BG257" s="1"/>
      <c r="BH257" s="1"/>
      <c r="BI257" s="1"/>
      <c r="BJ257" s="1"/>
    </row>
    <row r="258" spans="1:62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3"/>
      <c r="K258" s="13"/>
      <c r="L258" s="1"/>
      <c r="M258" s="1"/>
      <c r="N258" s="1"/>
      <c r="O258" s="1"/>
      <c r="P258" s="1"/>
      <c r="Q258" s="1"/>
      <c r="R258" s="1"/>
      <c r="S258" s="1"/>
      <c r="T258" s="13"/>
      <c r="U258" s="13"/>
      <c r="V258" s="1"/>
      <c r="W258" s="1"/>
      <c r="X258" s="1"/>
      <c r="Y258" s="1"/>
      <c r="Z258" s="1"/>
      <c r="AA258" s="1"/>
      <c r="AB258" s="1"/>
      <c r="AC258" s="13"/>
      <c r="AD258" s="13"/>
      <c r="AE258" s="13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3"/>
      <c r="BB258" s="1"/>
      <c r="BC258" s="13"/>
      <c r="BD258" s="13"/>
      <c r="BE258" s="1"/>
      <c r="BF258" s="1"/>
      <c r="BG258" s="1"/>
      <c r="BH258" s="1"/>
      <c r="BI258" s="1"/>
      <c r="BJ258" s="1"/>
    </row>
    <row r="259" spans="1:62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3"/>
      <c r="K259" s="13"/>
      <c r="L259" s="1"/>
      <c r="M259" s="1"/>
      <c r="N259" s="1"/>
      <c r="O259" s="1"/>
      <c r="P259" s="1"/>
      <c r="Q259" s="1"/>
      <c r="R259" s="1"/>
      <c r="S259" s="1"/>
      <c r="T259" s="13"/>
      <c r="U259" s="13"/>
      <c r="V259" s="1"/>
      <c r="W259" s="1"/>
      <c r="X259" s="1"/>
      <c r="Y259" s="1"/>
      <c r="Z259" s="1"/>
      <c r="AA259" s="1"/>
      <c r="AB259" s="1"/>
      <c r="AC259" s="13"/>
      <c r="AD259" s="13"/>
      <c r="AE259" s="13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3"/>
      <c r="BB259" s="1"/>
      <c r="BC259" s="13"/>
      <c r="BD259" s="13"/>
      <c r="BE259" s="1"/>
      <c r="BF259" s="1"/>
      <c r="BG259" s="1"/>
      <c r="BH259" s="1"/>
      <c r="BI259" s="1"/>
      <c r="BJ259" s="1"/>
    </row>
    <row r="260" spans="1:62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3"/>
      <c r="K260" s="13"/>
      <c r="L260" s="1"/>
      <c r="M260" s="1"/>
      <c r="N260" s="1"/>
      <c r="O260" s="1"/>
      <c r="P260" s="1"/>
      <c r="Q260" s="1"/>
      <c r="R260" s="1"/>
      <c r="S260" s="1"/>
      <c r="T260" s="13"/>
      <c r="U260" s="13"/>
      <c r="V260" s="1"/>
      <c r="W260" s="1"/>
      <c r="X260" s="1"/>
      <c r="Y260" s="1"/>
      <c r="Z260" s="1"/>
      <c r="AA260" s="1"/>
      <c r="AB260" s="1"/>
      <c r="AC260" s="13"/>
      <c r="AD260" s="13"/>
      <c r="AE260" s="13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3"/>
      <c r="BB260" s="1"/>
      <c r="BC260" s="13"/>
      <c r="BD260" s="13"/>
      <c r="BE260" s="1"/>
      <c r="BF260" s="1"/>
      <c r="BG260" s="1"/>
      <c r="BH260" s="1"/>
      <c r="BI260" s="1"/>
      <c r="BJ260" s="1"/>
    </row>
    <row r="261" spans="1:62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3"/>
      <c r="K261" s="13"/>
      <c r="L261" s="1"/>
      <c r="M261" s="1"/>
      <c r="N261" s="1"/>
      <c r="O261" s="1"/>
      <c r="P261" s="1"/>
      <c r="Q261" s="1"/>
      <c r="R261" s="1"/>
      <c r="S261" s="1"/>
      <c r="T261" s="13"/>
      <c r="U261" s="13"/>
      <c r="V261" s="1"/>
      <c r="W261" s="1"/>
      <c r="X261" s="1"/>
      <c r="Y261" s="1"/>
      <c r="Z261" s="1"/>
      <c r="AA261" s="1"/>
      <c r="AB261" s="1"/>
      <c r="AC261" s="13"/>
      <c r="AD261" s="13"/>
      <c r="AE261" s="13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3"/>
      <c r="BB261" s="1"/>
      <c r="BC261" s="13"/>
      <c r="BD261" s="13"/>
      <c r="BE261" s="1"/>
      <c r="BF261" s="1"/>
      <c r="BG261" s="1"/>
      <c r="BH261" s="1"/>
      <c r="BI261" s="1"/>
      <c r="BJ261" s="1"/>
    </row>
    <row r="262" spans="1:62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3"/>
      <c r="K262" s="13"/>
      <c r="L262" s="1"/>
      <c r="M262" s="1"/>
      <c r="N262" s="1"/>
      <c r="O262" s="1"/>
      <c r="P262" s="1"/>
      <c r="Q262" s="1"/>
      <c r="R262" s="1"/>
      <c r="S262" s="1"/>
      <c r="T262" s="13"/>
      <c r="U262" s="13"/>
      <c r="V262" s="1"/>
      <c r="W262" s="1"/>
      <c r="X262" s="1"/>
      <c r="Y262" s="1"/>
      <c r="Z262" s="1"/>
      <c r="AA262" s="1"/>
      <c r="AB262" s="1"/>
      <c r="AC262" s="13"/>
      <c r="AD262" s="13"/>
      <c r="AE262" s="13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3"/>
      <c r="BB262" s="1"/>
      <c r="BC262" s="13"/>
      <c r="BD262" s="13"/>
      <c r="BE262" s="1"/>
      <c r="BF262" s="1"/>
      <c r="BG262" s="1"/>
      <c r="BH262" s="1"/>
      <c r="BI262" s="1"/>
      <c r="BJ262" s="1"/>
    </row>
    <row r="263" spans="1:62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3"/>
      <c r="K263" s="13"/>
      <c r="L263" s="1"/>
      <c r="M263" s="1"/>
      <c r="N263" s="1"/>
      <c r="O263" s="1"/>
      <c r="P263" s="1"/>
      <c r="Q263" s="1"/>
      <c r="R263" s="1"/>
      <c r="S263" s="1"/>
      <c r="T263" s="13"/>
      <c r="U263" s="13"/>
      <c r="V263" s="1"/>
      <c r="W263" s="1"/>
      <c r="X263" s="1"/>
      <c r="Y263" s="1"/>
      <c r="Z263" s="1"/>
      <c r="AA263" s="1"/>
      <c r="AB263" s="1"/>
      <c r="AC263" s="13"/>
      <c r="AD263" s="13"/>
      <c r="AE263" s="13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3"/>
      <c r="BB263" s="1"/>
      <c r="BC263" s="13"/>
      <c r="BD263" s="13"/>
      <c r="BE263" s="1"/>
      <c r="BF263" s="1"/>
      <c r="BG263" s="1"/>
      <c r="BH263" s="1"/>
      <c r="BI263" s="1"/>
      <c r="BJ263" s="1"/>
    </row>
    <row r="264" spans="1:62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3"/>
      <c r="K264" s="13"/>
      <c r="L264" s="1"/>
      <c r="M264" s="1"/>
      <c r="N264" s="1"/>
      <c r="O264" s="1"/>
      <c r="P264" s="1"/>
      <c r="Q264" s="1"/>
      <c r="R264" s="1"/>
      <c r="S264" s="1"/>
      <c r="T264" s="13"/>
      <c r="U264" s="13"/>
      <c r="V264" s="1"/>
      <c r="W264" s="1"/>
      <c r="X264" s="1"/>
      <c r="Y264" s="1"/>
      <c r="Z264" s="1"/>
      <c r="AA264" s="1"/>
      <c r="AB264" s="1"/>
      <c r="AC264" s="13"/>
      <c r="AD264" s="13"/>
      <c r="AE264" s="13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3"/>
      <c r="BB264" s="1"/>
      <c r="BC264" s="13"/>
      <c r="BD264" s="13"/>
      <c r="BE264" s="1"/>
      <c r="BF264" s="1"/>
      <c r="BG264" s="1"/>
      <c r="BH264" s="1"/>
      <c r="BI264" s="1"/>
      <c r="BJ264" s="1"/>
    </row>
    <row r="265" spans="1:62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3"/>
      <c r="K265" s="13"/>
      <c r="L265" s="1"/>
      <c r="M265" s="1"/>
      <c r="N265" s="1"/>
      <c r="O265" s="1"/>
      <c r="P265" s="1"/>
      <c r="Q265" s="1"/>
      <c r="R265" s="1"/>
      <c r="S265" s="1"/>
      <c r="T265" s="13"/>
      <c r="U265" s="13"/>
      <c r="V265" s="1"/>
      <c r="W265" s="1"/>
      <c r="X265" s="1"/>
      <c r="Y265" s="1"/>
      <c r="Z265" s="1"/>
      <c r="AA265" s="1"/>
      <c r="AB265" s="1"/>
      <c r="AC265" s="13"/>
      <c r="AD265" s="13"/>
      <c r="AE265" s="13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3"/>
      <c r="BB265" s="1"/>
      <c r="BC265" s="13"/>
      <c r="BD265" s="13"/>
      <c r="BE265" s="1"/>
      <c r="BF265" s="1"/>
      <c r="BG265" s="1"/>
      <c r="BH265" s="1"/>
      <c r="BI265" s="1"/>
      <c r="BJ265" s="1"/>
    </row>
    <row r="266" spans="1:62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3"/>
      <c r="K266" s="13"/>
      <c r="L266" s="1"/>
      <c r="M266" s="1"/>
      <c r="N266" s="1"/>
      <c r="O266" s="1"/>
      <c r="P266" s="1"/>
      <c r="Q266" s="1"/>
      <c r="R266" s="1"/>
      <c r="S266" s="1"/>
      <c r="T266" s="13"/>
      <c r="U266" s="13"/>
      <c r="V266" s="1"/>
      <c r="W266" s="1"/>
      <c r="X266" s="1"/>
      <c r="Y266" s="1"/>
      <c r="Z266" s="1"/>
      <c r="AA266" s="1"/>
      <c r="AB266" s="1"/>
      <c r="AC266" s="13"/>
      <c r="AD266" s="13"/>
      <c r="AE266" s="13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3"/>
      <c r="BB266" s="1"/>
      <c r="BC266" s="13"/>
      <c r="BD266" s="13"/>
      <c r="BE266" s="1"/>
      <c r="BF266" s="1"/>
      <c r="BG266" s="1"/>
      <c r="BH266" s="1"/>
      <c r="BI266" s="1"/>
      <c r="BJ266" s="1"/>
    </row>
    <row r="267" spans="1:62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3"/>
      <c r="K267" s="13"/>
      <c r="L267" s="1"/>
      <c r="M267" s="1"/>
      <c r="N267" s="1"/>
      <c r="O267" s="1"/>
      <c r="P267" s="1"/>
      <c r="Q267" s="1"/>
      <c r="R267" s="1"/>
      <c r="S267" s="1"/>
      <c r="T267" s="13"/>
      <c r="U267" s="13"/>
      <c r="V267" s="1"/>
      <c r="W267" s="1"/>
      <c r="X267" s="1"/>
      <c r="Y267" s="1"/>
      <c r="Z267" s="1"/>
      <c r="AA267" s="1"/>
      <c r="AB267" s="1"/>
      <c r="AC267" s="13"/>
      <c r="AD267" s="13"/>
      <c r="AE267" s="13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3"/>
      <c r="BB267" s="1"/>
      <c r="BC267" s="13"/>
      <c r="BD267" s="13"/>
      <c r="BE267" s="1"/>
      <c r="BF267" s="1"/>
      <c r="BG267" s="1"/>
      <c r="BH267" s="1"/>
      <c r="BI267" s="1"/>
      <c r="BJ267" s="1"/>
    </row>
    <row r="268" spans="1:62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3"/>
      <c r="K268" s="13"/>
      <c r="L268" s="1"/>
      <c r="M268" s="1"/>
      <c r="N268" s="1"/>
      <c r="O268" s="1"/>
      <c r="P268" s="1"/>
      <c r="Q268" s="1"/>
      <c r="R268" s="1"/>
      <c r="S268" s="1"/>
      <c r="T268" s="13"/>
      <c r="U268" s="13"/>
      <c r="V268" s="1"/>
      <c r="W268" s="1"/>
      <c r="X268" s="1"/>
      <c r="Y268" s="1"/>
      <c r="Z268" s="1"/>
      <c r="AA268" s="1"/>
      <c r="AB268" s="1"/>
      <c r="AC268" s="13"/>
      <c r="AD268" s="13"/>
      <c r="AE268" s="13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3"/>
      <c r="BB268" s="1"/>
      <c r="BC268" s="13"/>
      <c r="BD268" s="13"/>
      <c r="BE268" s="1"/>
      <c r="BF268" s="1"/>
      <c r="BG268" s="1"/>
      <c r="BH268" s="1"/>
      <c r="BI268" s="1"/>
      <c r="BJ268" s="1"/>
    </row>
    <row r="269" spans="1:62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3"/>
      <c r="K269" s="13"/>
      <c r="L269" s="1"/>
      <c r="M269" s="1"/>
      <c r="N269" s="1"/>
      <c r="O269" s="1"/>
      <c r="P269" s="1"/>
      <c r="Q269" s="1"/>
      <c r="R269" s="1"/>
      <c r="S269" s="1"/>
      <c r="T269" s="13"/>
      <c r="U269" s="13"/>
      <c r="V269" s="1"/>
      <c r="W269" s="1"/>
      <c r="X269" s="1"/>
      <c r="Y269" s="1"/>
      <c r="Z269" s="1"/>
      <c r="AA269" s="1"/>
      <c r="AB269" s="1"/>
      <c r="AC269" s="13"/>
      <c r="AD269" s="13"/>
      <c r="AE269" s="13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3"/>
      <c r="BB269" s="1"/>
      <c r="BC269" s="13"/>
      <c r="BD269" s="13"/>
      <c r="BE269" s="1"/>
      <c r="BF269" s="1"/>
      <c r="BG269" s="1"/>
      <c r="BH269" s="1"/>
      <c r="BI269" s="1"/>
      <c r="BJ269" s="1"/>
    </row>
    <row r="270" spans="1:62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3"/>
      <c r="K270" s="13"/>
      <c r="L270" s="1"/>
      <c r="M270" s="1"/>
      <c r="N270" s="1"/>
      <c r="O270" s="1"/>
      <c r="P270" s="1"/>
      <c r="Q270" s="1"/>
      <c r="R270" s="1"/>
      <c r="S270" s="1"/>
      <c r="T270" s="13"/>
      <c r="U270" s="13"/>
      <c r="V270" s="1"/>
      <c r="W270" s="1"/>
      <c r="X270" s="1"/>
      <c r="Y270" s="1"/>
      <c r="Z270" s="1"/>
      <c r="AA270" s="1"/>
      <c r="AB270" s="1"/>
      <c r="AC270" s="13"/>
      <c r="AD270" s="13"/>
      <c r="AE270" s="13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3"/>
      <c r="BB270" s="1"/>
      <c r="BC270" s="13"/>
      <c r="BD270" s="13"/>
      <c r="BE270" s="1"/>
      <c r="BF270" s="1"/>
      <c r="BG270" s="1"/>
      <c r="BH270" s="1"/>
      <c r="BI270" s="1"/>
      <c r="BJ270" s="1"/>
    </row>
    <row r="271" spans="1:62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3"/>
      <c r="K271" s="13"/>
      <c r="L271" s="1"/>
      <c r="M271" s="1"/>
      <c r="N271" s="1"/>
      <c r="O271" s="1"/>
      <c r="P271" s="1"/>
      <c r="Q271" s="1"/>
      <c r="R271" s="1"/>
      <c r="S271" s="1"/>
      <c r="T271" s="13"/>
      <c r="U271" s="13"/>
      <c r="V271" s="1"/>
      <c r="W271" s="1"/>
      <c r="X271" s="1"/>
      <c r="Y271" s="1"/>
      <c r="Z271" s="1"/>
      <c r="AA271" s="1"/>
      <c r="AB271" s="1"/>
      <c r="AC271" s="13"/>
      <c r="AD271" s="13"/>
      <c r="AE271" s="13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3"/>
      <c r="BB271" s="1"/>
      <c r="BC271" s="13"/>
      <c r="BD271" s="13"/>
      <c r="BE271" s="1"/>
      <c r="BF271" s="1"/>
      <c r="BG271" s="1"/>
      <c r="BH271" s="1"/>
      <c r="BI271" s="1"/>
      <c r="BJ271" s="1"/>
    </row>
    <row r="272" spans="1:62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3"/>
      <c r="K272" s="13"/>
      <c r="L272" s="1"/>
      <c r="M272" s="1"/>
      <c r="N272" s="1"/>
      <c r="O272" s="1"/>
      <c r="P272" s="1"/>
      <c r="Q272" s="1"/>
      <c r="R272" s="1"/>
      <c r="S272" s="1"/>
      <c r="T272" s="13"/>
      <c r="U272" s="13"/>
      <c r="V272" s="1"/>
      <c r="W272" s="1"/>
      <c r="X272" s="1"/>
      <c r="Y272" s="1"/>
      <c r="Z272" s="1"/>
      <c r="AA272" s="1"/>
      <c r="AB272" s="1"/>
      <c r="AC272" s="13"/>
      <c r="AD272" s="13"/>
      <c r="AE272" s="13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3"/>
      <c r="BB272" s="1"/>
      <c r="BC272" s="13"/>
      <c r="BD272" s="13"/>
      <c r="BE272" s="1"/>
      <c r="BF272" s="1"/>
      <c r="BG272" s="1"/>
      <c r="BH272" s="1"/>
      <c r="BI272" s="1"/>
      <c r="BJ272" s="1"/>
    </row>
    <row r="273" spans="1:62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3"/>
      <c r="K273" s="13"/>
      <c r="L273" s="1"/>
      <c r="M273" s="1"/>
      <c r="N273" s="1"/>
      <c r="O273" s="1"/>
      <c r="P273" s="1"/>
      <c r="Q273" s="1"/>
      <c r="R273" s="1"/>
      <c r="S273" s="1"/>
      <c r="T273" s="13"/>
      <c r="U273" s="13"/>
      <c r="V273" s="1"/>
      <c r="W273" s="1"/>
      <c r="X273" s="1"/>
      <c r="Y273" s="1"/>
      <c r="Z273" s="1"/>
      <c r="AA273" s="1"/>
      <c r="AB273" s="1"/>
      <c r="AC273" s="13"/>
      <c r="AD273" s="13"/>
      <c r="AE273" s="13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3"/>
      <c r="BB273" s="1"/>
      <c r="BC273" s="13"/>
      <c r="BD273" s="13"/>
      <c r="BE273" s="1"/>
      <c r="BF273" s="1"/>
      <c r="BG273" s="1"/>
      <c r="BH273" s="1"/>
      <c r="BI273" s="1"/>
      <c r="BJ273" s="1"/>
    </row>
    <row r="274" spans="1:62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3"/>
      <c r="K274" s="13"/>
      <c r="L274" s="1"/>
      <c r="M274" s="1"/>
      <c r="N274" s="1"/>
      <c r="O274" s="1"/>
      <c r="P274" s="1"/>
      <c r="Q274" s="1"/>
      <c r="R274" s="1"/>
      <c r="S274" s="1"/>
      <c r="T274" s="13"/>
      <c r="U274" s="13"/>
      <c r="V274" s="1"/>
      <c r="W274" s="1"/>
      <c r="X274" s="1"/>
      <c r="Y274" s="1"/>
      <c r="Z274" s="1"/>
      <c r="AA274" s="1"/>
      <c r="AB274" s="1"/>
      <c r="AC274" s="13"/>
      <c r="AD274" s="13"/>
      <c r="AE274" s="13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3"/>
      <c r="BB274" s="1"/>
      <c r="BC274" s="13"/>
      <c r="BD274" s="13"/>
      <c r="BE274" s="1"/>
      <c r="BF274" s="1"/>
      <c r="BG274" s="1"/>
      <c r="BH274" s="1"/>
      <c r="BI274" s="1"/>
      <c r="BJ274" s="1"/>
    </row>
    <row r="275" spans="1:62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3"/>
      <c r="K275" s="13"/>
      <c r="L275" s="1"/>
      <c r="M275" s="1"/>
      <c r="N275" s="1"/>
      <c r="O275" s="1"/>
      <c r="P275" s="1"/>
      <c r="Q275" s="1"/>
      <c r="R275" s="1"/>
      <c r="S275" s="1"/>
      <c r="T275" s="13"/>
      <c r="U275" s="13"/>
      <c r="V275" s="1"/>
      <c r="W275" s="1"/>
      <c r="X275" s="1"/>
      <c r="Y275" s="1"/>
      <c r="Z275" s="1"/>
      <c r="AA275" s="1"/>
      <c r="AB275" s="1"/>
      <c r="AC275" s="13"/>
      <c r="AD275" s="13"/>
      <c r="AE275" s="13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3"/>
      <c r="BB275" s="1"/>
      <c r="BC275" s="13"/>
      <c r="BD275" s="13"/>
      <c r="BE275" s="1"/>
      <c r="BF275" s="1"/>
      <c r="BG275" s="1"/>
      <c r="BH275" s="1"/>
      <c r="BI275" s="1"/>
      <c r="BJ275" s="1"/>
    </row>
    <row r="276" spans="1:62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3"/>
      <c r="K276" s="13"/>
      <c r="L276" s="1"/>
      <c r="M276" s="1"/>
      <c r="N276" s="1"/>
      <c r="O276" s="1"/>
      <c r="P276" s="1"/>
      <c r="Q276" s="1"/>
      <c r="R276" s="1"/>
      <c r="S276" s="1"/>
      <c r="T276" s="13"/>
      <c r="U276" s="13"/>
      <c r="V276" s="1"/>
      <c r="W276" s="1"/>
      <c r="X276" s="1"/>
      <c r="Y276" s="1"/>
      <c r="Z276" s="1"/>
      <c r="AA276" s="1"/>
      <c r="AB276" s="1"/>
      <c r="AC276" s="13"/>
      <c r="AD276" s="13"/>
      <c r="AE276" s="13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3"/>
      <c r="BB276" s="1"/>
      <c r="BC276" s="13"/>
      <c r="BD276" s="13"/>
      <c r="BE276" s="1"/>
      <c r="BF276" s="1"/>
      <c r="BG276" s="1"/>
      <c r="BH276" s="1"/>
      <c r="BI276" s="1"/>
      <c r="BJ276" s="1"/>
    </row>
    <row r="277" spans="1:62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3"/>
      <c r="K277" s="13"/>
      <c r="L277" s="1"/>
      <c r="M277" s="1"/>
      <c r="N277" s="1"/>
      <c r="O277" s="1"/>
      <c r="P277" s="1"/>
      <c r="Q277" s="1"/>
      <c r="R277" s="1"/>
      <c r="S277" s="1"/>
      <c r="T277" s="13"/>
      <c r="U277" s="13"/>
      <c r="V277" s="1"/>
      <c r="W277" s="1"/>
      <c r="X277" s="1"/>
      <c r="Y277" s="1"/>
      <c r="Z277" s="1"/>
      <c r="AA277" s="1"/>
      <c r="AB277" s="1"/>
      <c r="AC277" s="13"/>
      <c r="AD277" s="13"/>
      <c r="AE277" s="13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3"/>
      <c r="BB277" s="1"/>
      <c r="BC277" s="13"/>
      <c r="BD277" s="13"/>
      <c r="BE277" s="1"/>
      <c r="BF277" s="1"/>
      <c r="BG277" s="1"/>
      <c r="BH277" s="1"/>
      <c r="BI277" s="1"/>
      <c r="BJ277" s="1"/>
    </row>
    <row r="278" spans="1:62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3"/>
      <c r="K278" s="13"/>
      <c r="L278" s="1"/>
      <c r="M278" s="1"/>
      <c r="N278" s="1"/>
      <c r="O278" s="1"/>
      <c r="P278" s="1"/>
      <c r="Q278" s="1"/>
      <c r="R278" s="1"/>
      <c r="S278" s="1"/>
      <c r="T278" s="13"/>
      <c r="U278" s="13"/>
      <c r="V278" s="1"/>
      <c r="W278" s="1"/>
      <c r="X278" s="1"/>
      <c r="Y278" s="1"/>
      <c r="Z278" s="1"/>
      <c r="AA278" s="1"/>
      <c r="AB278" s="1"/>
      <c r="AC278" s="13"/>
      <c r="AD278" s="13"/>
      <c r="AE278" s="13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3"/>
      <c r="BB278" s="1"/>
      <c r="BC278" s="13"/>
      <c r="BD278" s="13"/>
      <c r="BE278" s="1"/>
      <c r="BF278" s="1"/>
      <c r="BG278" s="1"/>
      <c r="BH278" s="1"/>
      <c r="BI278" s="1"/>
      <c r="BJ278" s="1"/>
    </row>
    <row r="279" spans="1:62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3"/>
      <c r="K279" s="13"/>
      <c r="L279" s="1"/>
      <c r="M279" s="1"/>
      <c r="N279" s="1"/>
      <c r="O279" s="1"/>
      <c r="P279" s="1"/>
      <c r="Q279" s="1"/>
      <c r="R279" s="1"/>
      <c r="S279" s="1"/>
      <c r="T279" s="13"/>
      <c r="U279" s="13"/>
      <c r="V279" s="1"/>
      <c r="W279" s="1"/>
      <c r="X279" s="1"/>
      <c r="Y279" s="1"/>
      <c r="Z279" s="1"/>
      <c r="AA279" s="1"/>
      <c r="AB279" s="1"/>
      <c r="AC279" s="13"/>
      <c r="AD279" s="13"/>
      <c r="AE279" s="13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3"/>
      <c r="BB279" s="1"/>
      <c r="BC279" s="13"/>
      <c r="BD279" s="13"/>
      <c r="BE279" s="1"/>
      <c r="BF279" s="1"/>
      <c r="BG279" s="1"/>
      <c r="BH279" s="1"/>
      <c r="BI279" s="1"/>
      <c r="BJ279" s="1"/>
    </row>
    <row r="280" spans="1:62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3"/>
      <c r="K280" s="13"/>
      <c r="L280" s="1"/>
      <c r="M280" s="1"/>
      <c r="N280" s="1"/>
      <c r="O280" s="1"/>
      <c r="P280" s="1"/>
      <c r="Q280" s="1"/>
      <c r="R280" s="1"/>
      <c r="S280" s="1"/>
      <c r="T280" s="13"/>
      <c r="U280" s="13"/>
      <c r="V280" s="1"/>
      <c r="W280" s="1"/>
      <c r="X280" s="1"/>
      <c r="Y280" s="1"/>
      <c r="Z280" s="1"/>
      <c r="AA280" s="1"/>
      <c r="AB280" s="1"/>
      <c r="AC280" s="13"/>
      <c r="AD280" s="13"/>
      <c r="AE280" s="13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3"/>
      <c r="BB280" s="1"/>
      <c r="BC280" s="13"/>
      <c r="BD280" s="13"/>
      <c r="BE280" s="1"/>
      <c r="BF280" s="1"/>
      <c r="BG280" s="1"/>
      <c r="BH280" s="1"/>
      <c r="BI280" s="1"/>
      <c r="BJ280" s="1"/>
    </row>
    <row r="281" spans="1:62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3"/>
      <c r="K281" s="13"/>
      <c r="L281" s="1"/>
      <c r="M281" s="1"/>
      <c r="N281" s="1"/>
      <c r="O281" s="1"/>
      <c r="P281" s="1"/>
      <c r="Q281" s="1"/>
      <c r="R281" s="1"/>
      <c r="S281" s="1"/>
      <c r="T281" s="13"/>
      <c r="U281" s="13"/>
      <c r="V281" s="1"/>
      <c r="W281" s="1"/>
      <c r="X281" s="1"/>
      <c r="Y281" s="1"/>
      <c r="Z281" s="1"/>
      <c r="AA281" s="1"/>
      <c r="AB281" s="1"/>
      <c r="AC281" s="13"/>
      <c r="AD281" s="13"/>
      <c r="AE281" s="13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3"/>
      <c r="BB281" s="1"/>
      <c r="BC281" s="13"/>
      <c r="BD281" s="13"/>
      <c r="BE281" s="1"/>
      <c r="BF281" s="1"/>
      <c r="BG281" s="1"/>
      <c r="BH281" s="1"/>
      <c r="BI281" s="1"/>
      <c r="BJ281" s="1"/>
    </row>
    <row r="282" spans="1:62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3"/>
      <c r="K282" s="13"/>
      <c r="L282" s="1"/>
      <c r="M282" s="1"/>
      <c r="N282" s="1"/>
      <c r="O282" s="1"/>
      <c r="P282" s="1"/>
      <c r="Q282" s="1"/>
      <c r="R282" s="1"/>
      <c r="S282" s="1"/>
      <c r="T282" s="13"/>
      <c r="U282" s="13"/>
      <c r="V282" s="1"/>
      <c r="W282" s="1"/>
      <c r="X282" s="1"/>
      <c r="Y282" s="1"/>
      <c r="Z282" s="1"/>
      <c r="AA282" s="1"/>
      <c r="AB282" s="1"/>
      <c r="AC282" s="13"/>
      <c r="AD282" s="13"/>
      <c r="AE282" s="13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3"/>
      <c r="BB282" s="1"/>
      <c r="BC282" s="13"/>
      <c r="BD282" s="13"/>
      <c r="BE282" s="1"/>
      <c r="BF282" s="1"/>
      <c r="BG282" s="1"/>
      <c r="BH282" s="1"/>
      <c r="BI282" s="1"/>
      <c r="BJ282" s="1"/>
    </row>
    <row r="283" spans="1:62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3"/>
      <c r="K283" s="13"/>
      <c r="L283" s="1"/>
      <c r="M283" s="1"/>
      <c r="N283" s="1"/>
      <c r="O283" s="1"/>
      <c r="P283" s="1"/>
      <c r="Q283" s="1"/>
      <c r="R283" s="1"/>
      <c r="S283" s="1"/>
      <c r="T283" s="13"/>
      <c r="U283" s="13"/>
      <c r="V283" s="1"/>
      <c r="W283" s="1"/>
      <c r="X283" s="1"/>
      <c r="Y283" s="1"/>
      <c r="Z283" s="1"/>
      <c r="AA283" s="1"/>
      <c r="AB283" s="1"/>
      <c r="AC283" s="13"/>
      <c r="AD283" s="13"/>
      <c r="AE283" s="13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3"/>
      <c r="BB283" s="1"/>
      <c r="BC283" s="13"/>
      <c r="BD283" s="13"/>
      <c r="BE283" s="1"/>
      <c r="BF283" s="1"/>
      <c r="BG283" s="1"/>
      <c r="BH283" s="1"/>
      <c r="BI283" s="1"/>
      <c r="BJ283" s="1"/>
    </row>
    <row r="284" spans="1:62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3"/>
      <c r="K284" s="13"/>
      <c r="L284" s="1"/>
      <c r="M284" s="1"/>
      <c r="N284" s="1"/>
      <c r="O284" s="1"/>
      <c r="P284" s="1"/>
      <c r="Q284" s="1"/>
      <c r="R284" s="1"/>
      <c r="S284" s="1"/>
      <c r="T284" s="13"/>
      <c r="U284" s="13"/>
      <c r="V284" s="1"/>
      <c r="W284" s="1"/>
      <c r="X284" s="1"/>
      <c r="Y284" s="1"/>
      <c r="Z284" s="1"/>
      <c r="AA284" s="1"/>
      <c r="AB284" s="1"/>
      <c r="AC284" s="13"/>
      <c r="AD284" s="13"/>
      <c r="AE284" s="13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3"/>
      <c r="BB284" s="1"/>
      <c r="BC284" s="13"/>
      <c r="BD284" s="13"/>
      <c r="BE284" s="1"/>
      <c r="BF284" s="1"/>
      <c r="BG284" s="1"/>
      <c r="BH284" s="1"/>
      <c r="BI284" s="1"/>
      <c r="BJ284" s="1"/>
    </row>
    <row r="285" spans="1:62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3"/>
      <c r="K285" s="13"/>
      <c r="L285" s="1"/>
      <c r="M285" s="1"/>
      <c r="N285" s="1"/>
      <c r="O285" s="1"/>
      <c r="P285" s="1"/>
      <c r="Q285" s="1"/>
      <c r="R285" s="1"/>
      <c r="S285" s="1"/>
      <c r="T285" s="13"/>
      <c r="U285" s="13"/>
      <c r="V285" s="1"/>
      <c r="W285" s="1"/>
      <c r="X285" s="1"/>
      <c r="Y285" s="1"/>
      <c r="Z285" s="1"/>
      <c r="AA285" s="1"/>
      <c r="AB285" s="1"/>
      <c r="AC285" s="13"/>
      <c r="AD285" s="13"/>
      <c r="AE285" s="13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3"/>
      <c r="BB285" s="1"/>
      <c r="BC285" s="13"/>
      <c r="BD285" s="13"/>
      <c r="BE285" s="1"/>
      <c r="BF285" s="1"/>
      <c r="BG285" s="1"/>
      <c r="BH285" s="1"/>
      <c r="BI285" s="1"/>
      <c r="BJ285" s="1"/>
    </row>
  </sheetData>
  <mergeCells count="16">
    <mergeCell ref="D5:K5"/>
    <mergeCell ref="D6:K6"/>
    <mergeCell ref="BE22:BH22"/>
    <mergeCell ref="AU22:AX22"/>
    <mergeCell ref="A1:AL1"/>
    <mergeCell ref="AS1:AU1"/>
    <mergeCell ref="A5:A7"/>
    <mergeCell ref="A2:AL2"/>
    <mergeCell ref="A3:AL3"/>
    <mergeCell ref="AL5:AL7"/>
    <mergeCell ref="AF5:AK5"/>
    <mergeCell ref="AF6:AK6"/>
    <mergeCell ref="L5:U5"/>
    <mergeCell ref="L6:U6"/>
    <mergeCell ref="V5:AE5"/>
    <mergeCell ref="V6:AE6"/>
  </mergeCells>
  <pageMargins left="0.7" right="0.7" top="0.75" bottom="0.75" header="0" footer="0"/>
  <pageSetup paperSize="9" scale="60" orientation="landscape" horizontalDpi="4294967295" verticalDpi="4294967295" r:id="rId1"/>
  <rowBreaks count="1" manualBreakCount="1">
    <brk id="40" max="27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</vt:lpstr>
      <vt:lpstr>'18.2'!Print_Area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2023-03-05T03:38:48Z</cp:lastPrinted>
  <dcterms:created xsi:type="dcterms:W3CDTF">2019-02-21T04:10:17Z</dcterms:created>
  <dcterms:modified xsi:type="dcterms:W3CDTF">2023-03-05T03:38:58Z</dcterms:modified>
</cp:coreProperties>
</file>