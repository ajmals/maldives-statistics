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824EEE4B-8DD5-4254-98C9-CA280383EAF4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1 new" sheetId="25" r:id="rId1"/>
  </sheets>
  <externalReferences>
    <externalReference r:id="rId2"/>
  </externalReferences>
  <definedNames>
    <definedName name="_xlnm.Print_Area" localSheetId="0">'18.11 new'!$A$1:$O$33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5" l="1"/>
  <c r="B7" i="25"/>
  <c r="C6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D6" i="25"/>
  <c r="E6" i="25"/>
  <c r="F6" i="25"/>
  <c r="G6" i="25"/>
  <c r="H6" i="25"/>
  <c r="I6" i="25"/>
  <c r="J6" i="25"/>
  <c r="K6" i="25"/>
  <c r="L6" i="25"/>
  <c r="M6" i="25"/>
  <c r="N6" i="25"/>
</calcChain>
</file>

<file path=xl/sharedStrings.xml><?xml version="1.0" encoding="utf-8"?>
<sst xmlns="http://schemas.openxmlformats.org/spreadsheetml/2006/main" count="72" uniqueCount="71">
  <si>
    <t>ޖުމްލަ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</si>
  <si>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</si>
  <si>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</si>
  <si>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</si>
  <si>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</si>
  <si>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</si>
  <si>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</si>
  <si>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</si>
  <si>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</si>
  <si>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</si>
  <si>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</si>
  <si>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</si>
  <si>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</si>
  <si>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</si>
  <si>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</si>
  <si>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</si>
  <si>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</si>
  <si>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</si>
  <si>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</si>
  <si>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</si>
  <si>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</si>
  <si>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</si>
  <si>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</si>
  <si>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</si>
  <si>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</si>
  <si>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</si>
  <si>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</si>
  <si>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</si>
  <si>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</si>
  <si>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</si>
  <si>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</si>
  <si>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</si>
  <si>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</si>
  <si>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</si>
  <si>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</si>
  <si>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</si>
  <si>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</si>
  <si>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</si>
  <si>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</si>
  <si>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</si>
  <si>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</si>
  <si>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</si>
  <si>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</si>
  <si>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</si>
  <si>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</si>
  <si>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</si>
  <si>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</si>
  <si>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</si>
  <si>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</si>
  <si>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</si>
  <si>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</si>
  <si>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</si>
  <si>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</si>
  <si>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</si>
  <si>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</si>
  <si>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</si>
  <si>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</si>
  <si>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</si>
  <si>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</si>
  <si>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</si>
  <si>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</si>
  <si>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</si>
  <si>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</si>
  <si>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</si>
  <si>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</si>
  <si>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</si>
  <si>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Passenger Ferries</t>
  </si>
  <si>
    <t>ފެރީގެ ޙިދުމަތް</t>
  </si>
  <si>
    <t>Housing Development</t>
  </si>
  <si>
    <t>TABLE   18.11:   AMOUNT OF CONTRIBUTION TO RETIREMENT PENSION SCHEME BY SECTOR BY MONTH,  2021</t>
  </si>
  <si>
    <t>ތާވަލު 18.11 :މަސްމަހުގެ ގޮތުން ރިޓާޔަމަންޓް ޕެންޝަން ސްކީމްއަށް ޕަބްލިކް އަދި ޕްރައިވެޓް ސެކްޓަރއިން ފައިސާދެއްކި މިންވަރު،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</si>
</sst>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ourier"/>
      <family val="3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rgb="FF000000"/>
      </bottom>
      <diagonal/>
    </border>
  </borders>
  <cellStyleXfs count="20">
    <xf numFmtId="0" fontId="0" fillId="0" borderId="0"/>
    <xf numFmtId="164" fontId="10" fillId="0" borderId="4"/>
    <xf numFmtId="0" fontId="1" fillId="0" borderId="4"/>
    <xf numFmtId="0" fontId="1" fillId="0" borderId="4"/>
    <xf numFmtId="43" fontId="8" fillId="0" borderId="4" applyFont="0" applyFill="0" applyBorder="0" applyAlignment="0" applyProtection="0"/>
    <xf numFmtId="43" fontId="8" fillId="0" borderId="4" applyFont="0" applyFill="0" applyBorder="0" applyAlignment="0" applyProtection="0"/>
    <xf numFmtId="0" fontId="8" fillId="0" borderId="4"/>
    <xf numFmtId="0" fontId="12" fillId="0" borderId="4"/>
    <xf numFmtId="0" fontId="15" fillId="0" borderId="4" applyFill="0" applyProtection="0"/>
    <xf numFmtId="0" fontId="16" fillId="0" borderId="4"/>
    <xf numFmtId="0" fontId="16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</cellStyleXfs>
  <cellXfs count="30">
    <xf numFmtId="0" fontId="0" fillId="0" borderId="0" xfId="0"/>
    <xf numFmtId="0" fontId="0" fillId="3" borderId="0" xfId="0" applyFill="1"/>
    <xf numFmtId="0" fontId="6" fillId="2" borderId="2" xfId="0" applyFont="1" applyFill="1" applyBorder="1"/>
    <xf numFmtId="0" fontId="0" fillId="3" borderId="4" xfId="0" applyFill="1" applyBorder="1"/>
    <xf numFmtId="0" fontId="0" fillId="3" borderId="6" xfId="0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horizontal="right" vertical="center" wrapText="1"/>
    </xf>
    <xf numFmtId="0" fontId="11" fillId="4" borderId="4" xfId="7" applyFont="1" applyFill="1" applyAlignment="1">
      <alignment vertical="center"/>
    </xf>
    <xf numFmtId="0" fontId="5" fillId="4" borderId="4" xfId="7" applyFont="1" applyFill="1"/>
    <xf numFmtId="0" fontId="9" fillId="4" borderId="4" xfId="7" applyFont="1" applyFill="1" applyAlignment="1">
      <alignment horizontal="left" vertical="center" indent="1"/>
    </xf>
    <xf numFmtId="0" fontId="7" fillId="4" borderId="4" xfId="7" applyFont="1" applyFill="1" applyAlignment="1">
      <alignment horizontal="left" vertical="center" wrapText="1" indent="1"/>
    </xf>
    <xf numFmtId="0" fontId="9" fillId="4" borderId="6" xfId="7" applyFont="1" applyFill="1" applyBorder="1" applyAlignment="1">
      <alignment horizontal="left" vertical="center" indent="1"/>
    </xf>
    <xf numFmtId="0" fontId="4" fillId="4" borderId="6" xfId="0" applyFont="1" applyFill="1" applyBorder="1"/>
    <xf numFmtId="0" fontId="2" fillId="3" borderId="0" xfId="0" applyFont="1" applyFill="1"/>
    <xf numFmtId="3" fontId="3" fillId="3" borderId="6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3" fillId="4" borderId="4" xfId="7" applyFont="1" applyFill="1" applyAlignment="1">
      <alignment horizontal="center" vertical="center"/>
    </xf>
    <xf numFmtId="0" fontId="11" fillId="4" borderId="3" xfId="7" applyFont="1" applyFill="1" applyBorder="1" applyAlignment="1">
      <alignment horizontal="left" vertical="center"/>
    </xf>
    <xf numFmtId="0" fontId="14" fillId="3" borderId="5" xfId="7" applyFont="1" applyFill="1" applyBorder="1"/>
    <xf numFmtId="0" fontId="13" fillId="4" borderId="8" xfId="7" applyFont="1" applyFill="1" applyBorder="1" applyAlignment="1">
      <alignment horizontal="center" vertical="center"/>
    </xf>
    <xf numFmtId="0" fontId="14" fillId="3" borderId="8" xfId="7" applyFont="1" applyFill="1" applyBorder="1"/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11" fillId="4" borderId="4" xfId="7" applyNumberFormat="1" applyFont="1" applyFill="1" applyBorder="1" applyAlignment="1">
      <alignment horizontal="right" vertical="center"/>
    </xf>
    <xf numFmtId="3" fontId="8" fillId="3" borderId="4" xfId="0" applyNumberFormat="1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3" fontId="11" fillId="4" borderId="6" xfId="7" applyNumberFormat="1" applyFont="1" applyFill="1" applyBorder="1" applyAlignment="1">
      <alignment horizontal="right" vertical="center"/>
    </xf>
    <xf numFmtId="3" fontId="8" fillId="3" borderId="6" xfId="0" applyNumberFormat="1" applyFont="1" applyFill="1" applyBorder="1" applyAlignment="1">
      <alignment horizontal="right" vertical="center" wrapText="1"/>
    </xf>
    <xf numFmtId="3" fontId="11" fillId="4" borderId="7" xfId="7" applyNumberFormat="1" applyFont="1" applyFill="1" applyBorder="1" applyAlignment="1">
      <alignment horizontal="right" vertical="center"/>
    </xf>
    <xf numFmtId="3" fontId="3" fillId="5" borderId="4" xfId="0" applyNumberFormat="1" applyFont="1" applyFill="1" applyBorder="1" applyAlignment="1">
      <alignment horizontal="right" vertical="center" wrapText="1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O35"/>
  <sheetViews>
    <sheetView tabSelected="1" zoomScaleNormal="100" zoomScaleSheetLayoutView="84" workbookViewId="0">
      <selection activeCell="B13" sqref="B13"/>
    </sheetView>
  </sheetViews>
  <sheetFormatPr defaultRowHeight="15" x14ac:dyDescent="0.25"/>
  <cols>
    <col min="1" max="1" width="43.7109375" style="1" customWidth="1"/>
    <col min="2" max="2" width="14.28515625" style="1" customWidth="1"/>
    <col min="3" max="14" width="11.28515625" style="1" customWidth="1"/>
    <col min="15" max="15" width="39.140625" style="1" customWidth="1"/>
    <col min="16" max="16384" width="9.140625" style="1"/>
  </cols>
  <sheetData>
    <row r="1" spans="1:15" ht="27" customHeight="1" x14ac:dyDescent="0.55000000000000004">
      <c r="A1" s="15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7" customHeight="1" x14ac:dyDescent="0.25">
      <c r="A2" s="16" t="s">
        <v>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x14ac:dyDescent="0.25">
      <c r="B3" s="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5" ht="15.75" x14ac:dyDescent="0.25">
      <c r="A4" s="17" t="s">
        <v>16</v>
      </c>
      <c r="B4" s="19">
        <v>2021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</row>
    <row r="5" spans="1:15" x14ac:dyDescent="0.25">
      <c r="A5" s="18"/>
      <c r="B5" s="23" t="s">
        <v>15</v>
      </c>
      <c r="C5" s="23" t="s">
        <v>1</v>
      </c>
      <c r="D5" s="23" t="s">
        <v>2</v>
      </c>
      <c r="E5" s="23" t="s">
        <v>3</v>
      </c>
      <c r="F5" s="23" t="s">
        <v>4</v>
      </c>
      <c r="G5" s="23" t="s">
        <v>5</v>
      </c>
      <c r="H5" s="23" t="s">
        <v>6</v>
      </c>
      <c r="I5" s="23" t="s">
        <v>7</v>
      </c>
      <c r="J5" s="23" t="s">
        <v>8</v>
      </c>
      <c r="K5" s="23" t="s">
        <v>9</v>
      </c>
      <c r="L5" s="23" t="s">
        <v>10</v>
      </c>
      <c r="M5" s="23" t="s">
        <v>11</v>
      </c>
      <c r="N5" s="23" t="s">
        <v>12</v>
      </c>
      <c r="O5" s="22"/>
    </row>
    <row r="6" spans="1:15" ht="21" x14ac:dyDescent="0.55000000000000004">
      <c r="A6" s="7" t="s">
        <v>15</v>
      </c>
      <c r="B6" s="28">
        <f>SUM(C6:N6)</f>
        <v>1254860650</v>
      </c>
      <c r="C6" s="28">
        <f>SUM(C7:C32)</f>
        <v>93875652</v>
      </c>
      <c r="D6" s="28">
        <f t="shared" ref="D6:N6" si="0">SUM(D7:D32)</f>
        <v>98897181</v>
      </c>
      <c r="E6" s="28">
        <f t="shared" si="0"/>
        <v>108565311</v>
      </c>
      <c r="F6" s="28">
        <f t="shared" si="0"/>
        <v>96272369</v>
      </c>
      <c r="G6" s="28">
        <f t="shared" si="0"/>
        <v>96614328</v>
      </c>
      <c r="H6" s="28">
        <f t="shared" si="0"/>
        <v>100086908</v>
      </c>
      <c r="I6" s="28">
        <f t="shared" si="0"/>
        <v>91394648</v>
      </c>
      <c r="J6" s="28">
        <f t="shared" si="0"/>
        <v>120227029</v>
      </c>
      <c r="K6" s="28">
        <f t="shared" si="0"/>
        <v>105477312</v>
      </c>
      <c r="L6" s="28">
        <f t="shared" si="0"/>
        <v>102543842</v>
      </c>
      <c r="M6" s="28">
        <f t="shared" si="0"/>
        <v>123669674</v>
      </c>
      <c r="N6" s="28">
        <f t="shared" si="0"/>
        <v>117236396</v>
      </c>
      <c r="O6" s="13" t="s">
        <v>0</v>
      </c>
    </row>
    <row r="7" spans="1:15" ht="20.25" customHeight="1" x14ac:dyDescent="0.55000000000000004">
      <c r="A7" s="9" t="s">
        <v>17</v>
      </c>
      <c r="B7" s="23">
        <f>SUM(C7:N7)</f>
        <v>2470004</v>
      </c>
      <c r="C7" s="24">
        <v>161968</v>
      </c>
      <c r="D7" s="24">
        <v>165099</v>
      </c>
      <c r="E7" s="24">
        <v>310203</v>
      </c>
      <c r="F7" s="24">
        <v>237918</v>
      </c>
      <c r="G7" s="24">
        <v>201733</v>
      </c>
      <c r="H7" s="24">
        <v>196920</v>
      </c>
      <c r="I7" s="24">
        <v>170070</v>
      </c>
      <c r="J7" s="24">
        <v>166316</v>
      </c>
      <c r="K7" s="24">
        <v>253980</v>
      </c>
      <c r="L7" s="24">
        <v>212155</v>
      </c>
      <c r="M7" s="24">
        <v>197097</v>
      </c>
      <c r="N7" s="24">
        <v>196545</v>
      </c>
      <c r="O7" s="5" t="s">
        <v>18</v>
      </c>
    </row>
    <row r="8" spans="1:15" ht="20.25" customHeight="1" x14ac:dyDescent="0.55000000000000004">
      <c r="A8" s="9" t="s">
        <v>19</v>
      </c>
      <c r="B8" s="23">
        <f t="shared" ref="B7:B32" si="1">SUM(C8:N8)</f>
        <v>64839905</v>
      </c>
      <c r="C8" s="24">
        <v>4514874</v>
      </c>
      <c r="D8" s="24">
        <v>4827816</v>
      </c>
      <c r="E8" s="24">
        <v>6561436</v>
      </c>
      <c r="F8" s="24">
        <v>4829951</v>
      </c>
      <c r="G8" s="24">
        <v>4877717</v>
      </c>
      <c r="H8" s="24">
        <v>4907568</v>
      </c>
      <c r="I8" s="24">
        <v>4540594</v>
      </c>
      <c r="J8" s="24">
        <v>6114231</v>
      </c>
      <c r="K8" s="24">
        <v>4829320</v>
      </c>
      <c r="L8" s="24">
        <v>5798256</v>
      </c>
      <c r="M8" s="24">
        <v>5882239</v>
      </c>
      <c r="N8" s="24">
        <v>7155903</v>
      </c>
      <c r="O8" s="5" t="s">
        <v>20</v>
      </c>
    </row>
    <row r="9" spans="1:15" ht="20.25" customHeight="1" x14ac:dyDescent="0.55000000000000004">
      <c r="A9" s="9" t="s">
        <v>21</v>
      </c>
      <c r="B9" s="23">
        <f t="shared" si="1"/>
        <v>54558</v>
      </c>
      <c r="C9" s="24">
        <v>1190</v>
      </c>
      <c r="D9" s="24">
        <v>23513</v>
      </c>
      <c r="E9" s="25">
        <v>0</v>
      </c>
      <c r="F9" s="24">
        <v>1120</v>
      </c>
      <c r="G9" s="25">
        <v>0</v>
      </c>
      <c r="H9" s="24">
        <v>1121</v>
      </c>
      <c r="I9" s="24">
        <v>1120</v>
      </c>
      <c r="J9" s="24">
        <v>2242</v>
      </c>
      <c r="K9" s="24">
        <v>1120</v>
      </c>
      <c r="L9" s="24">
        <v>17252</v>
      </c>
      <c r="M9" s="24">
        <v>2940</v>
      </c>
      <c r="N9" s="24">
        <v>2940</v>
      </c>
      <c r="O9" s="5" t="s">
        <v>22</v>
      </c>
    </row>
    <row r="10" spans="1:15" ht="20.25" customHeight="1" x14ac:dyDescent="0.55000000000000004">
      <c r="A10" s="9" t="s">
        <v>23</v>
      </c>
      <c r="B10" s="23">
        <f t="shared" si="1"/>
        <v>359332</v>
      </c>
      <c r="C10" s="24">
        <v>52288</v>
      </c>
      <c r="D10" s="24">
        <v>29698</v>
      </c>
      <c r="E10" s="24">
        <v>35760</v>
      </c>
      <c r="F10" s="24">
        <v>21205</v>
      </c>
      <c r="G10" s="24">
        <v>20982</v>
      </c>
      <c r="H10" s="24">
        <v>27291</v>
      </c>
      <c r="I10" s="24">
        <v>8769</v>
      </c>
      <c r="J10" s="24">
        <v>46117</v>
      </c>
      <c r="K10" s="24">
        <v>27006</v>
      </c>
      <c r="L10" s="24">
        <v>32035</v>
      </c>
      <c r="M10" s="24">
        <v>27613</v>
      </c>
      <c r="N10" s="24">
        <v>30568</v>
      </c>
      <c r="O10" s="5" t="s">
        <v>24</v>
      </c>
    </row>
    <row r="11" spans="1:15" ht="20.25" customHeight="1" x14ac:dyDescent="0.55000000000000004">
      <c r="A11" s="9" t="s">
        <v>25</v>
      </c>
      <c r="B11" s="23">
        <f t="shared" si="1"/>
        <v>32171545</v>
      </c>
      <c r="C11" s="24">
        <v>2601020</v>
      </c>
      <c r="D11" s="24">
        <v>2763612</v>
      </c>
      <c r="E11" s="24">
        <v>2503892</v>
      </c>
      <c r="F11" s="24">
        <v>2970954</v>
      </c>
      <c r="G11" s="24">
        <v>2452599</v>
      </c>
      <c r="H11" s="24">
        <v>2864508</v>
      </c>
      <c r="I11" s="24">
        <v>2065367</v>
      </c>
      <c r="J11" s="24">
        <v>3089121</v>
      </c>
      <c r="K11" s="24">
        <v>2743148</v>
      </c>
      <c r="L11" s="24">
        <v>2913618</v>
      </c>
      <c r="M11" s="24">
        <v>2430993</v>
      </c>
      <c r="N11" s="24">
        <v>2772713</v>
      </c>
      <c r="O11" s="5" t="s">
        <v>26</v>
      </c>
    </row>
    <row r="12" spans="1:15" ht="20.25" customHeight="1" x14ac:dyDescent="0.55000000000000004">
      <c r="A12" s="9" t="s">
        <v>27</v>
      </c>
      <c r="B12" s="23">
        <f t="shared" si="1"/>
        <v>2835824</v>
      </c>
      <c r="C12" s="24">
        <v>253243</v>
      </c>
      <c r="D12" s="24">
        <v>241439</v>
      </c>
      <c r="E12" s="24">
        <v>271537</v>
      </c>
      <c r="F12" s="24">
        <v>226493</v>
      </c>
      <c r="G12" s="24">
        <v>248275</v>
      </c>
      <c r="H12" s="24">
        <v>248118</v>
      </c>
      <c r="I12" s="24">
        <v>212150</v>
      </c>
      <c r="J12" s="24">
        <v>241784</v>
      </c>
      <c r="K12" s="24">
        <v>206107</v>
      </c>
      <c r="L12" s="24">
        <v>254779</v>
      </c>
      <c r="M12" s="24">
        <v>239479</v>
      </c>
      <c r="N12" s="24">
        <v>192420</v>
      </c>
      <c r="O12" s="5" t="s">
        <v>28</v>
      </c>
    </row>
    <row r="13" spans="1:15" ht="44.25" customHeight="1" x14ac:dyDescent="0.25">
      <c r="A13" s="10" t="s">
        <v>29</v>
      </c>
      <c r="B13" s="23">
        <f t="shared" si="1"/>
        <v>91970615</v>
      </c>
      <c r="C13" s="24">
        <v>5023160</v>
      </c>
      <c r="D13" s="24">
        <v>7393476</v>
      </c>
      <c r="E13" s="24">
        <v>7496295</v>
      </c>
      <c r="F13" s="24">
        <v>7521674</v>
      </c>
      <c r="G13" s="24">
        <v>7912487</v>
      </c>
      <c r="H13" s="24">
        <v>7896291</v>
      </c>
      <c r="I13" s="24">
        <v>7666970</v>
      </c>
      <c r="J13" s="24">
        <v>8534297</v>
      </c>
      <c r="K13" s="24">
        <v>10329836</v>
      </c>
      <c r="L13" s="24">
        <v>5863761</v>
      </c>
      <c r="M13" s="24">
        <v>8012181</v>
      </c>
      <c r="N13" s="24">
        <v>8320187</v>
      </c>
      <c r="O13" s="6" t="s">
        <v>30</v>
      </c>
    </row>
    <row r="14" spans="1:15" ht="20.25" customHeight="1" x14ac:dyDescent="0.55000000000000004">
      <c r="A14" s="9" t="s">
        <v>31</v>
      </c>
      <c r="B14" s="23">
        <f t="shared" si="1"/>
        <v>11972383</v>
      </c>
      <c r="C14" s="24">
        <v>1037431</v>
      </c>
      <c r="D14" s="24">
        <v>948794</v>
      </c>
      <c r="E14" s="24">
        <v>954095</v>
      </c>
      <c r="F14" s="24">
        <v>976386</v>
      </c>
      <c r="G14" s="24">
        <v>955044</v>
      </c>
      <c r="H14" s="24">
        <v>991486</v>
      </c>
      <c r="I14" s="24">
        <v>852207</v>
      </c>
      <c r="J14" s="24">
        <v>1036447</v>
      </c>
      <c r="K14" s="24">
        <v>1179904</v>
      </c>
      <c r="L14" s="24">
        <v>1028435</v>
      </c>
      <c r="M14" s="24">
        <v>999958</v>
      </c>
      <c r="N14" s="24">
        <v>1012196</v>
      </c>
      <c r="O14" s="5" t="s">
        <v>32</v>
      </c>
    </row>
    <row r="15" spans="1:15" ht="20.25" customHeight="1" x14ac:dyDescent="0.55000000000000004">
      <c r="A15" s="9" t="s">
        <v>33</v>
      </c>
      <c r="B15" s="23">
        <f t="shared" si="1"/>
        <v>2457999</v>
      </c>
      <c r="C15" s="24">
        <v>179074</v>
      </c>
      <c r="D15" s="24">
        <v>182837</v>
      </c>
      <c r="E15" s="24">
        <v>180913</v>
      </c>
      <c r="F15" s="24">
        <v>246927</v>
      </c>
      <c r="G15" s="24">
        <v>179763</v>
      </c>
      <c r="H15" s="24">
        <v>212111</v>
      </c>
      <c r="I15" s="24">
        <v>145958</v>
      </c>
      <c r="J15" s="24">
        <v>291909</v>
      </c>
      <c r="K15" s="24">
        <v>125880</v>
      </c>
      <c r="L15" s="24">
        <v>270901</v>
      </c>
      <c r="M15" s="24">
        <v>203692</v>
      </c>
      <c r="N15" s="24">
        <v>238034</v>
      </c>
      <c r="O15" s="5" t="s">
        <v>34</v>
      </c>
    </row>
    <row r="16" spans="1:15" ht="20.25" customHeight="1" x14ac:dyDescent="0.55000000000000004">
      <c r="A16" s="9" t="s">
        <v>35</v>
      </c>
      <c r="B16" s="23">
        <f t="shared" si="1"/>
        <v>498369866</v>
      </c>
      <c r="C16" s="24">
        <v>40696913</v>
      </c>
      <c r="D16" s="24">
        <v>38217826</v>
      </c>
      <c r="E16" s="24">
        <v>40663719</v>
      </c>
      <c r="F16" s="24">
        <v>35953346</v>
      </c>
      <c r="G16" s="24">
        <v>37846192</v>
      </c>
      <c r="H16" s="24">
        <v>39144597</v>
      </c>
      <c r="I16" s="24">
        <v>46323626</v>
      </c>
      <c r="J16" s="24">
        <v>40909621</v>
      </c>
      <c r="K16" s="24">
        <v>38764419</v>
      </c>
      <c r="L16" s="24">
        <v>37708604</v>
      </c>
      <c r="M16" s="24">
        <v>58010643</v>
      </c>
      <c r="N16" s="24">
        <v>44130360</v>
      </c>
      <c r="O16" s="5" t="s">
        <v>36</v>
      </c>
    </row>
    <row r="17" spans="1:15" ht="20.25" customHeight="1" x14ac:dyDescent="0.55000000000000004">
      <c r="A17" s="9" t="s">
        <v>37</v>
      </c>
      <c r="B17" s="23">
        <f t="shared" si="1"/>
        <v>15187544</v>
      </c>
      <c r="C17" s="24">
        <v>1107292</v>
      </c>
      <c r="D17" s="24">
        <v>1163451</v>
      </c>
      <c r="E17" s="24">
        <v>1172329</v>
      </c>
      <c r="F17" s="24">
        <v>1236596</v>
      </c>
      <c r="G17" s="24">
        <v>1242972</v>
      </c>
      <c r="H17" s="24">
        <v>1263628</v>
      </c>
      <c r="I17" s="24">
        <v>287551</v>
      </c>
      <c r="J17" s="24">
        <v>2338436</v>
      </c>
      <c r="K17" s="24">
        <v>931611</v>
      </c>
      <c r="L17" s="24">
        <v>1313519</v>
      </c>
      <c r="M17" s="24">
        <v>1729089</v>
      </c>
      <c r="N17" s="24">
        <v>1401070</v>
      </c>
      <c r="O17" s="5" t="s">
        <v>38</v>
      </c>
    </row>
    <row r="18" spans="1:15" ht="20.25" customHeight="1" x14ac:dyDescent="0.55000000000000004">
      <c r="A18" s="9" t="s">
        <v>39</v>
      </c>
      <c r="B18" s="23">
        <f t="shared" si="1"/>
        <v>261852408</v>
      </c>
      <c r="C18" s="24">
        <v>18456826</v>
      </c>
      <c r="D18" s="24">
        <v>21488145</v>
      </c>
      <c r="E18" s="24">
        <v>22247187</v>
      </c>
      <c r="F18" s="24">
        <v>20747015</v>
      </c>
      <c r="G18" s="24">
        <v>19846726</v>
      </c>
      <c r="H18" s="24">
        <v>20474037</v>
      </c>
      <c r="I18" s="24">
        <v>15972184</v>
      </c>
      <c r="J18" s="24">
        <v>26205672</v>
      </c>
      <c r="K18" s="24">
        <v>23669221</v>
      </c>
      <c r="L18" s="24">
        <v>23939806</v>
      </c>
      <c r="M18" s="24">
        <v>24383197</v>
      </c>
      <c r="N18" s="24">
        <v>24422392</v>
      </c>
      <c r="O18" s="5" t="s">
        <v>40</v>
      </c>
    </row>
    <row r="19" spans="1:15" ht="20.25" customHeight="1" x14ac:dyDescent="0.55000000000000004">
      <c r="A19" s="9" t="s">
        <v>68</v>
      </c>
      <c r="B19" s="23">
        <f t="shared" si="1"/>
        <v>1261293</v>
      </c>
      <c r="C19" s="24">
        <v>106646</v>
      </c>
      <c r="D19" s="24">
        <v>101860</v>
      </c>
      <c r="E19" s="24">
        <v>97927</v>
      </c>
      <c r="F19" s="24">
        <v>97410</v>
      </c>
      <c r="G19" s="24">
        <v>99146</v>
      </c>
      <c r="H19" s="24">
        <v>104695</v>
      </c>
      <c r="I19" s="24">
        <v>71155</v>
      </c>
      <c r="J19" s="24">
        <v>141613</v>
      </c>
      <c r="K19" s="24">
        <v>106643</v>
      </c>
      <c r="L19" s="24">
        <v>105892</v>
      </c>
      <c r="M19" s="24">
        <v>113802</v>
      </c>
      <c r="N19" s="24">
        <v>114504</v>
      </c>
      <c r="O19" s="5" t="s">
        <v>41</v>
      </c>
    </row>
    <row r="20" spans="1:15" ht="20.25" customHeight="1" x14ac:dyDescent="0.55000000000000004">
      <c r="A20" s="9" t="s">
        <v>42</v>
      </c>
      <c r="B20" s="23">
        <f t="shared" si="1"/>
        <v>8822622</v>
      </c>
      <c r="C20" s="24">
        <v>654850</v>
      </c>
      <c r="D20" s="24">
        <v>646050</v>
      </c>
      <c r="E20" s="24">
        <v>639015</v>
      </c>
      <c r="F20" s="24">
        <v>653407</v>
      </c>
      <c r="G20" s="24">
        <v>878525</v>
      </c>
      <c r="H20" s="24">
        <v>1219426</v>
      </c>
      <c r="I20" s="24">
        <v>775662</v>
      </c>
      <c r="J20" s="24">
        <v>679269</v>
      </c>
      <c r="K20" s="24">
        <v>670743</v>
      </c>
      <c r="L20" s="24">
        <v>668605</v>
      </c>
      <c r="M20" s="24">
        <v>12709</v>
      </c>
      <c r="N20" s="24">
        <v>1324361</v>
      </c>
      <c r="O20" s="5" t="s">
        <v>43</v>
      </c>
    </row>
    <row r="21" spans="1:15" ht="20.25" customHeight="1" x14ac:dyDescent="0.55000000000000004">
      <c r="A21" s="9" t="s">
        <v>44</v>
      </c>
      <c r="B21" s="23">
        <f t="shared" si="1"/>
        <v>40244</v>
      </c>
      <c r="C21" s="24">
        <v>3165</v>
      </c>
      <c r="D21" s="24">
        <v>3165</v>
      </c>
      <c r="E21" s="24">
        <v>3164</v>
      </c>
      <c r="F21" s="25">
        <v>0</v>
      </c>
      <c r="G21" s="24">
        <v>6335</v>
      </c>
      <c r="H21" s="25">
        <v>0</v>
      </c>
      <c r="I21" s="24">
        <v>3172</v>
      </c>
      <c r="J21" s="24">
        <v>3173</v>
      </c>
      <c r="K21" s="24">
        <v>3724</v>
      </c>
      <c r="L21" s="24">
        <v>7457</v>
      </c>
      <c r="M21" s="24">
        <v>3725</v>
      </c>
      <c r="N21" s="24">
        <v>3164</v>
      </c>
      <c r="O21" s="5" t="s">
        <v>45</v>
      </c>
    </row>
    <row r="22" spans="1:15" ht="20.25" customHeight="1" x14ac:dyDescent="0.55000000000000004">
      <c r="A22" s="9" t="s">
        <v>66</v>
      </c>
      <c r="B22" s="23">
        <f t="shared" si="1"/>
        <v>87523200</v>
      </c>
      <c r="C22" s="24">
        <v>6155892</v>
      </c>
      <c r="D22" s="24">
        <v>6472691</v>
      </c>
      <c r="E22" s="24">
        <v>10887245</v>
      </c>
      <c r="F22" s="24">
        <v>6853773</v>
      </c>
      <c r="G22" s="24">
        <v>6040958</v>
      </c>
      <c r="H22" s="24">
        <v>6357063</v>
      </c>
      <c r="I22" s="24">
        <v>2416910</v>
      </c>
      <c r="J22" s="24">
        <v>11218193</v>
      </c>
      <c r="K22" s="24">
        <v>7381751</v>
      </c>
      <c r="L22" s="24">
        <v>7067023</v>
      </c>
      <c r="M22" s="24">
        <v>7556631</v>
      </c>
      <c r="N22" s="24">
        <v>9115070</v>
      </c>
      <c r="O22" s="5" t="s">
        <v>67</v>
      </c>
    </row>
    <row r="23" spans="1:15" ht="20.25" customHeight="1" x14ac:dyDescent="0.55000000000000004">
      <c r="A23" s="9" t="s">
        <v>46</v>
      </c>
      <c r="B23" s="23">
        <f t="shared" si="1"/>
        <v>16898</v>
      </c>
      <c r="C23" s="25">
        <v>700</v>
      </c>
      <c r="D23" s="24">
        <v>2384</v>
      </c>
      <c r="E23" s="24">
        <v>1540</v>
      </c>
      <c r="F23" s="24">
        <v>1540</v>
      </c>
      <c r="G23" s="24">
        <v>1541</v>
      </c>
      <c r="H23" s="24">
        <v>1541</v>
      </c>
      <c r="I23" s="25">
        <v>700</v>
      </c>
      <c r="J23" s="25">
        <v>700</v>
      </c>
      <c r="K23" s="24">
        <v>3031</v>
      </c>
      <c r="L23" s="24">
        <v>1540</v>
      </c>
      <c r="M23" s="25">
        <v>840</v>
      </c>
      <c r="N23" s="25">
        <v>841</v>
      </c>
      <c r="O23" s="5" t="s">
        <v>47</v>
      </c>
    </row>
    <row r="24" spans="1:15" ht="20.25" customHeight="1" x14ac:dyDescent="0.55000000000000004">
      <c r="A24" s="9" t="s">
        <v>48</v>
      </c>
      <c r="B24" s="23">
        <f t="shared" si="1"/>
        <v>650811</v>
      </c>
      <c r="C24" s="24">
        <v>42363</v>
      </c>
      <c r="D24" s="24">
        <v>41652</v>
      </c>
      <c r="E24" s="24">
        <v>56716</v>
      </c>
      <c r="F24" s="24">
        <v>52381</v>
      </c>
      <c r="G24" s="24">
        <v>45821</v>
      </c>
      <c r="H24" s="24">
        <v>48151</v>
      </c>
      <c r="I24" s="24">
        <v>67339</v>
      </c>
      <c r="J24" s="24">
        <v>77278</v>
      </c>
      <c r="K24" s="24">
        <v>43170</v>
      </c>
      <c r="L24" s="24">
        <v>52258</v>
      </c>
      <c r="M24" s="24">
        <v>66454</v>
      </c>
      <c r="N24" s="24">
        <v>57228</v>
      </c>
      <c r="O24" s="5" t="s">
        <v>49</v>
      </c>
    </row>
    <row r="25" spans="1:15" ht="20.25" customHeight="1" x14ac:dyDescent="0.55000000000000004">
      <c r="A25" s="9" t="s">
        <v>50</v>
      </c>
      <c r="B25" s="23">
        <f t="shared" si="1"/>
        <v>986340</v>
      </c>
      <c r="C25" s="24">
        <v>93425</v>
      </c>
      <c r="D25" s="24">
        <v>75744</v>
      </c>
      <c r="E25" s="24">
        <v>100689</v>
      </c>
      <c r="F25" s="24">
        <v>85080</v>
      </c>
      <c r="G25" s="24">
        <v>77728</v>
      </c>
      <c r="H25" s="24">
        <v>83922</v>
      </c>
      <c r="I25" s="24">
        <v>52433</v>
      </c>
      <c r="J25" s="24">
        <v>99744</v>
      </c>
      <c r="K25" s="24">
        <v>81632</v>
      </c>
      <c r="L25" s="24">
        <v>85029</v>
      </c>
      <c r="M25" s="24">
        <v>68062</v>
      </c>
      <c r="N25" s="24">
        <v>82852</v>
      </c>
      <c r="O25" s="5" t="s">
        <v>51</v>
      </c>
    </row>
    <row r="26" spans="1:15" ht="20.25" customHeight="1" x14ac:dyDescent="0.55000000000000004">
      <c r="A26" s="9" t="s">
        <v>52</v>
      </c>
      <c r="B26" s="23">
        <f t="shared" si="1"/>
        <v>500499</v>
      </c>
      <c r="C26" s="24">
        <v>39937</v>
      </c>
      <c r="D26" s="24">
        <v>41156</v>
      </c>
      <c r="E26" s="24">
        <v>41283</v>
      </c>
      <c r="F26" s="24">
        <v>43180</v>
      </c>
      <c r="G26" s="24">
        <v>40676</v>
      </c>
      <c r="H26" s="24">
        <v>42077</v>
      </c>
      <c r="I26" s="24">
        <v>25707</v>
      </c>
      <c r="J26" s="24">
        <v>58179</v>
      </c>
      <c r="K26" s="24">
        <v>41854</v>
      </c>
      <c r="L26" s="24">
        <v>42035</v>
      </c>
      <c r="M26" s="24">
        <v>42446</v>
      </c>
      <c r="N26" s="24">
        <v>41969</v>
      </c>
      <c r="O26" s="5" t="s">
        <v>53</v>
      </c>
    </row>
    <row r="27" spans="1:15" ht="20.25" customHeight="1" x14ac:dyDescent="0.55000000000000004">
      <c r="A27" s="9" t="s">
        <v>54</v>
      </c>
      <c r="B27" s="23">
        <f t="shared" si="1"/>
        <v>20754867</v>
      </c>
      <c r="C27" s="24">
        <v>1407394</v>
      </c>
      <c r="D27" s="24">
        <v>1543356</v>
      </c>
      <c r="E27" s="24">
        <v>1643724</v>
      </c>
      <c r="F27" s="24">
        <v>1537118</v>
      </c>
      <c r="G27" s="24">
        <v>1594925</v>
      </c>
      <c r="H27" s="24">
        <v>1341837</v>
      </c>
      <c r="I27" s="24">
        <v>1390198</v>
      </c>
      <c r="J27" s="24">
        <v>2611113</v>
      </c>
      <c r="K27" s="24">
        <v>1629188</v>
      </c>
      <c r="L27" s="24">
        <v>1643438</v>
      </c>
      <c r="M27" s="24">
        <v>2149382</v>
      </c>
      <c r="N27" s="24">
        <v>2263194</v>
      </c>
      <c r="O27" s="5" t="s">
        <v>55</v>
      </c>
    </row>
    <row r="28" spans="1:15" ht="20.25" customHeight="1" x14ac:dyDescent="0.55000000000000004">
      <c r="A28" s="9" t="s">
        <v>56</v>
      </c>
      <c r="B28" s="23">
        <f t="shared" si="1"/>
        <v>42096678</v>
      </c>
      <c r="C28" s="24">
        <v>2835726</v>
      </c>
      <c r="D28" s="24">
        <v>3219612</v>
      </c>
      <c r="E28" s="24">
        <v>3312649</v>
      </c>
      <c r="F28" s="24">
        <v>3354761</v>
      </c>
      <c r="G28" s="24">
        <v>3465195</v>
      </c>
      <c r="H28" s="24">
        <v>3402611</v>
      </c>
      <c r="I28" s="24">
        <v>1662150</v>
      </c>
      <c r="J28" s="24">
        <v>5548135</v>
      </c>
      <c r="K28" s="24">
        <v>3788811</v>
      </c>
      <c r="L28" s="24">
        <v>3843055</v>
      </c>
      <c r="M28" s="24">
        <v>2435788</v>
      </c>
      <c r="N28" s="24">
        <v>5228185</v>
      </c>
      <c r="O28" s="5" t="s">
        <v>57</v>
      </c>
    </row>
    <row r="29" spans="1:15" ht="20.25" customHeight="1" x14ac:dyDescent="0.55000000000000004">
      <c r="A29" s="9" t="s">
        <v>58</v>
      </c>
      <c r="B29" s="23">
        <f t="shared" si="1"/>
        <v>39446666</v>
      </c>
      <c r="C29" s="24">
        <v>3020563</v>
      </c>
      <c r="D29" s="24">
        <v>3983350</v>
      </c>
      <c r="E29" s="24">
        <v>3835645</v>
      </c>
      <c r="F29" s="24">
        <v>3092856</v>
      </c>
      <c r="G29" s="24">
        <v>2980005</v>
      </c>
      <c r="H29" s="24">
        <v>3523422</v>
      </c>
      <c r="I29" s="24">
        <v>1735210</v>
      </c>
      <c r="J29" s="24">
        <v>4371754</v>
      </c>
      <c r="K29" s="24">
        <v>2808938</v>
      </c>
      <c r="L29" s="24">
        <v>3783795</v>
      </c>
      <c r="M29" s="24">
        <v>3029069</v>
      </c>
      <c r="N29" s="24">
        <v>3282059</v>
      </c>
      <c r="O29" s="5" t="s">
        <v>59</v>
      </c>
    </row>
    <row r="30" spans="1:15" ht="20.25" customHeight="1" x14ac:dyDescent="0.55000000000000004">
      <c r="A30" s="9" t="s">
        <v>60</v>
      </c>
      <c r="B30" s="23">
        <f t="shared" si="1"/>
        <v>33925387</v>
      </c>
      <c r="C30" s="24">
        <v>2716731</v>
      </c>
      <c r="D30" s="24">
        <v>2744813</v>
      </c>
      <c r="E30" s="24">
        <v>2792089</v>
      </c>
      <c r="F30" s="24">
        <v>2753916</v>
      </c>
      <c r="G30" s="24">
        <v>2761754</v>
      </c>
      <c r="H30" s="24">
        <v>2781858</v>
      </c>
      <c r="I30" s="24">
        <v>2596599</v>
      </c>
      <c r="J30" s="24">
        <v>3001678</v>
      </c>
      <c r="K30" s="24">
        <v>2780079</v>
      </c>
      <c r="L30" s="24">
        <v>2934521</v>
      </c>
      <c r="M30" s="24">
        <v>3119403</v>
      </c>
      <c r="N30" s="24">
        <v>2941946</v>
      </c>
      <c r="O30" s="5" t="s">
        <v>61</v>
      </c>
    </row>
    <row r="31" spans="1:15" ht="20.25" customHeight="1" x14ac:dyDescent="0.55000000000000004">
      <c r="A31" s="9" t="s">
        <v>62</v>
      </c>
      <c r="B31" s="23">
        <f t="shared" si="1"/>
        <v>340056</v>
      </c>
      <c r="C31" s="24">
        <v>24035</v>
      </c>
      <c r="D31" s="24">
        <v>26033</v>
      </c>
      <c r="E31" s="24">
        <v>28498</v>
      </c>
      <c r="F31" s="24">
        <v>30564</v>
      </c>
      <c r="G31" s="24">
        <v>24349</v>
      </c>
      <c r="H31" s="24">
        <v>29170</v>
      </c>
      <c r="I31" s="24">
        <v>12656</v>
      </c>
      <c r="J31" s="24">
        <v>45261</v>
      </c>
      <c r="K31" s="24">
        <v>25843</v>
      </c>
      <c r="L31" s="24">
        <v>30878</v>
      </c>
      <c r="M31" s="24">
        <v>32533</v>
      </c>
      <c r="N31" s="24">
        <v>30236</v>
      </c>
      <c r="O31" s="5" t="s">
        <v>63</v>
      </c>
    </row>
    <row r="32" spans="1:15" ht="20.25" customHeight="1" x14ac:dyDescent="0.55000000000000004">
      <c r="A32" s="11" t="s">
        <v>64</v>
      </c>
      <c r="B32" s="26">
        <f t="shared" si="1"/>
        <v>33953106</v>
      </c>
      <c r="C32" s="27">
        <v>2688946</v>
      </c>
      <c r="D32" s="27">
        <v>2549609</v>
      </c>
      <c r="E32" s="27">
        <v>2727761</v>
      </c>
      <c r="F32" s="27">
        <v>2746798</v>
      </c>
      <c r="G32" s="27">
        <v>2812880</v>
      </c>
      <c r="H32" s="27">
        <v>2923459</v>
      </c>
      <c r="I32" s="27">
        <v>2338191</v>
      </c>
      <c r="J32" s="27">
        <v>3394746</v>
      </c>
      <c r="K32" s="27">
        <v>3050353</v>
      </c>
      <c r="L32" s="27">
        <v>2925195</v>
      </c>
      <c r="M32" s="27">
        <v>2919709</v>
      </c>
      <c r="N32" s="27">
        <v>2875459</v>
      </c>
      <c r="O32" s="12" t="s">
        <v>65</v>
      </c>
    </row>
    <row r="33" spans="1:15" ht="20.25" customHeight="1" x14ac:dyDescent="0.45">
      <c r="A33" s="8" t="s">
        <v>13</v>
      </c>
      <c r="O33" s="2" t="s">
        <v>14</v>
      </c>
    </row>
    <row r="35" spans="1:15" x14ac:dyDescent="0.25">
      <c r="B35" s="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"/>
    </row>
  </sheetData>
  <mergeCells count="5">
    <mergeCell ref="A1:O1"/>
    <mergeCell ref="A2:O2"/>
    <mergeCell ref="A4:A5"/>
    <mergeCell ref="B4:N4"/>
    <mergeCell ref="O4:O5"/>
  </mergeCells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 new</vt:lpstr>
      <vt:lpstr>'18.11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2023-03-05T04:04:43Z</cp:lastPrinted>
  <dcterms:created xsi:type="dcterms:W3CDTF">2019-02-21T04:10:17Z</dcterms:created>
  <dcterms:modified xsi:type="dcterms:W3CDTF">2023-03-05T04:04:49Z</dcterms:modified>
</cp:coreProperties>
</file>