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17B20901-0D3D-4F1F-B312-6833E6CA637F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5" sheetId="5" r:id="rId1"/>
  </sheets>
  <externalReferences>
    <externalReference r:id="rId2"/>
  </externalReferences>
  <definedNames>
    <definedName name="_xlnm.Print_Area" localSheetId="0">'18.5'!$A$1:$M$39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7" i="5" l="1"/>
  <c r="G19" i="5"/>
  <c r="G18" i="5"/>
  <c r="G17" i="5"/>
  <c r="G16" i="5"/>
  <c r="G15" i="5"/>
  <c r="G14" i="5"/>
  <c r="G13" i="5"/>
  <c r="G12" i="5"/>
  <c r="G11" i="5"/>
  <c r="G10" i="5"/>
  <c r="G9" i="5"/>
  <c r="G8" i="5"/>
  <c r="AH27" i="5" l="1"/>
  <c r="AI27" i="5"/>
  <c r="AJ27" i="5"/>
  <c r="B19" i="5" l="1"/>
  <c r="B18" i="5"/>
  <c r="B17" i="5"/>
  <c r="B16" i="5"/>
  <c r="B15" i="5"/>
  <c r="B14" i="5"/>
  <c r="B13" i="5"/>
  <c r="B12" i="5"/>
  <c r="B11" i="5"/>
  <c r="B10" i="5"/>
  <c r="B9" i="5"/>
  <c r="B8" i="5"/>
  <c r="AJ26" i="5" l="1"/>
  <c r="AF27" i="5" l="1"/>
  <c r="AJ28" i="5" s="1"/>
  <c r="AH28" i="5" l="1"/>
  <c r="AI28" i="5"/>
  <c r="AG28" i="5"/>
</calcChain>
</file>

<file path=xl/sharedStrings.xml><?xml version="1.0" encoding="utf-8"?>
<sst xmlns="http://schemas.openxmlformats.org/spreadsheetml/2006/main" count="44" uniqueCount="39">
  <si>
    <t>Month</t>
  </si>
  <si>
    <t>މަސް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</si>
  <si>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</si>
  <si>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</si>
  <si>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</si>
  <si>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</si>
  <si>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</si>
  <si>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</si>
  <si>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</si>
  <si>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</si>
  <si>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</si>
  <si>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</si>
  <si>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</si>
  <si>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</si>
  <si>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</si>
  <si>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</si>
  <si>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</si>
  <si>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</si>
  <si>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</si>
  <si>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</si>
  <si>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</si>
  <si>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</si>
  <si>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</si>
  <si>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</si>
  <si>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</si>
  <si>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</si>
  <si>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</si>
  <si>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</si>
  <si>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</si>
  <si>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</si>
  <si>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</si>
  <si>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65-69 yrs</t>
  </si>
  <si>
    <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</si>
  <si>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&lt; 65</t>
  </si>
  <si>
    <t>75+</t>
  </si>
  <si>
    <t>&lt; 65  yrs</t>
  </si>
  <si>
    <t>70-74 yrs</t>
  </si>
  <si>
    <t>TABLE   18.5: NUMBER OF BENEFICIARIES OF RETIREMENT PENSION SCHEME BY AGE, 2020 - 2021</t>
  </si>
  <si>
    <t>ތާވަލު  18.5 :ރިޓާޔަމަންޓް ޕެންޝަން ލިބޭ މީހުންގެ އަދަދު އަދި ޢުމުރުފުރާތައް، 2020 - 2021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</si>
</sst>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/>
      <bottom style="thin">
        <color indexed="64"/>
      </bottom>
      <diagonal/>
    </border>
  </borders>
  <cellStyleXfs count="20">
    <xf numFmtId="0" fontId="0" fillId="0" borderId="0"/>
    <xf numFmtId="164" fontId="12" fillId="0" borderId="16"/>
    <xf numFmtId="0" fontId="1" fillId="0" borderId="16"/>
    <xf numFmtId="0" fontId="1" fillId="0" borderId="16"/>
    <xf numFmtId="43" fontId="10" fillId="0" borderId="16" applyFont="0" applyFill="0" applyBorder="0" applyAlignment="0" applyProtection="0"/>
    <xf numFmtId="43" fontId="10" fillId="0" borderId="16" applyFont="0" applyFill="0" applyBorder="0" applyAlignment="0" applyProtection="0"/>
    <xf numFmtId="0" fontId="10" fillId="0" borderId="16"/>
    <xf numFmtId="0" fontId="13" fillId="0" borderId="16"/>
    <xf numFmtId="0" fontId="14" fillId="0" borderId="16" applyFill="0" applyProtection="0"/>
    <xf numFmtId="0" fontId="15" fillId="0" borderId="16"/>
    <xf numFmtId="0" fontId="15" fillId="0" borderId="16"/>
    <xf numFmtId="0" fontId="10" fillId="0" borderId="16"/>
    <xf numFmtId="0" fontId="10" fillId="0" borderId="16"/>
    <xf numFmtId="0" fontId="10" fillId="0" borderId="16"/>
    <xf numFmtId="0" fontId="10" fillId="0" borderId="16"/>
    <xf numFmtId="0" fontId="10" fillId="0" borderId="16"/>
    <xf numFmtId="0" fontId="10" fillId="0" borderId="16"/>
    <xf numFmtId="0" fontId="10" fillId="0" borderId="16"/>
    <xf numFmtId="0" fontId="10" fillId="0" borderId="16"/>
    <xf numFmtId="0" fontId="10" fillId="0" borderId="16"/>
  </cellStyleXfs>
  <cellXfs count="48">
    <xf numFmtId="0" fontId="0" fillId="0" borderId="0" xfId="0"/>
    <xf numFmtId="0" fontId="0" fillId="2" borderId="2" xfId="0" applyFill="1" applyBorder="1"/>
    <xf numFmtId="0" fontId="0" fillId="3" borderId="0" xfId="0" applyFill="1"/>
    <xf numFmtId="0" fontId="0" fillId="2" borderId="16" xfId="0" applyFill="1" applyBorder="1"/>
    <xf numFmtId="0" fontId="7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/>
    </xf>
    <xf numFmtId="0" fontId="7" fillId="2" borderId="7" xfId="0" applyFont="1" applyFill="1" applyBorder="1" applyAlignment="1">
      <alignment horizontal="right" vertical="center"/>
    </xf>
    <xf numFmtId="0" fontId="6" fillId="2" borderId="2" xfId="0" applyFont="1" applyFill="1" applyBorder="1"/>
    <xf numFmtId="0" fontId="8" fillId="2" borderId="2" xfId="0" applyFont="1" applyFill="1" applyBorder="1"/>
    <xf numFmtId="0" fontId="9" fillId="2" borderId="2" xfId="0" applyFont="1" applyFill="1" applyBorder="1"/>
    <xf numFmtId="14" fontId="0" fillId="2" borderId="2" xfId="0" applyNumberFormat="1" applyFill="1" applyBorder="1"/>
    <xf numFmtId="165" fontId="0" fillId="2" borderId="2" xfId="0" applyNumberFormat="1" applyFill="1" applyBorder="1"/>
    <xf numFmtId="0" fontId="5" fillId="2" borderId="7" xfId="0" applyFont="1" applyFill="1" applyBorder="1" applyAlignment="1">
      <alignment horizontal="right" vertical="center" wrapText="1"/>
    </xf>
    <xf numFmtId="164" fontId="0" fillId="2" borderId="7" xfId="0" applyNumberFormat="1" applyFill="1" applyBorder="1" applyAlignment="1">
      <alignment vertical="center" wrapText="1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/>
    </xf>
    <xf numFmtId="0" fontId="5" fillId="2" borderId="8" xfId="0" applyFont="1" applyFill="1" applyBorder="1" applyAlignment="1">
      <alignment horizontal="right" vertical="center" wrapText="1"/>
    </xf>
    <xf numFmtId="3" fontId="0" fillId="2" borderId="10" xfId="0" applyNumberFormat="1" applyFill="1" applyBorder="1" applyAlignment="1">
      <alignment vertical="center" wrapText="1"/>
    </xf>
    <xf numFmtId="164" fontId="6" fillId="2" borderId="2" xfId="0" applyNumberFormat="1" applyFont="1" applyFill="1" applyBorder="1"/>
    <xf numFmtId="0" fontId="6" fillId="2" borderId="2" xfId="0" applyFont="1" applyFill="1" applyBorder="1" applyAlignment="1">
      <alignment wrapText="1"/>
    </xf>
    <xf numFmtId="2" fontId="0" fillId="2" borderId="2" xfId="0" applyNumberFormat="1" applyFill="1" applyBorder="1" applyAlignment="1">
      <alignment wrapText="1"/>
    </xf>
    <xf numFmtId="0" fontId="5" fillId="2" borderId="17" xfId="0" applyFont="1" applyFill="1" applyBorder="1" applyAlignment="1">
      <alignment horizontal="right" vertical="center" wrapText="1"/>
    </xf>
    <xf numFmtId="3" fontId="0" fillId="2" borderId="16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left" vertical="center" indent="1"/>
    </xf>
    <xf numFmtId="0" fontId="0" fillId="2" borderId="7" xfId="0" applyFill="1" applyBorder="1" applyAlignment="1">
      <alignment horizontal="left" vertical="center" indent="1"/>
    </xf>
    <xf numFmtId="164" fontId="0" fillId="4" borderId="16" xfId="0" applyNumberFormat="1" applyFill="1" applyBorder="1" applyAlignment="1">
      <alignment vertical="center" wrapText="1"/>
    </xf>
    <xf numFmtId="164" fontId="0" fillId="4" borderId="17" xfId="0" applyNumberFormat="1" applyFill="1" applyBorder="1" applyAlignment="1">
      <alignment vertical="center" wrapText="1"/>
    </xf>
    <xf numFmtId="0" fontId="0" fillId="2" borderId="16" xfId="0" applyFill="1" applyBorder="1" applyAlignment="1">
      <alignment horizontal="center"/>
    </xf>
    <xf numFmtId="14" fontId="0" fillId="2" borderId="16" xfId="0" applyNumberFormat="1" applyFill="1" applyBorder="1"/>
    <xf numFmtId="3" fontId="0" fillId="2" borderId="19" xfId="0" applyNumberFormat="1" applyFill="1" applyBorder="1" applyAlignment="1">
      <alignment vertical="center" wrapText="1"/>
    </xf>
    <xf numFmtId="3" fontId="0" fillId="2" borderId="18" xfId="0" applyNumberFormat="1" applyFill="1" applyBorder="1" applyAlignment="1">
      <alignment vertical="center" wrapText="1"/>
    </xf>
    <xf numFmtId="0" fontId="5" fillId="2" borderId="9" xfId="0" applyFont="1" applyFill="1" applyBorder="1" applyAlignment="1">
      <alignment horizontal="right" vertical="center" wrapText="1"/>
    </xf>
    <xf numFmtId="164" fontId="0" fillId="4" borderId="14" xfId="0" applyNumberFormat="1" applyFill="1" applyBorder="1" applyAlignment="1">
      <alignment vertical="center" wrapText="1"/>
    </xf>
    <xf numFmtId="164" fontId="0" fillId="4" borderId="9" xfId="0" applyNumberFormat="1" applyFill="1" applyBorder="1" applyAlignment="1">
      <alignment vertical="center" wrapText="1"/>
    </xf>
    <xf numFmtId="164" fontId="10" fillId="4" borderId="16" xfId="0" applyNumberFormat="1" applyFont="1" applyFill="1" applyBorder="1" applyAlignment="1">
      <alignment vertical="center" wrapText="1"/>
    </xf>
    <xf numFmtId="164" fontId="10" fillId="4" borderId="17" xfId="0" applyNumberFormat="1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/>
    </xf>
    <xf numFmtId="0" fontId="3" fillId="3" borderId="5" xfId="0" applyFont="1" applyFill="1" applyBorder="1"/>
    <xf numFmtId="0" fontId="3" fillId="3" borderId="6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16" xfId="0" applyFont="1" applyFill="1" applyBorder="1"/>
    <xf numFmtId="0" fontId="3" fillId="3" borderId="3" xfId="0" applyFont="1" applyFill="1" applyBorder="1"/>
    <xf numFmtId="0" fontId="2" fillId="2" borderId="4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wrapText="1"/>
    </xf>
    <xf numFmtId="0" fontId="5" fillId="2" borderId="15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wrapText="1"/>
    </xf>
    <xf numFmtId="0" fontId="5" fillId="2" borderId="11" xfId="0" applyFont="1" applyFill="1" applyBorder="1" applyAlignment="1">
      <alignment horizontal="center" vertical="center"/>
    </xf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8170167886122355"/>
          <c:y val="0.19600135466937602"/>
          <c:w val="0.37867997808685128"/>
          <c:h val="0.78423401913470481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FFEBEB"/>
              </a:solidFill>
            </c:spPr>
            <c:extLst>
              <c:ext xmlns:c16="http://schemas.microsoft.com/office/drawing/2014/chart" uri="{C3380CC4-5D6E-409C-BE32-E72D297353CC}">
                <c16:uniqueId val="{00000001-A857-41B7-9248-D71814878C62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5C4C-4710-82E0-16F7FCB9FCFF}"/>
              </c:ext>
            </c:extLst>
          </c:dPt>
          <c:dPt>
            <c:idx val="2"/>
            <c:bubble3D val="0"/>
            <c:spPr>
              <a:solidFill>
                <a:srgbClr val="FFB7B7"/>
              </a:solidFill>
            </c:spPr>
            <c:extLst>
              <c:ext xmlns:c16="http://schemas.microsoft.com/office/drawing/2014/chart" uri="{C3380CC4-5D6E-409C-BE32-E72D297353CC}">
                <c16:uniqueId val="{00000002-5C4C-4710-82E0-16F7FCB9FCFF}"/>
              </c:ext>
            </c:extLst>
          </c:dPt>
          <c:dPt>
            <c:idx val="3"/>
            <c:bubble3D val="0"/>
            <c:spPr>
              <a:solidFill>
                <a:srgbClr val="FFD5D5"/>
              </a:solidFill>
            </c:spPr>
            <c:extLst>
              <c:ext xmlns:c16="http://schemas.microsoft.com/office/drawing/2014/chart" uri="{C3380CC4-5D6E-409C-BE32-E72D297353CC}">
                <c16:uniqueId val="{00000007-18F8-4317-8610-6A0D28DBD21F}"/>
              </c:ext>
            </c:extLst>
          </c:dPt>
          <c:dLbls>
            <c:dLbl>
              <c:idx val="0"/>
              <c:layout>
                <c:manualLayout>
                  <c:x val="2.8181417877586965E-2"/>
                  <c:y val="-9.40695296523517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57-41B7-9248-D71814878C62}"/>
                </c:ext>
              </c:extLst>
            </c:dLbl>
            <c:dLbl>
              <c:idx val="1"/>
              <c:layout>
                <c:manualLayout>
                  <c:x val="-8.1021576398062595E-2"/>
                  <c:y val="6.13496932515337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4C-4710-82E0-16F7FCB9FCFF}"/>
                </c:ext>
              </c:extLst>
            </c:dLbl>
            <c:dLbl>
              <c:idx val="2"/>
              <c:layout>
                <c:manualLayout>
                  <c:x val="-3.5226772346983706E-3"/>
                  <c:y val="8.179959100204461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4C-4710-82E0-16F7FCB9FCF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'18.5'!$AG$26:$AJ$26</c:f>
              <c:strCache>
                <c:ptCount val="4"/>
                <c:pt idx="0">
                  <c:v>&lt; 65  yrs</c:v>
                </c:pt>
                <c:pt idx="1">
                  <c:v>65-69 yrs</c:v>
                </c:pt>
                <c:pt idx="2">
                  <c:v>70-74 yrs</c:v>
                </c:pt>
                <c:pt idx="3">
                  <c:v>#REF!</c:v>
                </c:pt>
              </c:strCache>
            </c:strRef>
          </c:cat>
          <c:val>
            <c:numRef>
              <c:f>'18.5'!$AG$28:$AJ$28</c:f>
              <c:numCache>
                <c:formatCode>0.0</c:formatCode>
                <c:ptCount val="4"/>
                <c:pt idx="0">
                  <c:v>1.4242878560719641</c:v>
                </c:pt>
                <c:pt idx="1">
                  <c:v>71.289355322338835</c:v>
                </c:pt>
                <c:pt idx="2">
                  <c:v>21.439280359820089</c:v>
                </c:pt>
                <c:pt idx="3">
                  <c:v>5.8470764617691158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57-41B7-9248-D71814878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85725</xdr:rowOff>
    </xdr:from>
    <xdr:ext cx="7210425" cy="3371849"/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0.0229</cdr:x>
      <cdr:y>0</cdr:y>
    </cdr:from>
    <cdr:to>
      <cdr:x>1</cdr:x>
      <cdr:y>0.14806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5100" y="0"/>
          <a:ext cx="7045325" cy="4992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18.7: Percentage share of beneficiaries of retirement pension scheme by </a:t>
          </a:r>
          <a:r>
            <a:rPr lang="en-US" sz="1100" b="1" i="0">
              <a:effectLst/>
              <a:latin typeface="+mn-lt"/>
              <a:ea typeface="+mn-ea"/>
              <a:cs typeface="+mn-cs"/>
            </a:rPr>
            <a:t>age group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2021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J39"/>
  <sheetViews>
    <sheetView tabSelected="1" zoomScaleNormal="100" workbookViewId="0">
      <selection activeCell="O8" sqref="O8"/>
    </sheetView>
  </sheetViews>
  <sheetFormatPr defaultColWidth="14.42578125" defaultRowHeight="15" customHeight="1" x14ac:dyDescent="0.25"/>
  <cols>
    <col min="1" max="1" width="9.85546875" style="2" customWidth="1"/>
    <col min="2" max="11" width="10.85546875" style="2" customWidth="1"/>
    <col min="12" max="12" width="13.42578125" style="2" customWidth="1"/>
    <col min="13" max="13" width="3.7109375" style="2" customWidth="1"/>
    <col min="14" max="26" width="8" style="2" customWidth="1"/>
    <col min="27" max="27" width="11.85546875" style="2" customWidth="1"/>
    <col min="28" max="35" width="8" style="2" customWidth="1"/>
    <col min="36" max="16384" width="14.42578125" style="2"/>
  </cols>
  <sheetData>
    <row r="1" spans="1:35" ht="4.5" customHeight="1" x14ac:dyDescent="0.25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1" customHeight="1" x14ac:dyDescent="0.55000000000000004">
      <c r="A2" s="39" t="s">
        <v>38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1"/>
      <c r="M2" s="15"/>
      <c r="N2" s="15"/>
      <c r="O2" s="27"/>
      <c r="P2" s="27"/>
      <c r="Q2" s="27"/>
      <c r="R2" s="27"/>
      <c r="S2" s="27"/>
      <c r="T2" s="27"/>
      <c r="U2" s="27"/>
      <c r="V2" s="27"/>
      <c r="W2" s="27"/>
      <c r="X2" s="27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spans="1:35" ht="15.75" customHeight="1" x14ac:dyDescent="0.25">
      <c r="A3" s="43" t="s">
        <v>37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1"/>
      <c r="M3" s="1"/>
      <c r="N3" s="1"/>
      <c r="O3" s="3"/>
      <c r="P3" s="3"/>
      <c r="Q3" s="3"/>
      <c r="R3" s="3"/>
      <c r="S3" s="3"/>
      <c r="T3" s="3"/>
      <c r="U3" s="3"/>
      <c r="V3" s="3"/>
      <c r="W3" s="3"/>
      <c r="X3" s="3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9" customHeight="1" x14ac:dyDescent="0.25">
      <c r="A4" s="1"/>
      <c r="B4" s="14"/>
      <c r="C4" s="14"/>
      <c r="D4" s="14"/>
      <c r="E4" s="14"/>
      <c r="F4" s="14"/>
      <c r="G4" s="14"/>
      <c r="H4" s="14"/>
      <c r="I4" s="14"/>
      <c r="J4" s="14"/>
      <c r="K4" s="14"/>
      <c r="L4" s="1"/>
      <c r="M4" s="1"/>
      <c r="N4" s="1"/>
      <c r="O4" s="3"/>
      <c r="P4" s="3"/>
      <c r="Q4" s="3"/>
      <c r="R4" s="3"/>
      <c r="S4" s="3"/>
      <c r="T4" s="3"/>
      <c r="U4" s="3"/>
      <c r="V4" s="3"/>
      <c r="W4" s="3"/>
      <c r="X4" s="3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customHeight="1" x14ac:dyDescent="0.25">
      <c r="A5" s="36" t="s">
        <v>0</v>
      </c>
      <c r="B5" s="47" t="s">
        <v>32</v>
      </c>
      <c r="C5" s="47"/>
      <c r="D5" s="47"/>
      <c r="E5" s="47"/>
      <c r="F5" s="47"/>
      <c r="G5" s="47"/>
      <c r="H5" s="47"/>
      <c r="I5" s="47"/>
      <c r="J5" s="47"/>
      <c r="K5" s="47"/>
      <c r="L5" s="42" t="s">
        <v>1</v>
      </c>
      <c r="M5" s="1"/>
      <c r="N5" s="1"/>
      <c r="O5" s="3"/>
      <c r="P5" s="3"/>
      <c r="Q5" s="3"/>
      <c r="R5" s="3"/>
      <c r="S5" s="3"/>
      <c r="T5" s="3"/>
      <c r="U5" s="3"/>
      <c r="V5" s="3"/>
      <c r="W5" s="3"/>
      <c r="X5" s="3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" customHeight="1" x14ac:dyDescent="0.25">
      <c r="A6" s="37"/>
      <c r="B6" s="44">
        <v>2020</v>
      </c>
      <c r="C6" s="44"/>
      <c r="D6" s="44"/>
      <c r="E6" s="44"/>
      <c r="F6" s="45"/>
      <c r="G6" s="46">
        <v>2021</v>
      </c>
      <c r="H6" s="44"/>
      <c r="I6" s="44"/>
      <c r="J6" s="44"/>
      <c r="K6" s="44"/>
      <c r="L6" s="37"/>
      <c r="M6" s="1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" customHeight="1" x14ac:dyDescent="0.25">
      <c r="A7" s="38"/>
      <c r="B7" s="21" t="s">
        <v>2</v>
      </c>
      <c r="C7" s="21" t="s">
        <v>33</v>
      </c>
      <c r="D7" s="21" t="s">
        <v>29</v>
      </c>
      <c r="E7" s="21" t="s">
        <v>30</v>
      </c>
      <c r="F7" s="31" t="s">
        <v>34</v>
      </c>
      <c r="G7" s="16" t="s">
        <v>2</v>
      </c>
      <c r="H7" s="12" t="s">
        <v>33</v>
      </c>
      <c r="I7" s="12" t="s">
        <v>29</v>
      </c>
      <c r="J7" s="12" t="s">
        <v>30</v>
      </c>
      <c r="K7" s="12" t="s">
        <v>34</v>
      </c>
      <c r="L7" s="38"/>
      <c r="M7" s="1"/>
      <c r="N7" s="10"/>
      <c r="O7" s="28"/>
      <c r="P7" s="28"/>
      <c r="Q7" s="28"/>
      <c r="R7" s="28"/>
      <c r="S7" s="28"/>
      <c r="T7" s="28"/>
      <c r="U7" s="28"/>
      <c r="V7" s="28"/>
      <c r="W7" s="28"/>
      <c r="X7" s="28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21" customHeight="1" x14ac:dyDescent="0.25">
      <c r="A8" s="23" t="s">
        <v>3</v>
      </c>
      <c r="B8" s="22">
        <f>SUM(C8:F8)</f>
        <v>1369</v>
      </c>
      <c r="C8" s="25">
        <v>12</v>
      </c>
      <c r="D8" s="25">
        <v>1000</v>
      </c>
      <c r="E8" s="25">
        <v>313</v>
      </c>
      <c r="F8" s="32">
        <v>44</v>
      </c>
      <c r="G8" s="17">
        <f>SUM(H8:K8)</f>
        <v>1488</v>
      </c>
      <c r="H8" s="34">
        <v>15</v>
      </c>
      <c r="I8" s="34">
        <v>1112</v>
      </c>
      <c r="J8" s="34">
        <v>282</v>
      </c>
      <c r="K8" s="34">
        <v>79</v>
      </c>
      <c r="L8" s="4" t="s">
        <v>4</v>
      </c>
      <c r="M8" s="1"/>
      <c r="N8" s="10"/>
      <c r="O8" s="28"/>
      <c r="P8" s="28"/>
      <c r="Q8" s="28"/>
      <c r="R8" s="28"/>
      <c r="S8" s="28"/>
      <c r="T8" s="28"/>
      <c r="U8" s="28"/>
      <c r="V8" s="28"/>
      <c r="W8" s="28"/>
      <c r="X8" s="28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21" customHeight="1" x14ac:dyDescent="0.25">
      <c r="A9" s="23" t="s">
        <v>5</v>
      </c>
      <c r="B9" s="22">
        <f t="shared" ref="B9:B18" si="0">SUM(C9:F9)</f>
        <v>1367</v>
      </c>
      <c r="C9" s="25">
        <v>16</v>
      </c>
      <c r="D9" s="25">
        <v>998</v>
      </c>
      <c r="E9" s="25">
        <v>304</v>
      </c>
      <c r="F9" s="32">
        <v>49</v>
      </c>
      <c r="G9" s="17">
        <f t="shared" ref="G9:G18" si="1">SUM(H9:K9)</f>
        <v>1765</v>
      </c>
      <c r="H9" s="34">
        <v>14</v>
      </c>
      <c r="I9" s="34">
        <v>1257</v>
      </c>
      <c r="J9" s="34">
        <v>396</v>
      </c>
      <c r="K9" s="34">
        <v>98</v>
      </c>
      <c r="L9" s="4" t="s">
        <v>6</v>
      </c>
      <c r="M9" s="1"/>
      <c r="N9" s="10"/>
      <c r="O9" s="28"/>
      <c r="P9" s="28"/>
      <c r="Q9" s="28"/>
      <c r="R9" s="28"/>
      <c r="S9" s="28"/>
      <c r="T9" s="28"/>
      <c r="U9" s="28"/>
      <c r="V9" s="28"/>
      <c r="W9" s="28"/>
      <c r="X9" s="28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21" customHeight="1" x14ac:dyDescent="0.25">
      <c r="A10" s="23" t="s">
        <v>7</v>
      </c>
      <c r="B10" s="22">
        <f t="shared" si="0"/>
        <v>1412</v>
      </c>
      <c r="C10" s="25">
        <v>13</v>
      </c>
      <c r="D10" s="25">
        <v>1044</v>
      </c>
      <c r="E10" s="25">
        <v>306</v>
      </c>
      <c r="F10" s="32">
        <v>49</v>
      </c>
      <c r="G10" s="17">
        <f t="shared" si="1"/>
        <v>1495</v>
      </c>
      <c r="H10" s="34">
        <v>15</v>
      </c>
      <c r="I10" s="34">
        <v>1120</v>
      </c>
      <c r="J10" s="34">
        <v>280</v>
      </c>
      <c r="K10" s="34">
        <v>80</v>
      </c>
      <c r="L10" s="4" t="s">
        <v>8</v>
      </c>
      <c r="M10" s="1"/>
      <c r="N10" s="10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21" customHeight="1" x14ac:dyDescent="0.25">
      <c r="A11" s="23" t="s">
        <v>9</v>
      </c>
      <c r="B11" s="22">
        <f t="shared" si="0"/>
        <v>1387</v>
      </c>
      <c r="C11" s="25">
        <v>9</v>
      </c>
      <c r="D11" s="25">
        <v>1017</v>
      </c>
      <c r="E11" s="25">
        <v>308</v>
      </c>
      <c r="F11" s="32">
        <v>53</v>
      </c>
      <c r="G11" s="17">
        <f t="shared" si="1"/>
        <v>1494</v>
      </c>
      <c r="H11" s="34">
        <v>18</v>
      </c>
      <c r="I11" s="34">
        <v>1119</v>
      </c>
      <c r="J11" s="34">
        <v>276</v>
      </c>
      <c r="K11" s="34">
        <v>81</v>
      </c>
      <c r="L11" s="4" t="s">
        <v>10</v>
      </c>
      <c r="M11" s="1"/>
      <c r="N11" s="10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21" customHeight="1" x14ac:dyDescent="0.25">
      <c r="A12" s="23" t="s">
        <v>11</v>
      </c>
      <c r="B12" s="22">
        <f t="shared" si="0"/>
        <v>1367</v>
      </c>
      <c r="C12" s="25">
        <v>5</v>
      </c>
      <c r="D12" s="25">
        <v>1004</v>
      </c>
      <c r="E12" s="25">
        <v>305</v>
      </c>
      <c r="F12" s="32">
        <v>53</v>
      </c>
      <c r="G12" s="17">
        <f t="shared" si="1"/>
        <v>1482</v>
      </c>
      <c r="H12" s="34">
        <v>18</v>
      </c>
      <c r="I12" s="34">
        <v>1117</v>
      </c>
      <c r="J12" s="34">
        <v>269</v>
      </c>
      <c r="K12" s="34">
        <v>78</v>
      </c>
      <c r="L12" s="4" t="s">
        <v>12</v>
      </c>
      <c r="M12" s="1"/>
      <c r="N12" s="10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21" customHeight="1" x14ac:dyDescent="0.25">
      <c r="A13" s="23" t="s">
        <v>13</v>
      </c>
      <c r="B13" s="22">
        <f t="shared" si="0"/>
        <v>1409</v>
      </c>
      <c r="C13" s="25">
        <v>5</v>
      </c>
      <c r="D13" s="25">
        <v>1040</v>
      </c>
      <c r="E13" s="25">
        <v>306</v>
      </c>
      <c r="F13" s="32">
        <v>58</v>
      </c>
      <c r="G13" s="17">
        <f t="shared" si="1"/>
        <v>1482</v>
      </c>
      <c r="H13" s="34">
        <v>19</v>
      </c>
      <c r="I13" s="34">
        <v>1117</v>
      </c>
      <c r="J13" s="34">
        <v>266</v>
      </c>
      <c r="K13" s="34">
        <v>80</v>
      </c>
      <c r="L13" s="4" t="s">
        <v>14</v>
      </c>
      <c r="M13" s="1"/>
      <c r="N13" s="10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21" customHeight="1" x14ac:dyDescent="0.25">
      <c r="A14" s="23" t="s">
        <v>15</v>
      </c>
      <c r="B14" s="22">
        <f t="shared" si="0"/>
        <v>1376</v>
      </c>
      <c r="C14" s="25">
        <v>11</v>
      </c>
      <c r="D14" s="25">
        <v>1014</v>
      </c>
      <c r="E14" s="25">
        <v>295</v>
      </c>
      <c r="F14" s="32">
        <v>56</v>
      </c>
      <c r="G14" s="17">
        <f t="shared" si="1"/>
        <v>1450</v>
      </c>
      <c r="H14" s="34">
        <v>9</v>
      </c>
      <c r="I14" s="34">
        <v>1101</v>
      </c>
      <c r="J14" s="34">
        <v>260</v>
      </c>
      <c r="K14" s="34">
        <v>80</v>
      </c>
      <c r="L14" s="4" t="s">
        <v>16</v>
      </c>
      <c r="M14" s="1"/>
      <c r="N14" s="10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21" customHeight="1" x14ac:dyDescent="0.25">
      <c r="A15" s="23" t="s">
        <v>17</v>
      </c>
      <c r="B15" s="22">
        <f t="shared" si="0"/>
        <v>1369</v>
      </c>
      <c r="C15" s="25">
        <v>10</v>
      </c>
      <c r="D15" s="25">
        <v>985</v>
      </c>
      <c r="E15" s="25">
        <v>315</v>
      </c>
      <c r="F15" s="32">
        <v>59</v>
      </c>
      <c r="G15" s="17">
        <f t="shared" si="1"/>
        <v>1463</v>
      </c>
      <c r="H15" s="34">
        <v>10</v>
      </c>
      <c r="I15" s="34">
        <v>1100</v>
      </c>
      <c r="J15" s="34">
        <v>269</v>
      </c>
      <c r="K15" s="34">
        <v>84</v>
      </c>
      <c r="L15" s="4" t="s">
        <v>18</v>
      </c>
      <c r="M15" s="1"/>
      <c r="N15" s="10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21" customHeight="1" x14ac:dyDescent="0.25">
      <c r="A16" s="23" t="s">
        <v>19</v>
      </c>
      <c r="B16" s="22">
        <f t="shared" si="0"/>
        <v>1372</v>
      </c>
      <c r="C16" s="25">
        <v>16</v>
      </c>
      <c r="D16" s="25">
        <v>985</v>
      </c>
      <c r="E16" s="25">
        <v>295</v>
      </c>
      <c r="F16" s="32">
        <v>76</v>
      </c>
      <c r="G16" s="17">
        <f t="shared" si="1"/>
        <v>1481</v>
      </c>
      <c r="H16" s="34">
        <v>22</v>
      </c>
      <c r="I16" s="34">
        <v>1103</v>
      </c>
      <c r="J16" s="34">
        <v>266</v>
      </c>
      <c r="K16" s="34">
        <v>90</v>
      </c>
      <c r="L16" s="4" t="s">
        <v>20</v>
      </c>
      <c r="M16" s="1"/>
      <c r="N16" s="10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6" ht="21" customHeight="1" x14ac:dyDescent="0.25">
      <c r="A17" s="23" t="s">
        <v>21</v>
      </c>
      <c r="B17" s="22">
        <f t="shared" si="0"/>
        <v>1353</v>
      </c>
      <c r="C17" s="25">
        <v>8</v>
      </c>
      <c r="D17" s="25">
        <v>977</v>
      </c>
      <c r="E17" s="25">
        <v>290</v>
      </c>
      <c r="F17" s="32">
        <v>78</v>
      </c>
      <c r="G17" s="17">
        <f t="shared" si="1"/>
        <v>1468</v>
      </c>
      <c r="H17" s="34">
        <v>16</v>
      </c>
      <c r="I17" s="34">
        <v>1096</v>
      </c>
      <c r="J17" s="34">
        <v>266</v>
      </c>
      <c r="K17" s="34">
        <v>90</v>
      </c>
      <c r="L17" s="4" t="s">
        <v>22</v>
      </c>
      <c r="M17" s="1"/>
      <c r="N17" s="10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6" ht="21" customHeight="1" x14ac:dyDescent="0.55000000000000004">
      <c r="A18" s="23" t="s">
        <v>23</v>
      </c>
      <c r="B18" s="22">
        <f t="shared" si="0"/>
        <v>1363</v>
      </c>
      <c r="C18" s="25">
        <v>21</v>
      </c>
      <c r="D18" s="25">
        <v>972</v>
      </c>
      <c r="E18" s="25">
        <v>291</v>
      </c>
      <c r="F18" s="32">
        <v>79</v>
      </c>
      <c r="G18" s="17">
        <f t="shared" si="1"/>
        <v>1473</v>
      </c>
      <c r="H18" s="34">
        <v>11</v>
      </c>
      <c r="I18" s="34">
        <v>1106</v>
      </c>
      <c r="J18" s="34">
        <v>264</v>
      </c>
      <c r="K18" s="34">
        <v>92</v>
      </c>
      <c r="L18" s="5" t="s">
        <v>24</v>
      </c>
      <c r="M18" s="1"/>
      <c r="N18" s="10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1"/>
      <c r="Z18" s="1"/>
      <c r="AA18" s="1"/>
      <c r="AB18" s="1"/>
      <c r="AC18" s="1"/>
      <c r="AD18" s="1"/>
    </row>
    <row r="19" spans="1:36" ht="21" customHeight="1" x14ac:dyDescent="0.25">
      <c r="A19" s="24" t="s">
        <v>25</v>
      </c>
      <c r="B19" s="30">
        <f>SUM(C19:F19)</f>
        <v>1328</v>
      </c>
      <c r="C19" s="26">
        <v>13</v>
      </c>
      <c r="D19" s="26">
        <v>951</v>
      </c>
      <c r="E19" s="26">
        <v>286</v>
      </c>
      <c r="F19" s="33">
        <v>78</v>
      </c>
      <c r="G19" s="29">
        <f>SUM(H19:K19)</f>
        <v>1483</v>
      </c>
      <c r="H19" s="35">
        <v>19</v>
      </c>
      <c r="I19" s="35">
        <v>1111</v>
      </c>
      <c r="J19" s="35">
        <v>255</v>
      </c>
      <c r="K19" s="35">
        <v>98</v>
      </c>
      <c r="L19" s="6" t="s">
        <v>26</v>
      </c>
      <c r="M19" s="1"/>
      <c r="N19" s="1"/>
      <c r="O19" s="3"/>
      <c r="P19" s="3"/>
      <c r="Q19" s="3"/>
      <c r="R19" s="3"/>
      <c r="S19" s="3"/>
      <c r="T19" s="3"/>
      <c r="U19" s="3"/>
      <c r="V19" s="3"/>
      <c r="W19" s="3"/>
      <c r="X19" s="3"/>
      <c r="Y19" s="1"/>
      <c r="Z19" s="1"/>
      <c r="AA19" s="1"/>
      <c r="AB19" s="1"/>
      <c r="AC19" s="1"/>
      <c r="AD19" s="1"/>
    </row>
    <row r="20" spans="1:36" ht="15.75" customHeight="1" x14ac:dyDescent="0.45">
      <c r="A20" s="8" t="s">
        <v>27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9" t="s">
        <v>28</v>
      </c>
      <c r="M20" s="1"/>
      <c r="N20" s="1"/>
      <c r="O20" s="3"/>
      <c r="P20" s="3"/>
      <c r="Q20" s="3"/>
      <c r="R20" s="3"/>
      <c r="S20" s="3"/>
      <c r="T20" s="3"/>
      <c r="U20" s="3"/>
      <c r="V20" s="3"/>
      <c r="W20" s="3"/>
      <c r="X20" s="3"/>
      <c r="Y20" s="1"/>
      <c r="Z20" s="1"/>
      <c r="AA20" s="1"/>
      <c r="AB20" s="1"/>
      <c r="AC20" s="1"/>
      <c r="AD20" s="1"/>
    </row>
    <row r="21" spans="1:3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3"/>
      <c r="P21" s="3"/>
      <c r="Q21" s="3"/>
      <c r="R21" s="3"/>
      <c r="S21" s="3"/>
      <c r="T21" s="3"/>
      <c r="U21" s="3"/>
      <c r="V21" s="3"/>
      <c r="W21" s="3"/>
      <c r="X21" s="3"/>
      <c r="Y21" s="1"/>
      <c r="Z21" s="1"/>
      <c r="AA21" s="1"/>
      <c r="AB21" s="1"/>
      <c r="AC21" s="1"/>
      <c r="AD21" s="1"/>
    </row>
    <row r="22" spans="1:36" ht="15.75" customHeight="1" x14ac:dyDescent="0.25">
      <c r="A22" s="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"/>
      <c r="M22" s="1"/>
      <c r="N22" s="1"/>
      <c r="O22" s="3"/>
      <c r="P22" s="3"/>
      <c r="Q22" s="3"/>
      <c r="R22" s="3"/>
      <c r="S22" s="3"/>
      <c r="T22" s="3"/>
      <c r="U22" s="3"/>
      <c r="V22" s="3"/>
      <c r="W22" s="3"/>
      <c r="X22" s="3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6" ht="15.75" customHeight="1" x14ac:dyDescent="0.25">
      <c r="A23" s="1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"/>
      <c r="M23" s="1"/>
      <c r="N23" s="1"/>
      <c r="O23" s="3"/>
      <c r="P23" s="3"/>
      <c r="Q23" s="3"/>
      <c r="R23" s="3"/>
      <c r="S23" s="3"/>
      <c r="T23" s="3"/>
      <c r="U23" s="3"/>
      <c r="V23" s="3"/>
      <c r="W23" s="3"/>
      <c r="X23" s="3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6" ht="15.75" customHeight="1" x14ac:dyDescent="0.25">
      <c r="A24" s="1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"/>
      <c r="M24" s="1"/>
      <c r="N24" s="1"/>
      <c r="O24" s="3"/>
      <c r="P24" s="3"/>
      <c r="Q24" s="3"/>
      <c r="R24" s="3"/>
      <c r="S24" s="3"/>
      <c r="T24" s="3"/>
      <c r="U24" s="3"/>
      <c r="V24" s="3"/>
      <c r="W24" s="3"/>
      <c r="X24" s="3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6" ht="15.75" customHeight="1" x14ac:dyDescent="0.25">
      <c r="A25" s="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"/>
      <c r="M25" s="1"/>
      <c r="N25" s="1"/>
      <c r="O25" s="3"/>
      <c r="P25" s="3"/>
      <c r="Q25" s="3"/>
      <c r="R25" s="3"/>
      <c r="S25" s="3"/>
      <c r="T25" s="3"/>
      <c r="U25" s="3"/>
      <c r="V25" s="3"/>
      <c r="W25" s="3"/>
      <c r="X25" s="3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6" ht="15.75" customHeight="1" x14ac:dyDescent="0.25">
      <c r="A26" s="1"/>
      <c r="B26" s="14"/>
      <c r="C26" s="20"/>
      <c r="D26" s="14"/>
      <c r="E26" s="14"/>
      <c r="F26" s="14"/>
      <c r="G26" s="14"/>
      <c r="H26" s="20"/>
      <c r="I26" s="14"/>
      <c r="J26" s="14"/>
      <c r="K26" s="14"/>
      <c r="L26" s="1"/>
      <c r="M26" s="1"/>
      <c r="N26" s="1"/>
      <c r="O26" s="3"/>
      <c r="P26" s="3"/>
      <c r="Q26" s="3"/>
      <c r="R26" s="3"/>
      <c r="S26" s="3"/>
      <c r="T26" s="3"/>
      <c r="U26" s="3"/>
      <c r="V26" s="3"/>
      <c r="W26" s="3"/>
      <c r="X26" s="3"/>
      <c r="Y26" s="1"/>
      <c r="Z26" s="1"/>
      <c r="AA26" s="1"/>
      <c r="AB26" s="1"/>
      <c r="AC26" s="1"/>
      <c r="AD26" s="1"/>
      <c r="AE26" s="1"/>
      <c r="AF26" s="1"/>
      <c r="AG26" s="12" t="s">
        <v>35</v>
      </c>
      <c r="AH26" s="12" t="s">
        <v>31</v>
      </c>
      <c r="AI26" s="12" t="s">
        <v>36</v>
      </c>
      <c r="AJ26" s="2" t="e">
        <f>#REF!</f>
        <v>#REF!</v>
      </c>
    </row>
    <row r="27" spans="1:36" ht="15.75" customHeight="1" x14ac:dyDescent="0.25">
      <c r="A27" s="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"/>
      <c r="M27" s="1"/>
      <c r="N27" s="1"/>
      <c r="O27" s="3"/>
      <c r="P27" s="3"/>
      <c r="Q27" s="3"/>
      <c r="R27" s="3"/>
      <c r="S27" s="3"/>
      <c r="T27" s="3"/>
      <c r="U27" s="3"/>
      <c r="V27" s="3"/>
      <c r="W27" s="3"/>
      <c r="X27" s="3"/>
      <c r="Y27" s="1"/>
      <c r="Z27" s="1"/>
      <c r="AA27" s="1"/>
      <c r="AB27" s="1"/>
      <c r="AC27" s="1"/>
      <c r="AD27" s="1"/>
      <c r="AE27" s="7"/>
      <c r="AF27" s="18">
        <f>SUM(AG27:AJ27)</f>
        <v>1334</v>
      </c>
      <c r="AG27" s="13">
        <f>H19</f>
        <v>19</v>
      </c>
      <c r="AH27" s="13">
        <f t="shared" ref="AH27:AJ27" si="2">D19</f>
        <v>951</v>
      </c>
      <c r="AI27" s="13">
        <f t="shared" si="2"/>
        <v>286</v>
      </c>
      <c r="AJ27" s="13">
        <f t="shared" si="2"/>
        <v>78</v>
      </c>
    </row>
    <row r="28" spans="1:36" ht="15.75" customHeight="1" x14ac:dyDescent="0.25">
      <c r="A28" s="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"/>
      <c r="M28" s="1"/>
      <c r="N28" s="1"/>
      <c r="O28" s="3"/>
      <c r="P28" s="3"/>
      <c r="Q28" s="3"/>
      <c r="R28" s="3"/>
      <c r="S28" s="3"/>
      <c r="T28" s="3"/>
      <c r="U28" s="3"/>
      <c r="V28" s="3"/>
      <c r="W28" s="3"/>
      <c r="X28" s="3"/>
      <c r="Y28" s="1"/>
      <c r="Z28" s="1"/>
      <c r="AA28" s="1"/>
      <c r="AB28" s="1"/>
      <c r="AC28" s="1"/>
      <c r="AD28" s="1"/>
      <c r="AE28" s="1"/>
      <c r="AF28" s="1"/>
      <c r="AG28" s="11">
        <f>AG27/AF27*100</f>
        <v>1.4242878560719641</v>
      </c>
      <c r="AH28" s="11">
        <f>AH27/AF27*100</f>
        <v>71.289355322338835</v>
      </c>
      <c r="AI28" s="11">
        <f>AI27/AF27*100</f>
        <v>21.439280359820089</v>
      </c>
      <c r="AJ28" s="11">
        <f>AJ27/AF27*100</f>
        <v>5.8470764617691158</v>
      </c>
    </row>
    <row r="29" spans="1:36" ht="15.75" customHeight="1" x14ac:dyDescent="0.25">
      <c r="A29" s="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"/>
      <c r="M29" s="1"/>
      <c r="N29" s="1"/>
      <c r="O29" s="3"/>
      <c r="P29" s="3"/>
      <c r="Q29" s="3"/>
      <c r="R29" s="3"/>
      <c r="S29" s="3"/>
      <c r="T29" s="3"/>
      <c r="U29" s="3"/>
      <c r="V29" s="3"/>
      <c r="W29" s="3"/>
      <c r="X29" s="3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6" ht="15.75" customHeight="1" x14ac:dyDescent="0.25">
      <c r="A30" s="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"/>
      <c r="M30" s="1"/>
      <c r="N30" s="1"/>
      <c r="O30" s="3"/>
      <c r="P30" s="3"/>
      <c r="Q30" s="3"/>
      <c r="R30" s="3"/>
      <c r="S30" s="3"/>
      <c r="T30" s="3"/>
      <c r="U30" s="3"/>
      <c r="V30" s="3"/>
      <c r="W30" s="3"/>
      <c r="X30" s="3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6" ht="15.75" customHeight="1" x14ac:dyDescent="0.25">
      <c r="A31" s="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"/>
      <c r="M31" s="1"/>
      <c r="N31" s="1"/>
      <c r="O31" s="3"/>
      <c r="P31" s="3"/>
      <c r="Q31" s="3"/>
      <c r="R31" s="3"/>
      <c r="S31" s="3"/>
      <c r="T31" s="3"/>
      <c r="U31" s="3"/>
      <c r="V31" s="3"/>
      <c r="W31" s="3"/>
      <c r="X31" s="3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6" ht="15.75" customHeight="1" x14ac:dyDescent="0.25">
      <c r="A32" s="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"/>
      <c r="M32" s="1"/>
      <c r="N32" s="1"/>
      <c r="O32" s="3"/>
      <c r="P32" s="3"/>
      <c r="Q32" s="3"/>
      <c r="R32" s="3"/>
      <c r="S32" s="3"/>
      <c r="T32" s="3"/>
      <c r="U32" s="3"/>
      <c r="V32" s="3"/>
      <c r="W32" s="3"/>
      <c r="X32" s="3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5.75" customHeight="1" x14ac:dyDescent="0.25">
      <c r="A33" s="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"/>
      <c r="M33" s="1"/>
      <c r="N33" s="1"/>
      <c r="O33" s="3"/>
      <c r="P33" s="3"/>
      <c r="Q33" s="3"/>
      <c r="R33" s="3"/>
      <c r="S33" s="3"/>
      <c r="T33" s="3"/>
      <c r="U33" s="3"/>
      <c r="V33" s="3"/>
      <c r="W33" s="3"/>
      <c r="X33" s="3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5.75" customHeight="1" x14ac:dyDescent="0.25">
      <c r="A34" s="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"/>
      <c r="M34" s="1"/>
      <c r="N34" s="1"/>
      <c r="O34" s="3"/>
      <c r="P34" s="3"/>
      <c r="Q34" s="3"/>
      <c r="R34" s="3"/>
      <c r="S34" s="3"/>
      <c r="T34" s="3"/>
      <c r="U34" s="3"/>
      <c r="V34" s="3"/>
      <c r="W34" s="3"/>
      <c r="X34" s="3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5.75" customHeight="1" x14ac:dyDescent="0.25">
      <c r="A35" s="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"/>
      <c r="M35" s="1"/>
      <c r="N35" s="1"/>
      <c r="O35" s="3"/>
      <c r="P35" s="3"/>
      <c r="Q35" s="3"/>
      <c r="R35" s="3"/>
      <c r="S35" s="3"/>
      <c r="T35" s="3"/>
      <c r="U35" s="3"/>
      <c r="V35" s="3"/>
      <c r="W35" s="3"/>
      <c r="X35" s="3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5.75" customHeight="1" x14ac:dyDescent="0.25">
      <c r="A36" s="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"/>
      <c r="M36" s="1"/>
      <c r="N36" s="1"/>
      <c r="O36" s="3"/>
      <c r="P36" s="3"/>
      <c r="Q36" s="3"/>
      <c r="R36" s="3"/>
      <c r="S36" s="3"/>
      <c r="T36" s="3"/>
      <c r="U36" s="3"/>
      <c r="V36" s="3"/>
      <c r="W36" s="3"/>
      <c r="X36" s="3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5.75" customHeight="1" x14ac:dyDescent="0.25">
      <c r="A37" s="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"/>
      <c r="M37" s="1"/>
      <c r="N37" s="1"/>
      <c r="O37" s="3"/>
      <c r="P37" s="3"/>
      <c r="Q37" s="3"/>
      <c r="R37" s="3"/>
      <c r="S37" s="3"/>
      <c r="T37" s="3"/>
      <c r="U37" s="3"/>
      <c r="V37" s="3"/>
      <c r="W37" s="3"/>
      <c r="X37" s="3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5.75" customHeight="1" x14ac:dyDescent="0.25">
      <c r="A38" s="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"/>
      <c r="M38" s="1"/>
      <c r="N38" s="1"/>
      <c r="O38" s="3"/>
      <c r="P38" s="3"/>
      <c r="Q38" s="3"/>
      <c r="R38" s="3"/>
      <c r="S38" s="3"/>
      <c r="T38" s="3"/>
      <c r="U38" s="3"/>
      <c r="V38" s="3"/>
      <c r="W38" s="3"/>
      <c r="X38" s="3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5.75" customHeight="1" x14ac:dyDescent="0.25">
      <c r="A39" s="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"/>
      <c r="M39" s="1"/>
      <c r="N39" s="1"/>
      <c r="O39" s="3"/>
      <c r="P39" s="3"/>
      <c r="Q39" s="3"/>
      <c r="R39" s="3"/>
      <c r="S39" s="3"/>
      <c r="T39" s="3"/>
      <c r="U39" s="3"/>
      <c r="V39" s="3"/>
      <c r="W39" s="3"/>
      <c r="X39" s="3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</sheetData>
  <mergeCells count="7">
    <mergeCell ref="A2:L2"/>
    <mergeCell ref="A3:L3"/>
    <mergeCell ref="L5:L7"/>
    <mergeCell ref="A5:A7"/>
    <mergeCell ref="B6:F6"/>
    <mergeCell ref="G6:K6"/>
    <mergeCell ref="B5:K5"/>
  </mergeCells>
  <pageMargins left="0.7" right="0.7" top="0.75" bottom="0.75" header="0" footer="0"/>
  <pageSetup paperSize="9" scale="7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18.5</vt:lpstr>
      <vt:lpstr>'18.5'!Print_Area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2023-03-05T03:46:15Z</cp:lastPrinted>
  <dcterms:created xsi:type="dcterms:W3CDTF">2019-02-21T04:10:17Z</dcterms:created>
  <dcterms:modified xsi:type="dcterms:W3CDTF">2023-03-05T03:46:59Z</dcterms:modified>
</cp:coreProperties>
</file>