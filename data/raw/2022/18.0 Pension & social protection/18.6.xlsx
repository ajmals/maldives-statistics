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34512E58-3E6D-4843-BAFE-071E08E67728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6" sheetId="6" r:id="rId1"/>
  </sheets>
  <externalReferences>
    <externalReference r:id="rId2"/>
  </externalReferences>
  <definedNames>
    <definedName name="_xlnm.Print_Area" localSheetId="0">'18.6'!$A$1:$O$33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6" l="1"/>
  <c r="H8" i="6"/>
  <c r="H9" i="6"/>
  <c r="H10" i="6"/>
  <c r="H11" i="6"/>
  <c r="H12" i="6"/>
  <c r="H13" i="6"/>
  <c r="H14" i="6"/>
  <c r="H15" i="6"/>
  <c r="H16" i="6"/>
  <c r="H17" i="6"/>
  <c r="H18" i="6"/>
  <c r="BQ27" i="6" s="1"/>
  <c r="BM27" i="6" l="1"/>
  <c r="BN27" i="6"/>
  <c r="BO27" i="6"/>
  <c r="BP27" i="6"/>
  <c r="B18" i="6"/>
  <c r="B17" i="6"/>
  <c r="B16" i="6"/>
  <c r="B15" i="6"/>
  <c r="B14" i="6"/>
  <c r="B13" i="6"/>
  <c r="B12" i="6"/>
  <c r="B11" i="6"/>
  <c r="B10" i="6"/>
  <c r="B9" i="6"/>
  <c r="B8" i="6"/>
  <c r="B7" i="6"/>
</calcChain>
</file>

<file path=xl/sharedStrings.xml><?xml version="1.0" encoding="utf-8"?>
<sst xmlns="http://schemas.openxmlformats.org/spreadsheetml/2006/main" count="49" uniqueCount="42">
  <si>
    <t>Month</t>
  </si>
  <si>
    <t>މަސް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</si>
  <si>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</si>
  <si>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</si>
  <si>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</si>
  <si>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</si>
  <si>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</si>
  <si>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</si>
  <si>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</si>
  <si>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</si>
  <si>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</si>
  <si>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</si>
  <si>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</si>
  <si>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</si>
  <si>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</si>
  <si>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</si>
  <si>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</si>
  <si>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</si>
  <si>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</si>
  <si>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</si>
  <si>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</si>
  <si>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</si>
  <si>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</si>
  <si>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</si>
  <si>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</si>
  <si>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</si>
  <si>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</si>
  <si>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</si>
  <si>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</si>
  <si>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</si>
  <si>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</si>
  <si>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65-69 yrs</t>
  </si>
  <si>
    <t>70-74 yrs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</si>
  <si>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</si>
  <si>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&lt; 55</t>
  </si>
  <si>
    <t>55-64</t>
  </si>
  <si>
    <t>75 +</t>
  </si>
  <si>
    <t>&lt; 55 yrs</t>
  </si>
  <si>
    <t>55-64 yrs</t>
  </si>
  <si>
    <t>75 yrs and over</t>
  </si>
  <si>
    <t>TABLE   18.6: NUMBER OF BENEFICIARIES OF OTHER PENSION SCHEMES BY AGE, 2020 - 2021</t>
  </si>
  <si>
    <t>ތާވަލު  18.6 :އެހެނިހެން ޕެންޝަން ލިބޭ މީހުންގެ އަދަދު އަދި ޢުމުރުފުރާތައް، 2020 - 2021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</si>
</sst>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0">
    <xf numFmtId="0" fontId="0" fillId="0" borderId="0"/>
    <xf numFmtId="164" fontId="10" fillId="0" borderId="18"/>
    <xf numFmtId="0" fontId="1" fillId="0" borderId="18"/>
    <xf numFmtId="0" fontId="1" fillId="0" borderId="18"/>
    <xf numFmtId="43" fontId="8" fillId="0" borderId="18" applyFont="0" applyFill="0" applyBorder="0" applyAlignment="0" applyProtection="0"/>
    <xf numFmtId="43" fontId="8" fillId="0" borderId="18" applyFont="0" applyFill="0" applyBorder="0" applyAlignment="0" applyProtection="0"/>
    <xf numFmtId="0" fontId="8" fillId="0" borderId="18"/>
    <xf numFmtId="0" fontId="11" fillId="0" borderId="18"/>
    <xf numFmtId="0" fontId="12" fillId="0" borderId="18" applyFill="0" applyProtection="0"/>
    <xf numFmtId="0" fontId="13" fillId="0" borderId="18"/>
    <xf numFmtId="0" fontId="13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</cellStyleXfs>
  <cellXfs count="40">
    <xf numFmtId="0" fontId="0" fillId="0" borderId="0" xfId="0"/>
    <xf numFmtId="0" fontId="0" fillId="2" borderId="2" xfId="0" applyFill="1" applyBorder="1"/>
    <xf numFmtId="0" fontId="0" fillId="3" borderId="0" xfId="0" applyFill="1"/>
    <xf numFmtId="0" fontId="0" fillId="2" borderId="2" xfId="0" applyFill="1" applyBorder="1" applyAlignment="1">
      <alignment vertical="center"/>
    </xf>
    <xf numFmtId="0" fontId="4" fillId="2" borderId="12" xfId="0" applyFont="1" applyFill="1" applyBorder="1" applyAlignment="1">
      <alignment horizontal="right" vertical="center"/>
    </xf>
    <xf numFmtId="0" fontId="0" fillId="2" borderId="18" xfId="0" applyFill="1" applyBorder="1"/>
    <xf numFmtId="0" fontId="5" fillId="2" borderId="2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6" fillId="2" borderId="2" xfId="0" applyFont="1" applyFill="1" applyBorder="1"/>
    <xf numFmtId="0" fontId="7" fillId="2" borderId="2" xfId="0" applyFont="1" applyFill="1" applyBorder="1"/>
    <xf numFmtId="14" fontId="0" fillId="2" borderId="2" xfId="0" applyNumberFormat="1" applyFill="1" applyBorder="1"/>
    <xf numFmtId="0" fontId="4" fillId="2" borderId="13" xfId="0" applyFont="1" applyFill="1" applyBorder="1" applyAlignment="1">
      <alignment horizontal="right" vertical="center"/>
    </xf>
    <xf numFmtId="1" fontId="0" fillId="2" borderId="2" xfId="0" applyNumberFormat="1" applyFill="1" applyBorder="1"/>
    <xf numFmtId="165" fontId="0" fillId="2" borderId="2" xfId="0" applyNumberFormat="1" applyFill="1" applyBorder="1"/>
    <xf numFmtId="0" fontId="0" fillId="2" borderId="2" xfId="0" applyFill="1" applyBorder="1" applyAlignment="1">
      <alignment wrapText="1"/>
    </xf>
    <xf numFmtId="164" fontId="0" fillId="2" borderId="14" xfId="0" applyNumberFormat="1" applyFill="1" applyBorder="1" applyAlignment="1">
      <alignment horizontal="right" vertical="center"/>
    </xf>
    <xf numFmtId="164" fontId="0" fillId="2" borderId="11" xfId="0" applyNumberFormat="1" applyFill="1" applyBorder="1" applyAlignment="1">
      <alignment horizontal="right" vertical="center"/>
    </xf>
    <xf numFmtId="164" fontId="4" fillId="2" borderId="2" xfId="0" applyNumberFormat="1" applyFont="1" applyFill="1" applyBorder="1" applyAlignment="1">
      <alignment horizontal="right"/>
    </xf>
    <xf numFmtId="0" fontId="0" fillId="2" borderId="2" xfId="0" applyFill="1" applyBorder="1" applyAlignment="1">
      <alignment horizontal="left" vertical="center" indent="1"/>
    </xf>
    <xf numFmtId="0" fontId="0" fillId="2" borderId="10" xfId="0" applyFill="1" applyBorder="1" applyAlignment="1">
      <alignment horizontal="left" vertical="center" indent="1"/>
    </xf>
    <xf numFmtId="14" fontId="0" fillId="2" borderId="18" xfId="0" applyNumberFormat="1" applyFill="1" applyBorder="1"/>
    <xf numFmtId="164" fontId="0" fillId="4" borderId="18" xfId="0" applyNumberFormat="1" applyFill="1" applyBorder="1" applyAlignment="1">
      <alignment horizontal="right" vertical="center" wrapText="1"/>
    </xf>
    <xf numFmtId="164" fontId="0" fillId="4" borderId="19" xfId="0" applyNumberFormat="1" applyFill="1" applyBorder="1" applyAlignment="1">
      <alignment horizontal="right" vertical="center" wrapText="1"/>
    </xf>
    <xf numFmtId="0" fontId="0" fillId="2" borderId="18" xfId="0" applyFill="1" applyBorder="1" applyAlignment="1">
      <alignment vertical="center"/>
    </xf>
    <xf numFmtId="164" fontId="14" fillId="4" borderId="18" xfId="0" applyNumberFormat="1" applyFont="1" applyFill="1" applyBorder="1" applyAlignment="1">
      <alignment horizontal="right" vertical="center" wrapText="1"/>
    </xf>
    <xf numFmtId="164" fontId="14" fillId="4" borderId="19" xfId="0" applyNumberFormat="1" applyFont="1" applyFill="1" applyBorder="1" applyAlignment="1">
      <alignment horizontal="right" vertical="center" wrapText="1"/>
    </xf>
    <xf numFmtId="0" fontId="3" fillId="3" borderId="7" xfId="0" applyFont="1" applyFill="1" applyBorder="1"/>
    <xf numFmtId="0" fontId="3" fillId="3" borderId="8" xfId="0" applyFont="1" applyFill="1" applyBorder="1"/>
    <xf numFmtId="0" fontId="4" fillId="2" borderId="4" xfId="0" applyFont="1" applyFill="1" applyBorder="1" applyAlignment="1">
      <alignment horizontal="left" vertical="center"/>
    </xf>
    <xf numFmtId="0" fontId="3" fillId="3" borderId="6" xfId="0" applyFont="1" applyFill="1" applyBorder="1"/>
    <xf numFmtId="0" fontId="3" fillId="3" borderId="9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18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3" fillId="3" borderId="15" xfId="0" applyFont="1" applyFill="1" applyBorder="1"/>
    <xf numFmtId="0" fontId="2" fillId="2" borderId="4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9868772590221998"/>
          <c:y val="0.14821673468164573"/>
          <c:w val="0.44931851478093066"/>
          <c:h val="0.81731864805242904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dPt>
            <c:idx val="0"/>
            <c:bubble3D val="0"/>
            <c:spPr>
              <a:solidFill>
                <a:srgbClr val="FFD5D5"/>
              </a:solidFill>
            </c:spPr>
            <c:extLst>
              <c:ext xmlns:c16="http://schemas.microsoft.com/office/drawing/2014/chart" uri="{C3380CC4-5D6E-409C-BE32-E72D297353CC}">
                <c16:uniqueId val="{00000001-9336-4C5E-8AFF-C8580DABCCD5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EB5B-4947-8C67-D4A50D85B2AA}"/>
              </c:ext>
            </c:extLst>
          </c:dPt>
          <c:dPt>
            <c:idx val="2"/>
            <c:bubble3D val="0"/>
            <c:spPr>
              <a:solidFill>
                <a:srgbClr val="FFEBEB"/>
              </a:solidFill>
            </c:spPr>
            <c:extLst>
              <c:ext xmlns:c16="http://schemas.microsoft.com/office/drawing/2014/chart" uri="{C3380CC4-5D6E-409C-BE32-E72D297353CC}">
                <c16:uniqueId val="{00000009-EB5B-4947-8C67-D4A50D85B2AA}"/>
              </c:ext>
            </c:extLst>
          </c:dPt>
          <c:dPt>
            <c:idx val="3"/>
            <c:bubble3D val="0"/>
            <c:spPr>
              <a:solidFill>
                <a:srgbClr val="FFA3A3"/>
              </a:solidFill>
            </c:spPr>
            <c:extLst>
              <c:ext xmlns:c16="http://schemas.microsoft.com/office/drawing/2014/chart" uri="{C3380CC4-5D6E-409C-BE32-E72D297353CC}">
                <c16:uniqueId val="{00000006-EB5B-4947-8C67-D4A50D85B2AA}"/>
              </c:ext>
            </c:extLst>
          </c:dPt>
          <c:dPt>
            <c:idx val="4"/>
            <c:bubble3D val="0"/>
            <c:spPr>
              <a:solidFill>
                <a:srgbClr val="FFB7B7"/>
              </a:solidFill>
            </c:spPr>
            <c:extLst>
              <c:ext xmlns:c16="http://schemas.microsoft.com/office/drawing/2014/chart" uri="{C3380CC4-5D6E-409C-BE32-E72D297353CC}">
                <c16:uniqueId val="{00000002-EB5B-4947-8C67-D4A50D85B2AA}"/>
              </c:ext>
            </c:extLst>
          </c:dPt>
          <c:dLbls>
            <c:dLbl>
              <c:idx val="4"/>
              <c:layout>
                <c:manualLayout>
                  <c:x val="1.405357732704279E-2"/>
                  <c:y val="1.25391849529780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5B-4947-8C67-D4A50D85B2A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'18.6'!$BM$26:$BQ$26</c:f>
              <c:strCache>
                <c:ptCount val="5"/>
                <c:pt idx="0">
                  <c:v>&lt; 55 yrs</c:v>
                </c:pt>
                <c:pt idx="1">
                  <c:v>55-64 yrs</c:v>
                </c:pt>
                <c:pt idx="2">
                  <c:v>65-69 yrs</c:v>
                </c:pt>
                <c:pt idx="3">
                  <c:v>70-74 yrs</c:v>
                </c:pt>
                <c:pt idx="4">
                  <c:v>75 yrs and over</c:v>
                </c:pt>
              </c:strCache>
            </c:strRef>
          </c:cat>
          <c:val>
            <c:numRef>
              <c:f>'18.6'!$I$18:$M$18</c:f>
              <c:numCache>
                <c:formatCode>_(* #,##0_);_(* \(#,##0\);_(* "-"??_);_(@_)</c:formatCode>
                <c:ptCount val="5"/>
                <c:pt idx="0">
                  <c:v>1264</c:v>
                </c:pt>
                <c:pt idx="1">
                  <c:v>2223</c:v>
                </c:pt>
                <c:pt idx="2">
                  <c:v>1139</c:v>
                </c:pt>
                <c:pt idx="3">
                  <c:v>906</c:v>
                </c:pt>
                <c:pt idx="4">
                  <c:v>1616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6-4C5E-8AFF-C8580DAB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66675</xdr:rowOff>
    </xdr:from>
    <xdr:ext cx="7229476" cy="3038475"/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0.01939</cdr:y>
    </cdr:from>
    <cdr:to>
      <cdr:x>1</cdr:x>
      <cdr:y>0.17241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58928"/>
          <a:ext cx="7229476" cy="464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18.8: Percentage share of beneficiaries of other pension scheme by </a:t>
          </a:r>
          <a:r>
            <a:rPr lang="en-US" sz="1100" b="1" i="0">
              <a:effectLst/>
              <a:latin typeface="Consolas" pitchFamily="49" charset="0"/>
              <a:ea typeface="+mn-ea"/>
              <a:cs typeface="Consolas" pitchFamily="49" charset="0"/>
            </a:rPr>
            <a:t>age group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2021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BQ34"/>
  <sheetViews>
    <sheetView tabSelected="1" zoomScaleNormal="100" workbookViewId="0">
      <selection activeCell="K14" sqref="K14"/>
    </sheetView>
  </sheetViews>
  <sheetFormatPr defaultColWidth="14.42578125" defaultRowHeight="15" customHeight="1" x14ac:dyDescent="0.25"/>
  <cols>
    <col min="1" max="1" width="9" style="2" customWidth="1"/>
    <col min="2" max="13" width="9.42578125" style="2" customWidth="1"/>
    <col min="14" max="14" width="12.7109375" style="2" customWidth="1"/>
    <col min="15" max="15" width="1.7109375" style="2" customWidth="1"/>
    <col min="16" max="18" width="8" style="2" customWidth="1"/>
    <col min="19" max="19" width="26.140625" style="2" customWidth="1"/>
    <col min="20" max="69" width="8" style="2" customWidth="1"/>
    <col min="70" max="16384" width="14.42578125" style="2"/>
  </cols>
  <sheetData>
    <row r="1" spans="1:69" ht="21" customHeight="1" x14ac:dyDescent="0.55000000000000004">
      <c r="A1" s="31" t="s">
        <v>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  <c r="O1" s="1"/>
      <c r="P1" s="1"/>
      <c r="Q1" s="1"/>
      <c r="R1" s="1"/>
      <c r="S1" s="1"/>
      <c r="T1" s="1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x14ac:dyDescent="0.25">
      <c r="A2" s="37" t="s">
        <v>40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3"/>
      <c r="O2" s="1"/>
      <c r="P2" s="1"/>
      <c r="Q2" s="1"/>
      <c r="R2" s="1"/>
      <c r="S2" s="1"/>
      <c r="T2" s="1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x14ac:dyDescent="0.25">
      <c r="A4" s="28" t="s">
        <v>0</v>
      </c>
      <c r="B4" s="39">
        <v>2020</v>
      </c>
      <c r="C4" s="34"/>
      <c r="D4" s="34"/>
      <c r="E4" s="34"/>
      <c r="F4" s="34"/>
      <c r="G4" s="35"/>
      <c r="H4" s="39">
        <v>2021</v>
      </c>
      <c r="I4" s="34"/>
      <c r="J4" s="34"/>
      <c r="K4" s="34"/>
      <c r="L4" s="34"/>
      <c r="M4" s="35"/>
      <c r="N4" s="36" t="s">
        <v>1</v>
      </c>
      <c r="O4" s="1"/>
      <c r="P4" s="1"/>
      <c r="Q4" s="1"/>
      <c r="R4" s="1"/>
      <c r="S4" s="1"/>
      <c r="T4" s="1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1"/>
      <c r="BI4" s="1"/>
      <c r="BJ4" s="1"/>
      <c r="BK4" s="10"/>
      <c r="BL4" s="1"/>
      <c r="BM4" s="1"/>
      <c r="BN4" s="1"/>
      <c r="BO4" s="1"/>
      <c r="BP4" s="1"/>
      <c r="BQ4" s="1"/>
    </row>
    <row r="5" spans="1:69" ht="21" customHeight="1" x14ac:dyDescent="0.55000000000000004">
      <c r="A5" s="29"/>
      <c r="B5" s="38" t="s">
        <v>33</v>
      </c>
      <c r="C5" s="26"/>
      <c r="D5" s="26"/>
      <c r="E5" s="26"/>
      <c r="F5" s="26"/>
      <c r="G5" s="27"/>
      <c r="H5" s="38" t="s">
        <v>33</v>
      </c>
      <c r="I5" s="26"/>
      <c r="J5" s="26"/>
      <c r="K5" s="26"/>
      <c r="L5" s="26"/>
      <c r="M5" s="27"/>
      <c r="N5" s="29"/>
      <c r="O5" s="1"/>
      <c r="P5" s="10"/>
      <c r="Q5" s="10"/>
      <c r="R5" s="10"/>
      <c r="S5" s="10"/>
      <c r="T5" s="1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10"/>
      <c r="BI5" s="10"/>
      <c r="BJ5" s="1"/>
      <c r="BK5" s="10"/>
      <c r="BL5" s="1"/>
      <c r="BM5" s="1"/>
      <c r="BN5" s="1"/>
      <c r="BO5" s="1"/>
      <c r="BP5" s="1"/>
      <c r="BQ5" s="1"/>
    </row>
    <row r="6" spans="1:69" ht="14.25" customHeight="1" x14ac:dyDescent="0.25">
      <c r="A6" s="30"/>
      <c r="B6" s="4" t="s">
        <v>2</v>
      </c>
      <c r="C6" s="11" t="s">
        <v>34</v>
      </c>
      <c r="D6" s="11" t="s">
        <v>35</v>
      </c>
      <c r="E6" s="11" t="s">
        <v>29</v>
      </c>
      <c r="F6" s="11" t="s">
        <v>30</v>
      </c>
      <c r="G6" s="11" t="s">
        <v>36</v>
      </c>
      <c r="H6" s="4" t="s">
        <v>2</v>
      </c>
      <c r="I6" s="11" t="s">
        <v>34</v>
      </c>
      <c r="J6" s="11" t="s">
        <v>35</v>
      </c>
      <c r="K6" s="11" t="s">
        <v>29</v>
      </c>
      <c r="L6" s="11" t="s">
        <v>30</v>
      </c>
      <c r="M6" s="11" t="s">
        <v>36</v>
      </c>
      <c r="N6" s="30"/>
      <c r="O6" s="1"/>
      <c r="P6" s="10"/>
      <c r="Q6" s="10"/>
      <c r="R6" s="10"/>
      <c r="S6" s="10"/>
      <c r="T6" s="1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10"/>
      <c r="BI6" s="10"/>
      <c r="BJ6" s="1"/>
      <c r="BK6" s="10"/>
      <c r="BL6" s="1"/>
      <c r="BM6" s="1"/>
      <c r="BN6" s="1"/>
      <c r="BO6" s="1"/>
      <c r="BP6" s="1"/>
      <c r="BQ6" s="1"/>
    </row>
    <row r="7" spans="1:69" ht="15" customHeight="1" x14ac:dyDescent="0.25">
      <c r="A7" s="18" t="s">
        <v>3</v>
      </c>
      <c r="B7" s="15">
        <f>SUM(C7:G7)</f>
        <v>7189</v>
      </c>
      <c r="C7" s="21">
        <v>1752</v>
      </c>
      <c r="D7" s="21">
        <v>1963</v>
      </c>
      <c r="E7" s="21">
        <v>1003</v>
      </c>
      <c r="F7" s="21">
        <v>915</v>
      </c>
      <c r="G7" s="21">
        <v>1556</v>
      </c>
      <c r="H7" s="15">
        <f>SUM(I7:M7)</f>
        <v>7179</v>
      </c>
      <c r="I7" s="24">
        <v>1474</v>
      </c>
      <c r="J7" s="24">
        <v>2100</v>
      </c>
      <c r="K7" s="24">
        <v>1078</v>
      </c>
      <c r="L7" s="24">
        <v>920</v>
      </c>
      <c r="M7" s="24">
        <v>1607</v>
      </c>
      <c r="N7" s="6" t="s">
        <v>4</v>
      </c>
      <c r="O7" s="1"/>
      <c r="P7" s="10"/>
      <c r="Q7" s="10"/>
      <c r="R7" s="10"/>
      <c r="S7" s="10"/>
      <c r="T7" s="1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10"/>
      <c r="BI7" s="10"/>
      <c r="BJ7" s="1"/>
      <c r="BK7" s="10"/>
      <c r="BL7" s="1"/>
      <c r="BM7" s="1"/>
      <c r="BN7" s="1"/>
      <c r="BO7" s="1"/>
      <c r="BP7" s="1"/>
      <c r="BQ7" s="1"/>
    </row>
    <row r="8" spans="1:69" ht="21" customHeight="1" x14ac:dyDescent="0.25">
      <c r="A8" s="18" t="s">
        <v>5</v>
      </c>
      <c r="B8" s="15">
        <f t="shared" ref="B8:B12" si="0">SUM(C8:G8)</f>
        <v>7174</v>
      </c>
      <c r="C8" s="21">
        <v>1727</v>
      </c>
      <c r="D8" s="21">
        <v>1984</v>
      </c>
      <c r="E8" s="21">
        <v>1007</v>
      </c>
      <c r="F8" s="21">
        <v>904</v>
      </c>
      <c r="G8" s="21">
        <v>1552</v>
      </c>
      <c r="H8" s="15">
        <f t="shared" ref="H8:H12" si="1">SUM(I8:M8)</f>
        <v>7167</v>
      </c>
      <c r="I8" s="24">
        <v>1452</v>
      </c>
      <c r="J8" s="24">
        <v>2111</v>
      </c>
      <c r="K8" s="24">
        <v>1098</v>
      </c>
      <c r="L8" s="24">
        <v>907</v>
      </c>
      <c r="M8" s="24">
        <v>1599</v>
      </c>
      <c r="N8" s="6" t="s">
        <v>6</v>
      </c>
      <c r="O8" s="1"/>
      <c r="P8" s="10"/>
      <c r="Q8" s="10"/>
      <c r="R8" s="10"/>
      <c r="S8" s="10"/>
      <c r="T8" s="1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10"/>
      <c r="BI8" s="10"/>
      <c r="BJ8" s="1"/>
      <c r="BK8" s="10"/>
      <c r="BL8" s="1"/>
      <c r="BM8" s="1"/>
      <c r="BN8" s="1"/>
      <c r="BO8" s="1"/>
      <c r="BP8" s="1"/>
      <c r="BQ8" s="1"/>
    </row>
    <row r="9" spans="1:69" ht="21" customHeight="1" x14ac:dyDescent="0.25">
      <c r="A9" s="18" t="s">
        <v>7</v>
      </c>
      <c r="B9" s="15">
        <f t="shared" si="0"/>
        <v>7189</v>
      </c>
      <c r="C9" s="21">
        <v>1727</v>
      </c>
      <c r="D9" s="21">
        <v>1984</v>
      </c>
      <c r="E9" s="21">
        <v>1019</v>
      </c>
      <c r="F9" s="21">
        <v>912</v>
      </c>
      <c r="G9" s="21">
        <v>1547</v>
      </c>
      <c r="H9" s="15">
        <f t="shared" si="1"/>
        <v>7165</v>
      </c>
      <c r="I9" s="24">
        <v>1452</v>
      </c>
      <c r="J9" s="24">
        <v>2116</v>
      </c>
      <c r="K9" s="24">
        <v>1096</v>
      </c>
      <c r="L9" s="24">
        <v>913</v>
      </c>
      <c r="M9" s="24">
        <v>1588</v>
      </c>
      <c r="N9" s="6" t="s">
        <v>8</v>
      </c>
      <c r="O9" s="1"/>
      <c r="P9" s="10"/>
      <c r="Q9" s="10"/>
      <c r="R9" s="10"/>
      <c r="S9" s="10"/>
      <c r="T9" s="1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10"/>
      <c r="BI9" s="10"/>
      <c r="BJ9" s="1"/>
      <c r="BK9" s="10"/>
      <c r="BL9" s="1"/>
      <c r="BM9" s="1"/>
      <c r="BN9" s="1"/>
      <c r="BO9" s="1"/>
      <c r="BP9" s="1"/>
      <c r="BQ9" s="1"/>
    </row>
    <row r="10" spans="1:69" ht="21" customHeight="1" x14ac:dyDescent="0.25">
      <c r="A10" s="18" t="s">
        <v>9</v>
      </c>
      <c r="B10" s="15">
        <f t="shared" si="0"/>
        <v>7218</v>
      </c>
      <c r="C10" s="21">
        <v>1687</v>
      </c>
      <c r="D10" s="21">
        <v>2020</v>
      </c>
      <c r="E10" s="21">
        <v>1022</v>
      </c>
      <c r="F10" s="21">
        <v>925</v>
      </c>
      <c r="G10" s="21">
        <v>1564</v>
      </c>
      <c r="H10" s="15">
        <f t="shared" si="1"/>
        <v>7198</v>
      </c>
      <c r="I10" s="24">
        <v>1427</v>
      </c>
      <c r="J10" s="24">
        <v>2135</v>
      </c>
      <c r="K10" s="24">
        <v>1114</v>
      </c>
      <c r="L10" s="24">
        <v>918</v>
      </c>
      <c r="M10" s="24">
        <v>1604</v>
      </c>
      <c r="N10" s="6" t="s">
        <v>10</v>
      </c>
      <c r="O10" s="1"/>
      <c r="P10" s="10"/>
      <c r="Q10" s="10"/>
      <c r="R10" s="10"/>
      <c r="S10" s="10"/>
      <c r="T10" s="1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10"/>
      <c r="BI10" s="10"/>
      <c r="BJ10" s="1"/>
      <c r="BK10" s="10"/>
      <c r="BL10" s="1"/>
      <c r="BM10" s="1"/>
      <c r="BN10" s="1"/>
      <c r="BO10" s="1"/>
      <c r="BP10" s="1"/>
      <c r="BQ10" s="1"/>
    </row>
    <row r="11" spans="1:69" ht="21" customHeight="1" x14ac:dyDescent="0.25">
      <c r="A11" s="18" t="s">
        <v>11</v>
      </c>
      <c r="B11" s="15">
        <f t="shared" si="0"/>
        <v>7183</v>
      </c>
      <c r="C11" s="21">
        <v>1688</v>
      </c>
      <c r="D11" s="21">
        <v>2005</v>
      </c>
      <c r="E11" s="21">
        <v>1025</v>
      </c>
      <c r="F11" s="21">
        <v>914</v>
      </c>
      <c r="G11" s="21">
        <v>1551</v>
      </c>
      <c r="H11" s="15">
        <f t="shared" si="1"/>
        <v>7164</v>
      </c>
      <c r="I11" s="24">
        <v>1429</v>
      </c>
      <c r="J11" s="24">
        <v>2136</v>
      </c>
      <c r="K11" s="24">
        <v>1111</v>
      </c>
      <c r="L11" s="24">
        <v>908</v>
      </c>
      <c r="M11" s="24">
        <v>1580</v>
      </c>
      <c r="N11" s="6" t="s">
        <v>12</v>
      </c>
      <c r="O11" s="1"/>
      <c r="P11" s="10"/>
      <c r="Q11" s="10"/>
      <c r="R11" s="10"/>
      <c r="S11" s="10"/>
      <c r="T11" s="1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10"/>
      <c r="BI11" s="10"/>
      <c r="BJ11" s="1"/>
      <c r="BK11" s="10"/>
      <c r="BL11" s="1"/>
      <c r="BM11" s="1"/>
      <c r="BN11" s="1"/>
      <c r="BO11" s="1"/>
      <c r="BP11" s="1"/>
      <c r="BQ11" s="1"/>
    </row>
    <row r="12" spans="1:69" ht="21" customHeight="1" x14ac:dyDescent="0.25">
      <c r="A12" s="18" t="s">
        <v>13</v>
      </c>
      <c r="B12" s="15">
        <f t="shared" si="0"/>
        <v>7172</v>
      </c>
      <c r="C12" s="21">
        <v>1631</v>
      </c>
      <c r="D12" s="21">
        <v>2051</v>
      </c>
      <c r="E12" s="21">
        <v>1030</v>
      </c>
      <c r="F12" s="21">
        <v>911</v>
      </c>
      <c r="G12" s="21">
        <v>1549</v>
      </c>
      <c r="H12" s="15">
        <f t="shared" si="1"/>
        <v>7143</v>
      </c>
      <c r="I12" s="24">
        <v>1393</v>
      </c>
      <c r="J12" s="24">
        <v>2152</v>
      </c>
      <c r="K12" s="24">
        <v>1123</v>
      </c>
      <c r="L12" s="24">
        <v>899</v>
      </c>
      <c r="M12" s="24">
        <v>1576</v>
      </c>
      <c r="N12" s="6" t="s">
        <v>14</v>
      </c>
      <c r="O12" s="1"/>
      <c r="P12" s="10"/>
      <c r="Q12" s="10"/>
      <c r="R12" s="10"/>
      <c r="S12" s="10"/>
      <c r="T12" s="1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10"/>
      <c r="BI12" s="10"/>
      <c r="BJ12" s="1"/>
      <c r="BK12" s="10"/>
      <c r="BL12" s="1"/>
      <c r="BM12" s="1"/>
      <c r="BN12" s="1"/>
      <c r="BO12" s="1"/>
      <c r="BP12" s="1"/>
      <c r="BQ12" s="1"/>
    </row>
    <row r="13" spans="1:69" ht="21" customHeight="1" x14ac:dyDescent="0.25">
      <c r="A13" s="18" t="s">
        <v>15</v>
      </c>
      <c r="B13" s="15">
        <f>SUM(C13:G13)</f>
        <v>7189</v>
      </c>
      <c r="C13" s="21">
        <v>1631</v>
      </c>
      <c r="D13" s="21">
        <v>2051</v>
      </c>
      <c r="E13" s="21">
        <v>1032</v>
      </c>
      <c r="F13" s="21">
        <v>932</v>
      </c>
      <c r="G13" s="21">
        <v>1543</v>
      </c>
      <c r="H13" s="15">
        <f>SUM(I13:M13)</f>
        <v>7168</v>
      </c>
      <c r="I13" s="24">
        <v>1392</v>
      </c>
      <c r="J13" s="24">
        <v>2160</v>
      </c>
      <c r="K13" s="24">
        <v>1128</v>
      </c>
      <c r="L13" s="24">
        <v>912</v>
      </c>
      <c r="M13" s="24">
        <v>1576</v>
      </c>
      <c r="N13" s="6" t="s">
        <v>16</v>
      </c>
      <c r="O13" s="1"/>
      <c r="P13" s="10"/>
      <c r="Q13" s="10"/>
      <c r="R13" s="10"/>
      <c r="S13" s="10"/>
      <c r="T13" s="1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10"/>
      <c r="BI13" s="10"/>
      <c r="BJ13" s="1"/>
      <c r="BK13" s="10"/>
      <c r="BL13" s="1"/>
      <c r="BM13" s="1"/>
      <c r="BN13" s="1"/>
      <c r="BO13" s="1"/>
      <c r="BP13" s="1"/>
      <c r="BQ13" s="1"/>
    </row>
    <row r="14" spans="1:69" ht="21" customHeight="1" x14ac:dyDescent="0.25">
      <c r="A14" s="18" t="s">
        <v>17</v>
      </c>
      <c r="B14" s="15">
        <f t="shared" ref="B14:B17" si="2">SUM(C14:G14)</f>
        <v>7152</v>
      </c>
      <c r="C14" s="21">
        <v>1609</v>
      </c>
      <c r="D14" s="21">
        <v>2018</v>
      </c>
      <c r="E14" s="21">
        <v>1020</v>
      </c>
      <c r="F14" s="21">
        <v>980</v>
      </c>
      <c r="G14" s="21">
        <v>1525</v>
      </c>
      <c r="H14" s="15">
        <f t="shared" ref="H14:H17" si="3">SUM(I14:M14)</f>
        <v>7139</v>
      </c>
      <c r="I14" s="24">
        <v>1361</v>
      </c>
      <c r="J14" s="24">
        <v>2193</v>
      </c>
      <c r="K14" s="24">
        <v>1070</v>
      </c>
      <c r="L14" s="24">
        <v>957</v>
      </c>
      <c r="M14" s="24">
        <v>1558</v>
      </c>
      <c r="N14" s="6" t="s">
        <v>18</v>
      </c>
      <c r="O14" s="1"/>
      <c r="P14" s="10"/>
      <c r="Q14" s="10"/>
      <c r="R14" s="10"/>
      <c r="S14" s="10"/>
      <c r="T14" s="1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10"/>
      <c r="BI14" s="10"/>
      <c r="BJ14" s="1"/>
      <c r="BK14" s="10"/>
      <c r="BL14" s="1"/>
      <c r="BM14" s="1"/>
      <c r="BN14" s="1"/>
      <c r="BO14" s="1"/>
      <c r="BP14" s="1"/>
      <c r="BQ14" s="1"/>
    </row>
    <row r="15" spans="1:69" ht="21" customHeight="1" x14ac:dyDescent="0.25">
      <c r="A15" s="18" t="s">
        <v>19</v>
      </c>
      <c r="B15" s="15">
        <f t="shared" si="2"/>
        <v>7140</v>
      </c>
      <c r="C15" s="21">
        <v>1563</v>
      </c>
      <c r="D15" s="21">
        <v>2051</v>
      </c>
      <c r="E15" s="21">
        <v>1028</v>
      </c>
      <c r="F15" s="21">
        <v>906</v>
      </c>
      <c r="G15" s="21">
        <v>1592</v>
      </c>
      <c r="H15" s="15">
        <f t="shared" si="3"/>
        <v>7137</v>
      </c>
      <c r="I15" s="24">
        <v>1320</v>
      </c>
      <c r="J15" s="24">
        <v>2180</v>
      </c>
      <c r="K15" s="24">
        <v>1117</v>
      </c>
      <c r="L15" s="24">
        <v>900</v>
      </c>
      <c r="M15" s="24">
        <v>1620</v>
      </c>
      <c r="N15" s="6" t="s">
        <v>20</v>
      </c>
      <c r="O15" s="1"/>
      <c r="P15" s="10"/>
      <c r="Q15" s="10"/>
      <c r="R15" s="10"/>
      <c r="S15" s="10"/>
      <c r="T15" s="1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10"/>
      <c r="BI15" s="10"/>
      <c r="BJ15" s="1"/>
      <c r="BK15" s="10"/>
      <c r="BL15" s="1"/>
      <c r="BM15" s="1"/>
      <c r="BN15" s="1"/>
      <c r="BO15" s="1"/>
      <c r="BP15" s="1"/>
      <c r="BQ15" s="1"/>
    </row>
    <row r="16" spans="1:69" ht="21" customHeight="1" x14ac:dyDescent="0.25">
      <c r="A16" s="18" t="s">
        <v>21</v>
      </c>
      <c r="B16" s="15">
        <f t="shared" si="2"/>
        <v>7157</v>
      </c>
      <c r="C16" s="21">
        <v>1532</v>
      </c>
      <c r="D16" s="21">
        <v>2065</v>
      </c>
      <c r="E16" s="21">
        <v>1038</v>
      </c>
      <c r="F16" s="21">
        <v>918</v>
      </c>
      <c r="G16" s="21">
        <v>1604</v>
      </c>
      <c r="H16" s="15">
        <f t="shared" si="3"/>
        <v>7156</v>
      </c>
      <c r="I16" s="24">
        <v>1297</v>
      </c>
      <c r="J16" s="24">
        <v>2192</v>
      </c>
      <c r="K16" s="24">
        <v>1123</v>
      </c>
      <c r="L16" s="24">
        <v>916</v>
      </c>
      <c r="M16" s="24">
        <v>1628</v>
      </c>
      <c r="N16" s="6" t="s">
        <v>22</v>
      </c>
      <c r="O16" s="1"/>
      <c r="P16" s="10"/>
      <c r="Q16" s="10"/>
      <c r="R16" s="10"/>
      <c r="S16" s="10"/>
      <c r="T16" s="1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10"/>
      <c r="BI16" s="10"/>
      <c r="BJ16" s="1"/>
      <c r="BK16" s="10"/>
      <c r="BL16" s="1"/>
      <c r="BM16" s="1"/>
      <c r="BN16" s="1"/>
      <c r="BO16" s="1"/>
      <c r="BP16" s="1"/>
      <c r="BQ16" s="1"/>
    </row>
    <row r="17" spans="1:69" ht="21" customHeight="1" x14ac:dyDescent="0.25">
      <c r="A17" s="18" t="s">
        <v>23</v>
      </c>
      <c r="B17" s="15">
        <f t="shared" si="2"/>
        <v>7132</v>
      </c>
      <c r="C17" s="21">
        <v>1511</v>
      </c>
      <c r="D17" s="21">
        <v>2075</v>
      </c>
      <c r="E17" s="21">
        <v>1041</v>
      </c>
      <c r="F17" s="21">
        <v>906</v>
      </c>
      <c r="G17" s="21">
        <v>1599</v>
      </c>
      <c r="H17" s="15">
        <f t="shared" si="3"/>
        <v>7138</v>
      </c>
      <c r="I17" s="24">
        <v>1281</v>
      </c>
      <c r="J17" s="24">
        <v>2206</v>
      </c>
      <c r="K17" s="24">
        <v>1131</v>
      </c>
      <c r="L17" s="24">
        <v>911</v>
      </c>
      <c r="M17" s="24">
        <v>1609</v>
      </c>
      <c r="N17" s="6" t="s">
        <v>24</v>
      </c>
      <c r="O17" s="1"/>
      <c r="P17" s="10"/>
      <c r="Q17" s="10"/>
      <c r="R17" s="10"/>
      <c r="S17" s="10"/>
      <c r="T17" s="1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10"/>
      <c r="BI17" s="10"/>
      <c r="BJ17" s="1"/>
      <c r="BK17" s="10"/>
      <c r="BL17" s="1"/>
      <c r="BM17" s="1"/>
      <c r="BN17" s="1"/>
      <c r="BO17" s="1"/>
      <c r="BP17" s="1"/>
      <c r="BQ17" s="1"/>
    </row>
    <row r="18" spans="1:69" ht="21" customHeight="1" x14ac:dyDescent="0.25">
      <c r="A18" s="19" t="s">
        <v>25</v>
      </c>
      <c r="B18" s="16">
        <f>SUM(C18:G18)</f>
        <v>7131</v>
      </c>
      <c r="C18" s="22">
        <v>1495</v>
      </c>
      <c r="D18" s="22">
        <v>2083</v>
      </c>
      <c r="E18" s="22">
        <v>1048</v>
      </c>
      <c r="F18" s="22">
        <v>906</v>
      </c>
      <c r="G18" s="22">
        <v>1599</v>
      </c>
      <c r="H18" s="16">
        <f>SUM(I18:M18)</f>
        <v>7148</v>
      </c>
      <c r="I18" s="25">
        <v>1264</v>
      </c>
      <c r="J18" s="25">
        <v>2223</v>
      </c>
      <c r="K18" s="25">
        <v>1139</v>
      </c>
      <c r="L18" s="25">
        <v>906</v>
      </c>
      <c r="M18" s="25">
        <v>1616</v>
      </c>
      <c r="N18" s="7" t="s">
        <v>26</v>
      </c>
      <c r="O18" s="1"/>
      <c r="P18" s="10"/>
      <c r="Q18" s="10"/>
      <c r="R18" s="10"/>
      <c r="S18" s="10"/>
      <c r="T18" s="1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10"/>
      <c r="BI18" s="10"/>
      <c r="BJ18" s="1"/>
      <c r="BK18" s="10"/>
      <c r="BL18" s="1"/>
      <c r="BM18" s="1"/>
      <c r="BN18" s="1"/>
      <c r="BO18" s="1"/>
      <c r="BP18" s="1"/>
      <c r="BQ18" s="1"/>
    </row>
    <row r="19" spans="1:69" ht="19.5" customHeight="1" x14ac:dyDescent="0.45">
      <c r="A19" s="8" t="s">
        <v>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9" t="s">
        <v>28</v>
      </c>
      <c r="O19" s="1"/>
      <c r="P19" s="10"/>
      <c r="Q19" s="10"/>
      <c r="R19" s="10"/>
      <c r="S19" s="10"/>
      <c r="T19" s="1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10"/>
      <c r="BI19" s="10"/>
      <c r="BJ19" s="1"/>
      <c r="BK19" s="10"/>
      <c r="BL19" s="1"/>
      <c r="BM19" s="1"/>
      <c r="BN19" s="1"/>
      <c r="BO19" s="1"/>
      <c r="BP19" s="1"/>
      <c r="BQ19" s="1"/>
    </row>
    <row r="20" spans="1:6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0"/>
      <c r="Q20" s="10"/>
      <c r="R20" s="10"/>
      <c r="S20" s="10"/>
      <c r="T20" s="1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10"/>
      <c r="BI20" s="10"/>
      <c r="BJ20" s="1"/>
      <c r="BK20" s="10"/>
      <c r="BL20" s="1"/>
      <c r="BM20" s="1"/>
      <c r="BN20" s="1"/>
      <c r="BO20" s="1"/>
      <c r="BP20" s="1"/>
      <c r="BQ20" s="1"/>
    </row>
    <row r="21" spans="1:69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69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1:69" ht="15.75" customHeight="1" x14ac:dyDescent="0.25">
      <c r="A23" s="1"/>
      <c r="B23" s="1"/>
      <c r="C23" s="13"/>
      <c r="D23" s="13"/>
      <c r="E23" s="13"/>
      <c r="F23" s="13"/>
      <c r="G23" s="13"/>
      <c r="H23" s="1"/>
      <c r="I23" s="13"/>
      <c r="J23" s="13"/>
      <c r="K23" s="13"/>
      <c r="L23" s="13"/>
      <c r="M23" s="13"/>
      <c r="N23" s="1"/>
      <c r="O23" s="1"/>
      <c r="P23" s="1"/>
      <c r="Q23" s="1"/>
      <c r="R23" s="1"/>
      <c r="S23" s="1"/>
      <c r="T23" s="1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1:69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1"/>
      <c r="BI25" s="1"/>
      <c r="BJ25" s="1"/>
      <c r="BK25" s="1"/>
      <c r="BL25" s="1"/>
      <c r="BM25" s="14"/>
      <c r="BN25" s="14"/>
      <c r="BO25" s="14"/>
      <c r="BP25" s="14"/>
      <c r="BQ25" s="14"/>
    </row>
    <row r="26" spans="1:69" ht="3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1"/>
      <c r="BI26" s="1"/>
      <c r="BJ26" s="1"/>
      <c r="BK26" s="1"/>
      <c r="BL26" s="1"/>
      <c r="BM26" s="14" t="s">
        <v>37</v>
      </c>
      <c r="BN26" s="14" t="s">
        <v>38</v>
      </c>
      <c r="BO26" s="14" t="s">
        <v>31</v>
      </c>
      <c r="BP26" s="14" t="s">
        <v>32</v>
      </c>
      <c r="BQ26" s="14" t="s">
        <v>39</v>
      </c>
    </row>
    <row r="27" spans="1:69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1"/>
      <c r="BI27" s="1"/>
      <c r="BJ27" s="1"/>
      <c r="BK27" s="1"/>
      <c r="BL27" s="1"/>
      <c r="BM27" s="12">
        <f>I18/H18*100</f>
        <v>17.683268047006155</v>
      </c>
      <c r="BN27" s="12">
        <f>J18/H18*100</f>
        <v>31.099608282036932</v>
      </c>
      <c r="BO27" s="12">
        <f>K18/H18*100</f>
        <v>15.93452714045887</v>
      </c>
      <c r="BP27" s="12">
        <f>L18/H18*100</f>
        <v>12.674874090654727</v>
      </c>
      <c r="BQ27" s="12">
        <f>M18/H18*100</f>
        <v>22.607722439843315</v>
      </c>
    </row>
    <row r="28" spans="1:69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pans="1:69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69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pans="1:69" ht="15.75" customHeight="1" x14ac:dyDescent="0.25">
      <c r="A31" s="1"/>
      <c r="B31" s="1"/>
      <c r="C31" s="17"/>
      <c r="D31" s="1"/>
      <c r="E31" s="1"/>
      <c r="F31" s="1"/>
      <c r="G31" s="1"/>
      <c r="H31" s="1"/>
      <c r="I31" s="1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pans="1:69" ht="25.5" customHeight="1" x14ac:dyDescent="0.25">
      <c r="A32" s="3"/>
      <c r="B32" s="3"/>
      <c r="C32" s="3"/>
      <c r="D32" s="3"/>
      <c r="E32" s="3"/>
      <c r="F32" s="1"/>
      <c r="G32" s="1"/>
      <c r="H32" s="3"/>
      <c r="I32" s="3"/>
      <c r="J32" s="3"/>
      <c r="K32" s="3"/>
      <c r="L32" s="1"/>
      <c r="M32" s="1"/>
      <c r="N32" s="3"/>
      <c r="O32" s="3"/>
      <c r="P32" s="3"/>
      <c r="Q32" s="3"/>
      <c r="R32" s="3"/>
      <c r="S32" s="3"/>
      <c r="T32" s="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 spans="1:69" ht="25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 spans="1:69" ht="25.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3"/>
      <c r="BI34" s="3"/>
      <c r="BJ34" s="3"/>
      <c r="BK34" s="3"/>
      <c r="BL34" s="3"/>
      <c r="BM34" s="3"/>
      <c r="BN34" s="3"/>
      <c r="BO34" s="3"/>
      <c r="BP34" s="3"/>
      <c r="BQ34" s="3"/>
    </row>
  </sheetData>
  <mergeCells count="8">
    <mergeCell ref="B4:G4"/>
    <mergeCell ref="B5:G5"/>
    <mergeCell ref="A1:N1"/>
    <mergeCell ref="A2:N2"/>
    <mergeCell ref="N4:N6"/>
    <mergeCell ref="A4:A6"/>
    <mergeCell ref="H4:M4"/>
    <mergeCell ref="H5:M5"/>
  </mergeCells>
  <pageMargins left="0.7" right="0.7" top="0.75" bottom="0.75" header="0" footer="0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18.6</vt:lpstr>
      <vt:lpstr>'18.6'!Print_Area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2023-03-05T03:47:57Z</cp:lastPrinted>
  <dcterms:created xsi:type="dcterms:W3CDTF">2019-02-21T04:10:17Z</dcterms:created>
  <dcterms:modified xsi:type="dcterms:W3CDTF">2023-03-05T03:48:52Z</dcterms:modified>
</cp:coreProperties>
</file>