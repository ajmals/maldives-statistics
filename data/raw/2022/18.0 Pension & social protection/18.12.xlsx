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BD7801DA-AA19-4D33-A1E4-14AA18766CC9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2" sheetId="11" r:id="rId1"/>
  </sheets>
  <externalReferences>
    <externalReference r:id="rId2"/>
  </externalReferences>
  <definedNames>
    <definedName name="_xlnm.Print_Area" localSheetId="0">'18.12'!$A$1:$N$66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1" i="11" l="1"/>
  <c r="AP28" i="11" l="1"/>
  <c r="AP29" i="11" s="1"/>
  <c r="AS27" i="11"/>
  <c r="AQ27" i="11"/>
  <c r="AO27" i="11"/>
  <c r="AP27" i="11"/>
  <c r="AT27" i="11"/>
  <c r="AR27" i="11"/>
  <c r="I18" i="11"/>
  <c r="J18" i="11"/>
  <c r="E18" i="11"/>
  <c r="B18" i="11"/>
  <c r="H18" i="11" s="1"/>
  <c r="J17" i="11" l="1"/>
  <c r="I17" i="11"/>
  <c r="AR28" i="11" l="1"/>
  <c r="AR29" i="11" l="1"/>
  <c r="AP32" i="11" s="1"/>
  <c r="E17" i="11" l="1"/>
  <c r="B17" i="11" l="1"/>
  <c r="H17" i="11" s="1"/>
  <c r="AT28" i="11" l="1"/>
  <c r="AP21" i="11" s="1"/>
  <c r="AT29" i="11" l="1"/>
  <c r="J16" i="11" l="1"/>
  <c r="I16" i="11"/>
  <c r="E16" i="11"/>
  <c r="B16" i="11"/>
  <c r="H16" i="11" l="1"/>
  <c r="AQ21" i="11" l="1"/>
  <c r="J15" i="11" l="1"/>
  <c r="I15" i="11"/>
  <c r="E15" i="11"/>
  <c r="B15" i="11"/>
  <c r="J14" i="11"/>
  <c r="I14" i="11"/>
  <c r="E14" i="11"/>
  <c r="B14" i="11"/>
  <c r="J13" i="11"/>
  <c r="I13" i="11"/>
  <c r="E13" i="11"/>
  <c r="B13" i="11"/>
  <c r="J12" i="11"/>
  <c r="I12" i="11"/>
  <c r="E12" i="11"/>
  <c r="B12" i="11"/>
  <c r="J11" i="11"/>
  <c r="I11" i="11"/>
  <c r="E11" i="11"/>
  <c r="B11" i="11"/>
  <c r="J10" i="11"/>
  <c r="I10" i="11"/>
  <c r="E10" i="11"/>
  <c r="B10" i="11"/>
  <c r="J9" i="11"/>
  <c r="I9" i="11"/>
  <c r="E9" i="11"/>
  <c r="B9" i="11"/>
  <c r="J8" i="11"/>
  <c r="I8" i="11"/>
  <c r="E8" i="11"/>
  <c r="B8" i="11"/>
  <c r="J7" i="11"/>
  <c r="I7" i="11"/>
  <c r="E7" i="11"/>
  <c r="B7" i="11"/>
  <c r="H7" i="11" l="1"/>
  <c r="H8" i="11"/>
  <c r="H9" i="11"/>
  <c r="H10" i="11"/>
  <c r="H11" i="11"/>
  <c r="H12" i="11"/>
  <c r="H13" i="11"/>
  <c r="H14" i="11"/>
  <c r="H15" i="11"/>
  <c r="AP33" i="11" l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<sst xmlns="http://schemas.openxmlformats.org/spreadsheetml/2006/main" count="43" uniqueCount="19">
  <si>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</si>
  <si>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</si>
  <si>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</si>
  <si>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</si>
  <si>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</si>
  <si>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</si>
  <si>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</si>
  <si>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</si>
  <si>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</si>
  <si>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</si>
  <si>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</si>
  <si>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</si>
  <si>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</si>
  <si>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</si>
  <si>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</si>
  <si>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</si>
  <si>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</si>
  <si>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TABLE   18.12:  NUMBER OF MEMBERS CONTRIBUTING TO RETIREMENT PENSION SCHEME BY SECTOR AND SEX, 2010 - 2021</t>
  </si>
  <si>
    <t>ތާވަލު  18.12 :ރިޓާޔަމަންޓް ޕެންޝަން ސްކީމްއަށް ޕަބްލިކް އަދި ޕްރައިވެޓް ސެކްޓަރއިން ފައިސާދެއްކި މީހުންގެ ޢަދަދު ،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</si>
</sst>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0">
    <xf numFmtId="0" fontId="0" fillId="0" borderId="0"/>
    <xf numFmtId="164" fontId="9" fillId="0" borderId="18"/>
    <xf numFmtId="0" fontId="1" fillId="0" borderId="18"/>
    <xf numFmtId="0" fontId="1" fillId="0" borderId="18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0" fontId="7" fillId="0" borderId="18"/>
    <xf numFmtId="0" fontId="10" fillId="0" borderId="18"/>
    <xf numFmtId="0" fontId="11" fillId="0" borderId="18" applyFill="0" applyProtection="0"/>
    <xf numFmtId="0" fontId="12" fillId="0" borderId="18"/>
    <xf numFmtId="0" fontId="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</cellStyleXfs>
  <cellXfs count="45">
    <xf numFmtId="0" fontId="0" fillId="0" borderId="0" xfId="0"/>
    <xf numFmtId="0" fontId="0" fillId="2" borderId="2" xfId="0" applyFill="1" applyBorder="1"/>
    <xf numFmtId="0" fontId="0" fillId="3" borderId="0" xfId="0" applyFill="1"/>
    <xf numFmtId="0" fontId="2" fillId="2" borderId="13" xfId="0" applyFont="1" applyFill="1" applyBorder="1" applyAlignment="1">
      <alignment horizontal="right" vertical="center"/>
    </xf>
    <xf numFmtId="0" fontId="2" fillId="2" borderId="2" xfId="0" applyFont="1" applyFill="1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/>
    <xf numFmtId="0" fontId="5" fillId="2" borderId="2" xfId="0" applyFont="1" applyFill="1" applyBorder="1"/>
    <xf numFmtId="0" fontId="6" fillId="2" borderId="2" xfId="0" applyFont="1" applyFill="1" applyBorder="1"/>
    <xf numFmtId="165" fontId="0" fillId="2" borderId="2" xfId="0" applyNumberFormat="1" applyFill="1" applyBorder="1"/>
    <xf numFmtId="0" fontId="4" fillId="2" borderId="6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right" vertical="center"/>
    </xf>
    <xf numFmtId="165" fontId="0" fillId="3" borderId="0" xfId="0" applyNumberFormat="1" applyFill="1"/>
    <xf numFmtId="0" fontId="0" fillId="2" borderId="24" xfId="0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22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164" fontId="0" fillId="2" borderId="15" xfId="0" applyNumberForma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2" borderId="24" xfId="0" applyNumberForma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166" fontId="0" fillId="2" borderId="2" xfId="0" applyNumberFormat="1" applyFill="1" applyBorder="1"/>
    <xf numFmtId="164" fontId="0" fillId="2" borderId="26" xfId="0" applyNumberFormat="1" applyFill="1" applyBorder="1" applyAlignment="1">
      <alignment horizontal="center" vertical="center"/>
    </xf>
    <xf numFmtId="0" fontId="3" fillId="3" borderId="10" xfId="0" applyFont="1" applyFill="1" applyBorder="1"/>
    <xf numFmtId="0" fontId="3" fillId="3" borderId="1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8" xfId="0" applyFont="1" applyFill="1" applyBorder="1"/>
    <xf numFmtId="0" fontId="3" fillId="3" borderId="16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4" fillId="2" borderId="20" xfId="0" applyFont="1" applyFill="1" applyBorder="1" applyAlignment="1">
      <alignment horizont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C00000"/>
            </a:solidFill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0D5-4BDB-8661-3B4F1A4CF09E}"/>
              </c:ext>
            </c:extLst>
          </c:dPt>
          <c:dPt>
            <c:idx val="1"/>
            <c:invertIfNegative val="1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2-D0D5-4BDB-8661-3B4F1A4CF09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0D5-4BDB-8661-3B4F1A4CF09E}"/>
              </c:ext>
            </c:extLst>
          </c:dPt>
          <c:dPt>
            <c:idx val="3"/>
            <c:invertIfNegative val="1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5-D0D5-4BDB-8661-3B4F1A4CF09E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D0D5-4BDB-8661-3B4F1A4CF09E}"/>
              </c:ext>
            </c:extLst>
          </c:dPt>
          <c:dPt>
            <c:idx val="5"/>
            <c:invertIfNegative val="1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8-D0D5-4BDB-8661-3B4F1A4CF09E}"/>
              </c:ext>
            </c:extLst>
          </c:dPt>
          <c:cat>
            <c:multiLvlStrRef>
              <c:f>'18.12'!$AO$25:$AT$26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'18.12'!$AO$27:$AT$27</c:f>
              <c:numCache>
                <c:formatCode>_(* #,##0_);_(* \(#,##0\);_(* "-"??_);_(@_)</c:formatCode>
                <c:ptCount val="6"/>
                <c:pt idx="0">
                  <c:v>20839</c:v>
                </c:pt>
                <c:pt idx="1">
                  <c:v>22236</c:v>
                </c:pt>
                <c:pt idx="2">
                  <c:v>45986</c:v>
                </c:pt>
                <c:pt idx="3">
                  <c:v>14079</c:v>
                </c:pt>
                <c:pt idx="4">
                  <c:v>66825</c:v>
                </c:pt>
                <c:pt idx="5">
                  <c:v>36315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D0D5-4BDB-8661-3B4F1A4C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399097512"/>
        <c:axId val="401218680"/>
      </c:barChart>
      <c:catAx>
        <c:axId val="399097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401218680"/>
        <c:crosses val="autoZero"/>
        <c:auto val="1"/>
        <c:lblAlgn val="ctr"/>
        <c:lblOffset val="100"/>
        <c:tickLblSkip val="1"/>
        <c:noMultiLvlLbl val="0"/>
      </c:catAx>
      <c:valAx>
        <c:axId val="401218680"/>
        <c:scaling>
          <c:orientation val="minMax"/>
        </c:scaling>
        <c:delete val="0"/>
        <c:axPos val="l"/>
        <c:majorGridlines>
          <c:spPr>
            <a:ln>
              <a:solidFill>
                <a:srgbClr val="FFB7B7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99097512"/>
        <c:crosses val="autoZero"/>
        <c:crossBetween val="between"/>
      </c:valAx>
      <c:spPr>
        <a:solidFill>
          <a:srgbClr val="FFEBEB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18.13: Percentage share of females contributing to retirement pension scheme by sector, 2021</a:t>
            </a:r>
            <a:endParaRPr lang="en-US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200" b="1" i="0">
                <a:effectLst/>
              </a:rPr>
              <a:t> </a:t>
            </a:r>
            <a:endPara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j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086743225298778"/>
          <c:y val="0.25184952764367169"/>
          <c:w val="0.32363952687748981"/>
          <c:h val="0.70364919990804153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FFB7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29-4EF6-9E4A-B32A79067BA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29-4EF6-9E4A-B32A79067BA0}"/>
              </c:ext>
            </c:extLst>
          </c:dPt>
          <c:dLbls>
            <c:dLbl>
              <c:idx val="0"/>
              <c:layout>
                <c:manualLayout>
                  <c:x val="0.10529662075521624"/>
                  <c:y val="-3.7214985771494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29-4EF6-9E4A-B32A79067BA0}"/>
                </c:ext>
              </c:extLst>
            </c:dLbl>
            <c:dLbl>
              <c:idx val="1"/>
              <c:layout>
                <c:manualLayout>
                  <c:x val="-3.6022528153100329E-2"/>
                  <c:y val="-8.8385591207300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29-4EF6-9E4A-B32A79067B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'18.12'!$AO$31:$AO$32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'18.12'!$AP$31:$AP$32</c:f>
              <c:numCache>
                <c:formatCode>0.0</c:formatCode>
                <c:ptCount val="2"/>
                <c:pt idx="0">
                  <c:v>51.621590249564711</c:v>
                </c:pt>
                <c:pt idx="1">
                  <c:v>23.43960709231666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9-4EF6-9E4A-B32A79067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770898137874213"/>
          <c:y val="0.22187743354839856"/>
          <c:w val="0.3003225883415192"/>
          <c:h val="0.71747372878093851"/>
        </c:manualLayout>
      </c:layout>
      <c:doughnutChart>
        <c:varyColors val="1"/>
        <c:ser>
          <c:idx val="0"/>
          <c:order val="0"/>
          <c:spPr>
            <a:solidFill>
              <a:srgbClr val="FFA3A3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8E-464F-829D-5B260309D18F}"/>
              </c:ext>
            </c:extLst>
          </c:dPt>
          <c:dPt>
            <c:idx val="1"/>
            <c:bubble3D val="0"/>
            <c:spPr>
              <a:solidFill>
                <a:srgbClr val="FFA3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8E-464F-829D-5B260309D18F}"/>
              </c:ext>
            </c:extLst>
          </c:dPt>
          <c:dLbls>
            <c:dLbl>
              <c:idx val="0"/>
              <c:layout>
                <c:manualLayout>
                  <c:x val="5.1206302314130897E-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8E-464F-829D-5B260309D18F}"/>
                </c:ext>
              </c:extLst>
            </c:dLbl>
            <c:dLbl>
              <c:idx val="1"/>
              <c:layout>
                <c:manualLayout>
                  <c:x val="-5.3175775480059084E-2"/>
                  <c:y val="-6.9444444444444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8E-464F-829D-5B260309D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'18.12'!$AP$20:$AQ$20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'18.12'!$AP$21:$AQ$21</c:f>
              <c:numCache>
                <c:formatCode>0.0</c:formatCode>
                <c:ptCount val="2"/>
                <c:pt idx="0">
                  <c:v>64.790575916230367</c:v>
                </c:pt>
                <c:pt idx="1">
                  <c:v>35.209424083769633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E-464F-829D-5B260309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19</xdr:row>
      <xdr:rowOff>142875</xdr:rowOff>
    </xdr:from>
    <xdr:to>
      <xdr:col>9</xdr:col>
      <xdr:colOff>266700</xdr:colOff>
      <xdr:row>33</xdr:row>
      <xdr:rowOff>104775</xdr:rowOff>
    </xdr:to>
    <xdr:graphicFrame macro="">
      <xdr:nvGraphicFramePr>
        <xdr:cNvPr id="16" name="Chart 1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336111</xdr:colOff>
      <xdr:row>35</xdr:row>
      <xdr:rowOff>94759</xdr:rowOff>
    </xdr:from>
    <xdr:to>
      <xdr:col>9</xdr:col>
      <xdr:colOff>273705</xdr:colOff>
      <xdr:row>50</xdr:row>
      <xdr:rowOff>131380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75C316-B4AD-B833-2F6E-1441C8DDC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353410</xdr:colOff>
      <xdr:row>51</xdr:row>
      <xdr:rowOff>148074</xdr:rowOff>
    </xdr:from>
    <xdr:to>
      <xdr:col>9</xdr:col>
      <xdr:colOff>239110</xdr:colOff>
      <xdr:row>65</xdr:row>
      <xdr:rowOff>90925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B2ED04-8554-4E0B-E361-4297FFF4F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2021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0.04457</cdr:y>
    </cdr:from>
    <cdr:to>
      <cdr:x>1</cdr:x>
      <cdr:y>0.15288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6522AB5-2D28-EEC8-96E1-8B41CC0D826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120431"/>
          <a:ext cx="6454666" cy="292633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T66"/>
  <sheetViews>
    <sheetView tabSelected="1" zoomScale="87" zoomScaleNormal="87" workbookViewId="0">
      <selection activeCell="S39" sqref="S39"/>
    </sheetView>
  </sheetViews>
  <sheetFormatPr defaultColWidth="14.42578125" defaultRowHeight="15" customHeight="1" x14ac:dyDescent="0.25"/>
  <cols>
    <col min="1" max="1" width="10.42578125" style="2" customWidth="1"/>
    <col min="2" max="10" width="11" style="2" customWidth="1"/>
    <col min="11" max="11" width="6.7109375" style="2" hidden="1" customWidth="1"/>
    <col min="12" max="13" width="8" style="2" hidden="1" customWidth="1"/>
    <col min="14" max="14" width="1.140625" style="2" customWidth="1"/>
    <col min="15" max="27" width="8" style="2" customWidth="1"/>
    <col min="28" max="28" width="9.42578125" style="2" customWidth="1"/>
    <col min="29" max="34" width="8" style="2" customWidth="1"/>
    <col min="35" max="16384" width="14.42578125" style="2"/>
  </cols>
  <sheetData>
    <row r="1" spans="1:34" ht="21" customHeight="1" x14ac:dyDescent="0.55000000000000004">
      <c r="A1" s="38" t="s">
        <v>18</v>
      </c>
      <c r="B1" s="34"/>
      <c r="C1" s="34"/>
      <c r="D1" s="34"/>
      <c r="E1" s="34"/>
      <c r="F1" s="34"/>
      <c r="G1" s="34"/>
      <c r="H1" s="34"/>
      <c r="I1" s="34"/>
      <c r="J1" s="35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39" t="s">
        <v>17</v>
      </c>
      <c r="B2" s="34"/>
      <c r="C2" s="34"/>
      <c r="D2" s="34"/>
      <c r="E2" s="34"/>
      <c r="F2" s="34"/>
      <c r="G2" s="34"/>
      <c r="H2" s="34"/>
      <c r="I2" s="34"/>
      <c r="J2" s="3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40" t="s">
        <v>8</v>
      </c>
      <c r="B4" s="17"/>
      <c r="C4" s="10" t="s">
        <v>9</v>
      </c>
      <c r="D4" s="18"/>
      <c r="E4" s="44" t="s">
        <v>10</v>
      </c>
      <c r="F4" s="36"/>
      <c r="G4" s="43"/>
      <c r="H4" s="19"/>
      <c r="I4" s="20" t="s">
        <v>2</v>
      </c>
      <c r="J4" s="2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32"/>
      <c r="B5" s="12" t="s">
        <v>7</v>
      </c>
      <c r="C5" s="12" t="s">
        <v>3</v>
      </c>
      <c r="D5" s="21" t="s">
        <v>4</v>
      </c>
      <c r="E5" s="12" t="s">
        <v>7</v>
      </c>
      <c r="F5" s="12" t="s">
        <v>3</v>
      </c>
      <c r="G5" s="21" t="s">
        <v>4</v>
      </c>
      <c r="H5" s="12" t="s">
        <v>7</v>
      </c>
      <c r="I5" s="12" t="s">
        <v>3</v>
      </c>
      <c r="J5" s="12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1" customHeight="1" x14ac:dyDescent="0.55000000000000004">
      <c r="A6" s="33"/>
      <c r="B6" s="3" t="s">
        <v>0</v>
      </c>
      <c r="C6" s="3" t="s">
        <v>1</v>
      </c>
      <c r="D6" s="22" t="s">
        <v>11</v>
      </c>
      <c r="E6" s="3" t="s">
        <v>0</v>
      </c>
      <c r="F6" s="3" t="s">
        <v>1</v>
      </c>
      <c r="G6" s="22" t="s">
        <v>11</v>
      </c>
      <c r="H6" s="3" t="s">
        <v>0</v>
      </c>
      <c r="I6" s="3" t="s">
        <v>1</v>
      </c>
      <c r="J6" s="23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6.25" customHeight="1" x14ac:dyDescent="0.25">
      <c r="A7" s="11">
        <v>2010</v>
      </c>
      <c r="B7" s="5">
        <f t="shared" ref="B7:B16" si="0">SUM(C7:D7)</f>
        <v>30269</v>
      </c>
      <c r="C7" s="5">
        <v>19298</v>
      </c>
      <c r="D7" s="24">
        <v>10971</v>
      </c>
      <c r="E7" s="25">
        <f t="shared" ref="E7:E18" si="1">SUM(F7:G7)</f>
        <v>252</v>
      </c>
      <c r="F7" s="5">
        <v>119</v>
      </c>
      <c r="G7" s="24">
        <v>133</v>
      </c>
      <c r="H7" s="25">
        <f t="shared" ref="H7:J7" si="2">B7+E7</f>
        <v>30521</v>
      </c>
      <c r="I7" s="5">
        <f t="shared" si="2"/>
        <v>19417</v>
      </c>
      <c r="J7" s="26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6.25" customHeight="1" x14ac:dyDescent="0.25">
      <c r="A8" s="11">
        <v>2011</v>
      </c>
      <c r="B8" s="5">
        <f t="shared" si="0"/>
        <v>21053</v>
      </c>
      <c r="C8" s="5">
        <v>13667</v>
      </c>
      <c r="D8" s="24">
        <v>7386</v>
      </c>
      <c r="E8" s="15">
        <f t="shared" si="1"/>
        <v>37950</v>
      </c>
      <c r="F8" s="5">
        <v>29781</v>
      </c>
      <c r="G8" s="24">
        <v>8169</v>
      </c>
      <c r="H8" s="15">
        <f t="shared" ref="H8:J8" si="3">B8+E8</f>
        <v>59003</v>
      </c>
      <c r="I8" s="5">
        <f t="shared" si="3"/>
        <v>43448</v>
      </c>
      <c r="J8" s="5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6.25" customHeight="1" x14ac:dyDescent="0.25">
      <c r="A9" s="11">
        <v>2012</v>
      </c>
      <c r="B9" s="5">
        <f t="shared" si="0"/>
        <v>31653</v>
      </c>
      <c r="C9" s="5">
        <v>18242</v>
      </c>
      <c r="D9" s="24">
        <v>13411</v>
      </c>
      <c r="E9" s="15">
        <f t="shared" si="1"/>
        <v>37152</v>
      </c>
      <c r="F9" s="5">
        <v>30036</v>
      </c>
      <c r="G9" s="24">
        <v>7116</v>
      </c>
      <c r="H9" s="15">
        <f t="shared" ref="H9:J9" si="4">B9+E9</f>
        <v>68805</v>
      </c>
      <c r="I9" s="5">
        <f t="shared" si="4"/>
        <v>48278</v>
      </c>
      <c r="J9" s="5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6.25" customHeight="1" x14ac:dyDescent="0.25">
      <c r="A10" s="11">
        <v>2013</v>
      </c>
      <c r="B10" s="5">
        <f t="shared" si="0"/>
        <v>30162</v>
      </c>
      <c r="C10" s="5">
        <v>17816</v>
      </c>
      <c r="D10" s="24">
        <v>12346</v>
      </c>
      <c r="E10" s="15">
        <f t="shared" si="1"/>
        <v>39299</v>
      </c>
      <c r="F10" s="5">
        <v>31644</v>
      </c>
      <c r="G10" s="24">
        <v>7655</v>
      </c>
      <c r="H10" s="15">
        <f t="shared" ref="H10:J10" si="5">B10+E10</f>
        <v>69461</v>
      </c>
      <c r="I10" s="5">
        <f t="shared" si="5"/>
        <v>49460</v>
      </c>
      <c r="J10" s="5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6.25" customHeight="1" x14ac:dyDescent="0.25">
      <c r="A11" s="11">
        <v>2014</v>
      </c>
      <c r="B11" s="5">
        <f t="shared" si="0"/>
        <v>32279</v>
      </c>
      <c r="C11" s="5">
        <v>18475</v>
      </c>
      <c r="D11" s="24">
        <v>13804</v>
      </c>
      <c r="E11" s="15">
        <f t="shared" si="1"/>
        <v>42570</v>
      </c>
      <c r="F11" s="5">
        <v>34087</v>
      </c>
      <c r="G11" s="24">
        <v>8483</v>
      </c>
      <c r="H11" s="15">
        <f t="shared" ref="H11:J11" si="6">B11+E11</f>
        <v>74849</v>
      </c>
      <c r="I11" s="5">
        <f t="shared" si="6"/>
        <v>52562</v>
      </c>
      <c r="J11" s="5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6.25" customHeight="1" x14ac:dyDescent="0.25">
      <c r="A12" s="11">
        <v>2015</v>
      </c>
      <c r="B12" s="5">
        <f t="shared" si="0"/>
        <v>35813</v>
      </c>
      <c r="C12" s="5">
        <v>19810</v>
      </c>
      <c r="D12" s="24">
        <v>16003</v>
      </c>
      <c r="E12" s="15">
        <f t="shared" si="1"/>
        <v>46109</v>
      </c>
      <c r="F12" s="5">
        <v>36441</v>
      </c>
      <c r="G12" s="24">
        <v>9668</v>
      </c>
      <c r="H12" s="15">
        <f t="shared" ref="H12:J12" si="7">B12+E12</f>
        <v>81922</v>
      </c>
      <c r="I12" s="5">
        <f t="shared" si="7"/>
        <v>56251</v>
      </c>
      <c r="J12" s="5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6.25" customHeight="1" x14ac:dyDescent="0.25">
      <c r="A13" s="11">
        <v>2016</v>
      </c>
      <c r="B13" s="5">
        <f t="shared" si="0"/>
        <v>31447</v>
      </c>
      <c r="C13" s="5">
        <v>16984</v>
      </c>
      <c r="D13" s="24">
        <v>14463</v>
      </c>
      <c r="E13" s="15">
        <f t="shared" si="1"/>
        <v>48282</v>
      </c>
      <c r="F13" s="5">
        <v>37995</v>
      </c>
      <c r="G13" s="24">
        <v>10287</v>
      </c>
      <c r="H13" s="15">
        <f t="shared" ref="H13:J13" si="8">B13+E13</f>
        <v>79729</v>
      </c>
      <c r="I13" s="5">
        <f t="shared" si="8"/>
        <v>54979</v>
      </c>
      <c r="J13" s="5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6.25" customHeight="1" x14ac:dyDescent="0.25">
      <c r="A14" s="11">
        <v>2017</v>
      </c>
      <c r="B14" s="5">
        <f t="shared" si="0"/>
        <v>36625</v>
      </c>
      <c r="C14" s="5">
        <v>19661</v>
      </c>
      <c r="D14" s="24">
        <v>16964</v>
      </c>
      <c r="E14" s="15">
        <f t="shared" si="1"/>
        <v>52091</v>
      </c>
      <c r="F14" s="5">
        <v>40679</v>
      </c>
      <c r="G14" s="24">
        <v>11412</v>
      </c>
      <c r="H14" s="15">
        <f t="shared" ref="H14:J14" si="9">B14+E14</f>
        <v>88716</v>
      </c>
      <c r="I14" s="5">
        <f t="shared" si="9"/>
        <v>60340</v>
      </c>
      <c r="J14" s="5">
        <f t="shared" si="9"/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6.25" customHeight="1" x14ac:dyDescent="0.25">
      <c r="A15" s="11">
        <v>2018</v>
      </c>
      <c r="B15" s="5">
        <f t="shared" si="0"/>
        <v>40066</v>
      </c>
      <c r="C15" s="5">
        <v>20879</v>
      </c>
      <c r="D15" s="24">
        <v>19187</v>
      </c>
      <c r="E15" s="15">
        <f t="shared" si="1"/>
        <v>55021</v>
      </c>
      <c r="F15" s="5">
        <v>42475</v>
      </c>
      <c r="G15" s="24">
        <v>12546</v>
      </c>
      <c r="H15" s="15">
        <f t="shared" ref="H15:J16" si="10">B15+E15</f>
        <v>95087</v>
      </c>
      <c r="I15" s="5">
        <f t="shared" si="10"/>
        <v>63354</v>
      </c>
      <c r="J15" s="5">
        <f t="shared" si="10"/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6.25" customHeight="1" x14ac:dyDescent="0.25">
      <c r="A16" s="11">
        <v>2019</v>
      </c>
      <c r="B16" s="5">
        <f t="shared" si="0"/>
        <v>42650</v>
      </c>
      <c r="C16" s="5">
        <v>21530</v>
      </c>
      <c r="D16" s="24">
        <v>21120</v>
      </c>
      <c r="E16" s="15">
        <f t="shared" si="1"/>
        <v>57575</v>
      </c>
      <c r="F16" s="5">
        <v>44183</v>
      </c>
      <c r="G16" s="24">
        <v>13392</v>
      </c>
      <c r="H16" s="15">
        <f t="shared" si="10"/>
        <v>100225</v>
      </c>
      <c r="I16" s="5">
        <f t="shared" si="10"/>
        <v>65713</v>
      </c>
      <c r="J16" s="5">
        <f t="shared" si="10"/>
        <v>34512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46" ht="26.25" customHeight="1" x14ac:dyDescent="0.25">
      <c r="A17" s="11">
        <v>2020</v>
      </c>
      <c r="B17" s="5">
        <f t="shared" ref="B17:B18" si="11">SUM(C17:D17)</f>
        <v>41460</v>
      </c>
      <c r="C17" s="5">
        <v>20520</v>
      </c>
      <c r="D17" s="24">
        <v>20940</v>
      </c>
      <c r="E17" s="15">
        <f t="shared" si="1"/>
        <v>52998</v>
      </c>
      <c r="F17" s="5">
        <v>40524</v>
      </c>
      <c r="G17" s="24">
        <v>12474</v>
      </c>
      <c r="H17" s="15">
        <f t="shared" ref="H17:J18" si="12">B17+E17</f>
        <v>94458</v>
      </c>
      <c r="I17" s="5">
        <f t="shared" si="12"/>
        <v>61044</v>
      </c>
      <c r="J17" s="5">
        <f t="shared" si="12"/>
        <v>33414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46" ht="26.25" customHeight="1" x14ac:dyDescent="0.25">
      <c r="A18" s="14">
        <v>2021</v>
      </c>
      <c r="B18" s="27">
        <f t="shared" si="11"/>
        <v>43075</v>
      </c>
      <c r="C18" s="27">
        <v>20839</v>
      </c>
      <c r="D18" s="31">
        <v>22236</v>
      </c>
      <c r="E18" s="16">
        <f t="shared" si="1"/>
        <v>60065</v>
      </c>
      <c r="F18" s="27">
        <v>45986</v>
      </c>
      <c r="G18" s="31">
        <v>14079</v>
      </c>
      <c r="H18" s="16">
        <f t="shared" si="12"/>
        <v>103140</v>
      </c>
      <c r="I18" s="27">
        <f t="shared" si="12"/>
        <v>66825</v>
      </c>
      <c r="J18" s="27">
        <f t="shared" si="12"/>
        <v>36315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46" ht="18" customHeight="1" x14ac:dyDescent="0.45">
      <c r="A19" s="7" t="s">
        <v>5</v>
      </c>
      <c r="B19" s="7"/>
      <c r="C19" s="1"/>
      <c r="D19" s="1"/>
      <c r="E19" s="1"/>
      <c r="F19" s="1"/>
      <c r="G19" s="1"/>
      <c r="H19" s="1"/>
      <c r="I19" s="1"/>
      <c r="J19" s="8" t="s">
        <v>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46" x14ac:dyDescent="0.25">
      <c r="A20" s="1"/>
      <c r="B20" s="1"/>
      <c r="C20" s="1"/>
      <c r="D20" s="6"/>
      <c r="E20" s="6"/>
      <c r="F20" s="1"/>
      <c r="G20" s="6"/>
      <c r="H20" s="6"/>
      <c r="I20" s="1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AC20" s="1"/>
      <c r="AD20" s="1"/>
      <c r="AE20" s="1"/>
      <c r="AF20" s="1"/>
      <c r="AG20" s="1"/>
      <c r="AH20" s="1"/>
      <c r="AP20" s="1" t="s">
        <v>3</v>
      </c>
      <c r="AQ20" s="1" t="s">
        <v>4</v>
      </c>
    </row>
    <row r="21" spans="1:46" x14ac:dyDescent="0.25">
      <c r="A21" s="1"/>
      <c r="B21" s="1"/>
      <c r="C21" s="1"/>
      <c r="D21" s="9"/>
      <c r="E21" s="9"/>
      <c r="F21" s="1"/>
      <c r="G21" s="9"/>
      <c r="H21" s="9"/>
      <c r="I21" s="1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AC21" s="1"/>
      <c r="AD21" s="1"/>
      <c r="AE21" s="1"/>
      <c r="AF21" s="1"/>
      <c r="AG21" s="1"/>
      <c r="AH21" s="1"/>
      <c r="AP21" s="9">
        <f>AS27/AT28*100</f>
        <v>64.790575916230367</v>
      </c>
      <c r="AQ21" s="9">
        <f>AT27/AT28*100</f>
        <v>35.209424083769633</v>
      </c>
    </row>
    <row r="22" spans="1:4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AC22" s="1"/>
      <c r="AD22" s="1"/>
      <c r="AE22" s="1"/>
      <c r="AF22" s="1"/>
      <c r="AG22" s="1"/>
      <c r="AH22" s="1"/>
    </row>
    <row r="23" spans="1:4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AC23" s="1"/>
      <c r="AD23" s="1"/>
      <c r="AE23" s="1"/>
      <c r="AF23" s="1"/>
      <c r="AO23" s="1"/>
      <c r="AP23" s="1"/>
      <c r="AQ23" s="1"/>
      <c r="AR23" s="1"/>
      <c r="AS23" s="1"/>
      <c r="AT23" s="1"/>
    </row>
    <row r="24" spans="1:4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AC24" s="1"/>
      <c r="AD24" s="1"/>
      <c r="AE24" s="1"/>
      <c r="AF24" s="1"/>
      <c r="AI24" s="13"/>
      <c r="AO24" s="1">
        <v>2021</v>
      </c>
      <c r="AP24" s="1"/>
      <c r="AQ24" s="1"/>
      <c r="AR24" s="1"/>
      <c r="AS24" s="1"/>
      <c r="AT24" s="1"/>
    </row>
    <row r="25" spans="1:4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AC25" s="1"/>
      <c r="AD25" s="1"/>
      <c r="AE25" s="1"/>
      <c r="AF25" s="1"/>
      <c r="AG25" s="1"/>
      <c r="AH25" s="1"/>
      <c r="AO25" s="42" t="s">
        <v>9</v>
      </c>
      <c r="AP25" s="43"/>
      <c r="AQ25" s="44" t="s">
        <v>10</v>
      </c>
      <c r="AR25" s="43"/>
      <c r="AS25" s="41" t="s">
        <v>2</v>
      </c>
      <c r="AT25" s="37"/>
    </row>
    <row r="26" spans="1:4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AC26" s="1"/>
      <c r="AD26" s="1"/>
      <c r="AE26" s="1"/>
      <c r="AF26" s="1"/>
      <c r="AG26" s="1"/>
      <c r="AH26" s="1"/>
      <c r="AO26" s="12" t="s">
        <v>12</v>
      </c>
      <c r="AP26" s="28" t="s">
        <v>13</v>
      </c>
      <c r="AQ26" s="12" t="s">
        <v>12</v>
      </c>
      <c r="AR26" s="28" t="s">
        <v>13</v>
      </c>
      <c r="AS26" s="12" t="s">
        <v>12</v>
      </c>
      <c r="AT26" s="29" t="s">
        <v>13</v>
      </c>
    </row>
    <row r="27" spans="1:4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AC27" s="1"/>
      <c r="AD27" s="1"/>
      <c r="AE27" s="1"/>
      <c r="AF27" s="1"/>
      <c r="AG27" s="1"/>
      <c r="AH27" s="1"/>
      <c r="AO27" s="6">
        <f>C18</f>
        <v>20839</v>
      </c>
      <c r="AP27" s="6">
        <f>D18</f>
        <v>22236</v>
      </c>
      <c r="AQ27" s="6">
        <f>F18</f>
        <v>45986</v>
      </c>
      <c r="AR27" s="6">
        <f>G18</f>
        <v>14079</v>
      </c>
      <c r="AS27" s="6">
        <f>I18</f>
        <v>66825</v>
      </c>
      <c r="AT27" s="6">
        <f>J18</f>
        <v>36315</v>
      </c>
    </row>
    <row r="28" spans="1:4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AC28" s="1"/>
      <c r="AD28" s="1"/>
      <c r="AE28" s="1"/>
      <c r="AF28" s="1"/>
      <c r="AG28" s="1"/>
      <c r="AH28" s="1"/>
      <c r="AO28" s="1" t="s">
        <v>14</v>
      </c>
      <c r="AP28" s="6">
        <f>SUM(AO27:AP27)</f>
        <v>43075</v>
      </c>
      <c r="AQ28" s="1"/>
      <c r="AR28" s="6">
        <f>SUM(AQ27:AR27)</f>
        <v>60065</v>
      </c>
      <c r="AS28" s="1"/>
      <c r="AT28" s="6">
        <f>SUM(AS27:AT27)</f>
        <v>103140</v>
      </c>
    </row>
    <row r="29" spans="1:4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AC29" s="1"/>
      <c r="AD29" s="1"/>
      <c r="AE29" s="1"/>
      <c r="AF29" s="1"/>
      <c r="AG29" s="1"/>
      <c r="AH29" s="1"/>
      <c r="AO29" s="1" t="s">
        <v>15</v>
      </c>
      <c r="AP29" s="30">
        <f>AP27/AP28*100</f>
        <v>51.621590249564711</v>
      </c>
      <c r="AQ29" s="30"/>
      <c r="AR29" s="30">
        <f>AR27/AR28*100</f>
        <v>23.43960709231666</v>
      </c>
      <c r="AS29" s="30"/>
      <c r="AT29" s="30">
        <f>AT27/AT28*100</f>
        <v>35.209424083769633</v>
      </c>
    </row>
    <row r="30" spans="1:4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AC30" s="1"/>
      <c r="AD30" s="1"/>
      <c r="AE30" s="1"/>
      <c r="AF30" s="1"/>
      <c r="AG30" s="1"/>
      <c r="AH30" s="1"/>
      <c r="AO30" s="1"/>
      <c r="AP30" s="1" t="s">
        <v>16</v>
      </c>
      <c r="AQ30" s="1"/>
      <c r="AR30" s="1"/>
      <c r="AS30" s="1"/>
      <c r="AT30" s="1"/>
    </row>
    <row r="31" spans="1:4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AC31" s="1"/>
      <c r="AD31" s="1"/>
      <c r="AE31" s="1"/>
      <c r="AF31" s="1"/>
      <c r="AG31" s="1"/>
      <c r="AH31" s="1"/>
      <c r="AO31" s="1" t="s">
        <v>9</v>
      </c>
      <c r="AP31" s="9">
        <f>AP29</f>
        <v>51.621590249564711</v>
      </c>
      <c r="AQ31" s="1"/>
      <c r="AR31" s="1"/>
      <c r="AS31" s="1"/>
      <c r="AT31" s="1"/>
    </row>
    <row r="32" spans="1:4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O32" s="1" t="s">
        <v>10</v>
      </c>
      <c r="AP32" s="9">
        <f>AR29</f>
        <v>23.43960709231666</v>
      </c>
      <c r="AQ32" s="1"/>
      <c r="AR32" s="1"/>
      <c r="AS32" s="1"/>
      <c r="AT32" s="1"/>
    </row>
    <row r="33" spans="1:4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O33" s="1" t="s">
        <v>2</v>
      </c>
      <c r="AP33" s="30">
        <f>AT29</f>
        <v>35.209424083769633</v>
      </c>
      <c r="AQ33" s="1"/>
      <c r="AR33" s="1"/>
      <c r="AS33" s="1"/>
      <c r="AT33" s="1"/>
    </row>
    <row r="34" spans="1:4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O34" s="1"/>
      <c r="AP34" s="1"/>
      <c r="AQ34" s="1"/>
      <c r="AR34" s="1"/>
      <c r="AS34" s="1"/>
      <c r="AT34" s="1"/>
    </row>
    <row r="35" spans="1:4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4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4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4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4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4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4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4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4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4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4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4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4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4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</sheetData>
  <mergeCells count="7">
    <mergeCell ref="A1:J1"/>
    <mergeCell ref="AO25:AP25"/>
    <mergeCell ref="AQ25:AR25"/>
    <mergeCell ref="AS25:AT25"/>
    <mergeCell ref="A2:J2"/>
    <mergeCell ref="A4:A6"/>
    <mergeCell ref="E4:G4"/>
  </mergeCells>
  <pageMargins left="0.7" right="0.7" top="0.75" bottom="0.75" header="0" footer="0"/>
  <pageSetup paperSize="9" scale="73" orientation="landscape" horizontalDpi="4294967295" verticalDpi="4294967295" r:id="rId1"/>
  <rowBreaks count="1" manualBreakCount="1">
    <brk id="35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2023-03-15T04:34:29Z</cp:lastPrinted>
  <dcterms:created xsi:type="dcterms:W3CDTF">2019-02-21T04:10:17Z</dcterms:created>
  <dcterms:modified xsi:type="dcterms:W3CDTF">2023-03-15T04:34:40Z</dcterms:modified>
</cp:coreProperties>
</file>