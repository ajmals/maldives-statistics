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F9FCE8EB-DC04-486F-86C9-15BB77EDA1C6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20" sheetId="18" r:id="rId1"/>
  </sheets>
  <externalReferences>
    <externalReference r:id="rId2"/>
  </externalReferences>
  <definedNames>
    <definedName name="_xlnm.Print_Area" localSheetId="0">'18.20'!$A$1:$I$36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2" i="18" l="1"/>
  <c r="AC40" i="18"/>
  <c r="AD40" i="18"/>
  <c r="AE40" i="18"/>
  <c r="AF40" i="18"/>
  <c r="AG40" i="18"/>
  <c r="AC41" i="18"/>
  <c r="AD41" i="18"/>
  <c r="AE41" i="18"/>
  <c r="AF41" i="18"/>
  <c r="AG41" i="18"/>
  <c r="AC42" i="18"/>
  <c r="AD42" i="18"/>
  <c r="AF42" i="18"/>
  <c r="AG42" i="18"/>
  <c r="AB42" i="18"/>
  <c r="AB41" i="18"/>
  <c r="B8" i="18" l="1"/>
  <c r="B9" i="18"/>
  <c r="B10" i="18"/>
  <c r="B11" i="18"/>
  <c r="B12" i="18"/>
  <c r="B13" i="18"/>
  <c r="B14" i="18"/>
  <c r="B15" i="18"/>
  <c r="B16" i="18"/>
  <c r="B17" i="18"/>
  <c r="B18" i="18"/>
  <c r="B7" i="18"/>
  <c r="B6" i="18" l="1"/>
  <c r="D6" i="18" l="1"/>
  <c r="AC33" i="18" s="1"/>
  <c r="AC43" i="18" s="1"/>
  <c r="E6" i="18"/>
  <c r="F6" i="18"/>
  <c r="G6" i="18"/>
  <c r="H6" i="18"/>
  <c r="C6" i="18"/>
  <c r="AB33" i="18" s="1"/>
  <c r="AB43" i="18" s="1"/>
  <c r="AB40" i="18"/>
  <c r="AF33" i="18" l="1"/>
  <c r="AF43" i="18" s="1"/>
  <c r="AB38" i="18" l="1"/>
  <c r="AB39" i="18"/>
  <c r="AG39" i="18" l="1"/>
  <c r="AF39" i="18"/>
  <c r="AE39" i="18"/>
  <c r="AD39" i="18"/>
  <c r="AC39" i="18"/>
  <c r="AG38" i="18"/>
  <c r="AF38" i="18"/>
  <c r="AE38" i="18"/>
  <c r="AD38" i="18"/>
  <c r="AC38" i="18"/>
  <c r="AF37" i="18"/>
  <c r="AE37" i="18"/>
  <c r="AD37" i="18"/>
  <c r="AC37" i="18"/>
  <c r="AB37" i="18"/>
  <c r="AF36" i="18"/>
  <c r="AE36" i="18"/>
  <c r="AD36" i="18"/>
  <c r="AC36" i="18"/>
  <c r="AB36" i="18"/>
  <c r="AG33" i="18"/>
  <c r="AG43" i="18" s="1"/>
  <c r="AE33" i="18"/>
  <c r="AE43" i="18" s="1"/>
  <c r="AD33" i="18"/>
  <c r="AD43" i="18" s="1"/>
</calcChain>
</file>

<file path=xl/sharedStrings.xml><?xml version="1.0" encoding="utf-8"?>
<sst xmlns="http://schemas.openxmlformats.org/spreadsheetml/2006/main" count="57" uniqueCount="45">
  <si>
    <t>Month</t>
  </si>
  <si>
    <t>މަސް</t>
  </si>
  <si>
    <t>ޖުމްލަ</t>
  </si>
  <si>
    <t>Total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</si>
  <si>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</si>
  <si>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</si>
  <si>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</si>
  <si>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</si>
  <si>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</si>
  <si>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</si>
  <si>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</si>
  <si>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</si>
  <si>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</si>
  <si>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</si>
  <si>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</si>
  <si>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</si>
  <si>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</si>
  <si>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</si>
  <si>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</si>
  <si>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</si>
  <si>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</si>
  <si>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</si>
  <si>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</si>
  <si>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</si>
  <si>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</si>
  <si>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</si>
  <si>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</si>
  <si>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</si>
  <si>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FOOD SUBSIDY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</si>
  <si>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</si>
  <si>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</si>
  <si>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</si>
  <si>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</si>
  <si>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</si>
  <si>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</si>
  <si>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</si>
  <si>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</si>
  <si>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</si>
  <si>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</si>
  <si>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</si>
  <si>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</si>
  <si>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</si>
  <si>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</si>
  <si>
    <t>Table 18.20 :  GOVERNMENT EXPENDITURE ON  DIFFERENT SOCIAL PROTECTION SCHEMES BY TYPE (in MVR),  2021</t>
  </si>
  <si>
    <t>ތާވަލް 18.20: އިޖްތިމާއީ ރައްކާތެރިކަމުގެ ދަށުންދެވޭ ޚިދުމަތްތަކަށް ދައުލަތުންކުރެވުނު ޚަރަދު (ރުފިޔާއިން)،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</si>
</sst>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6" formatCode="#,##0.0"/>
    <numFmt numFmtId="167" formatCode="General_)"/>
  </numFmts>
  <fonts count="2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Faruma"/>
    </font>
    <font>
      <sz val="10"/>
      <color theme="1"/>
      <name val="Calibri"/>
      <family val="2"/>
    </font>
    <font>
      <sz val="9"/>
      <name val="Calibri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3" fillId="0" borderId="0" applyFont="0" applyFill="0" applyBorder="0" applyAlignment="0" applyProtection="0"/>
    <xf numFmtId="0" fontId="5" fillId="0" borderId="1"/>
    <xf numFmtId="164" fontId="8" fillId="0" borderId="1"/>
    <xf numFmtId="0" fontId="1" fillId="0" borderId="1"/>
    <xf numFmtId="0" fontId="8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25" fillId="0" borderId="1"/>
    <xf numFmtId="0" fontId="26" fillId="0" borderId="1" applyFill="0" applyProtection="0"/>
    <xf numFmtId="0" fontId="27" fillId="0" borderId="1"/>
    <xf numFmtId="0" fontId="27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64">
    <xf numFmtId="0" fontId="0" fillId="0" borderId="0" xfId="0"/>
    <xf numFmtId="167" fontId="14" fillId="2" borderId="1" xfId="3" applyNumberFormat="1" applyFont="1" applyFill="1" applyAlignment="1">
      <alignment horizontal="left" vertical="center"/>
    </xf>
    <xf numFmtId="167" fontId="15" fillId="2" borderId="1" xfId="5" applyNumberFormat="1" applyFont="1" applyFill="1" applyAlignment="1">
      <alignment horizontal="right" vertical="center"/>
    </xf>
    <xf numFmtId="167" fontId="4" fillId="2" borderId="0" xfId="0" applyNumberFormat="1" applyFont="1" applyFill="1"/>
    <xf numFmtId="167" fontId="19" fillId="2" borderId="1" xfId="0" applyNumberFormat="1" applyFont="1" applyFill="1" applyBorder="1"/>
    <xf numFmtId="3" fontId="21" fillId="2" borderId="1" xfId="2" applyNumberFormat="1" applyFont="1" applyFill="1"/>
    <xf numFmtId="3" fontId="11" fillId="2" borderId="1" xfId="2" applyNumberFormat="1" applyFont="1" applyFill="1" applyAlignment="1">
      <alignment horizontal="right" vertical="center" wrapText="1"/>
    </xf>
    <xf numFmtId="167" fontId="20" fillId="2" borderId="1" xfId="3" applyNumberFormat="1" applyFont="1" applyFill="1" applyAlignment="1">
      <alignment horizontal="left" vertical="center"/>
    </xf>
    <xf numFmtId="0" fontId="6" fillId="2" borderId="2" xfId="0" applyFont="1" applyFill="1" applyBorder="1" applyAlignment="1">
      <alignment horizontal="right" vertical="center" wrapText="1"/>
    </xf>
    <xf numFmtId="167" fontId="6" fillId="2" borderId="2" xfId="0" applyNumberFormat="1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vertical="center" wrapText="1"/>
    </xf>
    <xf numFmtId="3" fontId="21" fillId="2" borderId="1" xfId="2" applyNumberFormat="1" applyFont="1" applyFill="1" applyAlignment="1">
      <alignment horizontal="right" vertical="center" wrapText="1"/>
    </xf>
    <xf numFmtId="167" fontId="20" fillId="2" borderId="3" xfId="3" applyNumberFormat="1" applyFont="1" applyFill="1" applyBorder="1" applyAlignment="1">
      <alignment horizontal="left" vertical="center"/>
    </xf>
    <xf numFmtId="164" fontId="20" fillId="2" borderId="3" xfId="1" applyNumberFormat="1" applyFont="1" applyFill="1" applyBorder="1" applyAlignment="1">
      <alignment horizontal="right" vertical="center" wrapText="1"/>
    </xf>
    <xf numFmtId="164" fontId="10" fillId="2" borderId="1" xfId="1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9" fillId="2" borderId="1" xfId="1" applyNumberFormat="1" applyFont="1" applyFill="1" applyBorder="1" applyAlignment="1" applyProtection="1">
      <alignment horizontal="right" vertical="center"/>
    </xf>
    <xf numFmtId="167" fontId="22" fillId="2" borderId="3" xfId="0" applyNumberFormat="1" applyFont="1" applyFill="1" applyBorder="1" applyAlignment="1">
      <alignment horizontal="right" vertical="center" wrapText="1"/>
    </xf>
    <xf numFmtId="167" fontId="19" fillId="2" borderId="1" xfId="3" applyNumberFormat="1" applyFont="1" applyFill="1" applyAlignment="1">
      <alignment horizontal="left" vertical="center"/>
    </xf>
    <xf numFmtId="167" fontId="22" fillId="2" borderId="1" xfId="0" applyNumberFormat="1" applyFont="1" applyFill="1" applyBorder="1" applyAlignment="1">
      <alignment horizontal="right" vertical="center" wrapText="1"/>
    </xf>
    <xf numFmtId="167" fontId="19" fillId="2" borderId="2" xfId="3" applyNumberFormat="1" applyFont="1" applyFill="1" applyBorder="1" applyAlignment="1">
      <alignment horizontal="left" vertical="center"/>
    </xf>
    <xf numFmtId="167" fontId="22" fillId="2" borderId="2" xfId="0" applyNumberFormat="1" applyFont="1" applyFill="1" applyBorder="1" applyAlignment="1">
      <alignment horizontal="right" vertical="center" wrapText="1"/>
    </xf>
    <xf numFmtId="167" fontId="4" fillId="2" borderId="0" xfId="0" applyNumberFormat="1" applyFont="1" applyFill="1" applyAlignment="1">
      <alignment horizontal="center" vertical="center"/>
    </xf>
    <xf numFmtId="167" fontId="23" fillId="2" borderId="0" xfId="0" applyNumberFormat="1" applyFont="1" applyFill="1"/>
    <xf numFmtId="167" fontId="4" fillId="2" borderId="1" xfId="0" applyNumberFormat="1" applyFont="1" applyFill="1" applyBorder="1"/>
    <xf numFmtId="167" fontId="4" fillId="2" borderId="1" xfId="0" applyNumberFormat="1" applyFont="1" applyFill="1" applyBorder="1" applyAlignment="1">
      <alignment horizontal="center" vertical="center"/>
    </xf>
    <xf numFmtId="3" fontId="23" fillId="2" borderId="1" xfId="2" applyNumberFormat="1" applyFont="1" applyFill="1"/>
    <xf numFmtId="167" fontId="20" fillId="2" borderId="3" xfId="3" applyNumberFormat="1" applyFont="1" applyFill="1" applyBorder="1" applyAlignment="1">
      <alignment vertical="center"/>
    </xf>
    <xf numFmtId="167" fontId="20" fillId="2" borderId="3" xfId="3" applyNumberFormat="1" applyFont="1" applyFill="1" applyBorder="1" applyAlignment="1">
      <alignment vertical="center" wrapText="1"/>
    </xf>
    <xf numFmtId="167" fontId="24" fillId="2" borderId="1" xfId="0" applyNumberFormat="1" applyFont="1" applyFill="1" applyBorder="1"/>
    <xf numFmtId="167" fontId="24" fillId="2" borderId="0" xfId="0" applyNumberFormat="1" applyFont="1" applyFill="1"/>
    <xf numFmtId="0" fontId="16" fillId="2" borderId="4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vertical="center" wrapText="1"/>
    </xf>
    <xf numFmtId="167" fontId="6" fillId="2" borderId="1" xfId="0" applyNumberFormat="1" applyFont="1" applyFill="1" applyBorder="1" applyAlignment="1">
      <alignment horizontal="right" vertical="center" wrapText="1"/>
    </xf>
    <xf numFmtId="43" fontId="20" fillId="2" borderId="1" xfId="1" applyFont="1" applyFill="1" applyBorder="1" applyAlignment="1">
      <alignment horizontal="center" vertical="center" wrapText="1"/>
    </xf>
    <xf numFmtId="167" fontId="23" fillId="2" borderId="1" xfId="0" applyNumberFormat="1" applyFont="1" applyFill="1" applyBorder="1"/>
    <xf numFmtId="43" fontId="19" fillId="2" borderId="1" xfId="1" applyFont="1" applyFill="1" applyBorder="1"/>
    <xf numFmtId="164" fontId="12" fillId="2" borderId="1" xfId="1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4" fontId="13" fillId="2" borderId="1" xfId="1" applyNumberFormat="1" applyFont="1" applyFill="1" applyBorder="1" applyAlignment="1" applyProtection="1">
      <alignment horizontal="right" vertical="center"/>
    </xf>
    <xf numFmtId="167" fontId="20" fillId="2" borderId="1" xfId="3" applyNumberFormat="1" applyFont="1" applyFill="1" applyAlignment="1">
      <alignment vertical="center" wrapText="1"/>
    </xf>
    <xf numFmtId="166" fontId="23" fillId="2" borderId="0" xfId="0" applyNumberFormat="1" applyFont="1" applyFill="1"/>
    <xf numFmtId="164" fontId="13" fillId="2" borderId="1" xfId="1" applyNumberFormat="1" applyFont="1" applyFill="1" applyBorder="1" applyAlignment="1">
      <alignment horizontal="right" vertical="center"/>
    </xf>
    <xf numFmtId="164" fontId="12" fillId="2" borderId="1" xfId="1" applyNumberFormat="1" applyFont="1" applyFill="1" applyBorder="1" applyAlignment="1">
      <alignment vertical="center"/>
    </xf>
    <xf numFmtId="167" fontId="4" fillId="2" borderId="0" xfId="0" applyNumberFormat="1" applyFont="1" applyFill="1" applyAlignment="1">
      <alignment horizontal="right"/>
    </xf>
    <xf numFmtId="164" fontId="12" fillId="2" borderId="2" xfId="7" applyNumberFormat="1" applyFont="1" applyFill="1" applyBorder="1" applyAlignment="1">
      <alignment horizontal="right" vertical="center"/>
    </xf>
    <xf numFmtId="164" fontId="13" fillId="2" borderId="1" xfId="7" applyNumberFormat="1" applyFont="1" applyFill="1" applyAlignment="1">
      <alignment horizontal="right" vertical="center"/>
    </xf>
    <xf numFmtId="167" fontId="20" fillId="2" borderId="1" xfId="3" applyNumberFormat="1" applyFont="1" applyFill="1" applyAlignment="1">
      <alignment horizontal="right" vertical="center" wrapText="1"/>
    </xf>
    <xf numFmtId="0" fontId="16" fillId="2" borderId="1" xfId="0" applyFont="1" applyFill="1" applyBorder="1" applyAlignment="1">
      <alignment horizontal="right" wrapText="1"/>
    </xf>
    <xf numFmtId="164" fontId="12" fillId="2" borderId="1" xfId="22" applyNumberFormat="1" applyFont="1" applyFill="1" applyAlignment="1">
      <alignment horizontal="right" vertical="center"/>
    </xf>
    <xf numFmtId="164" fontId="12" fillId="2" borderId="2" xfId="22" applyNumberFormat="1" applyFont="1" applyFill="1" applyBorder="1" applyAlignment="1">
      <alignment horizontal="right" vertical="center"/>
    </xf>
    <xf numFmtId="164" fontId="20" fillId="2" borderId="1" xfId="1" applyNumberFormat="1" applyFont="1" applyFill="1" applyBorder="1" applyAlignment="1">
      <alignment horizontal="right" vertical="center"/>
    </xf>
    <xf numFmtId="164" fontId="20" fillId="2" borderId="2" xfId="1" applyNumberFormat="1" applyFont="1" applyFill="1" applyBorder="1" applyAlignment="1">
      <alignment horizontal="right" vertical="center"/>
    </xf>
    <xf numFmtId="3" fontId="17" fillId="2" borderId="1" xfId="2" applyNumberFormat="1" applyFont="1" applyFill="1" applyAlignment="1">
      <alignment horizontal="center" vertical="center" readingOrder="2"/>
    </xf>
    <xf numFmtId="3" fontId="18" fillId="2" borderId="2" xfId="2" applyNumberFormat="1" applyFont="1" applyFill="1" applyBorder="1" applyAlignment="1">
      <alignment horizontal="center" vertical="center"/>
    </xf>
    <xf numFmtId="167" fontId="20" fillId="2" borderId="1" xfId="3" applyNumberFormat="1" applyFont="1" applyFill="1" applyAlignment="1">
      <alignment horizontal="center" vertical="center" wrapText="1"/>
    </xf>
    <xf numFmtId="167" fontId="20" fillId="2" borderId="3" xfId="3" applyNumberFormat="1" applyFont="1" applyFill="1" applyBorder="1" applyAlignment="1">
      <alignment horizontal="right" vertical="center" wrapText="1"/>
    </xf>
    <xf numFmtId="167" fontId="20" fillId="2" borderId="4" xfId="3" applyNumberFormat="1" applyFont="1" applyFill="1" applyBorder="1" applyAlignment="1">
      <alignment horizontal="right" vertical="center" wrapText="1"/>
    </xf>
    <xf numFmtId="0" fontId="16" fillId="2" borderId="4" xfId="0" applyFont="1" applyFill="1" applyBorder="1" applyAlignment="1">
      <alignment horizontal="right"/>
    </xf>
    <xf numFmtId="0" fontId="16" fillId="2" borderId="4" xfId="0" applyFont="1" applyFill="1" applyBorder="1" applyAlignment="1">
      <alignment horizontal="right" wrapText="1"/>
    </xf>
    <xf numFmtId="3" fontId="18" fillId="2" borderId="1" xfId="2" applyNumberFormat="1" applyFont="1" applyFill="1" applyAlignment="1">
      <alignment horizontal="center" vertical="center"/>
    </xf>
    <xf numFmtId="167" fontId="20" fillId="2" borderId="1" xfId="3" applyNumberFormat="1" applyFont="1" applyFill="1" applyAlignment="1">
      <alignment horizontal="right" vertical="center" wrapText="1"/>
    </xf>
    <xf numFmtId="0" fontId="16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right" wrapText="1"/>
    </xf>
  </cellXfs>
  <cellStyles count="23">
    <cellStyle name="Comma" xfId="1" builtinId="3"/>
    <cellStyle name="Comma 23" xfId="8" xr:uid="{00000000-0005-0000-0000-000001000000}"/>
    <cellStyle name="Comma 3" xfId="7" xr:uid="{00000000-0005-0000-0000-000002000000}"/>
    <cellStyle name="Normal" xfId="0" builtinId="0"/>
    <cellStyle name="Normal 10" xfId="13" xr:uid="{00000000-0005-0000-0000-000004000000}"/>
    <cellStyle name="Normal 12" xfId="6" xr:uid="{00000000-0005-0000-0000-000005000000}"/>
    <cellStyle name="Normal 2" xfId="3" xr:uid="{00000000-0005-0000-0000-000006000000}"/>
    <cellStyle name="Normal 25" xfId="17" xr:uid="{00000000-0005-0000-0000-000007000000}"/>
    <cellStyle name="Normal 3" xfId="10" xr:uid="{00000000-0005-0000-0000-000008000000}"/>
    <cellStyle name="Normal 3 2" xfId="4" xr:uid="{00000000-0005-0000-0000-000009000000}"/>
    <cellStyle name="Normal 30" xfId="12" xr:uid="{00000000-0005-0000-0000-00000A000000}"/>
    <cellStyle name="Normal 30 2" xfId="18" xr:uid="{8CB7D01C-DD85-496B-BD11-D1776558F3C4}"/>
    <cellStyle name="Normal 39" xfId="19" xr:uid="{972F4BFA-9C5F-4CF5-816F-EC252FFDB201}"/>
    <cellStyle name="Normal 4" xfId="11" xr:uid="{00000000-0005-0000-0000-00000B000000}"/>
    <cellStyle name="Normal 40" xfId="20" xr:uid="{0613AE2C-83BE-4A4F-B0CC-2949951A75EC}"/>
    <cellStyle name="Normal 41" xfId="21" xr:uid="{425B46FD-B8A3-4FE6-AAF2-306F2E07F751}"/>
    <cellStyle name="Normal 44" xfId="22" xr:uid="{6C5CDDC4-C000-432D-BE85-6FFEDE896A02}"/>
    <cellStyle name="Normal 54" xfId="14" xr:uid="{00000000-0005-0000-0000-00000C000000}"/>
    <cellStyle name="Normal 58" xfId="16" xr:uid="{00000000-0005-0000-0000-00000D000000}"/>
    <cellStyle name="Normal 59" xfId="15" xr:uid="{00000000-0005-0000-0000-00000E000000}"/>
    <cellStyle name="Normal 8" xfId="9" xr:uid="{00000000-0005-0000-0000-00000F000000}"/>
    <cellStyle name="Normal_3 Population." xfId="5" xr:uid="{00000000-0005-0000-0000-000010000000}"/>
    <cellStyle name="Normal_II-15(Population) 2" xfId="2" xr:uid="{00000000-0005-0000-0000-00001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244929236964078E-2"/>
          <c:y val="0.1657713576619172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'18.20'!$AA$42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'18.20'!$AB$35:$AG$35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'18.20'!$AB$42:$AG$42</c:f>
              <c:numCache>
                <c:formatCode>#,##0.0</c:formatCode>
                <c:ptCount val="6"/>
                <c:pt idx="0">
                  <c:v>2014.6697900487004</c:v>
                </c:pt>
                <c:pt idx="1">
                  <c:v>55.476999999999997</c:v>
                </c:pt>
                <c:pt idx="2">
                  <c:v>2.4664999999999999</c:v>
                </c:pt>
                <c:pt idx="3">
                  <c:v>79.889650350000011</c:v>
                </c:pt>
                <c:pt idx="4">
                  <c:v>209.578</c:v>
                </c:pt>
                <c:pt idx="5">
                  <c:v>0.24712000000000001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6-4BEC-BEBF-B4EAB5ED1465}"/>
            </c:ext>
          </c:extLst>
        </c:ser>
        <c:ser>
          <c:idx val="3"/>
          <c:order val="3"/>
          <c:tx>
            <c:strRef>
              <c:f>'18.20'!$AA$43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FFA3A3"/>
            </a:solidFill>
          </c:spPr>
          <c:invertIfNegative val="0"/>
          <c:cat>
            <c:strRef>
              <c:f>'18.20'!$AB$35:$AG$35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'18.20'!$AB$43:$AG$43</c:f>
              <c:numCache>
                <c:formatCode>#,##0.0</c:formatCode>
                <c:ptCount val="6"/>
                <c:pt idx="0">
                  <c:v>2282.6369129889999</c:v>
                </c:pt>
                <c:pt idx="1">
                  <c:v>62.633000000000003</c:v>
                </c:pt>
                <c:pt idx="2">
                  <c:v>2.4540000000000002</c:v>
                </c:pt>
                <c:pt idx="3">
                  <c:v>135.76926987000004</c:v>
                </c:pt>
                <c:pt idx="4">
                  <c:v>223.17400000000001</c:v>
                </c:pt>
                <c:pt idx="5">
                  <c:v>0.26347999999999999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5-4965-A13E-6539D552E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83848"/>
        <c:axId val="402977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'18.20'!$AA$40</c15:sqref>
                        </c15:formulaRef>
                      </c:ext>
                    </c:extLst>
                    <c:strCache>
                      <c:ptCount val="1"/>
                      <c:pt idx="0">
                        <c:v>2018 </c:v>
                      </c:pt>
                    </c:strCache>
                  </c:strRef>
                </c:tx>
                <c:spPr>
                  <a:solidFill>
                    <a:srgbClr val="33CCCC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'18.20'!$AB$35:$AG$35</c15:sqref>
                        </c15:formulaRef>
                      </c:ext>
                    </c:extLst>
                    <c:strCache>
                      <c:ptCount val="6"/>
                      <c:pt idx="0">
                        <c:v>AASANDHA</c:v>
                      </c:pt>
                      <c:pt idx="1">
                        <c:v> SINGLE PARENT ALLOWANCE</c:v>
                      </c:pt>
                      <c:pt idx="2">
                        <c:v>FOSTER PARENT ALLOWANCE</c:v>
                      </c:pt>
                      <c:pt idx="3">
                        <c:v>EMERGENCY MEDICAL WELFARE </c:v>
                      </c:pt>
                      <c:pt idx="4">
                        <c:v>DISABILITY ALLOWANCE</c:v>
                      </c:pt>
                      <c:pt idx="5">
                        <c:v>FOOD SUBSIDY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'18.20'!$AB$40:$AG$40</c15:sqref>
                        </c15:formulaRef>
                      </c:ext>
                    </c:extLst>
                    <c:numCache>
                      <c:formatCode>#,##0.0</c:formatCode>
                      <c:ptCount val="6"/>
                      <c:pt idx="0">
                        <c:v>2164.6724409019994</c:v>
                      </c:pt>
                      <c:pt idx="1">
                        <c:v>51.465000000000003</c:v>
                      </c:pt>
                      <c:pt idx="2">
                        <c:v>2.3860000000000001</c:v>
                      </c:pt>
                      <c:pt idx="3">
                        <c:v>70.17912204000001</c:v>
                      </c:pt>
                      <c:pt idx="4">
                        <c:v>176.68799999999999</c:v>
                      </c:pt>
                      <c:pt idx="5">
                        <c:v>0.22900000000000001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F96-4BEC-BEBF-B4EAB5ED146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'18.20'!$AA$41</c15:sqref>
                        </c15:formulaRef>
                      </c:ext>
                    </c:extLst>
                    <c:strCache>
                      <c:ptCount val="1"/>
                      <c:pt idx="0">
                        <c:v>2019 </c:v>
                      </c:pt>
                    </c:strCache>
                  </c:strRef>
                </c:tx>
                <c:spPr>
                  <a:solidFill>
                    <a:srgbClr val="FF9900"/>
                  </a:solidFill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'18.20'!$AB$35:$AG$35</c15:sqref>
                        </c15:formulaRef>
                      </c:ext>
                    </c:extLst>
                    <c:strCache>
                      <c:ptCount val="6"/>
                      <c:pt idx="0">
                        <c:v>AASANDHA</c:v>
                      </c:pt>
                      <c:pt idx="1">
                        <c:v> SINGLE PARENT ALLOWANCE</c:v>
                      </c:pt>
                      <c:pt idx="2">
                        <c:v>FOSTER PARENT ALLOWANCE</c:v>
                      </c:pt>
                      <c:pt idx="3">
                        <c:v>EMERGENCY MEDICAL WELFARE </c:v>
                      </c:pt>
                      <c:pt idx="4">
                        <c:v>DISABILITY ALLOWANCE</c:v>
                      </c:pt>
                      <c:pt idx="5">
                        <c:v>FOOD SUBSIDY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'18.20'!$AB$41:$AG$41</c15:sqref>
                        </c15:formulaRef>
                      </c:ext>
                    </c:extLst>
                    <c:numCache>
                      <c:formatCode>#,##0.0</c:formatCode>
                      <c:ptCount val="6"/>
                      <c:pt idx="0">
                        <c:v>2433.7169521483997</c:v>
                      </c:pt>
                      <c:pt idx="1">
                        <c:v>48.906999999999996</c:v>
                      </c:pt>
                      <c:pt idx="2">
                        <c:v>2.3624999999999998</c:v>
                      </c:pt>
                      <c:pt idx="3">
                        <c:v>102.49780555999997</c:v>
                      </c:pt>
                      <c:pt idx="4">
                        <c:v>195.91200000000001</c:v>
                      </c:pt>
                      <c:pt idx="5">
                        <c:v>0.23447999999999999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96-4BEC-BEBF-B4EAB5ED1465}"/>
                  </c:ext>
                </c:extLst>
              </c15:ser>
            </c15:filteredBarSeries>
          </c:ext>
        </c:extLst>
      </c:barChart>
      <c:catAx>
        <c:axId val="402983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977184"/>
        <c:crosses val="autoZero"/>
        <c:auto val="1"/>
        <c:lblAlgn val="ctr"/>
        <c:lblOffset val="100"/>
        <c:noMultiLvlLbl val="0"/>
      </c:catAx>
      <c:valAx>
        <c:axId val="402977184"/>
        <c:scaling>
          <c:orientation val="minMax"/>
          <c:max val="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4029838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12587759096545742"/>
          <c:h val="4.4993917091308365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803672</xdr:colOff>
      <xdr:row>21</xdr:row>
      <xdr:rowOff>12301</xdr:rowOff>
    </xdr:from>
    <xdr:to>
      <xdr:col>7</xdr:col>
      <xdr:colOff>734218</xdr:colOff>
      <xdr:row>22</xdr:row>
      <xdr:rowOff>119061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/>
      </xdr:nvSpPr>
      <xdr:spPr>
        <a:xfrm>
          <a:off x="1527969" y="5360192"/>
          <a:ext cx="6786562" cy="325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2020 - 2021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AJ44"/>
  <sheetViews>
    <sheetView tabSelected="1" topLeftCell="D1" zoomScale="96" zoomScaleNormal="96" workbookViewId="0">
      <selection activeCell="L1" sqref="L1:P1048576"/>
    </sheetView>
  </sheetViews>
  <sheetFormatPr defaultColWidth="9.140625" defaultRowHeight="15" x14ac:dyDescent="0.25"/>
  <cols>
    <col min="1" max="1" width="10.85546875" style="3" customWidth="1"/>
    <col min="2" max="2" width="15.85546875" style="3" customWidth="1"/>
    <col min="3" max="3" width="14.140625" style="22" customWidth="1"/>
    <col min="4" max="4" width="16.85546875" style="3" customWidth="1"/>
    <col min="5" max="5" width="17.85546875" style="3" customWidth="1"/>
    <col min="6" max="8" width="19" style="3" customWidth="1"/>
    <col min="9" max="9" width="14.5703125" style="44" customWidth="1"/>
    <col min="10" max="10" width="5.7109375" style="3" customWidth="1"/>
    <col min="11" max="11" width="26.28515625" style="3" bestFit="1" customWidth="1"/>
    <col min="12" max="21" width="26.28515625" style="3" customWidth="1"/>
    <col min="22" max="22" width="13.5703125" style="3" bestFit="1" customWidth="1"/>
    <col min="23" max="23" width="9.42578125" style="3" customWidth="1"/>
    <col min="24" max="27" width="15.28515625" style="3" customWidth="1"/>
    <col min="28" max="32" width="12" style="3" customWidth="1"/>
    <col min="33" max="33" width="10.140625" style="3" customWidth="1"/>
    <col min="34" max="16384" width="9.140625" style="3"/>
  </cols>
  <sheetData>
    <row r="1" spans="1:9" ht="21" x14ac:dyDescent="0.25">
      <c r="A1" s="53" t="s">
        <v>44</v>
      </c>
      <c r="B1" s="53"/>
      <c r="C1" s="53"/>
      <c r="D1" s="53"/>
      <c r="E1" s="53"/>
      <c r="F1" s="53"/>
      <c r="G1" s="53"/>
      <c r="H1" s="53"/>
      <c r="I1" s="53"/>
    </row>
    <row r="2" spans="1:9" x14ac:dyDescent="0.25">
      <c r="A2" s="54" t="s">
        <v>43</v>
      </c>
      <c r="B2" s="54"/>
      <c r="C2" s="54"/>
      <c r="D2" s="54"/>
      <c r="E2" s="54"/>
      <c r="F2" s="54"/>
      <c r="G2" s="54"/>
      <c r="H2" s="54"/>
      <c r="I2" s="54"/>
    </row>
    <row r="3" spans="1:9" ht="15" customHeight="1" x14ac:dyDescent="0.25">
      <c r="A3" s="4"/>
      <c r="B3" s="55" t="s">
        <v>23</v>
      </c>
      <c r="C3" s="56" t="s">
        <v>24</v>
      </c>
      <c r="D3" s="56" t="s">
        <v>25</v>
      </c>
      <c r="E3" s="56" t="s">
        <v>26</v>
      </c>
      <c r="F3" s="56" t="s">
        <v>27</v>
      </c>
      <c r="G3" s="56" t="s">
        <v>21</v>
      </c>
      <c r="H3" s="56" t="s">
        <v>28</v>
      </c>
      <c r="I3" s="47"/>
    </row>
    <row r="4" spans="1:9" ht="18.75" x14ac:dyDescent="0.25">
      <c r="A4" s="5" t="s">
        <v>0</v>
      </c>
      <c r="B4" s="55"/>
      <c r="C4" s="57"/>
      <c r="D4" s="57"/>
      <c r="E4" s="57"/>
      <c r="F4" s="58"/>
      <c r="G4" s="59"/>
      <c r="H4" s="59"/>
      <c r="I4" s="6" t="s">
        <v>1</v>
      </c>
    </row>
    <row r="5" spans="1:9" ht="56.25" x14ac:dyDescent="0.25">
      <c r="A5" s="7"/>
      <c r="B5" s="55"/>
      <c r="C5" s="8" t="s">
        <v>22</v>
      </c>
      <c r="D5" s="8" t="s">
        <v>29</v>
      </c>
      <c r="E5" s="8" t="s">
        <v>15</v>
      </c>
      <c r="F5" s="9" t="s">
        <v>16</v>
      </c>
      <c r="G5" s="8" t="s">
        <v>17</v>
      </c>
      <c r="H5" s="10" t="s">
        <v>18</v>
      </c>
      <c r="I5" s="11"/>
    </row>
    <row r="6" spans="1:9" ht="18.75" x14ac:dyDescent="0.25">
      <c r="A6" s="12" t="s">
        <v>3</v>
      </c>
      <c r="B6" s="13">
        <f>SUM(B7:B18)</f>
        <v>2706930662.8589997</v>
      </c>
      <c r="C6" s="14">
        <f>SUM(C7:C18)</f>
        <v>2282636912.9889998</v>
      </c>
      <c r="D6" s="14">
        <f t="shared" ref="D6:H6" si="0">SUM(D7:D18)</f>
        <v>62633000</v>
      </c>
      <c r="E6" s="14">
        <f t="shared" si="0"/>
        <v>2454000</v>
      </c>
      <c r="F6" s="14">
        <f t="shared" si="0"/>
        <v>135769269.87000003</v>
      </c>
      <c r="G6" s="14">
        <f t="shared" si="0"/>
        <v>223174000</v>
      </c>
      <c r="H6" s="14">
        <f t="shared" si="0"/>
        <v>263480</v>
      </c>
      <c r="I6" s="17" t="s">
        <v>2</v>
      </c>
    </row>
    <row r="7" spans="1:9" ht="18.75" x14ac:dyDescent="0.25">
      <c r="A7" s="18" t="s">
        <v>30</v>
      </c>
      <c r="B7" s="51">
        <f>SUM(C7:H7)</f>
        <v>235086528.62090001</v>
      </c>
      <c r="C7" s="46">
        <v>206711666.9709</v>
      </c>
      <c r="D7" s="49">
        <v>5085000</v>
      </c>
      <c r="E7" s="49">
        <v>207000</v>
      </c>
      <c r="F7" s="49">
        <v>5015461.6500000004</v>
      </c>
      <c r="G7" s="49">
        <v>18046000</v>
      </c>
      <c r="H7" s="49">
        <v>21400</v>
      </c>
      <c r="I7" s="19" t="s">
        <v>4</v>
      </c>
    </row>
    <row r="8" spans="1:9" ht="18.75" x14ac:dyDescent="0.25">
      <c r="A8" s="18" t="s">
        <v>31</v>
      </c>
      <c r="B8" s="51">
        <f t="shared" ref="B8:B18" si="1">SUM(C8:H8)</f>
        <v>210014214.3592</v>
      </c>
      <c r="C8" s="46">
        <v>178179076.80919999</v>
      </c>
      <c r="D8" s="49">
        <v>5119000</v>
      </c>
      <c r="E8" s="49">
        <v>208500</v>
      </c>
      <c r="F8" s="49">
        <v>8303997.5500000007</v>
      </c>
      <c r="G8" s="49">
        <v>18182000</v>
      </c>
      <c r="H8" s="49">
        <v>21640</v>
      </c>
      <c r="I8" s="19" t="s">
        <v>5</v>
      </c>
    </row>
    <row r="9" spans="1:9" ht="18.75" x14ac:dyDescent="0.25">
      <c r="A9" s="18" t="s">
        <v>32</v>
      </c>
      <c r="B9" s="51">
        <f t="shared" si="1"/>
        <v>256685150.31479999</v>
      </c>
      <c r="C9" s="46">
        <v>221744995.47479999</v>
      </c>
      <c r="D9" s="49">
        <v>5170000</v>
      </c>
      <c r="E9" s="49">
        <v>210000</v>
      </c>
      <c r="F9" s="49">
        <v>11196514.84</v>
      </c>
      <c r="G9" s="49">
        <v>18342000</v>
      </c>
      <c r="H9" s="49">
        <v>21640</v>
      </c>
      <c r="I9" s="19" t="s">
        <v>33</v>
      </c>
    </row>
    <row r="10" spans="1:9" ht="18.75" x14ac:dyDescent="0.25">
      <c r="A10" s="18" t="s">
        <v>34</v>
      </c>
      <c r="B10" s="51">
        <f t="shared" si="1"/>
        <v>203465325.93559998</v>
      </c>
      <c r="C10" s="46">
        <v>172439513.2956</v>
      </c>
      <c r="D10" s="49">
        <v>5205000</v>
      </c>
      <c r="E10" s="49">
        <v>207000</v>
      </c>
      <c r="F10" s="49">
        <v>7204172.6400000006</v>
      </c>
      <c r="G10" s="49">
        <v>18388000</v>
      </c>
      <c r="H10" s="49">
        <v>21640</v>
      </c>
      <c r="I10" s="19" t="s">
        <v>35</v>
      </c>
    </row>
    <row r="11" spans="1:9" ht="18.75" x14ac:dyDescent="0.25">
      <c r="A11" s="18" t="s">
        <v>6</v>
      </c>
      <c r="B11" s="51">
        <f t="shared" si="1"/>
        <v>158171728.15690002</v>
      </c>
      <c r="C11" s="46">
        <v>123018652.75690001</v>
      </c>
      <c r="D11" s="49">
        <v>5204000</v>
      </c>
      <c r="E11" s="49">
        <v>209000</v>
      </c>
      <c r="F11" s="49">
        <v>11240435.400000013</v>
      </c>
      <c r="G11" s="49">
        <v>18478000</v>
      </c>
      <c r="H11" s="49">
        <v>21640</v>
      </c>
      <c r="I11" s="19" t="s">
        <v>7</v>
      </c>
    </row>
    <row r="12" spans="1:9" ht="18.75" x14ac:dyDescent="0.25">
      <c r="A12" s="18" t="s">
        <v>36</v>
      </c>
      <c r="B12" s="51">
        <f t="shared" si="1"/>
        <v>177049017.7511</v>
      </c>
      <c r="C12" s="46">
        <v>149116578.3811</v>
      </c>
      <c r="D12" s="49">
        <v>5227000</v>
      </c>
      <c r="E12" s="49">
        <v>206000</v>
      </c>
      <c r="F12" s="49">
        <v>3953559.37</v>
      </c>
      <c r="G12" s="49">
        <v>18524000</v>
      </c>
      <c r="H12" s="49">
        <v>21880</v>
      </c>
      <c r="I12" s="19" t="s">
        <v>8</v>
      </c>
    </row>
    <row r="13" spans="1:9" ht="18.75" x14ac:dyDescent="0.25">
      <c r="A13" s="18" t="s">
        <v>37</v>
      </c>
      <c r="B13" s="51">
        <f t="shared" si="1"/>
        <v>195535787.72260001</v>
      </c>
      <c r="C13" s="46">
        <v>161790835.37260002</v>
      </c>
      <c r="D13" s="49">
        <v>5218000</v>
      </c>
      <c r="E13" s="49">
        <v>204500</v>
      </c>
      <c r="F13" s="49">
        <v>9696372.3499999996</v>
      </c>
      <c r="G13" s="49">
        <v>18604000</v>
      </c>
      <c r="H13" s="49">
        <v>22080</v>
      </c>
      <c r="I13" s="19" t="s">
        <v>9</v>
      </c>
    </row>
    <row r="14" spans="1:9" ht="18.75" x14ac:dyDescent="0.25">
      <c r="A14" s="18" t="s">
        <v>38</v>
      </c>
      <c r="B14" s="51">
        <f t="shared" si="1"/>
        <v>226916257.09299999</v>
      </c>
      <c r="C14" s="46">
        <v>189901249.10299999</v>
      </c>
      <c r="D14" s="49">
        <v>5234000</v>
      </c>
      <c r="E14" s="49">
        <v>203500</v>
      </c>
      <c r="F14" s="49">
        <v>12887427.990000006</v>
      </c>
      <c r="G14" s="49">
        <v>18668000</v>
      </c>
      <c r="H14" s="49">
        <v>22080</v>
      </c>
      <c r="I14" s="19" t="s">
        <v>10</v>
      </c>
    </row>
    <row r="15" spans="1:9" ht="18.75" x14ac:dyDescent="0.25">
      <c r="A15" s="18" t="s">
        <v>39</v>
      </c>
      <c r="B15" s="51">
        <f t="shared" si="1"/>
        <v>254800836.53780001</v>
      </c>
      <c r="C15" s="46">
        <v>210898462.89780003</v>
      </c>
      <c r="D15" s="49">
        <v>5310000</v>
      </c>
      <c r="E15" s="49">
        <v>204000</v>
      </c>
      <c r="F15" s="49">
        <v>19604213.640000001</v>
      </c>
      <c r="G15" s="49">
        <v>18762000</v>
      </c>
      <c r="H15" s="49">
        <v>22160</v>
      </c>
      <c r="I15" s="19" t="s">
        <v>11</v>
      </c>
    </row>
    <row r="16" spans="1:9" ht="18.75" x14ac:dyDescent="0.25">
      <c r="A16" s="18" t="s">
        <v>40</v>
      </c>
      <c r="B16" s="51">
        <f t="shared" si="1"/>
        <v>252420235.85240003</v>
      </c>
      <c r="C16" s="46">
        <v>218306102.36240003</v>
      </c>
      <c r="D16" s="49">
        <v>5295000</v>
      </c>
      <c r="E16" s="49">
        <v>198500</v>
      </c>
      <c r="F16" s="49">
        <v>9710433.4900000039</v>
      </c>
      <c r="G16" s="49">
        <v>18888000</v>
      </c>
      <c r="H16" s="49">
        <v>22200</v>
      </c>
      <c r="I16" s="19" t="s">
        <v>12</v>
      </c>
    </row>
    <row r="17" spans="1:36" ht="18.75" x14ac:dyDescent="0.25">
      <c r="A17" s="18" t="s">
        <v>41</v>
      </c>
      <c r="B17" s="51">
        <f t="shared" si="1"/>
        <v>250913896.59780002</v>
      </c>
      <c r="C17" s="46">
        <v>213211576.66780001</v>
      </c>
      <c r="D17" s="49">
        <v>5283000</v>
      </c>
      <c r="E17" s="49">
        <v>197500</v>
      </c>
      <c r="F17" s="49">
        <v>13169379.930000002</v>
      </c>
      <c r="G17" s="49">
        <v>19030000</v>
      </c>
      <c r="H17" s="49">
        <v>22440</v>
      </c>
      <c r="I17" s="19" t="s">
        <v>13</v>
      </c>
    </row>
    <row r="18" spans="1:36" ht="18.75" x14ac:dyDescent="0.25">
      <c r="A18" s="20" t="s">
        <v>42</v>
      </c>
      <c r="B18" s="52">
        <f t="shared" si="1"/>
        <v>285871683.91690004</v>
      </c>
      <c r="C18" s="45">
        <v>237318202.8969</v>
      </c>
      <c r="D18" s="50">
        <v>5283000</v>
      </c>
      <c r="E18" s="50">
        <v>198500</v>
      </c>
      <c r="F18" s="50">
        <v>23787301.020000003</v>
      </c>
      <c r="G18" s="50">
        <v>19262000</v>
      </c>
      <c r="H18" s="50">
        <v>22680</v>
      </c>
      <c r="I18" s="21" t="s">
        <v>14</v>
      </c>
    </row>
    <row r="19" spans="1:36" ht="17.25" x14ac:dyDescent="0.25">
      <c r="A19" s="1" t="s">
        <v>19</v>
      </c>
      <c r="G19" s="2"/>
      <c r="H19" s="2"/>
      <c r="I19" s="2" t="s">
        <v>20</v>
      </c>
    </row>
    <row r="20" spans="1:36" ht="17.25" x14ac:dyDescent="0.25">
      <c r="A20" s="1"/>
      <c r="G20" s="2"/>
      <c r="H20" s="2"/>
      <c r="I20" s="2"/>
    </row>
    <row r="21" spans="1:36" ht="17.25" x14ac:dyDescent="0.25">
      <c r="A21" s="1"/>
      <c r="G21" s="2"/>
      <c r="H21" s="2"/>
      <c r="I21" s="2"/>
    </row>
    <row r="22" spans="1:36" ht="17.25" x14ac:dyDescent="0.25">
      <c r="A22" s="1"/>
      <c r="G22" s="2"/>
      <c r="H22" s="2"/>
      <c r="I22" s="2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 ht="17.25" x14ac:dyDescent="0.25">
      <c r="A23" s="1"/>
      <c r="B23" s="24"/>
      <c r="C23" s="25"/>
      <c r="D23" s="24"/>
      <c r="E23" s="24"/>
      <c r="F23" s="24"/>
      <c r="G23" s="2"/>
      <c r="H23" s="2"/>
      <c r="I23" s="2"/>
      <c r="J23" s="24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 s="26" customFormat="1" ht="21" x14ac:dyDescent="0.25">
      <c r="A24" s="53"/>
      <c r="B24" s="53"/>
      <c r="C24" s="53"/>
      <c r="D24" s="53"/>
      <c r="E24" s="53"/>
      <c r="F24" s="53"/>
      <c r="G24" s="53"/>
      <c r="H24" s="53"/>
      <c r="I24" s="5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 s="26" customFormat="1" ht="15" customHeight="1" x14ac:dyDescent="0.25">
      <c r="A25" s="60"/>
      <c r="B25" s="60"/>
      <c r="C25" s="60"/>
      <c r="D25" s="60"/>
      <c r="E25" s="60"/>
      <c r="F25" s="60"/>
      <c r="G25" s="60"/>
      <c r="H25" s="60"/>
      <c r="I25" s="6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AA25" s="23"/>
      <c r="AB25" s="27" t="s">
        <v>24</v>
      </c>
      <c r="AC25" s="27" t="s">
        <v>25</v>
      </c>
      <c r="AD25" s="27" t="s">
        <v>26</v>
      </c>
      <c r="AE25" s="27" t="s">
        <v>27</v>
      </c>
      <c r="AF25" s="27" t="s">
        <v>21</v>
      </c>
      <c r="AG25" s="28" t="s">
        <v>28</v>
      </c>
      <c r="AH25" s="23"/>
      <c r="AI25" s="23"/>
      <c r="AJ25" s="23"/>
    </row>
    <row r="26" spans="1:36" s="30" customFormat="1" ht="12.75" x14ac:dyDescent="0.2">
      <c r="A26" s="4"/>
      <c r="B26" s="55"/>
      <c r="C26" s="61"/>
      <c r="D26" s="61"/>
      <c r="E26" s="61"/>
      <c r="F26" s="61"/>
      <c r="G26" s="61"/>
      <c r="H26" s="47"/>
      <c r="I26" s="47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AA26" s="23">
        <v>2014</v>
      </c>
      <c r="AB26" s="23">
        <v>1400609841.9112999</v>
      </c>
      <c r="AC26" s="23">
        <v>62871000</v>
      </c>
      <c r="AD26" s="23">
        <v>2464500</v>
      </c>
      <c r="AE26" s="23">
        <v>51002563.189999998</v>
      </c>
      <c r="AF26" s="23">
        <v>154048000</v>
      </c>
      <c r="AG26" s="31"/>
      <c r="AH26" s="23"/>
      <c r="AI26" s="23"/>
      <c r="AJ26" s="23"/>
    </row>
    <row r="27" spans="1:36" s="29" customFormat="1" ht="18.75" x14ac:dyDescent="0.2">
      <c r="A27" s="5"/>
      <c r="B27" s="55"/>
      <c r="C27" s="61"/>
      <c r="D27" s="61"/>
      <c r="E27" s="61"/>
      <c r="F27" s="62"/>
      <c r="G27" s="63"/>
      <c r="H27" s="48"/>
      <c r="I27" s="6"/>
      <c r="AA27" s="23">
        <v>2015</v>
      </c>
      <c r="AB27" s="23">
        <v>1063054680.1289001</v>
      </c>
      <c r="AC27" s="23">
        <v>70378000</v>
      </c>
      <c r="AD27" s="23">
        <v>1807000</v>
      </c>
      <c r="AE27" s="23">
        <v>35665347.009999998</v>
      </c>
      <c r="AF27" s="23">
        <v>127918000</v>
      </c>
      <c r="AG27" s="23"/>
      <c r="AH27" s="23"/>
      <c r="AI27" s="23"/>
      <c r="AJ27" s="23"/>
    </row>
    <row r="28" spans="1:36" ht="18.75" x14ac:dyDescent="0.25">
      <c r="A28" s="7"/>
      <c r="B28" s="55"/>
      <c r="C28" s="32"/>
      <c r="D28" s="32"/>
      <c r="E28" s="32"/>
      <c r="F28" s="33"/>
      <c r="G28" s="32"/>
      <c r="H28" s="32"/>
      <c r="I28" s="11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AA28" s="23">
        <v>2016</v>
      </c>
      <c r="AB28" s="3">
        <v>1675199186.7771001</v>
      </c>
      <c r="AC28" s="3">
        <v>58122000</v>
      </c>
      <c r="AD28" s="3">
        <v>2416000</v>
      </c>
      <c r="AE28" s="3">
        <v>75254785.549999997</v>
      </c>
      <c r="AF28" s="3">
        <v>155797000</v>
      </c>
      <c r="AG28" s="23">
        <v>34800</v>
      </c>
      <c r="AH28" s="23"/>
      <c r="AI28" s="23"/>
      <c r="AJ28" s="23"/>
    </row>
    <row r="29" spans="1:36" s="23" customFormat="1" ht="18.75" x14ac:dyDescent="0.2">
      <c r="A29" s="7"/>
      <c r="B29" s="34"/>
      <c r="C29" s="14"/>
      <c r="D29" s="14"/>
      <c r="E29" s="15"/>
      <c r="F29" s="15"/>
      <c r="G29" s="16"/>
      <c r="H29" s="16"/>
      <c r="I29" s="19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AA29" s="23">
        <v>2017</v>
      </c>
      <c r="AB29" s="23">
        <v>1797290685.4338</v>
      </c>
      <c r="AC29" s="23">
        <v>55411000</v>
      </c>
      <c r="AD29" s="23">
        <v>2330000</v>
      </c>
      <c r="AE29" s="23">
        <v>55406665.420000002</v>
      </c>
      <c r="AF29" s="23">
        <v>161688000</v>
      </c>
      <c r="AG29" s="23">
        <v>225080</v>
      </c>
    </row>
    <row r="30" spans="1:36" s="23" customFormat="1" ht="18.75" x14ac:dyDescent="0.25">
      <c r="A30" s="18"/>
      <c r="B30" s="36"/>
      <c r="C30" s="37"/>
      <c r="D30" s="37"/>
      <c r="E30" s="38"/>
      <c r="F30" s="38"/>
      <c r="G30" s="39"/>
      <c r="H30" s="39"/>
      <c r="I30" s="19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AA30" s="23">
        <v>2018</v>
      </c>
      <c r="AB30" s="3">
        <v>2164672440.9019995</v>
      </c>
      <c r="AC30" s="3">
        <v>51465000</v>
      </c>
      <c r="AD30" s="3">
        <v>2386000</v>
      </c>
      <c r="AE30" s="3">
        <v>70179122.040000007</v>
      </c>
      <c r="AF30" s="3">
        <v>176688000</v>
      </c>
      <c r="AG30" s="3">
        <v>229000</v>
      </c>
    </row>
    <row r="31" spans="1:36" s="23" customFormat="1" ht="18.75" x14ac:dyDescent="0.2">
      <c r="A31" s="18"/>
      <c r="B31" s="36"/>
      <c r="C31" s="37"/>
      <c r="D31" s="37"/>
      <c r="E31" s="39"/>
      <c r="F31" s="38"/>
      <c r="G31" s="37"/>
      <c r="H31" s="37"/>
      <c r="I31" s="19"/>
      <c r="J31" s="35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14"/>
      <c r="AA31" s="23">
        <v>2019</v>
      </c>
      <c r="AB31" s="23">
        <v>2433716952.1483998</v>
      </c>
      <c r="AC31" s="23">
        <v>48907000</v>
      </c>
      <c r="AD31" s="23">
        <v>2362500</v>
      </c>
      <c r="AE31" s="23">
        <v>102497805.55999997</v>
      </c>
      <c r="AF31" s="23">
        <v>195912000</v>
      </c>
      <c r="AG31" s="23">
        <v>234480</v>
      </c>
    </row>
    <row r="32" spans="1:36" s="23" customFormat="1" ht="18.75" x14ac:dyDescent="0.2">
      <c r="A32" s="18"/>
      <c r="B32" s="36"/>
      <c r="C32" s="37"/>
      <c r="D32" s="37"/>
      <c r="E32" s="39"/>
      <c r="F32" s="38"/>
      <c r="G32" s="37"/>
      <c r="H32" s="37"/>
      <c r="I32" s="19"/>
      <c r="J32" s="35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14"/>
      <c r="AA32" s="23">
        <v>2020</v>
      </c>
      <c r="AB32" s="23">
        <v>2014669790.0487003</v>
      </c>
      <c r="AC32" s="23">
        <v>55477000</v>
      </c>
      <c r="AD32" s="23">
        <v>2466500</v>
      </c>
      <c r="AE32" s="23">
        <v>79889650.350000009</v>
      </c>
      <c r="AF32" s="23">
        <v>209578000</v>
      </c>
      <c r="AG32" s="23">
        <v>247120</v>
      </c>
    </row>
    <row r="33" spans="1:34" s="23" customFormat="1" ht="18.75" x14ac:dyDescent="0.2">
      <c r="A33" s="18"/>
      <c r="B33" s="36"/>
      <c r="C33" s="37"/>
      <c r="D33" s="37"/>
      <c r="E33" s="39"/>
      <c r="F33" s="38"/>
      <c r="G33" s="37"/>
      <c r="H33" s="37"/>
      <c r="I33" s="19"/>
      <c r="J33" s="35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15"/>
      <c r="AA33" s="23">
        <v>2021</v>
      </c>
      <c r="AB33" s="23">
        <f>C6</f>
        <v>2282636912.9889998</v>
      </c>
      <c r="AC33" s="23">
        <f>D6</f>
        <v>62633000</v>
      </c>
      <c r="AD33" s="23">
        <f>E6</f>
        <v>2454000</v>
      </c>
      <c r="AE33" s="23">
        <f>F6</f>
        <v>135769269.87000003</v>
      </c>
      <c r="AF33" s="23">
        <f>G6</f>
        <v>223174000</v>
      </c>
      <c r="AG33" s="23">
        <f>H6</f>
        <v>263480</v>
      </c>
    </row>
    <row r="34" spans="1:34" s="23" customFormat="1" ht="18.75" x14ac:dyDescent="0.2">
      <c r="A34" s="18"/>
      <c r="B34" s="36"/>
      <c r="C34" s="37"/>
      <c r="D34" s="37"/>
      <c r="E34" s="39"/>
      <c r="F34" s="38"/>
      <c r="G34" s="37"/>
      <c r="H34" s="37"/>
      <c r="I34" s="19"/>
      <c r="J34" s="35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15"/>
    </row>
    <row r="35" spans="1:34" s="23" customFormat="1" ht="25.5" x14ac:dyDescent="0.2">
      <c r="A35" s="18"/>
      <c r="B35" s="36"/>
      <c r="C35" s="37"/>
      <c r="D35" s="42"/>
      <c r="E35" s="39"/>
      <c r="F35" s="38"/>
      <c r="G35" s="37"/>
      <c r="H35" s="37"/>
      <c r="I35" s="19"/>
      <c r="J35" s="35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16"/>
      <c r="AB35" s="27" t="s">
        <v>24</v>
      </c>
      <c r="AC35" s="27" t="s">
        <v>25</v>
      </c>
      <c r="AD35" s="27" t="s">
        <v>26</v>
      </c>
      <c r="AE35" s="27" t="s">
        <v>27</v>
      </c>
      <c r="AF35" s="27" t="s">
        <v>21</v>
      </c>
      <c r="AG35" s="28" t="s">
        <v>28</v>
      </c>
    </row>
    <row r="36" spans="1:34" s="23" customFormat="1" ht="18.75" x14ac:dyDescent="0.2">
      <c r="A36" s="18"/>
      <c r="B36" s="36"/>
      <c r="C36" s="37"/>
      <c r="D36" s="37"/>
      <c r="E36" s="39"/>
      <c r="F36" s="38"/>
      <c r="G36" s="37"/>
      <c r="H36" s="37"/>
      <c r="I36" s="19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AA36" s="23">
        <v>2014</v>
      </c>
      <c r="AB36" s="41">
        <f t="shared" ref="AB36:AF39" si="2">AB26/1000000</f>
        <v>1400.6098419113</v>
      </c>
      <c r="AC36" s="41">
        <f t="shared" si="2"/>
        <v>62.871000000000002</v>
      </c>
      <c r="AD36" s="41">
        <f t="shared" si="2"/>
        <v>2.4645000000000001</v>
      </c>
      <c r="AE36" s="41">
        <f t="shared" si="2"/>
        <v>51.002563189999996</v>
      </c>
      <c r="AF36" s="41">
        <f t="shared" si="2"/>
        <v>154.048</v>
      </c>
    </row>
    <row r="37" spans="1:34" s="23" customFormat="1" ht="18.75" x14ac:dyDescent="0.2">
      <c r="A37" s="18"/>
      <c r="B37" s="36"/>
      <c r="C37" s="37"/>
      <c r="D37" s="37"/>
      <c r="E37" s="39"/>
      <c r="F37" s="38"/>
      <c r="G37" s="43"/>
      <c r="H37" s="43"/>
      <c r="I37" s="19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AA37" s="23">
        <v>2015</v>
      </c>
      <c r="AB37" s="41">
        <f t="shared" si="2"/>
        <v>1063.0546801289001</v>
      </c>
      <c r="AC37" s="41">
        <f t="shared" si="2"/>
        <v>70.378</v>
      </c>
      <c r="AD37" s="41">
        <f t="shared" si="2"/>
        <v>1.8069999999999999</v>
      </c>
      <c r="AE37" s="41">
        <f t="shared" si="2"/>
        <v>35.665347009999998</v>
      </c>
      <c r="AF37" s="41">
        <f t="shared" si="2"/>
        <v>127.91800000000001</v>
      </c>
    </row>
    <row r="38" spans="1:34" s="23" customFormat="1" ht="18.75" x14ac:dyDescent="0.2">
      <c r="A38" s="18"/>
      <c r="B38" s="36"/>
      <c r="C38" s="37"/>
      <c r="D38" s="37"/>
      <c r="E38" s="39"/>
      <c r="F38" s="38"/>
      <c r="G38" s="37"/>
      <c r="H38" s="37"/>
      <c r="I38" s="19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AA38" s="23">
        <v>2016</v>
      </c>
      <c r="AB38" s="41">
        <f t="shared" si="2"/>
        <v>1675.1991867771001</v>
      </c>
      <c r="AC38" s="41">
        <f t="shared" si="2"/>
        <v>58.122</v>
      </c>
      <c r="AD38" s="41">
        <f t="shared" si="2"/>
        <v>2.4159999999999999</v>
      </c>
      <c r="AE38" s="41">
        <f t="shared" si="2"/>
        <v>75.254785549999994</v>
      </c>
      <c r="AF38" s="41">
        <f t="shared" si="2"/>
        <v>155.797</v>
      </c>
      <c r="AG38" s="41">
        <f>AG28/1000000</f>
        <v>3.4799999999999998E-2</v>
      </c>
    </row>
    <row r="39" spans="1:34" s="23" customFormat="1" ht="18.75" x14ac:dyDescent="0.2">
      <c r="A39" s="18"/>
      <c r="B39" s="36"/>
      <c r="C39" s="37"/>
      <c r="D39" s="37"/>
      <c r="E39" s="39"/>
      <c r="F39" s="38"/>
      <c r="G39" s="37"/>
      <c r="H39" s="37"/>
      <c r="I39" s="19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AA39" s="23">
        <v>2017</v>
      </c>
      <c r="AB39" s="41">
        <f t="shared" si="2"/>
        <v>1797.2906854338</v>
      </c>
      <c r="AC39" s="41">
        <f t="shared" si="2"/>
        <v>55.411000000000001</v>
      </c>
      <c r="AD39" s="41">
        <f t="shared" si="2"/>
        <v>2.33</v>
      </c>
      <c r="AE39" s="41">
        <f t="shared" si="2"/>
        <v>55.406665420000003</v>
      </c>
      <c r="AF39" s="41">
        <f t="shared" si="2"/>
        <v>161.68799999999999</v>
      </c>
      <c r="AG39" s="41">
        <f>AG29/1000000</f>
        <v>0.22508</v>
      </c>
    </row>
    <row r="40" spans="1:34" s="23" customFormat="1" ht="18.75" x14ac:dyDescent="0.2">
      <c r="A40" s="18"/>
      <c r="B40" s="36"/>
      <c r="C40" s="37"/>
      <c r="D40" s="37"/>
      <c r="E40" s="39"/>
      <c r="F40" s="38"/>
      <c r="G40" s="37"/>
      <c r="H40" s="37"/>
      <c r="I40" s="19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AA40" s="23">
        <v>2018</v>
      </c>
      <c r="AB40" s="41">
        <f>AB30/1000000</f>
        <v>2164.6724409019994</v>
      </c>
      <c r="AC40" s="41">
        <f t="shared" ref="AC40:AG40" si="3">AC30/1000000</f>
        <v>51.465000000000003</v>
      </c>
      <c r="AD40" s="41">
        <f t="shared" si="3"/>
        <v>2.3860000000000001</v>
      </c>
      <c r="AE40" s="41">
        <f t="shared" si="3"/>
        <v>70.17912204000001</v>
      </c>
      <c r="AF40" s="41">
        <f t="shared" si="3"/>
        <v>176.68799999999999</v>
      </c>
      <c r="AG40" s="41">
        <f t="shared" si="3"/>
        <v>0.22900000000000001</v>
      </c>
    </row>
    <row r="41" spans="1:34" s="23" customFormat="1" ht="18.75" x14ac:dyDescent="0.2">
      <c r="A41" s="18"/>
      <c r="B41" s="36"/>
      <c r="C41" s="37"/>
      <c r="D41" s="37"/>
      <c r="E41" s="42"/>
      <c r="F41" s="38"/>
      <c r="G41" s="42"/>
      <c r="H41" s="42"/>
      <c r="I41" s="19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AA41" s="23">
        <v>2019</v>
      </c>
      <c r="AB41" s="41">
        <f>AB31/1000000</f>
        <v>2433.7169521483997</v>
      </c>
      <c r="AC41" s="41">
        <f t="shared" ref="AC41:AG41" si="4">AC31/1000000</f>
        <v>48.906999999999996</v>
      </c>
      <c r="AD41" s="41">
        <f t="shared" si="4"/>
        <v>2.3624999999999998</v>
      </c>
      <c r="AE41" s="41">
        <f t="shared" si="4"/>
        <v>102.49780555999997</v>
      </c>
      <c r="AF41" s="41">
        <f t="shared" si="4"/>
        <v>195.91200000000001</v>
      </c>
      <c r="AG41" s="41">
        <f t="shared" si="4"/>
        <v>0.23447999999999999</v>
      </c>
    </row>
    <row r="42" spans="1:34" ht="17.25" x14ac:dyDescent="0.25">
      <c r="A42" s="1"/>
      <c r="B42" s="24"/>
      <c r="C42" s="25"/>
      <c r="D42" s="24"/>
      <c r="E42" s="24"/>
      <c r="F42" s="24"/>
      <c r="G42" s="2"/>
      <c r="H42" s="2"/>
      <c r="I42" s="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AA42" s="23">
        <v>2020</v>
      </c>
      <c r="AB42" s="41">
        <f>AB32/1000000</f>
        <v>2014.6697900487004</v>
      </c>
      <c r="AC42" s="41">
        <f t="shared" ref="AC42:AG42" si="5">AC32/1000000</f>
        <v>55.476999999999997</v>
      </c>
      <c r="AD42" s="41">
        <f t="shared" si="5"/>
        <v>2.4664999999999999</v>
      </c>
      <c r="AE42" s="41">
        <f>AE32/1000000</f>
        <v>79.889650350000011</v>
      </c>
      <c r="AF42" s="41">
        <f t="shared" si="5"/>
        <v>209.578</v>
      </c>
      <c r="AG42" s="41">
        <f t="shared" si="5"/>
        <v>0.24712000000000001</v>
      </c>
      <c r="AH42" s="23"/>
    </row>
    <row r="43" spans="1:34" ht="17.25" x14ac:dyDescent="0.25">
      <c r="A43" s="1"/>
      <c r="B43" s="24"/>
      <c r="C43" s="25"/>
      <c r="D43" s="24"/>
      <c r="E43" s="24"/>
      <c r="F43" s="24"/>
      <c r="G43" s="2"/>
      <c r="H43" s="2"/>
      <c r="I43" s="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AA43" s="23">
        <v>2021</v>
      </c>
      <c r="AB43" s="41">
        <f>AB33/1000000</f>
        <v>2282.6369129889999</v>
      </c>
      <c r="AC43" s="41">
        <f t="shared" ref="AC43:AG43" si="6">AC33/1000000</f>
        <v>62.633000000000003</v>
      </c>
      <c r="AD43" s="41">
        <f t="shared" si="6"/>
        <v>2.4540000000000002</v>
      </c>
      <c r="AE43" s="41">
        <f t="shared" si="6"/>
        <v>135.76926987000004</v>
      </c>
      <c r="AF43" s="41">
        <f t="shared" si="6"/>
        <v>223.17400000000001</v>
      </c>
      <c r="AG43" s="41">
        <f t="shared" si="6"/>
        <v>0.26347999999999999</v>
      </c>
    </row>
    <row r="44" spans="1:34" ht="17.25" x14ac:dyDescent="0.25">
      <c r="A44" s="1"/>
      <c r="G44" s="2"/>
      <c r="H44" s="2"/>
      <c r="I44" s="2"/>
    </row>
  </sheetData>
  <mergeCells count="17">
    <mergeCell ref="A24:I24"/>
    <mergeCell ref="A25:I25"/>
    <mergeCell ref="B26:B28"/>
    <mergeCell ref="C26:C27"/>
    <mergeCell ref="D26:D27"/>
    <mergeCell ref="E26:E27"/>
    <mergeCell ref="F26:F27"/>
    <mergeCell ref="G26:G27"/>
    <mergeCell ref="A1:I1"/>
    <mergeCell ref="A2:I2"/>
    <mergeCell ref="B3:B5"/>
    <mergeCell ref="C3:C4"/>
    <mergeCell ref="D3:D4"/>
    <mergeCell ref="E3:E4"/>
    <mergeCell ref="F3:F4"/>
    <mergeCell ref="G3:G4"/>
    <mergeCell ref="H3:H4"/>
  </mergeCells>
  <conditionalFormatting sqref="C29">
    <cfRule type="duplicateValues" dxfId="7" priority="11"/>
    <cfRule type="duplicateValues" dxfId="6" priority="12"/>
  </conditionalFormatting>
  <conditionalFormatting sqref="C30:C41">
    <cfRule type="duplicateValues" dxfId="5" priority="9"/>
    <cfRule type="duplicateValues" dxfId="4" priority="10"/>
  </conditionalFormatting>
  <conditionalFormatting sqref="V31">
    <cfRule type="duplicateValues" dxfId="3" priority="7"/>
    <cfRule type="duplicateValues" dxfId="2" priority="8"/>
  </conditionalFormatting>
  <conditionalFormatting sqref="C6:H6">
    <cfRule type="duplicateValues" dxfId="1" priority="5"/>
    <cfRule type="duplicateValues" dxfId="0" priority="6"/>
  </conditionalFormatting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18.20</vt:lpstr>
      <vt:lpstr>'18.20'!Print_Area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2023-03-16T03:46:40Z</cp:lastPrinted>
  <dcterms:created xsi:type="dcterms:W3CDTF">2019-02-21T04:10:17Z</dcterms:created>
  <dcterms:modified xsi:type="dcterms:W3CDTF">2023-03-16T03:47:05Z</dcterms:modified>
</cp:coreProperties>
</file>