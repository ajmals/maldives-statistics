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355A68A5-EF3A-40F5-B773-90576CEA457D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4" sheetId="13" r:id="rId1"/>
  </sheets>
  <externalReferences>
    <externalReference r:id="rId2"/>
  </externalReferences>
  <definedNames>
    <definedName name="_xlnm.Print_Area" localSheetId="0">'18.14'!$A$1:$J$54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3" l="1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B6" i="13" l="1"/>
  <c r="C6" i="13"/>
  <c r="D6" i="13"/>
  <c r="E6" i="13"/>
  <c r="F6" i="13"/>
  <c r="G6" i="13" l="1"/>
  <c r="H21" i="13" l="1"/>
  <c r="H25" i="13"/>
  <c r="H31" i="13"/>
  <c r="H27" i="13"/>
  <c r="H23" i="13"/>
  <c r="H19" i="13"/>
  <c r="H15" i="13"/>
  <c r="H11" i="13"/>
  <c r="H7" i="13"/>
  <c r="H29" i="13"/>
  <c r="H9" i="13"/>
  <c r="H13" i="13"/>
  <c r="H17" i="13"/>
  <c r="H26" i="13"/>
  <c r="H10" i="13"/>
  <c r="H12" i="13"/>
  <c r="H8" i="13"/>
  <c r="H16" i="13"/>
  <c r="H18" i="13"/>
  <c r="H20" i="13"/>
  <c r="H28" i="13"/>
  <c r="H24" i="13"/>
  <c r="H14" i="13"/>
  <c r="H32" i="13"/>
  <c r="H22" i="13"/>
  <c r="H30" i="13"/>
  <c r="H6" i="13"/>
</calcChain>
</file>

<file path=xl/sharedStrings.xml><?xml version="1.0" encoding="utf-8"?>
<sst xmlns="http://schemas.openxmlformats.org/spreadsheetml/2006/main" count="69" uniqueCount="68">
  <si>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</si>
  <si>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</si>
  <si>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</si>
  <si>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</si>
  <si>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</si>
  <si>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</si>
  <si>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</si>
  <si>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</si>
  <si>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</si>
  <si>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</si>
  <si>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</si>
  <si>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</si>
  <si>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</si>
  <si>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</si>
  <si>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</si>
  <si>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</si>
  <si>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</si>
  <si>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</si>
  <si>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</si>
  <si>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</si>
  <si>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</si>
  <si>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</si>
  <si>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</si>
  <si>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</si>
  <si>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</si>
  <si>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</si>
  <si>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</si>
  <si>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</si>
  <si>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</si>
  <si>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</si>
  <si>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</si>
  <si>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</si>
  <si>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</si>
  <si>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</si>
  <si>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</si>
  <si>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</si>
  <si>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</si>
  <si>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</si>
  <si>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</si>
  <si>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</si>
  <si>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</si>
  <si>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</si>
  <si>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</si>
  <si>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</si>
  <si>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</si>
  <si>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</si>
  <si>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</si>
  <si>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</si>
  <si>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</si>
  <si>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</si>
  <si>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</si>
  <si>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</si>
  <si>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</si>
  <si>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</si>
  <si>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</si>
  <si>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</si>
  <si>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</si>
  <si>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</si>
  <si>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</si>
  <si>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</si>
  <si>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</si>
  <si>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</si>
  <si>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Employment size</t>
  </si>
  <si>
    <t xml:space="preserve">Note: The Difference between values in this table  is due to  some members having multiple contracts with more than one employer </t>
  </si>
  <si>
    <t>Passenger Ferries</t>
  </si>
  <si>
    <t>ފެރީގެ ޙިދުމަތް</t>
  </si>
  <si>
    <t>TABLE   18.14: EMPLOYEES  REGISTERED IN THE RETIREMENT PENSION SCHEME, BY EMPLOYMENT SIZE, END  2021</t>
  </si>
  <si>
    <t>ތާވަލު  18.14 : އެކި ދާއިރާތަކުން ރިޓާޔަމަންޓް ޕެންޝަން ސްކީމްގައި ރެޖިސްޓަރކޮށްފައިވާ މުވައްޒަފުންގެ ޢަދަދު، ތަނުގެމުވައްޒަފުންގެ ގިންތިން،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</si>
</sst>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b/>
      <sz val="12"/>
      <color rgb="FF000000"/>
      <name val="Consolas"/>
      <family val="3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2" fillId="0" borderId="16"/>
    <xf numFmtId="0" fontId="1" fillId="0" borderId="16"/>
    <xf numFmtId="0" fontId="1" fillId="0" borderId="16"/>
    <xf numFmtId="43" fontId="10" fillId="0" borderId="16" applyFont="0" applyFill="0" applyBorder="0" applyAlignment="0" applyProtection="0"/>
    <xf numFmtId="43" fontId="10" fillId="0" borderId="16" applyFont="0" applyFill="0" applyBorder="0" applyAlignment="0" applyProtection="0"/>
    <xf numFmtId="0" fontId="10" fillId="0" borderId="16"/>
    <xf numFmtId="0" fontId="14" fillId="0" borderId="16"/>
    <xf numFmtId="0" fontId="15" fillId="0" borderId="16" applyFill="0" applyProtection="0"/>
    <xf numFmtId="0" fontId="16" fillId="0" borderId="16"/>
    <xf numFmtId="0" fontId="16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  <xf numFmtId="0" fontId="10" fillId="0" borderId="16"/>
  </cellStyleXfs>
  <cellXfs count="47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6" fillId="2" borderId="2" xfId="0" applyFont="1" applyFill="1" applyBorder="1"/>
    <xf numFmtId="0" fontId="0" fillId="2" borderId="2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right" vertical="center"/>
    </xf>
    <xf numFmtId="49" fontId="4" fillId="2" borderId="1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 readingOrder="1"/>
    </xf>
    <xf numFmtId="0" fontId="0" fillId="3" borderId="0" xfId="0" applyFill="1" applyAlignment="1">
      <alignment horizontal="center" vertical="center"/>
    </xf>
    <xf numFmtId="0" fontId="5" fillId="4" borderId="16" xfId="0" applyFont="1" applyFill="1" applyBorder="1"/>
    <xf numFmtId="0" fontId="5" fillId="4" borderId="16" xfId="0" applyFont="1" applyFill="1" applyBorder="1" applyAlignment="1">
      <alignment horizontal="right" vertical="center" wrapText="1"/>
    </xf>
    <xf numFmtId="0" fontId="5" fillId="4" borderId="17" xfId="0" applyFont="1" applyFill="1" applyBorder="1"/>
    <xf numFmtId="0" fontId="7" fillId="4" borderId="16" xfId="0" applyFont="1" applyFill="1" applyBorder="1" applyAlignment="1">
      <alignment horizontal="left" vertical="center"/>
    </xf>
    <xf numFmtId="3" fontId="0" fillId="4" borderId="16" xfId="0" applyNumberFormat="1" applyFill="1" applyBorder="1" applyAlignment="1">
      <alignment horizontal="right" vertical="center"/>
    </xf>
    <xf numFmtId="0" fontId="7" fillId="4" borderId="16" xfId="0" applyFont="1" applyFill="1" applyBorder="1"/>
    <xf numFmtId="3" fontId="10" fillId="4" borderId="16" xfId="0" applyNumberFormat="1" applyFont="1" applyFill="1" applyBorder="1" applyAlignment="1">
      <alignment horizontal="right" vertical="center"/>
    </xf>
    <xf numFmtId="0" fontId="0" fillId="4" borderId="16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165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 wrapText="1"/>
    </xf>
    <xf numFmtId="3" fontId="10" fillId="4" borderId="16" xfId="0" applyNumberFormat="1" applyFont="1" applyFill="1" applyBorder="1" applyAlignment="1">
      <alignment horizontal="right" vertical="center" wrapText="1"/>
    </xf>
    <xf numFmtId="0" fontId="10" fillId="4" borderId="17" xfId="0" applyFont="1" applyFill="1" applyBorder="1" applyAlignment="1">
      <alignment horizontal="left" vertical="center"/>
    </xf>
    <xf numFmtId="3" fontId="10" fillId="4" borderId="17" xfId="0" applyNumberFormat="1" applyFont="1" applyFill="1" applyBorder="1" applyAlignment="1">
      <alignment horizontal="right" vertical="center"/>
    </xf>
    <xf numFmtId="0" fontId="13" fillId="4" borderId="16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4" fillId="2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3" fillId="3" borderId="10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3" fillId="3" borderId="16" xfId="0" applyFont="1" applyFill="1" applyBorder="1"/>
    <xf numFmtId="0" fontId="4" fillId="2" borderId="1" xfId="0" applyFont="1" applyFill="1" applyBorder="1" applyAlignment="1">
      <alignment horizontal="center" vertic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8811244979919693E-2"/>
          <c:y val="0.23497104184291018"/>
          <c:w val="0.8790337412642697"/>
          <c:h val="0.620277795854030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00000"/>
            </a:solidFill>
          </c:spPr>
          <c:invertIfNegative val="1"/>
          <c:cat>
            <c:strRef>
              <c:f>'18.14'!$B$5:$F$5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'18.14'!$B$6:$F$6</c:f>
              <c:numCache>
                <c:formatCode>#,##0</c:formatCode>
                <c:ptCount val="5"/>
                <c:pt idx="0">
                  <c:v>3858</c:v>
                </c:pt>
                <c:pt idx="1">
                  <c:v>13344</c:v>
                </c:pt>
                <c:pt idx="2">
                  <c:v>11375</c:v>
                </c:pt>
                <c:pt idx="3">
                  <c:v>26450</c:v>
                </c:pt>
                <c:pt idx="4">
                  <c:v>49745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57C-4967-932F-95DBDEC05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217896"/>
        <c:axId val="401222992"/>
      </c:barChart>
      <c:catAx>
        <c:axId val="401217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employment size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401222992"/>
        <c:crosses val="autoZero"/>
        <c:auto val="1"/>
        <c:lblAlgn val="ctr"/>
        <c:lblOffset val="100"/>
        <c:noMultiLvlLbl val="1"/>
      </c:catAx>
      <c:valAx>
        <c:axId val="40122299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401217896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976057</xdr:colOff>
      <xdr:row>34</xdr:row>
      <xdr:rowOff>167660</xdr:rowOff>
    </xdr:from>
    <xdr:ext cx="7905750" cy="3457575"/>
    <xdr:graphicFrame macro="">
      <xdr:nvGraphicFramePr>
        <xdr:cNvPr id="18" name="Chart 18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0.0253</cdr:x>
      <cdr:y>0.06703</cdr:y>
    </cdr:from>
    <cdr:to>
      <cdr:x>0.9494</cdr:x>
      <cdr:y>0.23322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025" y="231775"/>
          <a:ext cx="7305675" cy="5746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18.16: Employees registered in the retirement pension scheme,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by employment size, 2021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C54"/>
  <sheetViews>
    <sheetView tabSelected="1" zoomScaleNormal="100" zoomScaleSheetLayoutView="100" workbookViewId="0">
      <selection activeCell="L5" sqref="L5"/>
    </sheetView>
  </sheetViews>
  <sheetFormatPr defaultColWidth="12.7109375" defaultRowHeight="15" customHeight="1" x14ac:dyDescent="0.25"/>
  <cols>
    <col min="1" max="1" width="51.5703125" style="2" customWidth="1"/>
    <col min="2" max="7" width="11.42578125" style="23" customWidth="1"/>
    <col min="8" max="8" width="12.140625" style="14" customWidth="1"/>
    <col min="9" max="9" width="41.42578125" style="2" customWidth="1"/>
    <col min="10" max="10" width="5.85546875" style="2" customWidth="1"/>
    <col min="11" max="16384" width="12.7109375" style="2"/>
  </cols>
  <sheetData>
    <row r="1" spans="1:29" ht="21" customHeight="1" x14ac:dyDescent="0.55000000000000004">
      <c r="A1" s="34" t="s">
        <v>67</v>
      </c>
      <c r="B1" s="35"/>
      <c r="C1" s="35"/>
      <c r="D1" s="35"/>
      <c r="E1" s="35"/>
      <c r="F1" s="35"/>
      <c r="G1" s="35"/>
      <c r="H1" s="35"/>
      <c r="I1" s="3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6" t="s">
        <v>66</v>
      </c>
      <c r="B2" s="35"/>
      <c r="C2" s="35"/>
      <c r="D2" s="35"/>
      <c r="E2" s="35"/>
      <c r="F2" s="35"/>
      <c r="G2" s="35"/>
      <c r="H2" s="35"/>
      <c r="I2" s="3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7"/>
      <c r="C3" s="7"/>
      <c r="D3" s="7"/>
      <c r="E3" s="7"/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44" t="s">
        <v>5</v>
      </c>
      <c r="B4" s="41" t="s">
        <v>62</v>
      </c>
      <c r="C4" s="42"/>
      <c r="D4" s="42"/>
      <c r="E4" s="42"/>
      <c r="F4" s="42"/>
      <c r="G4" s="43"/>
      <c r="H4" s="37" t="s">
        <v>1</v>
      </c>
      <c r="I4" s="39" t="s">
        <v>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</row>
    <row r="5" spans="1:29" ht="15" customHeight="1" x14ac:dyDescent="0.25">
      <c r="A5" s="45"/>
      <c r="B5" s="9" t="s">
        <v>7</v>
      </c>
      <c r="C5" s="9" t="s">
        <v>8</v>
      </c>
      <c r="D5" s="9" t="s">
        <v>9</v>
      </c>
      <c r="E5" s="9" t="s">
        <v>10</v>
      </c>
      <c r="F5" s="10" t="s">
        <v>11</v>
      </c>
      <c r="G5" s="10" t="s">
        <v>2</v>
      </c>
      <c r="H5" s="38"/>
      <c r="I5" s="4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"/>
      <c r="AB5" s="1"/>
      <c r="AC5" s="1"/>
    </row>
    <row r="6" spans="1:29" ht="21" customHeight="1" x14ac:dyDescent="0.55000000000000004">
      <c r="A6" s="11" t="s">
        <v>2</v>
      </c>
      <c r="B6" s="12">
        <f>SUM(B7:B32)</f>
        <v>3858</v>
      </c>
      <c r="C6" s="12">
        <f t="shared" ref="C6:F6" si="0">SUM(C7:C32)</f>
        <v>13344</v>
      </c>
      <c r="D6" s="12">
        <f t="shared" si="0"/>
        <v>11375</v>
      </c>
      <c r="E6" s="12">
        <f t="shared" si="0"/>
        <v>26450</v>
      </c>
      <c r="F6" s="12">
        <f t="shared" si="0"/>
        <v>49745</v>
      </c>
      <c r="G6" s="12">
        <f>SUM(G7:G32)</f>
        <v>104772</v>
      </c>
      <c r="H6" s="25">
        <f>G6/G6*100</f>
        <v>100</v>
      </c>
      <c r="I6" s="5" t="s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1"/>
      <c r="AB6" s="1"/>
      <c r="AC6" s="1"/>
    </row>
    <row r="7" spans="1:29" ht="21" customHeight="1" x14ac:dyDescent="0.55000000000000004">
      <c r="A7" s="28" t="s">
        <v>12</v>
      </c>
      <c r="B7" s="21">
        <v>18</v>
      </c>
      <c r="C7" s="21">
        <v>29</v>
      </c>
      <c r="D7" s="21">
        <v>120</v>
      </c>
      <c r="E7" s="21">
        <v>0</v>
      </c>
      <c r="F7" s="21">
        <v>0</v>
      </c>
      <c r="G7" s="21">
        <f t="shared" ref="G7:G20" si="1">SUM(B7:F7)</f>
        <v>167</v>
      </c>
      <c r="H7" s="26">
        <f t="shared" ref="H7:H32" si="2">G7/$G$6*100</f>
        <v>0.15939373114954378</v>
      </c>
      <c r="I7" s="15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28" t="s">
        <v>14</v>
      </c>
      <c r="B8" s="21">
        <v>12</v>
      </c>
      <c r="C8" s="21">
        <v>156</v>
      </c>
      <c r="D8" s="21">
        <v>0</v>
      </c>
      <c r="E8" s="21">
        <v>747</v>
      </c>
      <c r="F8" s="21">
        <v>4616</v>
      </c>
      <c r="G8" s="21">
        <f t="shared" si="1"/>
        <v>5531</v>
      </c>
      <c r="H8" s="26">
        <f t="shared" si="2"/>
        <v>5.2790821975336923</v>
      </c>
      <c r="I8" s="15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28" t="s">
        <v>16</v>
      </c>
      <c r="B9" s="21">
        <v>10</v>
      </c>
      <c r="C9" s="21">
        <v>0</v>
      </c>
      <c r="D9" s="21">
        <v>0</v>
      </c>
      <c r="E9" s="21">
        <v>0</v>
      </c>
      <c r="F9" s="21">
        <v>0</v>
      </c>
      <c r="G9" s="21">
        <f t="shared" si="1"/>
        <v>10</v>
      </c>
      <c r="H9" s="26">
        <f t="shared" si="2"/>
        <v>9.5445347993738782E-3</v>
      </c>
      <c r="I9" s="15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28" t="s">
        <v>18</v>
      </c>
      <c r="B10" s="21">
        <v>38</v>
      </c>
      <c r="C10" s="21">
        <v>14</v>
      </c>
      <c r="D10" s="21">
        <v>0</v>
      </c>
      <c r="E10" s="21">
        <v>0</v>
      </c>
      <c r="F10" s="21">
        <v>0</v>
      </c>
      <c r="G10" s="21">
        <f t="shared" si="1"/>
        <v>52</v>
      </c>
      <c r="H10" s="26">
        <f t="shared" si="2"/>
        <v>4.9631580956744172E-2</v>
      </c>
      <c r="I10" s="15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28" t="s">
        <v>20</v>
      </c>
      <c r="B11" s="21">
        <v>323</v>
      </c>
      <c r="C11" s="21">
        <v>424</v>
      </c>
      <c r="D11" s="21">
        <v>407</v>
      </c>
      <c r="E11" s="21">
        <v>522</v>
      </c>
      <c r="F11" s="21">
        <v>959</v>
      </c>
      <c r="G11" s="21">
        <f t="shared" si="1"/>
        <v>2635</v>
      </c>
      <c r="H11" s="26">
        <f t="shared" si="2"/>
        <v>2.5149849196350171</v>
      </c>
      <c r="I11" s="15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28" t="s">
        <v>22</v>
      </c>
      <c r="B12" s="21">
        <v>61</v>
      </c>
      <c r="C12" s="21">
        <v>23</v>
      </c>
      <c r="D12" s="21">
        <v>91</v>
      </c>
      <c r="E12" s="21">
        <v>0</v>
      </c>
      <c r="F12" s="21">
        <v>0</v>
      </c>
      <c r="G12" s="21">
        <f t="shared" si="1"/>
        <v>175</v>
      </c>
      <c r="H12" s="26">
        <f t="shared" si="2"/>
        <v>0.16702935898904289</v>
      </c>
      <c r="I12" s="15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29" t="s">
        <v>24</v>
      </c>
      <c r="B13" s="30">
        <v>75</v>
      </c>
      <c r="C13" s="30">
        <v>629</v>
      </c>
      <c r="D13" s="30">
        <v>446</v>
      </c>
      <c r="E13" s="30">
        <v>1055</v>
      </c>
      <c r="F13" s="30">
        <v>3173</v>
      </c>
      <c r="G13" s="21">
        <f t="shared" si="1"/>
        <v>5378</v>
      </c>
      <c r="H13" s="26">
        <f t="shared" si="2"/>
        <v>5.1330508151032719</v>
      </c>
      <c r="I13" s="16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28" t="s">
        <v>26</v>
      </c>
      <c r="B14" s="21">
        <v>34</v>
      </c>
      <c r="C14" s="21">
        <v>10</v>
      </c>
      <c r="D14" s="21">
        <v>133</v>
      </c>
      <c r="E14" s="21">
        <v>187</v>
      </c>
      <c r="F14" s="21">
        <v>929</v>
      </c>
      <c r="G14" s="21">
        <f t="shared" si="1"/>
        <v>1293</v>
      </c>
      <c r="H14" s="26">
        <f t="shared" si="2"/>
        <v>1.2341083495590426</v>
      </c>
      <c r="I14" s="15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28" t="s">
        <v>28</v>
      </c>
      <c r="B15" s="21">
        <v>10</v>
      </c>
      <c r="C15" s="21">
        <v>119</v>
      </c>
      <c r="D15" s="21">
        <v>78</v>
      </c>
      <c r="E15" s="21">
        <v>0</v>
      </c>
      <c r="F15" s="21">
        <v>0</v>
      </c>
      <c r="G15" s="21">
        <f t="shared" si="1"/>
        <v>207</v>
      </c>
      <c r="H15" s="26">
        <f t="shared" si="2"/>
        <v>0.1975718703470393</v>
      </c>
      <c r="I15" s="15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28" t="s">
        <v>30</v>
      </c>
      <c r="B16" s="21">
        <v>164</v>
      </c>
      <c r="C16" s="21">
        <v>5406</v>
      </c>
      <c r="D16" s="21">
        <v>4281</v>
      </c>
      <c r="E16" s="21">
        <v>9997</v>
      </c>
      <c r="F16" s="21">
        <v>22027</v>
      </c>
      <c r="G16" s="21">
        <f t="shared" si="1"/>
        <v>41875</v>
      </c>
      <c r="H16" s="26">
        <f t="shared" si="2"/>
        <v>39.967739472378113</v>
      </c>
      <c r="I16" s="15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28" t="s">
        <v>32</v>
      </c>
      <c r="B17" s="21">
        <v>61</v>
      </c>
      <c r="C17" s="21">
        <v>317</v>
      </c>
      <c r="D17" s="21">
        <v>134</v>
      </c>
      <c r="E17" s="21">
        <v>162</v>
      </c>
      <c r="F17" s="21">
        <v>765</v>
      </c>
      <c r="G17" s="21">
        <f t="shared" si="1"/>
        <v>1439</v>
      </c>
      <c r="H17" s="26">
        <f t="shared" si="2"/>
        <v>1.373458557629901</v>
      </c>
      <c r="I17" s="15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28" t="s">
        <v>34</v>
      </c>
      <c r="B18" s="21">
        <v>566</v>
      </c>
      <c r="C18" s="21">
        <v>1621</v>
      </c>
      <c r="D18" s="21">
        <v>3210</v>
      </c>
      <c r="E18" s="21">
        <v>10496</v>
      </c>
      <c r="F18" s="21">
        <v>3377</v>
      </c>
      <c r="G18" s="21">
        <f t="shared" si="1"/>
        <v>19270</v>
      </c>
      <c r="H18" s="26">
        <f t="shared" si="2"/>
        <v>18.392318558393463</v>
      </c>
      <c r="I18" s="15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28" t="s">
        <v>36</v>
      </c>
      <c r="B19" s="21">
        <v>16</v>
      </c>
      <c r="C19" s="21">
        <v>62</v>
      </c>
      <c r="D19" s="21">
        <v>0</v>
      </c>
      <c r="E19" s="21">
        <v>0</v>
      </c>
      <c r="F19" s="21">
        <v>0</v>
      </c>
      <c r="G19" s="21">
        <f t="shared" si="1"/>
        <v>78</v>
      </c>
      <c r="H19" s="26">
        <f t="shared" si="2"/>
        <v>7.4447371435116247E-2</v>
      </c>
      <c r="I19" s="15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28" t="s">
        <v>38</v>
      </c>
      <c r="B20" s="21">
        <v>1</v>
      </c>
      <c r="C20" s="21">
        <v>28</v>
      </c>
      <c r="D20" s="21">
        <v>0</v>
      </c>
      <c r="E20" s="21">
        <v>0</v>
      </c>
      <c r="F20" s="21">
        <v>613</v>
      </c>
      <c r="G20" s="21">
        <f t="shared" si="1"/>
        <v>642</v>
      </c>
      <c r="H20" s="26">
        <f t="shared" si="2"/>
        <v>0.61275913411980298</v>
      </c>
      <c r="I20" s="15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28" t="s">
        <v>40</v>
      </c>
      <c r="B21" s="21">
        <v>6</v>
      </c>
      <c r="C21" s="21">
        <v>0</v>
      </c>
      <c r="D21" s="21">
        <v>0</v>
      </c>
      <c r="E21" s="21">
        <v>0</v>
      </c>
      <c r="F21" s="21">
        <v>0</v>
      </c>
      <c r="G21" s="21">
        <f>B21+C21+D21+E21+F21</f>
        <v>6</v>
      </c>
      <c r="H21" s="26">
        <f t="shared" si="2"/>
        <v>5.7267208796243276E-3</v>
      </c>
      <c r="I21" s="15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25">
      <c r="A22" s="28" t="s">
        <v>64</v>
      </c>
      <c r="B22" s="21">
        <v>1</v>
      </c>
      <c r="C22" s="21">
        <v>0</v>
      </c>
      <c r="D22" s="21">
        <v>0</v>
      </c>
      <c r="E22" s="21">
        <v>0</v>
      </c>
      <c r="F22" s="21">
        <v>0</v>
      </c>
      <c r="G22" s="21">
        <f t="shared" ref="G22:G32" si="3">SUM(B22:F22)</f>
        <v>1</v>
      </c>
      <c r="H22" s="26">
        <f t="shared" si="2"/>
        <v>9.5445347993738786E-4</v>
      </c>
      <c r="I22" s="33" t="s">
        <v>65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28" t="s">
        <v>42</v>
      </c>
      <c r="B23" s="21">
        <v>20</v>
      </c>
      <c r="C23" s="21">
        <v>53</v>
      </c>
      <c r="D23" s="21">
        <v>0</v>
      </c>
      <c r="E23" s="21">
        <v>0</v>
      </c>
      <c r="F23" s="21">
        <v>0</v>
      </c>
      <c r="G23" s="21">
        <f t="shared" si="3"/>
        <v>73</v>
      </c>
      <c r="H23" s="26">
        <f t="shared" si="2"/>
        <v>6.9675104035429314E-2</v>
      </c>
      <c r="I23" s="15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28" t="s">
        <v>44</v>
      </c>
      <c r="B24" s="21">
        <v>71</v>
      </c>
      <c r="C24" s="21">
        <v>19</v>
      </c>
      <c r="D24" s="21">
        <v>0</v>
      </c>
      <c r="E24" s="21">
        <v>0</v>
      </c>
      <c r="F24" s="21">
        <v>0</v>
      </c>
      <c r="G24" s="21">
        <f t="shared" si="3"/>
        <v>90</v>
      </c>
      <c r="H24" s="26">
        <f t="shared" si="2"/>
        <v>8.5900813194364906E-2</v>
      </c>
      <c r="I24" s="15" t="s">
        <v>45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28" t="s">
        <v>46</v>
      </c>
      <c r="B25" s="21">
        <v>0</v>
      </c>
      <c r="C25" s="21">
        <v>20</v>
      </c>
      <c r="D25" s="21">
        <v>69</v>
      </c>
      <c r="E25" s="21">
        <v>0</v>
      </c>
      <c r="F25" s="21">
        <v>0</v>
      </c>
      <c r="G25" s="21">
        <f t="shared" si="3"/>
        <v>89</v>
      </c>
      <c r="H25" s="26">
        <f t="shared" si="2"/>
        <v>8.4946359714427516E-2</v>
      </c>
      <c r="I25" s="15" t="s">
        <v>47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28" t="s">
        <v>48</v>
      </c>
      <c r="B26" s="21">
        <v>82</v>
      </c>
      <c r="C26" s="21">
        <v>572</v>
      </c>
      <c r="D26" s="21">
        <v>733</v>
      </c>
      <c r="E26" s="21">
        <v>1083</v>
      </c>
      <c r="F26" s="21">
        <v>346</v>
      </c>
      <c r="G26" s="21">
        <f t="shared" si="3"/>
        <v>2816</v>
      </c>
      <c r="H26" s="26">
        <f t="shared" si="2"/>
        <v>2.6877409995036841</v>
      </c>
      <c r="I26" s="15" t="s">
        <v>49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28" t="s">
        <v>50</v>
      </c>
      <c r="B27" s="21">
        <v>123</v>
      </c>
      <c r="C27" s="21">
        <v>220</v>
      </c>
      <c r="D27" s="21">
        <v>207</v>
      </c>
      <c r="E27" s="21">
        <v>294</v>
      </c>
      <c r="F27" s="21">
        <v>3319</v>
      </c>
      <c r="G27" s="21">
        <f t="shared" si="3"/>
        <v>4163</v>
      </c>
      <c r="H27" s="26">
        <f t="shared" si="2"/>
        <v>3.9733898369793454</v>
      </c>
      <c r="I27" s="15" t="s">
        <v>51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28" t="s">
        <v>52</v>
      </c>
      <c r="B28" s="21">
        <v>641</v>
      </c>
      <c r="C28" s="21">
        <v>1231</v>
      </c>
      <c r="D28" s="21">
        <v>528</v>
      </c>
      <c r="E28" s="21">
        <v>999</v>
      </c>
      <c r="F28" s="21">
        <v>0</v>
      </c>
      <c r="G28" s="21">
        <f t="shared" si="3"/>
        <v>3399</v>
      </c>
      <c r="H28" s="26">
        <f t="shared" si="2"/>
        <v>3.2441873783071813</v>
      </c>
      <c r="I28" s="15" t="s">
        <v>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28" t="s">
        <v>54</v>
      </c>
      <c r="B29" s="21">
        <v>27</v>
      </c>
      <c r="C29" s="21">
        <v>95</v>
      </c>
      <c r="D29" s="21">
        <v>173</v>
      </c>
      <c r="E29" s="21">
        <v>142</v>
      </c>
      <c r="F29" s="21">
        <v>1100</v>
      </c>
      <c r="G29" s="21">
        <f t="shared" si="3"/>
        <v>1537</v>
      </c>
      <c r="H29" s="26">
        <f t="shared" si="2"/>
        <v>1.4669949986637651</v>
      </c>
      <c r="I29" s="15" t="s">
        <v>55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28" t="s">
        <v>56</v>
      </c>
      <c r="B30" s="21">
        <v>18</v>
      </c>
      <c r="C30" s="21">
        <v>19</v>
      </c>
      <c r="D30" s="21">
        <v>0</v>
      </c>
      <c r="E30" s="21">
        <v>0</v>
      </c>
      <c r="F30" s="21">
        <v>0</v>
      </c>
      <c r="G30" s="21">
        <f t="shared" si="3"/>
        <v>37</v>
      </c>
      <c r="H30" s="26">
        <f t="shared" si="2"/>
        <v>3.5314778757683352E-2</v>
      </c>
      <c r="I30" s="15" t="s">
        <v>57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28" t="s">
        <v>58</v>
      </c>
      <c r="B31" s="21">
        <v>366</v>
      </c>
      <c r="C31" s="21">
        <v>664</v>
      </c>
      <c r="D31" s="21">
        <v>364</v>
      </c>
      <c r="E31" s="21">
        <v>202</v>
      </c>
      <c r="F31" s="21">
        <v>2106</v>
      </c>
      <c r="G31" s="21">
        <f t="shared" si="3"/>
        <v>3702</v>
      </c>
      <c r="H31" s="26">
        <f t="shared" si="2"/>
        <v>3.5333867827282095</v>
      </c>
      <c r="I31" s="15" t="s">
        <v>59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55000000000000004">
      <c r="A32" s="31" t="s">
        <v>60</v>
      </c>
      <c r="B32" s="32">
        <v>1114</v>
      </c>
      <c r="C32" s="32">
        <v>1613</v>
      </c>
      <c r="D32" s="32">
        <v>401</v>
      </c>
      <c r="E32" s="32">
        <v>564</v>
      </c>
      <c r="F32" s="32">
        <v>6415</v>
      </c>
      <c r="G32" s="32">
        <f t="shared" si="3"/>
        <v>10107</v>
      </c>
      <c r="H32" s="27">
        <f t="shared" si="2"/>
        <v>9.6466613217271799</v>
      </c>
      <c r="I32" s="17" t="s">
        <v>61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.75" customHeight="1" x14ac:dyDescent="0.25">
      <c r="A33" s="18" t="s">
        <v>63</v>
      </c>
      <c r="B33" s="19"/>
      <c r="C33" s="19"/>
      <c r="D33" s="19"/>
      <c r="E33" s="19"/>
      <c r="F33" s="19"/>
      <c r="G33" s="7"/>
      <c r="H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20" t="s">
        <v>3</v>
      </c>
      <c r="B34" s="22"/>
      <c r="C34" s="22"/>
      <c r="D34" s="22"/>
      <c r="E34" s="22"/>
      <c r="F34" s="22"/>
      <c r="G34" s="7"/>
      <c r="H34" s="8"/>
      <c r="I34" s="6" t="s">
        <v>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7"/>
      <c r="C35" s="7"/>
      <c r="D35" s="7"/>
      <c r="E35" s="7"/>
      <c r="F35" s="7"/>
      <c r="G35" s="7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7"/>
      <c r="C36" s="7"/>
      <c r="D36" s="7"/>
      <c r="E36" s="7"/>
      <c r="F36" s="7"/>
      <c r="G36" s="7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7"/>
      <c r="C37" s="7"/>
      <c r="D37" s="7"/>
      <c r="E37" s="7"/>
      <c r="F37" s="7"/>
      <c r="G37" s="7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7"/>
      <c r="C38" s="7"/>
      <c r="D38" s="7"/>
      <c r="E38" s="7"/>
      <c r="F38" s="7"/>
      <c r="G38" s="7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7"/>
      <c r="C39" s="7"/>
      <c r="D39" s="7"/>
      <c r="E39" s="7"/>
      <c r="F39" s="7"/>
      <c r="G39" s="7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7"/>
      <c r="C40" s="7"/>
      <c r="D40" s="7"/>
      <c r="E40" s="7"/>
      <c r="F40" s="7"/>
      <c r="G40" s="7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7"/>
      <c r="C41" s="7"/>
      <c r="D41" s="7"/>
      <c r="E41" s="7"/>
      <c r="F41" s="7"/>
      <c r="G41" s="7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7"/>
      <c r="C42" s="7"/>
      <c r="D42" s="7"/>
      <c r="E42" s="7"/>
      <c r="F42" s="7"/>
      <c r="G42" s="7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7"/>
      <c r="C43" s="7"/>
      <c r="D43" s="7"/>
      <c r="E43" s="7"/>
      <c r="F43" s="7"/>
      <c r="G43" s="7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7"/>
      <c r="C44" s="7"/>
      <c r="D44" s="7"/>
      <c r="E44" s="7"/>
      <c r="F44" s="7"/>
      <c r="G44" s="7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7"/>
      <c r="C45" s="7"/>
      <c r="D45" s="7"/>
      <c r="E45" s="7"/>
      <c r="F45" s="7"/>
      <c r="G45" s="7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7"/>
      <c r="C46" s="7"/>
      <c r="D46" s="7"/>
      <c r="E46" s="7"/>
      <c r="F46" s="7"/>
      <c r="G46" s="7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7"/>
      <c r="C47" s="7"/>
      <c r="D47" s="7"/>
      <c r="E47" s="7"/>
      <c r="F47" s="7"/>
      <c r="G47" s="7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7"/>
      <c r="C48" s="7"/>
      <c r="D48" s="7"/>
      <c r="E48" s="7"/>
      <c r="F48" s="7"/>
      <c r="G48" s="7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7"/>
      <c r="C49" s="7"/>
      <c r="D49" s="7"/>
      <c r="E49" s="7"/>
      <c r="F49" s="7"/>
      <c r="G49" s="7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7"/>
      <c r="C50" s="7"/>
      <c r="D50" s="7"/>
      <c r="E50" s="7"/>
      <c r="F50" s="7"/>
      <c r="G50" s="7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7"/>
      <c r="C51" s="7"/>
      <c r="D51" s="7"/>
      <c r="E51" s="7"/>
      <c r="F51" s="7"/>
      <c r="G51" s="7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7"/>
      <c r="C52" s="7"/>
      <c r="D52" s="7"/>
      <c r="E52" s="7"/>
      <c r="F52" s="7"/>
      <c r="G52" s="7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customHeight="1" x14ac:dyDescent="0.25">
      <c r="A53" s="1"/>
      <c r="B53" s="7"/>
      <c r="C53" s="7"/>
      <c r="D53" s="7"/>
      <c r="E53" s="7"/>
      <c r="F53" s="7"/>
      <c r="G53" s="7"/>
      <c r="H53" s="8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7"/>
      <c r="C54" s="7"/>
      <c r="D54" s="7"/>
      <c r="E54" s="7"/>
      <c r="F54" s="7"/>
      <c r="G54" s="7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6">
    <mergeCell ref="A1:I1"/>
    <mergeCell ref="H4:H5"/>
    <mergeCell ref="I4:I5"/>
    <mergeCell ref="B4:G4"/>
    <mergeCell ref="A4:A5"/>
    <mergeCell ref="A2:I2"/>
  </mergeCells>
  <pageMargins left="0.7" right="0.7" top="0.75" bottom="0.75" header="0" footer="0"/>
  <pageSetup paperSize="9" scale="71" orientation="landscape" horizontalDpi="4294967295" verticalDpi="4294967295" r:id="rId1"/>
  <rowBreaks count="1" manualBreakCount="1">
    <brk id="34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2023-03-16T03:37:46Z</cp:lastPrinted>
  <dcterms:created xsi:type="dcterms:W3CDTF">2019-02-21T04:10:17Z</dcterms:created>
  <dcterms:modified xsi:type="dcterms:W3CDTF">2023-03-16T03:37:53Z</dcterms:modified>
</cp:coreProperties>
</file>