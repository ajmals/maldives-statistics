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36D4E69F-9540-457D-BAAA-C61915BCF92E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13" sheetId="12" r:id="rId1"/>
  </sheets>
  <externalReferences>
    <externalReference r:id="rId2"/>
  </externalReferences>
  <definedNames>
    <definedName name="_xlnm.Print_Area" localSheetId="0">'18.13'!$A$1:$K$49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2" l="1"/>
  <c r="I6" i="12"/>
  <c r="F6" i="12" l="1"/>
  <c r="G32" i="12" l="1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 l="1"/>
  <c r="I32" i="12" s="1"/>
  <c r="C6" i="12" l="1"/>
  <c r="D6" i="12"/>
  <c r="E6" i="12"/>
  <c r="B6" i="12"/>
  <c r="I17" i="12" l="1"/>
  <c r="I25" i="12"/>
  <c r="I29" i="12"/>
  <c r="I13" i="12"/>
  <c r="I9" i="12"/>
  <c r="I21" i="12"/>
  <c r="I26" i="12"/>
  <c r="I14" i="12"/>
  <c r="I31" i="12"/>
  <c r="I19" i="12"/>
  <c r="I30" i="12"/>
  <c r="I8" i="12"/>
  <c r="I27" i="12"/>
  <c r="I23" i="12"/>
  <c r="I28" i="12"/>
  <c r="I16" i="12"/>
  <c r="I12" i="12"/>
  <c r="I24" i="12"/>
  <c r="I20" i="12"/>
  <c r="I10" i="12"/>
  <c r="I18" i="12"/>
  <c r="I15" i="12"/>
  <c r="I11" i="12"/>
  <c r="I22" i="12"/>
</calcChain>
</file>

<file path=xl/sharedStrings.xml><?xml version="1.0" encoding="utf-8"?>
<sst xmlns="http://schemas.openxmlformats.org/spreadsheetml/2006/main" count="66" uniqueCount="65">
  <si>
    <t>ޖުމްލަ</t>
  </si>
  <si>
    <t>% share</t>
  </si>
  <si>
    <t>Total</t>
  </si>
  <si>
    <t>Sector</t>
  </si>
  <si>
    <t xml:space="preserve">Establishments by Employment size 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</si>
  <si>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</si>
  <si>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</si>
  <si>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</si>
  <si>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</si>
  <si>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</si>
  <si>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</si>
  <si>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</si>
  <si>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</si>
  <si>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</si>
  <si>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</si>
  <si>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</si>
  <si>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</si>
  <si>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</si>
  <si>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</si>
  <si>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</si>
  <si>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</si>
  <si>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</si>
  <si>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</si>
  <si>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</si>
  <si>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</si>
  <si>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</si>
  <si>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</si>
  <si>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</si>
  <si>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</si>
  <si>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</si>
  <si>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</si>
  <si>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</si>
  <si>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</si>
  <si>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</si>
  <si>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</si>
  <si>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</si>
  <si>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</si>
  <si>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</si>
  <si>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</si>
  <si>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</si>
  <si>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</si>
  <si>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</si>
  <si>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</si>
  <si>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</si>
  <si>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</si>
  <si>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</si>
  <si>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</si>
  <si>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</si>
  <si>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</si>
  <si>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</si>
  <si>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</si>
  <si>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</si>
  <si>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</si>
  <si>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</si>
  <si>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</si>
  <si>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</si>
  <si>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</si>
  <si>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</si>
  <si>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</si>
  <si>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</si>
  <si>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</si>
  <si>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Passenger Ferries</t>
  </si>
  <si>
    <t>ފެރީގެ ޙިދުމަތް</t>
  </si>
  <si>
    <t>TABLE   18.13:   ESTABLISHMENTS REGISTERED IN THE RETIREMENT PENSION SCHEME, BY EMPLOYMENT SIZE, END 2021</t>
  </si>
  <si>
    <t>ތާވަލު  18.13 : އެކި ދާއިރާތަކުން ރިޓާޔަމަންޓް ޕެންޝަން ސްކީމްގައި ރެޖިސްޓްރީކޮށްފައިވާ ތަންތަނުގެ ޢަދަދު، ތަނުގެމުވައްޒަފުންގެ ގިންތިން ،2021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</si>
</sst>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164" fontId="8" fillId="0" borderId="14"/>
    <xf numFmtId="0" fontId="1" fillId="0" borderId="14"/>
    <xf numFmtId="0" fontId="1" fillId="0" borderId="14"/>
    <xf numFmtId="43" fontId="7" fillId="0" borderId="14" applyFont="0" applyFill="0" applyBorder="0" applyAlignment="0" applyProtection="0"/>
    <xf numFmtId="43" fontId="7" fillId="0" borderId="14" applyFont="0" applyFill="0" applyBorder="0" applyAlignment="0" applyProtection="0"/>
    <xf numFmtId="0" fontId="7" fillId="0" borderId="14"/>
    <xf numFmtId="0" fontId="9" fillId="0" borderId="14"/>
    <xf numFmtId="0" fontId="10" fillId="0" borderId="14" applyFill="0" applyProtection="0"/>
    <xf numFmtId="0" fontId="11" fillId="0" borderId="14"/>
    <xf numFmtId="0" fontId="11" fillId="0" borderId="14"/>
    <xf numFmtId="0" fontId="7" fillId="0" borderId="14"/>
    <xf numFmtId="0" fontId="7" fillId="0" borderId="14"/>
    <xf numFmtId="0" fontId="7" fillId="0" borderId="14"/>
    <xf numFmtId="0" fontId="7" fillId="0" borderId="14"/>
    <xf numFmtId="0" fontId="7" fillId="0" borderId="14"/>
    <xf numFmtId="0" fontId="7" fillId="0" borderId="14"/>
    <xf numFmtId="0" fontId="7" fillId="0" borderId="14"/>
    <xf numFmtId="0" fontId="7" fillId="0" borderId="14"/>
    <xf numFmtId="0" fontId="7" fillId="0" borderId="14"/>
  </cellStyleXfs>
  <cellXfs count="45">
    <xf numFmtId="0" fontId="0" fillId="0" borderId="0" xfId="0"/>
    <xf numFmtId="0" fontId="0" fillId="2" borderId="2" xfId="0" applyFill="1" applyBorder="1"/>
    <xf numFmtId="0" fontId="0" fillId="3" borderId="0" xfId="0" applyFill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2" fillId="2" borderId="2" xfId="0" applyFont="1" applyFill="1" applyBorder="1"/>
    <xf numFmtId="43" fontId="0" fillId="2" borderId="2" xfId="0" applyNumberFormat="1" applyFill="1" applyBorder="1"/>
    <xf numFmtId="0" fontId="0" fillId="2" borderId="14" xfId="0" applyFill="1" applyBorder="1"/>
    <xf numFmtId="3" fontId="0" fillId="2" borderId="2" xfId="0" applyNumberFormat="1" applyFill="1" applyBorder="1"/>
    <xf numFmtId="0" fontId="5" fillId="2" borderId="2" xfId="0" applyFont="1" applyFill="1" applyBorder="1"/>
    <xf numFmtId="0" fontId="5" fillId="2" borderId="14" xfId="0" applyFont="1" applyFill="1" applyBorder="1"/>
    <xf numFmtId="0" fontId="4" fillId="2" borderId="6" xfId="0" applyFont="1" applyFill="1" applyBorder="1" applyAlignment="1">
      <alignment horizontal="left" vertical="center"/>
    </xf>
    <xf numFmtId="3" fontId="4" fillId="2" borderId="6" xfId="0" applyNumberFormat="1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 wrapText="1"/>
    </xf>
    <xf numFmtId="49" fontId="0" fillId="2" borderId="2" xfId="0" applyNumberFormat="1" applyFill="1" applyBorder="1"/>
    <xf numFmtId="0" fontId="6" fillId="4" borderId="14" xfId="0" applyFont="1" applyFill="1" applyBorder="1"/>
    <xf numFmtId="0" fontId="6" fillId="4" borderId="14" xfId="0" applyFont="1" applyFill="1" applyBorder="1" applyAlignment="1">
      <alignment horizontal="right" vertical="center" wrapText="1"/>
    </xf>
    <xf numFmtId="0" fontId="6" fillId="4" borderId="15" xfId="0" applyFont="1" applyFill="1" applyBorder="1"/>
    <xf numFmtId="3" fontId="0" fillId="4" borderId="14" xfId="0" applyNumberFormat="1" applyFill="1" applyBorder="1" applyAlignment="1">
      <alignment horizontal="right" vertical="center"/>
    </xf>
    <xf numFmtId="3" fontId="0" fillId="4" borderId="15" xfId="0" applyNumberFormat="1" applyFill="1" applyBorder="1" applyAlignment="1">
      <alignment horizontal="right" vertical="center"/>
    </xf>
    <xf numFmtId="3" fontId="7" fillId="4" borderId="14" xfId="0" applyNumberFormat="1" applyFont="1" applyFill="1" applyBorder="1" applyAlignment="1">
      <alignment horizontal="right" vertical="center"/>
    </xf>
    <xf numFmtId="3" fontId="0" fillId="4" borderId="14" xfId="0" applyNumberFormat="1" applyFill="1" applyBorder="1" applyAlignment="1">
      <alignment horizontal="right" vertical="center" wrapText="1"/>
    </xf>
    <xf numFmtId="165" fontId="0" fillId="4" borderId="12" xfId="0" applyNumberForma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left" vertical="center"/>
    </xf>
    <xf numFmtId="0" fontId="7" fillId="4" borderId="14" xfId="0" applyFont="1" applyFill="1" applyBorder="1" applyAlignment="1">
      <alignment horizontal="left" vertical="center" wrapText="1"/>
    </xf>
    <xf numFmtId="3" fontId="7" fillId="4" borderId="14" xfId="0" applyNumberFormat="1" applyFont="1" applyFill="1" applyBorder="1" applyAlignment="1">
      <alignment horizontal="right" vertical="center" wrapText="1"/>
    </xf>
    <xf numFmtId="0" fontId="7" fillId="4" borderId="15" xfId="0" applyFont="1" applyFill="1" applyBorder="1" applyAlignment="1">
      <alignment horizontal="left" vertical="center"/>
    </xf>
    <xf numFmtId="3" fontId="7" fillId="4" borderId="15" xfId="0" applyNumberFormat="1" applyFont="1" applyFill="1" applyBorder="1" applyAlignment="1">
      <alignment horizontal="right" vertical="center"/>
    </xf>
    <xf numFmtId="3" fontId="4" fillId="2" borderId="10" xfId="0" applyNumberFormat="1" applyFont="1" applyFill="1" applyBorder="1" applyAlignment="1">
      <alignment horizontal="center" vertical="center"/>
    </xf>
    <xf numFmtId="49" fontId="4" fillId="2" borderId="15" xfId="0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0" fontId="3" fillId="3" borderId="8" xfId="0" applyFont="1" applyFill="1" applyBorder="1"/>
    <xf numFmtId="0" fontId="3" fillId="3" borderId="3" xfId="0" applyFont="1" applyFill="1" applyBorder="1"/>
    <xf numFmtId="0" fontId="3" fillId="3" borderId="14" xfId="0" applyFont="1" applyFill="1" applyBorder="1"/>
    <xf numFmtId="0" fontId="3" fillId="3" borderId="4" xfId="0" applyFont="1" applyFill="1" applyBorder="1"/>
    <xf numFmtId="0" fontId="4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0658299869640127E-2"/>
          <c:y val="0.20986978900364728"/>
          <c:w val="0.8946918719048268"/>
          <c:h val="0.6742134505914033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000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'18.13'!$B$5:$F$5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'18.13'!$B$6:$F$6</c:f>
              <c:numCache>
                <c:formatCode>#,##0</c:formatCode>
                <c:ptCount val="5"/>
                <c:pt idx="0">
                  <c:v>1127</c:v>
                </c:pt>
                <c:pt idx="1">
                  <c:v>596</c:v>
                </c:pt>
                <c:pt idx="2">
                  <c:v>160</c:v>
                </c:pt>
                <c:pt idx="3">
                  <c:v>160</c:v>
                </c:pt>
                <c:pt idx="4">
                  <c:v>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39F-463B-98AB-F6A16E878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220248"/>
        <c:axId val="401222208"/>
      </c:barChart>
      <c:catAx>
        <c:axId val="401220248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sz="1100" b="0" i="0"/>
            </a:pPr>
            <a:endParaRPr lang="en-US"/>
          </a:p>
        </c:txPr>
        <c:crossAx val="401222208"/>
        <c:crosses val="autoZero"/>
        <c:auto val="1"/>
        <c:lblAlgn val="ctr"/>
        <c:lblOffset val="100"/>
        <c:noMultiLvlLbl val="1"/>
      </c:catAx>
      <c:valAx>
        <c:axId val="401222208"/>
        <c:scaling>
          <c:orientation val="minMax"/>
        </c:scaling>
        <c:delete val="0"/>
        <c:axPos val="l"/>
        <c:majorGridlines>
          <c:spPr>
            <a:ln>
              <a:solidFill>
                <a:srgbClr val="FFCCCC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1" i="0"/>
            </a:pPr>
            <a:endParaRPr lang="en-US"/>
          </a:p>
        </c:txPr>
        <c:crossAx val="401220248"/>
        <c:crosses val="autoZero"/>
        <c:crossBetween val="between"/>
      </c:valAx>
      <c:spPr>
        <a:solidFill>
          <a:srgbClr val="FFEBEB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1381125</xdr:colOff>
      <xdr:row>33</xdr:row>
      <xdr:rowOff>76200</xdr:rowOff>
    </xdr:from>
    <xdr:ext cx="7153275" cy="2933700"/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34</xdr:row>
      <xdr:rowOff>0</xdr:rowOff>
    </xdr:from>
    <xdr:ext cx="5829300" cy="4953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 txBox="1"/>
      </xdr:nvSpPr>
      <xdr:spPr>
        <a:xfrm>
          <a:off x="2431350" y="3537113"/>
          <a:ext cx="5829300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18.15: Establishments registered in the retirement pension scheme, by employment size, 2021 </a:t>
          </a:r>
          <a:endParaRPr sz="11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I72"/>
  <sheetViews>
    <sheetView tabSelected="1" zoomScale="73" zoomScaleNormal="73" zoomScaleSheetLayoutView="118" workbookViewId="0">
      <selection activeCell="I8" sqref="I8"/>
    </sheetView>
  </sheetViews>
  <sheetFormatPr defaultColWidth="14.42578125" defaultRowHeight="15" customHeight="1" x14ac:dyDescent="0.25"/>
  <cols>
    <col min="1" max="1" width="37.28515625" style="2" customWidth="1"/>
    <col min="2" max="2" width="8" style="2" customWidth="1"/>
    <col min="3" max="3" width="8.5703125" style="2" customWidth="1"/>
    <col min="4" max="4" width="10.140625" style="2" customWidth="1"/>
    <col min="5" max="5" width="9.7109375" style="2" customWidth="1"/>
    <col min="6" max="7" width="8.85546875" style="2" customWidth="1"/>
    <col min="8" max="8" width="2.42578125" style="2" customWidth="1"/>
    <col min="9" max="9" width="10.140625" style="2" customWidth="1"/>
    <col min="10" max="10" width="38.42578125" style="2" customWidth="1"/>
    <col min="11" max="11" width="4.140625" style="2" customWidth="1"/>
    <col min="12" max="25" width="8" style="2" customWidth="1"/>
    <col min="26" max="26" width="40.28515625" style="2" customWidth="1"/>
    <col min="27" max="35" width="8" style="2" customWidth="1"/>
    <col min="36" max="16384" width="14.42578125" style="2"/>
  </cols>
  <sheetData>
    <row r="1" spans="1:35" ht="17.25" customHeight="1" x14ac:dyDescent="0.25">
      <c r="A1" s="40" t="s">
        <v>64</v>
      </c>
      <c r="B1" s="35"/>
      <c r="C1" s="35"/>
      <c r="D1" s="35"/>
      <c r="E1" s="35"/>
      <c r="F1" s="35"/>
      <c r="G1" s="35"/>
      <c r="H1" s="36"/>
      <c r="I1" s="35"/>
      <c r="J1" s="37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1"/>
      <c r="AF1" s="1"/>
      <c r="AG1" s="1"/>
      <c r="AH1" s="1"/>
      <c r="AI1" s="1"/>
    </row>
    <row r="2" spans="1:35" ht="17.25" customHeight="1" x14ac:dyDescent="0.25">
      <c r="A2" s="41" t="s">
        <v>63</v>
      </c>
      <c r="B2" s="35"/>
      <c r="C2" s="35"/>
      <c r="D2" s="35"/>
      <c r="E2" s="35"/>
      <c r="F2" s="35"/>
      <c r="G2" s="35"/>
      <c r="H2" s="36"/>
      <c r="I2" s="35"/>
      <c r="J2" s="3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3.5" customHeight="1" x14ac:dyDescent="0.25">
      <c r="A3" s="1"/>
      <c r="B3" s="1"/>
      <c r="C3" s="1"/>
      <c r="D3" s="1"/>
      <c r="E3" s="1"/>
      <c r="F3" s="1"/>
      <c r="G3" s="1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3.5" customHeight="1" x14ac:dyDescent="0.25">
      <c r="A4" s="33" t="s">
        <v>3</v>
      </c>
      <c r="B4" s="38" t="s">
        <v>4</v>
      </c>
      <c r="C4" s="38"/>
      <c r="D4" s="38"/>
      <c r="E4" s="38"/>
      <c r="F4" s="38"/>
      <c r="G4" s="38"/>
      <c r="H4" s="44"/>
      <c r="I4" s="42" t="s">
        <v>1</v>
      </c>
      <c r="J4" s="39" t="s">
        <v>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1"/>
      <c r="AF4" s="1"/>
      <c r="AG4" s="1"/>
      <c r="AH4" s="1"/>
      <c r="AI4" s="1"/>
    </row>
    <row r="5" spans="1:35" ht="15" customHeight="1" x14ac:dyDescent="0.25">
      <c r="A5" s="36"/>
      <c r="B5" s="31" t="s">
        <v>6</v>
      </c>
      <c r="C5" s="31" t="s">
        <v>7</v>
      </c>
      <c r="D5" s="31" t="s">
        <v>8</v>
      </c>
      <c r="E5" s="31" t="s">
        <v>9</v>
      </c>
      <c r="F5" s="31" t="s">
        <v>10</v>
      </c>
      <c r="G5" s="31" t="s">
        <v>2</v>
      </c>
      <c r="H5" s="31"/>
      <c r="I5" s="43"/>
      <c r="J5" s="3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1"/>
      <c r="AF5" s="1"/>
      <c r="AG5" s="1"/>
      <c r="AH5" s="1"/>
      <c r="AI5" s="1"/>
    </row>
    <row r="6" spans="1:35" ht="21" customHeight="1" x14ac:dyDescent="0.55000000000000004">
      <c r="A6" s="12" t="s">
        <v>2</v>
      </c>
      <c r="B6" s="13">
        <f>SUM(B7:B32)</f>
        <v>1127</v>
      </c>
      <c r="C6" s="13">
        <f t="shared" ref="C6:E6" si="0">SUM(C7:C32)</f>
        <v>596</v>
      </c>
      <c r="D6" s="13">
        <f t="shared" si="0"/>
        <v>160</v>
      </c>
      <c r="E6" s="13">
        <f t="shared" si="0"/>
        <v>160</v>
      </c>
      <c r="F6" s="13">
        <f>SUM(F7:F32)</f>
        <v>61</v>
      </c>
      <c r="G6" s="13">
        <f>SUM(G7:G32)</f>
        <v>2104</v>
      </c>
      <c r="H6" s="32"/>
      <c r="I6" s="30">
        <f>SUM(I7:I32)</f>
        <v>100</v>
      </c>
      <c r="J6" s="6" t="s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1"/>
      <c r="AF6" s="1"/>
      <c r="AG6" s="1"/>
      <c r="AH6" s="1"/>
      <c r="AI6" s="1"/>
    </row>
    <row r="7" spans="1:35" ht="21" customHeight="1" x14ac:dyDescent="0.55000000000000004">
      <c r="A7" s="25" t="s">
        <v>11</v>
      </c>
      <c r="B7" s="21">
        <v>8</v>
      </c>
      <c r="C7" s="21">
        <v>2</v>
      </c>
      <c r="D7" s="21">
        <v>2</v>
      </c>
      <c r="E7" s="21">
        <v>0</v>
      </c>
      <c r="F7" s="21">
        <v>0</v>
      </c>
      <c r="G7" s="19">
        <f t="shared" ref="G7:G32" si="1">B7+C7+D7+E7+F7</f>
        <v>12</v>
      </c>
      <c r="H7" s="19"/>
      <c r="I7" s="23">
        <f>G7/$G$6*100</f>
        <v>0.57034220532319391</v>
      </c>
      <c r="J7" s="16" t="s">
        <v>12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21" customHeight="1" x14ac:dyDescent="0.55000000000000004">
      <c r="A8" s="25" t="s">
        <v>13</v>
      </c>
      <c r="B8" s="21">
        <v>7</v>
      </c>
      <c r="C8" s="21">
        <v>6</v>
      </c>
      <c r="D8" s="21">
        <v>0</v>
      </c>
      <c r="E8" s="21">
        <v>3</v>
      </c>
      <c r="F8" s="21">
        <v>3</v>
      </c>
      <c r="G8" s="19">
        <f t="shared" si="1"/>
        <v>19</v>
      </c>
      <c r="H8" s="19"/>
      <c r="I8" s="23">
        <f t="shared" ref="I7:I31" si="2">G8/$G$6*100</f>
        <v>0.90304182509505693</v>
      </c>
      <c r="J8" s="16" t="s">
        <v>14</v>
      </c>
      <c r="K8" s="1"/>
      <c r="L8" s="1"/>
      <c r="M8" s="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21" customHeight="1" x14ac:dyDescent="0.55000000000000004">
      <c r="A9" s="25" t="s">
        <v>15</v>
      </c>
      <c r="B9" s="21">
        <v>4</v>
      </c>
      <c r="C9" s="21">
        <v>0</v>
      </c>
      <c r="D9" s="21">
        <v>0</v>
      </c>
      <c r="E9" s="21">
        <v>0</v>
      </c>
      <c r="F9" s="21">
        <v>0</v>
      </c>
      <c r="G9" s="19">
        <f t="shared" si="1"/>
        <v>4</v>
      </c>
      <c r="H9" s="19"/>
      <c r="I9" s="23">
        <f t="shared" si="2"/>
        <v>0.19011406844106463</v>
      </c>
      <c r="J9" s="16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21" customHeight="1" x14ac:dyDescent="0.55000000000000004">
      <c r="A10" s="25" t="s">
        <v>17</v>
      </c>
      <c r="B10" s="21">
        <v>13</v>
      </c>
      <c r="C10" s="21">
        <v>1</v>
      </c>
      <c r="D10" s="21">
        <v>0</v>
      </c>
      <c r="E10" s="21">
        <v>0</v>
      </c>
      <c r="F10" s="21">
        <v>0</v>
      </c>
      <c r="G10" s="19">
        <f t="shared" si="1"/>
        <v>14</v>
      </c>
      <c r="H10" s="19"/>
      <c r="I10" s="23">
        <f t="shared" si="2"/>
        <v>0.66539923954372615</v>
      </c>
      <c r="J10" s="16" t="s">
        <v>18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21" customHeight="1" x14ac:dyDescent="0.55000000000000004">
      <c r="A11" s="25" t="s">
        <v>19</v>
      </c>
      <c r="B11" s="21">
        <v>101</v>
      </c>
      <c r="C11" s="21">
        <v>22</v>
      </c>
      <c r="D11" s="21">
        <v>6</v>
      </c>
      <c r="E11" s="21">
        <v>3</v>
      </c>
      <c r="F11" s="21">
        <v>1</v>
      </c>
      <c r="G11" s="19">
        <f t="shared" si="1"/>
        <v>133</v>
      </c>
      <c r="H11" s="19"/>
      <c r="I11" s="23">
        <f t="shared" si="2"/>
        <v>6.3212927756653992</v>
      </c>
      <c r="J11" s="16" t="s">
        <v>20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21" customHeight="1" x14ac:dyDescent="0.55000000000000004">
      <c r="A12" s="25" t="s">
        <v>21</v>
      </c>
      <c r="B12" s="21">
        <v>14</v>
      </c>
      <c r="C12" s="21">
        <v>1</v>
      </c>
      <c r="D12" s="21">
        <v>1</v>
      </c>
      <c r="E12" s="21">
        <v>0</v>
      </c>
      <c r="F12" s="21">
        <v>0</v>
      </c>
      <c r="G12" s="19">
        <f t="shared" si="1"/>
        <v>16</v>
      </c>
      <c r="H12" s="19"/>
      <c r="I12" s="23">
        <f t="shared" si="2"/>
        <v>0.76045627376425851</v>
      </c>
      <c r="J12" s="16" t="s">
        <v>22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44.25" customHeight="1" x14ac:dyDescent="0.25">
      <c r="A13" s="26" t="s">
        <v>23</v>
      </c>
      <c r="B13" s="27">
        <v>18</v>
      </c>
      <c r="C13" s="27">
        <v>30</v>
      </c>
      <c r="D13" s="27">
        <v>7</v>
      </c>
      <c r="E13" s="27">
        <v>5</v>
      </c>
      <c r="F13" s="27">
        <v>3</v>
      </c>
      <c r="G13" s="22">
        <f t="shared" si="1"/>
        <v>63</v>
      </c>
      <c r="H13" s="22"/>
      <c r="I13" s="23">
        <f t="shared" si="2"/>
        <v>2.9942965779467681</v>
      </c>
      <c r="J13" s="17" t="s">
        <v>24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"/>
      <c r="AF13" s="1"/>
      <c r="AG13" s="1"/>
      <c r="AH13" s="1"/>
      <c r="AI13" s="1"/>
    </row>
    <row r="14" spans="1:35" ht="21" customHeight="1" x14ac:dyDescent="0.55000000000000004">
      <c r="A14" s="25" t="s">
        <v>25</v>
      </c>
      <c r="B14" s="21">
        <v>9</v>
      </c>
      <c r="C14" s="21">
        <v>1</v>
      </c>
      <c r="D14" s="21">
        <v>2</v>
      </c>
      <c r="E14" s="21">
        <v>1</v>
      </c>
      <c r="F14" s="21">
        <v>1</v>
      </c>
      <c r="G14" s="19">
        <f t="shared" si="1"/>
        <v>14</v>
      </c>
      <c r="H14" s="19"/>
      <c r="I14" s="23">
        <f t="shared" si="2"/>
        <v>0.66539923954372615</v>
      </c>
      <c r="J14" s="16" t="s">
        <v>26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21" customHeight="1" x14ac:dyDescent="0.55000000000000004">
      <c r="A15" s="25" t="s">
        <v>27</v>
      </c>
      <c r="B15" s="21">
        <v>2</v>
      </c>
      <c r="C15" s="21">
        <v>5</v>
      </c>
      <c r="D15" s="21">
        <v>1</v>
      </c>
      <c r="E15" s="21">
        <v>0</v>
      </c>
      <c r="F15" s="21">
        <v>0</v>
      </c>
      <c r="G15" s="19">
        <f t="shared" si="1"/>
        <v>8</v>
      </c>
      <c r="H15" s="19"/>
      <c r="I15" s="23">
        <f t="shared" si="2"/>
        <v>0.38022813688212925</v>
      </c>
      <c r="J15" s="16" t="s">
        <v>28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21" customHeight="1" x14ac:dyDescent="0.55000000000000004">
      <c r="A16" s="25" t="s">
        <v>29</v>
      </c>
      <c r="B16" s="21">
        <v>51</v>
      </c>
      <c r="C16" s="21">
        <v>219</v>
      </c>
      <c r="D16" s="21">
        <v>60</v>
      </c>
      <c r="E16" s="21">
        <v>60</v>
      </c>
      <c r="F16" s="21">
        <v>32</v>
      </c>
      <c r="G16" s="19">
        <f t="shared" si="1"/>
        <v>422</v>
      </c>
      <c r="H16" s="19"/>
      <c r="I16" s="23">
        <f t="shared" si="2"/>
        <v>20.057034220532319</v>
      </c>
      <c r="J16" s="16" t="s">
        <v>30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21" customHeight="1" x14ac:dyDescent="0.55000000000000004">
      <c r="A17" s="25" t="s">
        <v>31</v>
      </c>
      <c r="B17" s="21">
        <v>14</v>
      </c>
      <c r="C17" s="21">
        <v>17</v>
      </c>
      <c r="D17" s="21">
        <v>2</v>
      </c>
      <c r="E17" s="21">
        <v>1</v>
      </c>
      <c r="F17" s="21">
        <v>2</v>
      </c>
      <c r="G17" s="19">
        <f t="shared" si="1"/>
        <v>36</v>
      </c>
      <c r="H17" s="19"/>
      <c r="I17" s="23">
        <f t="shared" si="2"/>
        <v>1.7110266159695817</v>
      </c>
      <c r="J17" s="16" t="s">
        <v>32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21" customHeight="1" x14ac:dyDescent="0.55000000000000004">
      <c r="A18" s="25" t="s">
        <v>33</v>
      </c>
      <c r="B18" s="21">
        <v>164</v>
      </c>
      <c r="C18" s="21">
        <v>73</v>
      </c>
      <c r="D18" s="21">
        <v>42</v>
      </c>
      <c r="E18" s="21">
        <v>67</v>
      </c>
      <c r="F18" s="21">
        <v>8</v>
      </c>
      <c r="G18" s="19">
        <f t="shared" si="1"/>
        <v>354</v>
      </c>
      <c r="H18" s="19"/>
      <c r="I18" s="23">
        <f t="shared" si="2"/>
        <v>16.825095057034218</v>
      </c>
      <c r="J18" s="16" t="s">
        <v>34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21" customHeight="1" x14ac:dyDescent="0.55000000000000004">
      <c r="A19" s="25" t="s">
        <v>35</v>
      </c>
      <c r="B19" s="21">
        <v>7</v>
      </c>
      <c r="C19" s="21">
        <v>2</v>
      </c>
      <c r="D19" s="21">
        <v>0</v>
      </c>
      <c r="E19" s="21">
        <v>0</v>
      </c>
      <c r="F19" s="21">
        <v>0</v>
      </c>
      <c r="G19" s="19">
        <f t="shared" si="1"/>
        <v>9</v>
      </c>
      <c r="H19" s="19"/>
      <c r="I19" s="23">
        <f t="shared" si="2"/>
        <v>0.42775665399239543</v>
      </c>
      <c r="J19" s="16" t="s">
        <v>36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21" customHeight="1" x14ac:dyDescent="0.55000000000000004">
      <c r="A20" s="25" t="s">
        <v>37</v>
      </c>
      <c r="B20" s="21">
        <v>1</v>
      </c>
      <c r="C20" s="21">
        <v>1</v>
      </c>
      <c r="D20" s="21">
        <v>0</v>
      </c>
      <c r="E20" s="21">
        <v>0</v>
      </c>
      <c r="F20" s="21">
        <v>1</v>
      </c>
      <c r="G20" s="19">
        <f t="shared" si="1"/>
        <v>3</v>
      </c>
      <c r="H20" s="19"/>
      <c r="I20" s="23">
        <f t="shared" si="2"/>
        <v>0.14258555133079848</v>
      </c>
      <c r="J20" s="16" t="s">
        <v>38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21" customHeight="1" x14ac:dyDescent="0.55000000000000004">
      <c r="A21" s="25" t="s">
        <v>39</v>
      </c>
      <c r="B21" s="21">
        <v>1</v>
      </c>
      <c r="C21" s="21">
        <v>0</v>
      </c>
      <c r="D21" s="21">
        <v>0</v>
      </c>
      <c r="E21" s="21">
        <v>0</v>
      </c>
      <c r="F21" s="21">
        <v>0</v>
      </c>
      <c r="G21" s="19">
        <f t="shared" si="1"/>
        <v>1</v>
      </c>
      <c r="H21" s="19"/>
      <c r="I21" s="23">
        <f t="shared" si="2"/>
        <v>4.7528517110266157E-2</v>
      </c>
      <c r="J21" s="16" t="s">
        <v>40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21" customHeight="1" x14ac:dyDescent="0.55000000000000004">
      <c r="A22" s="25" t="s">
        <v>61</v>
      </c>
      <c r="B22" s="21">
        <v>1</v>
      </c>
      <c r="C22" s="21">
        <v>0</v>
      </c>
      <c r="D22" s="21">
        <v>0</v>
      </c>
      <c r="E22" s="21">
        <v>0</v>
      </c>
      <c r="F22" s="21">
        <v>0</v>
      </c>
      <c r="G22" s="19">
        <f t="shared" si="1"/>
        <v>1</v>
      </c>
      <c r="H22" s="19"/>
      <c r="I22" s="23">
        <f t="shared" si="2"/>
        <v>4.7528517110266157E-2</v>
      </c>
      <c r="J22" s="16" t="s">
        <v>62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21" customHeight="1" x14ac:dyDescent="0.55000000000000004">
      <c r="A23" s="25" t="s">
        <v>41</v>
      </c>
      <c r="B23" s="21">
        <v>5</v>
      </c>
      <c r="C23" s="21">
        <v>3</v>
      </c>
      <c r="D23" s="21">
        <v>0</v>
      </c>
      <c r="E23" s="21">
        <v>0</v>
      </c>
      <c r="F23" s="21">
        <v>0</v>
      </c>
      <c r="G23" s="19">
        <f t="shared" si="1"/>
        <v>8</v>
      </c>
      <c r="H23" s="19"/>
      <c r="I23" s="23">
        <f t="shared" si="2"/>
        <v>0.38022813688212925</v>
      </c>
      <c r="J23" s="16" t="s">
        <v>42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21" customHeight="1" x14ac:dyDescent="0.55000000000000004">
      <c r="A24" s="25" t="s">
        <v>43</v>
      </c>
      <c r="B24" s="21">
        <v>18</v>
      </c>
      <c r="C24" s="21">
        <v>1</v>
      </c>
      <c r="D24" s="21">
        <v>0</v>
      </c>
      <c r="E24" s="21">
        <v>0</v>
      </c>
      <c r="F24" s="21">
        <v>0</v>
      </c>
      <c r="G24" s="19">
        <f t="shared" si="1"/>
        <v>19</v>
      </c>
      <c r="H24" s="19"/>
      <c r="I24" s="23">
        <f t="shared" si="2"/>
        <v>0.90304182509505693</v>
      </c>
      <c r="J24" s="16" t="s">
        <v>44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21" customHeight="1" x14ac:dyDescent="0.55000000000000004">
      <c r="A25" s="25" t="s">
        <v>45</v>
      </c>
      <c r="B25" s="21">
        <v>0</v>
      </c>
      <c r="C25" s="21">
        <v>1</v>
      </c>
      <c r="D25" s="21">
        <v>1</v>
      </c>
      <c r="E25" s="21">
        <v>0</v>
      </c>
      <c r="F25" s="21">
        <v>0</v>
      </c>
      <c r="G25" s="19">
        <f t="shared" si="1"/>
        <v>2</v>
      </c>
      <c r="H25" s="19"/>
      <c r="I25" s="23">
        <f t="shared" si="2"/>
        <v>9.5057034220532313E-2</v>
      </c>
      <c r="J25" s="16" t="s">
        <v>46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21" customHeight="1" x14ac:dyDescent="0.55000000000000004">
      <c r="A26" s="25" t="s">
        <v>47</v>
      </c>
      <c r="B26" s="21">
        <v>25</v>
      </c>
      <c r="C26" s="21">
        <v>23</v>
      </c>
      <c r="D26" s="21">
        <v>11</v>
      </c>
      <c r="E26" s="21">
        <v>6</v>
      </c>
      <c r="F26" s="21">
        <v>1</v>
      </c>
      <c r="G26" s="19">
        <f t="shared" si="1"/>
        <v>66</v>
      </c>
      <c r="H26" s="19"/>
      <c r="I26" s="23">
        <f t="shared" si="2"/>
        <v>3.1368821292775664</v>
      </c>
      <c r="J26" s="16" t="s">
        <v>48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21" customHeight="1" x14ac:dyDescent="0.55000000000000004">
      <c r="A27" s="25" t="s">
        <v>49</v>
      </c>
      <c r="B27" s="21">
        <v>33</v>
      </c>
      <c r="C27" s="21">
        <v>9</v>
      </c>
      <c r="D27" s="21">
        <v>3</v>
      </c>
      <c r="E27" s="21">
        <v>2</v>
      </c>
      <c r="F27" s="21">
        <v>2</v>
      </c>
      <c r="G27" s="19">
        <f t="shared" si="1"/>
        <v>49</v>
      </c>
      <c r="H27" s="19"/>
      <c r="I27" s="23">
        <f t="shared" si="2"/>
        <v>2.328897338403042</v>
      </c>
      <c r="J27" s="16" t="s">
        <v>50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21" customHeight="1" x14ac:dyDescent="0.55000000000000004">
      <c r="A28" s="25" t="s">
        <v>51</v>
      </c>
      <c r="B28" s="21">
        <v>191</v>
      </c>
      <c r="C28" s="21">
        <v>58</v>
      </c>
      <c r="D28" s="21">
        <v>8</v>
      </c>
      <c r="E28" s="21">
        <v>6</v>
      </c>
      <c r="F28" s="21">
        <v>0</v>
      </c>
      <c r="G28" s="19">
        <f t="shared" si="1"/>
        <v>263</v>
      </c>
      <c r="H28" s="19"/>
      <c r="I28" s="23">
        <f t="shared" si="2"/>
        <v>12.5</v>
      </c>
      <c r="J28" s="16" t="s">
        <v>52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21" customHeight="1" x14ac:dyDescent="0.55000000000000004">
      <c r="A29" s="25" t="s">
        <v>53</v>
      </c>
      <c r="B29" s="21">
        <v>7</v>
      </c>
      <c r="C29" s="21">
        <v>5</v>
      </c>
      <c r="D29" s="21">
        <v>3</v>
      </c>
      <c r="E29" s="21">
        <v>1</v>
      </c>
      <c r="F29" s="21">
        <v>2</v>
      </c>
      <c r="G29" s="19">
        <f t="shared" si="1"/>
        <v>18</v>
      </c>
      <c r="H29" s="19"/>
      <c r="I29" s="23">
        <f t="shared" si="2"/>
        <v>0.85551330798479086</v>
      </c>
      <c r="J29" s="16" t="s">
        <v>54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21" customHeight="1" x14ac:dyDescent="0.55000000000000004">
      <c r="A30" s="25" t="s">
        <v>55</v>
      </c>
      <c r="B30" s="21">
        <v>3</v>
      </c>
      <c r="C30" s="21">
        <v>1</v>
      </c>
      <c r="D30" s="21">
        <v>0</v>
      </c>
      <c r="E30" s="21">
        <v>0</v>
      </c>
      <c r="F30" s="21">
        <v>0</v>
      </c>
      <c r="G30" s="19">
        <f t="shared" si="1"/>
        <v>4</v>
      </c>
      <c r="H30" s="19"/>
      <c r="I30" s="23">
        <f t="shared" si="2"/>
        <v>0.19011406844106463</v>
      </c>
      <c r="J30" s="16" t="s">
        <v>56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21" customHeight="1" x14ac:dyDescent="0.55000000000000004">
      <c r="A31" s="25" t="s">
        <v>57</v>
      </c>
      <c r="B31" s="21">
        <v>112</v>
      </c>
      <c r="C31" s="21">
        <v>34</v>
      </c>
      <c r="D31" s="21">
        <v>5</v>
      </c>
      <c r="E31" s="21">
        <v>1</v>
      </c>
      <c r="F31" s="21">
        <v>2</v>
      </c>
      <c r="G31" s="19">
        <f t="shared" si="1"/>
        <v>154</v>
      </c>
      <c r="H31" s="19"/>
      <c r="I31" s="23">
        <f t="shared" si="2"/>
        <v>7.3193916349809891</v>
      </c>
      <c r="J31" s="16" t="s">
        <v>58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7.25" customHeight="1" x14ac:dyDescent="0.55000000000000004">
      <c r="A32" s="28" t="s">
        <v>59</v>
      </c>
      <c r="B32" s="29">
        <v>318</v>
      </c>
      <c r="C32" s="29">
        <v>81</v>
      </c>
      <c r="D32" s="29">
        <v>6</v>
      </c>
      <c r="E32" s="29">
        <v>4</v>
      </c>
      <c r="F32" s="29">
        <v>3</v>
      </c>
      <c r="G32" s="20">
        <f t="shared" si="1"/>
        <v>412</v>
      </c>
      <c r="H32" s="20"/>
      <c r="I32" s="24">
        <f>G32/$G$6*100</f>
        <v>19.581749049429657</v>
      </c>
      <c r="J32" s="18" t="s">
        <v>60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customHeight="1" x14ac:dyDescent="0.25">
      <c r="A33" s="10"/>
      <c r="B33" s="10"/>
      <c r="C33" s="10"/>
      <c r="D33" s="10"/>
      <c r="E33" s="10"/>
      <c r="F33" s="10"/>
      <c r="G33" s="10"/>
      <c r="H33" s="1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customHeight="1" x14ac:dyDescent="0.25">
      <c r="A34" s="1"/>
      <c r="B34" s="1"/>
      <c r="C34" s="1"/>
      <c r="D34" s="15"/>
      <c r="E34" s="15"/>
      <c r="F34" s="15"/>
      <c r="G34" s="1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5.75" customHeight="1" x14ac:dyDescent="0.25">
      <c r="A35" s="1"/>
      <c r="B35" s="1"/>
      <c r="C35" s="1"/>
      <c r="D35" s="1"/>
      <c r="E35" s="1"/>
      <c r="F35" s="1"/>
      <c r="G35" s="1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5.75" customHeight="1" x14ac:dyDescent="0.25">
      <c r="A36" s="1"/>
      <c r="B36" s="1"/>
      <c r="C36" s="1"/>
      <c r="D36" s="1"/>
      <c r="E36" s="1"/>
      <c r="F36" s="1"/>
      <c r="G36" s="1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5"/>
      <c r="AD36" s="15"/>
      <c r="AE36" s="15"/>
      <c r="AF36" s="15"/>
      <c r="AG36" s="15"/>
      <c r="AH36" s="1"/>
      <c r="AI36" s="1"/>
    </row>
    <row r="37" spans="1:35" ht="15.75" customHeight="1" x14ac:dyDescent="0.25">
      <c r="A37" s="1"/>
      <c r="B37" s="1"/>
      <c r="C37" s="1"/>
      <c r="D37" s="1"/>
      <c r="E37" s="1"/>
      <c r="F37" s="1"/>
      <c r="G37" s="1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9"/>
      <c r="AD37" s="9"/>
      <c r="AE37" s="9"/>
      <c r="AF37" s="9"/>
      <c r="AG37" s="9"/>
      <c r="AH37" s="9"/>
      <c r="AI37" s="1"/>
    </row>
    <row r="38" spans="1:35" ht="15.75" customHeight="1" x14ac:dyDescent="0.25">
      <c r="A38" s="1"/>
      <c r="B38" s="1"/>
      <c r="C38" s="1"/>
      <c r="D38" s="1"/>
      <c r="E38" s="1"/>
      <c r="F38" s="1"/>
      <c r="G38" s="1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5.75" customHeight="1" x14ac:dyDescent="0.25">
      <c r="A39" s="1"/>
      <c r="B39" s="1"/>
      <c r="C39" s="1"/>
      <c r="D39" s="1"/>
      <c r="E39" s="1"/>
      <c r="F39" s="1"/>
      <c r="G39" s="1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5.75" customHeight="1" x14ac:dyDescent="0.25">
      <c r="A40" s="1"/>
      <c r="B40" s="1"/>
      <c r="C40" s="1"/>
      <c r="D40" s="1"/>
      <c r="E40" s="1"/>
      <c r="F40" s="1"/>
      <c r="G40" s="1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5.75" customHeight="1" x14ac:dyDescent="0.25">
      <c r="A41" s="1"/>
      <c r="B41" s="1"/>
      <c r="C41" s="1"/>
      <c r="D41" s="1"/>
      <c r="E41" s="1"/>
      <c r="F41" s="1"/>
      <c r="G41" s="1"/>
      <c r="H41" s="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5.75" customHeight="1" x14ac:dyDescent="0.25">
      <c r="A42" s="1"/>
      <c r="B42" s="1"/>
      <c r="C42" s="1"/>
      <c r="D42" s="1"/>
      <c r="E42" s="1"/>
      <c r="F42" s="1"/>
      <c r="G42" s="1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5.75" customHeight="1" x14ac:dyDescent="0.25">
      <c r="A43" s="1"/>
      <c r="B43" s="1"/>
      <c r="C43" s="1"/>
      <c r="D43" s="1"/>
      <c r="E43" s="1"/>
      <c r="F43" s="1"/>
      <c r="G43" s="1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5.75" customHeight="1" x14ac:dyDescent="0.25">
      <c r="A44" s="1"/>
      <c r="B44" s="1"/>
      <c r="C44" s="1"/>
      <c r="D44" s="1"/>
      <c r="E44" s="1"/>
      <c r="F44" s="1"/>
      <c r="G44" s="1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.75" customHeight="1" x14ac:dyDescent="0.25">
      <c r="A45" s="1"/>
      <c r="B45" s="1"/>
      <c r="C45" s="1"/>
      <c r="D45" s="1"/>
      <c r="E45" s="1"/>
      <c r="F45" s="1"/>
      <c r="G45" s="1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5.75" customHeight="1" x14ac:dyDescent="0.25">
      <c r="A46" s="1"/>
      <c r="B46" s="1"/>
      <c r="C46" s="1"/>
      <c r="D46" s="1"/>
      <c r="E46" s="1"/>
      <c r="F46" s="1"/>
      <c r="G46" s="1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.75" customHeight="1" x14ac:dyDescent="0.25">
      <c r="A47" s="1"/>
      <c r="B47" s="1"/>
      <c r="C47" s="1"/>
      <c r="D47" s="1"/>
      <c r="E47" s="1"/>
      <c r="F47" s="1"/>
      <c r="G47" s="1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5.75" customHeight="1" x14ac:dyDescent="0.25">
      <c r="A48" s="1"/>
      <c r="B48" s="1"/>
      <c r="C48" s="1"/>
      <c r="D48" s="1"/>
      <c r="E48" s="1"/>
      <c r="F48" s="1"/>
      <c r="G48" s="1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.75" customHeight="1" x14ac:dyDescent="0.25">
      <c r="A49" s="1"/>
      <c r="B49" s="1"/>
      <c r="C49" s="1"/>
      <c r="D49" s="1"/>
      <c r="E49" s="1"/>
      <c r="F49" s="1"/>
      <c r="G49" s="1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.75" customHeight="1" x14ac:dyDescent="0.25">
      <c r="A50" s="1"/>
      <c r="B50" s="1"/>
      <c r="C50" s="1"/>
      <c r="D50" s="1"/>
      <c r="E50" s="1"/>
      <c r="F50" s="1"/>
      <c r="G50" s="1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.75" customHeight="1" x14ac:dyDescent="0.25">
      <c r="A51" s="1"/>
      <c r="B51" s="1"/>
      <c r="C51" s="1"/>
      <c r="D51" s="1"/>
      <c r="E51" s="1"/>
      <c r="F51" s="1"/>
      <c r="G51" s="1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.75" customHeight="1" x14ac:dyDescent="0.25">
      <c r="A52" s="1"/>
      <c r="B52" s="1"/>
      <c r="C52" s="1"/>
      <c r="D52" s="1"/>
      <c r="E52" s="1"/>
      <c r="F52" s="1"/>
      <c r="G52" s="1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5.75" customHeight="1" x14ac:dyDescent="0.25">
      <c r="A53" s="1"/>
      <c r="B53" s="1"/>
      <c r="C53" s="1"/>
      <c r="D53" s="1"/>
      <c r="E53" s="1"/>
      <c r="F53" s="1"/>
      <c r="G53" s="1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5.75" customHeight="1" x14ac:dyDescent="0.25">
      <c r="A54" s="1"/>
      <c r="B54" s="1"/>
      <c r="C54" s="1"/>
      <c r="D54" s="1"/>
      <c r="E54" s="1"/>
      <c r="F54" s="1"/>
      <c r="G54" s="1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5.75" customHeight="1" x14ac:dyDescent="0.25">
      <c r="A55" s="1"/>
      <c r="B55" s="1"/>
      <c r="C55" s="1"/>
      <c r="D55" s="1"/>
      <c r="E55" s="1"/>
      <c r="F55" s="1"/>
      <c r="G55" s="1"/>
      <c r="H55" s="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5.75" customHeight="1" x14ac:dyDescent="0.25">
      <c r="A56" s="1"/>
      <c r="B56" s="1"/>
      <c r="C56" s="1"/>
      <c r="D56" s="1"/>
      <c r="E56" s="1"/>
      <c r="F56" s="1"/>
      <c r="G56" s="1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5.75" customHeight="1" x14ac:dyDescent="0.25">
      <c r="A57" s="1"/>
      <c r="B57" s="1"/>
      <c r="C57" s="1"/>
      <c r="D57" s="1"/>
      <c r="E57" s="1"/>
      <c r="F57" s="1"/>
      <c r="G57" s="1"/>
      <c r="H57" s="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5.75" customHeight="1" x14ac:dyDescent="0.25">
      <c r="A58" s="1"/>
      <c r="B58" s="1"/>
      <c r="C58" s="1"/>
      <c r="D58" s="1"/>
      <c r="E58" s="1"/>
      <c r="F58" s="1"/>
      <c r="G58" s="1"/>
      <c r="H58" s="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5.75" customHeight="1" x14ac:dyDescent="0.25">
      <c r="A59" s="1"/>
      <c r="B59" s="1"/>
      <c r="C59" s="1"/>
      <c r="D59" s="1"/>
      <c r="E59" s="1"/>
      <c r="F59" s="1"/>
      <c r="G59" s="1"/>
      <c r="H59" s="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5.75" customHeight="1" x14ac:dyDescent="0.25">
      <c r="A60" s="1"/>
      <c r="B60" s="1"/>
      <c r="C60" s="1"/>
      <c r="D60" s="1"/>
      <c r="E60" s="1"/>
      <c r="F60" s="1"/>
      <c r="G60" s="1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5.75" customHeight="1" x14ac:dyDescent="0.25">
      <c r="A61" s="1"/>
      <c r="B61" s="1"/>
      <c r="C61" s="1"/>
      <c r="D61" s="1"/>
      <c r="E61" s="1"/>
      <c r="F61" s="1"/>
      <c r="G61" s="1"/>
      <c r="H61" s="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5.75" customHeight="1" x14ac:dyDescent="0.25">
      <c r="A62" s="1"/>
      <c r="B62" s="1"/>
      <c r="C62" s="1"/>
      <c r="D62" s="1"/>
      <c r="E62" s="1"/>
      <c r="F62" s="1"/>
      <c r="G62" s="1"/>
      <c r="H62" s="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5.75" customHeight="1" x14ac:dyDescent="0.25">
      <c r="A63" s="1"/>
      <c r="B63" s="1"/>
      <c r="C63" s="1"/>
      <c r="D63" s="1"/>
      <c r="E63" s="1"/>
      <c r="F63" s="1"/>
      <c r="G63" s="1"/>
      <c r="H63" s="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5.75" customHeight="1" x14ac:dyDescent="0.25">
      <c r="A64" s="1"/>
      <c r="B64" s="1"/>
      <c r="C64" s="1"/>
      <c r="D64" s="1"/>
      <c r="E64" s="1"/>
      <c r="F64" s="1"/>
      <c r="G64" s="1"/>
      <c r="H64" s="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5.75" customHeight="1" x14ac:dyDescent="0.25">
      <c r="A65" s="1"/>
      <c r="B65" s="1"/>
      <c r="C65" s="1"/>
      <c r="D65" s="1"/>
      <c r="E65" s="1"/>
      <c r="F65" s="1"/>
      <c r="G65" s="1"/>
      <c r="H65" s="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5.75" customHeight="1" x14ac:dyDescent="0.25">
      <c r="A66" s="1"/>
      <c r="B66" s="1"/>
      <c r="C66" s="1"/>
      <c r="D66" s="1"/>
      <c r="E66" s="1"/>
      <c r="F66" s="1"/>
      <c r="G66" s="1"/>
      <c r="H66" s="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5.75" customHeight="1" x14ac:dyDescent="0.25">
      <c r="A67" s="1"/>
      <c r="B67" s="1"/>
      <c r="C67" s="1"/>
      <c r="D67" s="1"/>
      <c r="E67" s="1"/>
      <c r="F67" s="1"/>
      <c r="G67" s="1"/>
      <c r="H67" s="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5.75" customHeight="1" x14ac:dyDescent="0.25">
      <c r="A68" s="1"/>
      <c r="B68" s="1"/>
      <c r="C68" s="1"/>
      <c r="D68" s="1"/>
      <c r="E68" s="1"/>
      <c r="F68" s="1"/>
      <c r="G68" s="1"/>
      <c r="H68" s="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5.75" customHeight="1" x14ac:dyDescent="0.25">
      <c r="A69" s="1"/>
      <c r="B69" s="1"/>
      <c r="C69" s="1"/>
      <c r="D69" s="1"/>
      <c r="E69" s="1"/>
      <c r="F69" s="1"/>
      <c r="G69" s="1"/>
      <c r="H69" s="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5.75" customHeight="1" x14ac:dyDescent="0.25">
      <c r="A70" s="1"/>
      <c r="B70" s="1"/>
      <c r="C70" s="1"/>
      <c r="D70" s="1"/>
      <c r="E70" s="1"/>
      <c r="F70" s="1"/>
      <c r="G70" s="1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5.75" customHeight="1" x14ac:dyDescent="0.25">
      <c r="A71" s="1"/>
      <c r="B71" s="1"/>
      <c r="C71" s="1"/>
      <c r="D71" s="1"/>
      <c r="E71" s="1"/>
      <c r="F71" s="1"/>
      <c r="G71" s="1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5.75" customHeight="1" x14ac:dyDescent="0.25">
      <c r="A72" s="1"/>
      <c r="B72" s="1"/>
      <c r="C72" s="1"/>
      <c r="D72" s="1"/>
      <c r="E72" s="1"/>
      <c r="F72" s="1"/>
      <c r="G72" s="1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</sheetData>
  <mergeCells count="6">
    <mergeCell ref="A1:J1"/>
    <mergeCell ref="A2:J2"/>
    <mergeCell ref="A4:A5"/>
    <mergeCell ref="J4:J5"/>
    <mergeCell ref="I4:I5"/>
    <mergeCell ref="B4:H4"/>
  </mergeCells>
  <pageMargins left="0.7" right="0.7" top="0.75" bottom="0.75" header="0" footer="0"/>
  <pageSetup paperSize="9" scale="54" orientation="landscape" horizontalDpi="4294967295" verticalDpi="4294967295" r:id="rId1"/>
  <rowBreaks count="2" manualBreakCount="2">
    <brk id="49" max="10" man="1"/>
    <brk id="71" max="9" man="1"/>
  </rowBreaks>
  <ignoredErrors>
    <ignoredError sqref="C5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2023-03-15T04:35:58Z</cp:lastPrinted>
  <dcterms:created xsi:type="dcterms:W3CDTF">2019-02-21T04:10:17Z</dcterms:created>
  <dcterms:modified xsi:type="dcterms:W3CDTF">2023-03-15T04:36:16Z</dcterms:modified>
</cp:coreProperties>
</file>