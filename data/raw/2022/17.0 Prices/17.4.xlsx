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rices\"/>
    </mc:Choice>
  </mc:AlternateContent>
  <xr:revisionPtr revIDLastSave="0" documentId="13_ncr:1_{A8D1FCE4-C801-4A2C-91EE-1FC3E281A229}" xr6:coauthVersionLast="47" xr6:coauthVersionMax="47" xr10:uidLastSave="{00000000-0000-0000-0000-000000000000}"/>
  <bookViews>
    <workbookView xWindow="-120" yWindow="-120" windowWidth="29040" windowHeight="15840" tabRatio="466" xr2:uid="{00000000-000D-0000-FFFF-FFFF00000000}"/>
  </bookViews>
  <sheets>
    <sheet name="17.4" sheetId="4" r:id="rId1"/>
  </sheets>
  <definedNames>
    <definedName name="_xlnm.Print_Area" localSheetId="0">'17.4'!$A$1:$P$31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4" l="1"/>
  <c r="N25" i="4"/>
  <c r="N24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</calcChain>
</file>

<file path=xl/sharedStrings.xml><?xml version="1.0" encoding="utf-8"?>
<sst xmlns="http://schemas.openxmlformats.org/spreadsheetml/2006/main" count="74" uniqueCount="74">
  <si>
    <t xml:space="preserve">Source:  National  Bureau of Statistics   </t>
  </si>
  <si>
    <t>Major Groups - Republic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</si>
  <si>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</si>
  <si>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</si>
  <si>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</si>
  <si>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</si>
  <si>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</si>
  <si>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</si>
  <si>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</si>
  <si>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</si>
  <si>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cnWviawf iaWTUb idwa unuawncnwa</t>
  </si>
  <si>
    <t>cawtctwvWb egulet idwa csEg ,uTcnwrwk ,cnef ,ilukegEg</t>
  </si>
  <si>
    <t xml:space="preserve"> ilukegEg</t>
  </si>
  <si>
    <t>cnurukctWmWrwm  iaWCcaekwt  ELugcneg Wfih ,cnixem,rwCInrwf</t>
  </si>
  <si>
    <t>Health</t>
  </si>
  <si>
    <t>ctwmcdiK IHcaiB</t>
  </si>
  <si>
    <t xml:space="preserve"> urutwfurutwd</t>
  </si>
  <si>
    <t>ctwmudiK ItWlwBWvum</t>
  </si>
  <si>
    <t>cawtcawtcnwk IfWqws iaWrwviLuk</t>
  </si>
  <si>
    <t>cmIluAwt</t>
  </si>
  <si>
    <t xml:space="preserve">  cTcnwrOTcser idwa Efek ,WToh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</si>
  <si>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</si>
  <si>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</si>
  <si>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</si>
  <si>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</si>
  <si>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</si>
  <si>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</si>
  <si>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</si>
  <si>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na- Not available</t>
  </si>
  <si>
    <t>Monthly CPI</t>
  </si>
  <si>
    <t>iawa.Ip.Is eguhwmcswm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</si>
  <si>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</si>
  <si>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</si>
  <si>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</si>
  <si>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</si>
  <si>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</si>
  <si>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</si>
  <si>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</si>
  <si>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</si>
  <si>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</si>
  <si>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</si>
  <si>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</si>
  <si>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</si>
  <si>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cjErwvea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</si>
  <si>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</si>
  <si>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</si>
  <si>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</si>
  <si>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</si>
  <si>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</si>
  <si>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</si>
  <si>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</si>
  <si>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</si>
  <si>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</si>
  <si>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</si>
  <si>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</si>
  <si>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</si>
  <si>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Jan-Dec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</si>
  <si>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</si>
  <si>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</si>
  <si>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</si>
  <si>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</si>
  <si>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</si>
  <si>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</si>
  <si>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</si>
  <si>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</si>
  <si>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</si>
  <si>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</si>
  <si>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</si>
  <si>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(Index - base: Aug 2019=100)</t>
  </si>
  <si>
    <t>In 2019, base of ndex: Aug 2019=100, COICOP 2018 has been adopted in the rebased series</t>
  </si>
  <si>
    <t>އިންޝުއަރެންސް އަދި މާލީ ޚިދުމަތްތައް</t>
  </si>
  <si>
    <t>2021 ,cSwaejcaWr ,uDnwgcnim egugwa egurWzWb uhwmcswmikea : 17.4 ulwvWt</t>
  </si>
  <si>
    <t>Table 17.4 :   CPI GROUPS, by months,  Republic,  2021</t>
  </si>
  <si>
    <r>
      <t xml:space="preserve">(cnegiawlwbcSwa 100 IkwDnwgcnim eg </t>
    </r>
    <r>
      <rPr>
        <b/>
        <sz val="9"/>
        <color theme="1"/>
        <rFont val="Faruma"/>
      </rPr>
      <t>އޮގަސްޓް</t>
    </r>
    <r>
      <rPr>
        <b/>
        <sz val="9"/>
        <color theme="1"/>
        <rFont val="A_Faseyha"/>
      </rPr>
      <t xml:space="preserve"> 2019 )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</si>
</sst>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2" formatCode="0.00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b/>
      <sz val="11"/>
      <color theme="1"/>
      <name val="A_Randhoo"/>
    </font>
    <font>
      <sz val="9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1"/>
      <color theme="1"/>
      <name val="A_Faseyha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165" fontId="3" fillId="0" borderId="0"/>
    <xf numFmtId="0" fontId="5" fillId="0" borderId="0"/>
    <xf numFmtId="165" fontId="3" fillId="0" borderId="0"/>
    <xf numFmtId="165" fontId="3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5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18" fillId="0" borderId="0"/>
    <xf numFmtId="9" fontId="5" fillId="0" borderId="0" applyFont="0" applyFill="0" applyBorder="0" applyAlignment="0" applyProtection="0"/>
    <xf numFmtId="0" fontId="1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</cellStyleXfs>
  <cellXfs count="47">
    <xf numFmtId="0" fontId="0" fillId="0" borderId="0" xfId="0"/>
    <xf numFmtId="0" fontId="0" fillId="2" borderId="0" xfId="0" applyFill="1"/>
    <xf numFmtId="0" fontId="9" fillId="2" borderId="0" xfId="0" applyFont="1" applyFill="1"/>
    <xf numFmtId="0" fontId="9" fillId="2" borderId="0" xfId="2" applyFont="1" applyFill="1"/>
    <xf numFmtId="0" fontId="6" fillId="2" borderId="3" xfId="2" applyFont="1" applyFill="1" applyBorder="1" applyAlignment="1">
      <alignment vertical="center"/>
    </xf>
    <xf numFmtId="0" fontId="5" fillId="2" borderId="3" xfId="2" applyFill="1" applyBorder="1"/>
    <xf numFmtId="165" fontId="12" fillId="2" borderId="0" xfId="4" applyFont="1" applyFill="1" applyAlignment="1">
      <alignment vertical="center" wrapText="1"/>
    </xf>
    <xf numFmtId="165" fontId="12" fillId="2" borderId="0" xfId="4" applyFont="1" applyFill="1" applyAlignment="1">
      <alignment vertical="center"/>
    </xf>
    <xf numFmtId="0" fontId="12" fillId="2" borderId="0" xfId="5" applyFont="1" applyFill="1" applyAlignment="1">
      <alignment vertical="center"/>
    </xf>
    <xf numFmtId="165" fontId="11" fillId="2" borderId="0" xfId="4" applyFont="1" applyFill="1" applyAlignment="1">
      <alignment vertical="center"/>
    </xf>
    <xf numFmtId="165" fontId="11" fillId="2" borderId="1" xfId="4" applyFont="1" applyFill="1" applyBorder="1" applyAlignment="1">
      <alignment vertical="center"/>
    </xf>
    <xf numFmtId="0" fontId="13" fillId="2" borderId="0" xfId="0" applyFont="1" applyFill="1" applyAlignment="1">
      <alignment horizontal="left" vertical="center" indent="1"/>
    </xf>
    <xf numFmtId="165" fontId="15" fillId="2" borderId="0" xfId="1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6" fillId="2" borderId="2" xfId="2" applyFont="1" applyFill="1" applyBorder="1" applyAlignment="1">
      <alignment horizontal="left"/>
    </xf>
    <xf numFmtId="0" fontId="11" fillId="2" borderId="0" xfId="2" applyFont="1" applyFill="1" applyAlignment="1">
      <alignment horizontal="left" vertical="center"/>
    </xf>
    <xf numFmtId="166" fontId="14" fillId="2" borderId="0" xfId="0" applyNumberFormat="1" applyFont="1" applyFill="1" applyAlignment="1">
      <alignment vertical="center"/>
    </xf>
    <xf numFmtId="0" fontId="6" fillId="2" borderId="1" xfId="2" applyFont="1" applyFill="1" applyBorder="1" applyAlignment="1">
      <alignment horizontal="right" vertical="center"/>
    </xf>
    <xf numFmtId="17" fontId="6" fillId="2" borderId="1" xfId="2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vertical="center"/>
    </xf>
    <xf numFmtId="2" fontId="11" fillId="2" borderId="0" xfId="5" applyNumberFormat="1" applyFont="1" applyFill="1" applyAlignment="1">
      <alignment horizontal="right" vertical="center"/>
    </xf>
    <xf numFmtId="2" fontId="11" fillId="2" borderId="1" xfId="5" applyNumberFormat="1" applyFont="1" applyFill="1" applyBorder="1" applyAlignment="1">
      <alignment horizontal="right" vertical="center"/>
    </xf>
    <xf numFmtId="165" fontId="8" fillId="2" borderId="0" xfId="1" applyFont="1" applyFill="1" applyAlignment="1">
      <alignment horizontal="right" vertical="center"/>
    </xf>
    <xf numFmtId="165" fontId="7" fillId="2" borderId="0" xfId="1" applyFont="1" applyFill="1" applyAlignment="1">
      <alignment horizontal="left" vertical="center"/>
    </xf>
    <xf numFmtId="165" fontId="21" fillId="2" borderId="0" xfId="3" applyFont="1" applyFill="1" applyAlignment="1">
      <alignment horizontal="right" vertical="center"/>
    </xf>
    <xf numFmtId="165" fontId="21" fillId="2" borderId="0" xfId="3" applyFont="1" applyFill="1" applyAlignment="1">
      <alignment horizontal="right" vertical="center" indent="1"/>
    </xf>
    <xf numFmtId="165" fontId="21" fillId="2" borderId="0" xfId="1" applyFont="1" applyFill="1" applyAlignment="1">
      <alignment horizontal="right" vertical="center"/>
    </xf>
    <xf numFmtId="165" fontId="19" fillId="2" borderId="0" xfId="3" applyFont="1" applyFill="1" applyAlignment="1">
      <alignment horizontal="right" vertical="center"/>
    </xf>
    <xf numFmtId="165" fontId="19" fillId="2" borderId="0" xfId="1" applyFont="1" applyFill="1" applyAlignment="1">
      <alignment horizontal="center" vertical="center"/>
    </xf>
    <xf numFmtId="165" fontId="19" fillId="2" borderId="1" xfId="1" applyFont="1" applyFill="1" applyBorder="1" applyAlignment="1">
      <alignment horizontal="right" vertical="center"/>
    </xf>
    <xf numFmtId="0" fontId="22" fillId="2" borderId="0" xfId="0" applyFont="1" applyFill="1"/>
    <xf numFmtId="165" fontId="19" fillId="2" borderId="3" xfId="3" applyFont="1" applyFill="1" applyBorder="1" applyAlignment="1">
      <alignment horizontal="right" vertical="center"/>
    </xf>
    <xf numFmtId="165" fontId="19" fillId="2" borderId="0" xfId="3" applyFont="1" applyFill="1" applyAlignment="1">
      <alignment horizontal="right" vertical="center" wrapText="1"/>
    </xf>
    <xf numFmtId="0" fontId="21" fillId="2" borderId="2" xfId="2" applyFont="1" applyFill="1" applyBorder="1" applyAlignment="1">
      <alignment horizontal="right"/>
    </xf>
    <xf numFmtId="0" fontId="20" fillId="2" borderId="0" xfId="2" applyFont="1" applyFill="1" applyAlignment="1">
      <alignment horizontal="right" vertical="center"/>
    </xf>
    <xf numFmtId="0" fontId="19" fillId="2" borderId="1" xfId="2" applyFont="1" applyFill="1" applyBorder="1" applyAlignment="1">
      <alignment horizontal="right" vertical="center"/>
    </xf>
    <xf numFmtId="0" fontId="21" fillId="2" borderId="0" xfId="0" applyFont="1" applyFill="1" applyAlignment="1">
      <alignment vertical="center"/>
    </xf>
    <xf numFmtId="165" fontId="21" fillId="2" borderId="0" xfId="3" applyFont="1" applyFill="1" applyAlignment="1">
      <alignment horizontal="right" vertical="center" wrapText="1"/>
    </xf>
    <xf numFmtId="2" fontId="12" fillId="2" borderId="0" xfId="5" applyNumberFormat="1" applyFont="1" applyFill="1" applyAlignment="1">
      <alignment horizontal="right" vertical="center"/>
    </xf>
    <xf numFmtId="165" fontId="6" fillId="2" borderId="0" xfId="1" applyFont="1" applyFill="1" applyAlignment="1">
      <alignment horizontal="center" vertical="center"/>
    </xf>
    <xf numFmtId="165" fontId="10" fillId="2" borderId="1" xfId="1" applyFont="1" applyFill="1" applyBorder="1" applyAlignment="1">
      <alignment horizontal="center" vertical="center"/>
    </xf>
    <xf numFmtId="165" fontId="4" fillId="2" borderId="0" xfId="1" applyFont="1" applyFill="1" applyAlignment="1">
      <alignment horizontal="center" vertical="center"/>
    </xf>
    <xf numFmtId="165" fontId="23" fillId="2" borderId="0" xfId="1" applyFont="1" applyFill="1" applyAlignment="1">
      <alignment horizontal="center" vertical="center" wrapText="1"/>
    </xf>
    <xf numFmtId="165" fontId="11" fillId="2" borderId="4" xfId="1" applyFont="1" applyFill="1" applyBorder="1" applyAlignment="1">
      <alignment horizontal="center" vertical="center"/>
    </xf>
    <xf numFmtId="165" fontId="24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FFC5C5"/>
      <color rgb="FFFFABAB"/>
      <color rgb="FFFFB3B3"/>
      <color rgb="FFFFEFEF"/>
      <color rgb="FFFACAD8"/>
      <color rgb="FF33CCCC"/>
      <color rgb="FFD0F5F4"/>
      <color rgb="FF196563"/>
      <color rgb="FFEAFAFA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X30"/>
  <sheetViews>
    <sheetView tabSelected="1" zoomScale="71" zoomScaleNormal="71" workbookViewId="0">
      <selection activeCell="B5" sqref="B5:N5"/>
    </sheetView>
  </sheetViews>
  <sheetFormatPr defaultColWidth="9.140625" defaultRowHeight="18" x14ac:dyDescent="0.45"/>
  <cols>
    <col min="1" max="1" width="39.7109375" style="1" customWidth="1"/>
    <col min="2" max="6" width="9.140625" style="1" customWidth="1"/>
    <col min="7" max="9" width="9.140625" style="1"/>
    <col min="10" max="13" width="11" style="1" customWidth="1"/>
    <col min="14" max="14" width="10.28515625" style="1" customWidth="1"/>
    <col min="15" max="15" width="40" style="31" customWidth="1"/>
    <col min="16" max="22" width="9.140625" style="1"/>
    <col min="23" max="23" width="18.42578125" style="1" customWidth="1"/>
    <col min="24" max="16384" width="9.140625" style="1"/>
  </cols>
  <sheetData>
    <row r="1" spans="1:24" s="2" customFormat="1" ht="19.5" x14ac:dyDescent="0.2">
      <c r="A1" s="45" t="s">
        <v>71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12"/>
      <c r="Q1" s="42"/>
      <c r="R1" s="42"/>
      <c r="S1" s="42"/>
      <c r="T1" s="42"/>
      <c r="U1" s="42"/>
      <c r="V1" s="42"/>
      <c r="W1" s="42"/>
      <c r="X1" s="42"/>
    </row>
    <row r="2" spans="1:24" s="13" customFormat="1" ht="15" x14ac:dyDescent="0.25">
      <c r="A2" s="46" t="s">
        <v>72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1:24" s="3" customFormat="1" ht="15.75" customHeight="1" x14ac:dyDescent="0.2">
      <c r="A3" s="43" t="s">
        <v>73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4" spans="1:24" s="3" customFormat="1" ht="12.75" x14ac:dyDescent="0.2">
      <c r="A4" s="41" t="s">
        <v>68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</row>
    <row r="5" spans="1:24" s="14" customFormat="1" ht="14.25" x14ac:dyDescent="0.25">
      <c r="A5" s="40"/>
      <c r="B5" s="44">
        <v>2021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29"/>
    </row>
    <row r="6" spans="1:24" s="14" customFormat="1" ht="15.75" customHeight="1" x14ac:dyDescent="0.35">
      <c r="A6" s="15"/>
      <c r="B6" s="4" t="s">
        <v>29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32" t="s">
        <v>30</v>
      </c>
      <c r="O6" s="34"/>
    </row>
    <row r="7" spans="1:24" s="14" customFormat="1" ht="15.75" x14ac:dyDescent="0.25">
      <c r="A7" s="16" t="s">
        <v>1</v>
      </c>
      <c r="B7" s="33" t="s">
        <v>31</v>
      </c>
      <c r="C7" s="33" t="s">
        <v>32</v>
      </c>
      <c r="D7" s="33" t="s">
        <v>33</v>
      </c>
      <c r="E7" s="33" t="s">
        <v>34</v>
      </c>
      <c r="F7" s="33" t="s">
        <v>35</v>
      </c>
      <c r="G7" s="33" t="s">
        <v>36</v>
      </c>
      <c r="H7" s="33" t="s">
        <v>37</v>
      </c>
      <c r="I7" s="33" t="s">
        <v>38</v>
      </c>
      <c r="J7" s="33" t="s">
        <v>39</v>
      </c>
      <c r="K7" s="33" t="s">
        <v>40</v>
      </c>
      <c r="L7" s="33" t="s">
        <v>41</v>
      </c>
      <c r="M7" s="33" t="s">
        <v>42</v>
      </c>
      <c r="N7" s="33" t="s">
        <v>43</v>
      </c>
      <c r="O7" s="35" t="s">
        <v>2</v>
      </c>
      <c r="Q7" s="17"/>
    </row>
    <row r="8" spans="1:24" s="14" customFormat="1" ht="14.25" x14ac:dyDescent="0.25">
      <c r="A8" s="18"/>
      <c r="B8" s="19" t="s">
        <v>44</v>
      </c>
      <c r="C8" s="18" t="s">
        <v>45</v>
      </c>
      <c r="D8" s="18" t="s">
        <v>46</v>
      </c>
      <c r="E8" s="18" t="s">
        <v>47</v>
      </c>
      <c r="F8" s="18" t="s">
        <v>48</v>
      </c>
      <c r="G8" s="18" t="s">
        <v>49</v>
      </c>
      <c r="H8" s="18" t="s">
        <v>50</v>
      </c>
      <c r="I8" s="18" t="s">
        <v>51</v>
      </c>
      <c r="J8" s="18" t="s">
        <v>52</v>
      </c>
      <c r="K8" s="18" t="s">
        <v>53</v>
      </c>
      <c r="L8" s="18" t="s">
        <v>54</v>
      </c>
      <c r="M8" s="18" t="s">
        <v>55</v>
      </c>
      <c r="N8" s="18" t="s">
        <v>56</v>
      </c>
      <c r="O8" s="36"/>
      <c r="Q8" s="17"/>
    </row>
    <row r="9" spans="1:24" s="14" customFormat="1" ht="14.25" x14ac:dyDescent="0.25">
      <c r="A9" s="6" t="s">
        <v>3</v>
      </c>
      <c r="B9" s="39">
        <v>103.21800120735259</v>
      </c>
      <c r="C9" s="39">
        <v>103.90494392830662</v>
      </c>
      <c r="D9" s="39">
        <v>103.38046297504388</v>
      </c>
      <c r="E9" s="39">
        <v>103.77284770697182</v>
      </c>
      <c r="F9" s="39">
        <v>103.74932064154059</v>
      </c>
      <c r="G9" s="39">
        <v>104.07614667184311</v>
      </c>
      <c r="H9" s="39">
        <v>104.00592465035898</v>
      </c>
      <c r="I9" s="39">
        <v>104.94447617193714</v>
      </c>
      <c r="J9" s="39">
        <v>104.81984206987529</v>
      </c>
      <c r="K9" s="39">
        <v>105.42868851809197</v>
      </c>
      <c r="L9" s="39">
        <v>105.42282822768868</v>
      </c>
      <c r="M9" s="39">
        <v>105.12802318992441</v>
      </c>
      <c r="N9" s="39">
        <f>AVERAGE(B9:M9)</f>
        <v>104.32095882991126</v>
      </c>
      <c r="O9" s="25" t="s">
        <v>4</v>
      </c>
      <c r="Q9" s="17"/>
    </row>
    <row r="10" spans="1:24" s="14" customFormat="1" ht="14.25" x14ac:dyDescent="0.25">
      <c r="A10" s="6" t="s">
        <v>5</v>
      </c>
      <c r="B10" s="39">
        <v>105.07157737030896</v>
      </c>
      <c r="C10" s="39">
        <v>106.08587044524479</v>
      </c>
      <c r="D10" s="39">
        <v>104.68508334418422</v>
      </c>
      <c r="E10" s="39">
        <v>103.9635159592669</v>
      </c>
      <c r="F10" s="39">
        <v>103.80393897540084</v>
      </c>
      <c r="G10" s="39">
        <v>104.34307891609768</v>
      </c>
      <c r="H10" s="39">
        <v>104.59685738123761</v>
      </c>
      <c r="I10" s="39">
        <v>105.96689517510582</v>
      </c>
      <c r="J10" s="39">
        <v>105.71754294811026</v>
      </c>
      <c r="K10" s="39">
        <v>106.13305869746566</v>
      </c>
      <c r="L10" s="39">
        <v>106.32078182081075</v>
      </c>
      <c r="M10" s="39">
        <v>106.21909486775236</v>
      </c>
      <c r="N10" s="39">
        <f t="shared" ref="N10:N16" si="0">AVERAGE(B10:M10)</f>
        <v>105.2422746584155</v>
      </c>
      <c r="O10" s="25" t="s">
        <v>6</v>
      </c>
      <c r="Q10" s="17"/>
    </row>
    <row r="11" spans="1:24" s="14" customFormat="1" ht="14.25" x14ac:dyDescent="0.25">
      <c r="A11" s="7" t="s">
        <v>7</v>
      </c>
      <c r="B11" s="39">
        <v>95.150245730311838</v>
      </c>
      <c r="C11" s="39">
        <v>94.412384516025654</v>
      </c>
      <c r="D11" s="39">
        <v>97.70205690846872</v>
      </c>
      <c r="E11" s="39">
        <v>102.94295742919775</v>
      </c>
      <c r="F11" s="39">
        <v>103.51159242138226</v>
      </c>
      <c r="G11" s="39">
        <v>102.91431468531792</v>
      </c>
      <c r="H11" s="39">
        <v>101.43386914415059</v>
      </c>
      <c r="I11" s="39">
        <v>100.49436148148473</v>
      </c>
      <c r="J11" s="39">
        <v>100.91256740705651</v>
      </c>
      <c r="K11" s="39">
        <v>102.36289252541897</v>
      </c>
      <c r="L11" s="39">
        <v>101.51445361443083</v>
      </c>
      <c r="M11" s="39">
        <v>100.37909531711405</v>
      </c>
      <c r="N11" s="39">
        <f t="shared" si="0"/>
        <v>100.31089926502996</v>
      </c>
      <c r="O11" s="25" t="s">
        <v>8</v>
      </c>
      <c r="Q11" s="17"/>
    </row>
    <row r="12" spans="1:24" s="14" customFormat="1" ht="14.25" x14ac:dyDescent="0.25">
      <c r="A12" s="7" t="s">
        <v>9</v>
      </c>
      <c r="B12" s="39">
        <v>133.40082450157695</v>
      </c>
      <c r="C12" s="39">
        <v>133.83084014732074</v>
      </c>
      <c r="D12" s="39">
        <v>133.97344183087353</v>
      </c>
      <c r="E12" s="39">
        <v>134.01365336660766</v>
      </c>
      <c r="F12" s="39">
        <v>134.01365336660766</v>
      </c>
      <c r="G12" s="39">
        <v>134.02653658175751</v>
      </c>
      <c r="H12" s="39">
        <v>135.06703946815583</v>
      </c>
      <c r="I12" s="39">
        <v>136.10710345696225</v>
      </c>
      <c r="J12" s="39">
        <v>138.15398600082287</v>
      </c>
      <c r="K12" s="39">
        <v>138.15398600082287</v>
      </c>
      <c r="L12" s="39">
        <v>139.49046306534055</v>
      </c>
      <c r="M12" s="39">
        <v>141.1222923206075</v>
      </c>
      <c r="N12" s="39">
        <f t="shared" si="0"/>
        <v>135.94615167562134</v>
      </c>
      <c r="O12" s="25" t="s">
        <v>26</v>
      </c>
      <c r="Q12" s="17"/>
    </row>
    <row r="13" spans="1:24" ht="15" x14ac:dyDescent="0.25">
      <c r="A13" s="7" t="s">
        <v>57</v>
      </c>
      <c r="B13" s="39">
        <v>98.44579109555049</v>
      </c>
      <c r="C13" s="39">
        <v>98.817900289912359</v>
      </c>
      <c r="D13" s="39">
        <v>98.823828026205149</v>
      </c>
      <c r="E13" s="39">
        <v>98.853287751070653</v>
      </c>
      <c r="F13" s="39">
        <v>98.867888838328454</v>
      </c>
      <c r="G13" s="39">
        <v>98.869356195700391</v>
      </c>
      <c r="H13" s="39">
        <v>98.725939024196549</v>
      </c>
      <c r="I13" s="39">
        <v>98.819075938213118</v>
      </c>
      <c r="J13" s="39">
        <v>98.797610662999759</v>
      </c>
      <c r="K13" s="39">
        <v>98.887377296818116</v>
      </c>
      <c r="L13" s="39">
        <v>98.859725889711711</v>
      </c>
      <c r="M13" s="39">
        <v>98.629707879705734</v>
      </c>
      <c r="N13" s="39">
        <f t="shared" si="0"/>
        <v>98.78312407403439</v>
      </c>
      <c r="O13" s="25" t="s">
        <v>10</v>
      </c>
      <c r="Q13" s="17"/>
    </row>
    <row r="14" spans="1:24" ht="15" x14ac:dyDescent="0.25">
      <c r="A14" s="7" t="s">
        <v>58</v>
      </c>
      <c r="B14" s="39">
        <v>96.400121679115358</v>
      </c>
      <c r="C14" s="39">
        <v>96.302733692724843</v>
      </c>
      <c r="D14" s="39">
        <v>96.57286274103646</v>
      </c>
      <c r="E14" s="39">
        <v>96.550840426793229</v>
      </c>
      <c r="F14" s="39">
        <v>96.547710048882522</v>
      </c>
      <c r="G14" s="39">
        <v>86.089599685066048</v>
      </c>
      <c r="H14" s="39">
        <v>96.50090046883615</v>
      </c>
      <c r="I14" s="39">
        <v>96.614321936429292</v>
      </c>
      <c r="J14" s="39">
        <v>96.6420537985083</v>
      </c>
      <c r="K14" s="39">
        <v>96.68490394049924</v>
      </c>
      <c r="L14" s="39">
        <v>96.741772050942885</v>
      </c>
      <c r="M14" s="39">
        <v>96.849050443680568</v>
      </c>
      <c r="N14" s="39">
        <f t="shared" si="0"/>
        <v>95.708072576042923</v>
      </c>
      <c r="O14" s="25" t="s">
        <v>11</v>
      </c>
      <c r="Q14" s="17"/>
    </row>
    <row r="15" spans="1:24" ht="15" x14ac:dyDescent="0.25">
      <c r="A15" s="7" t="s">
        <v>59</v>
      </c>
      <c r="B15" s="39">
        <v>93.903419959032618</v>
      </c>
      <c r="C15" s="39">
        <v>93.809148017751312</v>
      </c>
      <c r="D15" s="39">
        <v>94.088462373448536</v>
      </c>
      <c r="E15" s="39">
        <v>94.119831691158168</v>
      </c>
      <c r="F15" s="39">
        <v>94.119831691158168</v>
      </c>
      <c r="G15" s="39">
        <v>94.09875578386405</v>
      </c>
      <c r="H15" s="39">
        <v>94.047721844786182</v>
      </c>
      <c r="I15" s="39">
        <v>94.267013334268157</v>
      </c>
      <c r="J15" s="39">
        <v>94.267013334268157</v>
      </c>
      <c r="K15" s="39">
        <v>94.267013334268157</v>
      </c>
      <c r="L15" s="39">
        <v>94.333413995850975</v>
      </c>
      <c r="M15" s="39">
        <v>94.3794821162262</v>
      </c>
      <c r="N15" s="39">
        <f t="shared" si="0"/>
        <v>94.14175895634007</v>
      </c>
      <c r="O15" s="26" t="s">
        <v>12</v>
      </c>
      <c r="Q15" s="17"/>
    </row>
    <row r="16" spans="1:24" ht="25.5" x14ac:dyDescent="0.25">
      <c r="A16" s="6" t="s">
        <v>60</v>
      </c>
      <c r="B16" s="39">
        <v>99.673427351416336</v>
      </c>
      <c r="C16" s="39">
        <v>98.898522152034587</v>
      </c>
      <c r="D16" s="39">
        <v>99.000264827196034</v>
      </c>
      <c r="E16" s="39">
        <v>99.055012446789704</v>
      </c>
      <c r="F16" s="39">
        <v>98.662631120681155</v>
      </c>
      <c r="G16" s="39">
        <v>99.120276054972649</v>
      </c>
      <c r="H16" s="39">
        <v>99.122295046407373</v>
      </c>
      <c r="I16" s="39">
        <v>99.147476266020888</v>
      </c>
      <c r="J16" s="39">
        <v>99.273736774323922</v>
      </c>
      <c r="K16" s="39">
        <v>99.331433877010497</v>
      </c>
      <c r="L16" s="39">
        <v>99.411465548921811</v>
      </c>
      <c r="M16" s="39">
        <v>99.327077162626736</v>
      </c>
      <c r="N16" s="39">
        <f t="shared" si="0"/>
        <v>99.168634885700143</v>
      </c>
      <c r="O16" s="38" t="s">
        <v>13</v>
      </c>
      <c r="Q16" s="17"/>
    </row>
    <row r="17" spans="1:17" ht="15" x14ac:dyDescent="0.25">
      <c r="A17" s="8" t="s">
        <v>14</v>
      </c>
      <c r="B17" s="39">
        <v>100.14774170269101</v>
      </c>
      <c r="C17" s="39">
        <v>100.14774170269101</v>
      </c>
      <c r="D17" s="39">
        <v>100.14774170269101</v>
      </c>
      <c r="E17" s="39">
        <v>100.14774170269101</v>
      </c>
      <c r="F17" s="39">
        <v>100.14774170269101</v>
      </c>
      <c r="G17" s="39">
        <v>100.14774170269101</v>
      </c>
      <c r="H17" s="39">
        <v>100.14774170269101</v>
      </c>
      <c r="I17" s="39">
        <v>100.14774170269101</v>
      </c>
      <c r="J17" s="39">
        <v>100.15688509896528</v>
      </c>
      <c r="K17" s="39">
        <v>100.15688509896528</v>
      </c>
      <c r="L17" s="39">
        <v>99.742702575031487</v>
      </c>
      <c r="M17" s="39">
        <v>100.56076731764779</v>
      </c>
      <c r="N17" s="39">
        <f>AVERAGE(B17:M17)</f>
        <v>100.14993114267816</v>
      </c>
      <c r="O17" s="25" t="s">
        <v>15</v>
      </c>
      <c r="Q17" s="17"/>
    </row>
    <row r="18" spans="1:17" ht="15" x14ac:dyDescent="0.25">
      <c r="A18" s="8" t="s">
        <v>61</v>
      </c>
      <c r="B18" s="39">
        <v>100.09134993232473</v>
      </c>
      <c r="C18" s="39">
        <v>100.3610119815137</v>
      </c>
      <c r="D18" s="39">
        <v>100.4409546234657</v>
      </c>
      <c r="E18" s="39">
        <v>100.44103023874311</v>
      </c>
      <c r="F18" s="39">
        <v>100.44238617850237</v>
      </c>
      <c r="G18" s="39">
        <v>100.83939399255186</v>
      </c>
      <c r="H18" s="39">
        <v>101.40569226550309</v>
      </c>
      <c r="I18" s="39">
        <v>101.34660708766407</v>
      </c>
      <c r="J18" s="39">
        <v>101.18917176489542</v>
      </c>
      <c r="K18" s="39">
        <v>101.44159732827144</v>
      </c>
      <c r="L18" s="39">
        <v>101.1482541997688</v>
      </c>
      <c r="M18" s="39">
        <v>101.16910495372383</v>
      </c>
      <c r="N18" s="39">
        <f t="shared" ref="N18:N22" si="1">AVERAGE(B18:M18)</f>
        <v>100.85971287891068</v>
      </c>
      <c r="O18" s="25" t="s">
        <v>16</v>
      </c>
      <c r="Q18" s="17"/>
    </row>
    <row r="19" spans="1:17" ht="15" x14ac:dyDescent="0.25">
      <c r="A19" s="8" t="s">
        <v>62</v>
      </c>
      <c r="B19" s="39">
        <v>88.910438475648306</v>
      </c>
      <c r="C19" s="39">
        <v>86.896396772913548</v>
      </c>
      <c r="D19" s="39">
        <v>85.169777010456684</v>
      </c>
      <c r="E19" s="39">
        <v>85.134521868960803</v>
      </c>
      <c r="F19" s="39">
        <v>80.292899275123801</v>
      </c>
      <c r="G19" s="39">
        <v>82.064958470703658</v>
      </c>
      <c r="H19" s="39">
        <v>84.16216652808626</v>
      </c>
      <c r="I19" s="39">
        <v>82.410942646671657</v>
      </c>
      <c r="J19" s="39">
        <v>79.706223277845297</v>
      </c>
      <c r="K19" s="39">
        <v>78.754250844521067</v>
      </c>
      <c r="L19" s="39">
        <v>79.206819388554351</v>
      </c>
      <c r="M19" s="39">
        <v>78.295373080306973</v>
      </c>
      <c r="N19" s="39">
        <f t="shared" si="1"/>
        <v>82.583730636649364</v>
      </c>
      <c r="O19" s="25" t="s">
        <v>17</v>
      </c>
      <c r="Q19" s="17"/>
    </row>
    <row r="20" spans="1:17" ht="15" x14ac:dyDescent="0.25">
      <c r="A20" s="6" t="s">
        <v>63</v>
      </c>
      <c r="B20" s="39">
        <v>100.56702966470652</v>
      </c>
      <c r="C20" s="39">
        <v>101.88219222703694</v>
      </c>
      <c r="D20" s="39">
        <v>102.37769278418165</v>
      </c>
      <c r="E20" s="39">
        <v>102.37769278418165</v>
      </c>
      <c r="F20" s="39">
        <v>102.34525444554727</v>
      </c>
      <c r="G20" s="39">
        <v>102.34525444554727</v>
      </c>
      <c r="H20" s="39">
        <v>102.34783281200865</v>
      </c>
      <c r="I20" s="39">
        <v>102.41712512444171</v>
      </c>
      <c r="J20" s="39">
        <v>102.23856834676543</v>
      </c>
      <c r="K20" s="39">
        <v>102.23856834676543</v>
      </c>
      <c r="L20" s="39">
        <v>102.5002979496024</v>
      </c>
      <c r="M20" s="39">
        <v>102.22958336169377</v>
      </c>
      <c r="N20" s="39">
        <f t="shared" si="1"/>
        <v>102.15559102437322</v>
      </c>
      <c r="O20" s="27" t="s">
        <v>18</v>
      </c>
      <c r="Q20" s="17"/>
    </row>
    <row r="21" spans="1:17" ht="15" x14ac:dyDescent="0.25">
      <c r="A21" s="7" t="s">
        <v>64</v>
      </c>
      <c r="B21" s="39">
        <v>100.4517641591878</v>
      </c>
      <c r="C21" s="39">
        <v>100.4517641591878</v>
      </c>
      <c r="D21" s="39">
        <v>100.4517641591878</v>
      </c>
      <c r="E21" s="39">
        <v>100.4517641591878</v>
      </c>
      <c r="F21" s="39">
        <v>100.4517641591878</v>
      </c>
      <c r="G21" s="39">
        <v>100.4517641591878</v>
      </c>
      <c r="H21" s="39">
        <v>100.4517641591878</v>
      </c>
      <c r="I21" s="39">
        <v>100.4517641591878</v>
      </c>
      <c r="J21" s="39">
        <v>99.826937352257573</v>
      </c>
      <c r="K21" s="39">
        <v>99.931812437344846</v>
      </c>
      <c r="L21" s="39">
        <v>99.931812437344846</v>
      </c>
      <c r="M21" s="39">
        <v>99.931812437344846</v>
      </c>
      <c r="N21" s="39">
        <f t="shared" si="1"/>
        <v>100.26970732814955</v>
      </c>
      <c r="O21" s="27" t="s">
        <v>19</v>
      </c>
      <c r="Q21" s="17"/>
    </row>
    <row r="22" spans="1:17" ht="15" x14ac:dyDescent="0.25">
      <c r="A22" s="7" t="s">
        <v>65</v>
      </c>
      <c r="B22" s="39">
        <v>100.37398122712857</v>
      </c>
      <c r="C22" s="39">
        <v>100.37398122712857</v>
      </c>
      <c r="D22" s="39">
        <v>100.37398122712857</v>
      </c>
      <c r="E22" s="39">
        <v>100.37398122712857</v>
      </c>
      <c r="F22" s="39">
        <v>100.17200810071972</v>
      </c>
      <c r="G22" s="39">
        <v>100.17200810071972</v>
      </c>
      <c r="H22" s="39">
        <v>100.2846216924596</v>
      </c>
      <c r="I22" s="39">
        <v>100.22483195621993</v>
      </c>
      <c r="J22" s="39">
        <v>100.21173895534416</v>
      </c>
      <c r="K22" s="39">
        <v>100.21173895534416</v>
      </c>
      <c r="L22" s="39">
        <v>101.70230629202091</v>
      </c>
      <c r="M22" s="39">
        <v>101.61937445617966</v>
      </c>
      <c r="N22" s="39">
        <f t="shared" si="1"/>
        <v>100.50787945146017</v>
      </c>
      <c r="O22" s="27" t="s">
        <v>20</v>
      </c>
      <c r="Q22" s="17"/>
    </row>
    <row r="23" spans="1:17" ht="17.25" x14ac:dyDescent="0.25">
      <c r="A23" s="7" t="s">
        <v>66</v>
      </c>
      <c r="B23" s="39">
        <v>100</v>
      </c>
      <c r="C23" s="39">
        <v>100</v>
      </c>
      <c r="D23" s="39">
        <v>100</v>
      </c>
      <c r="E23" s="39">
        <v>100</v>
      </c>
      <c r="F23" s="39">
        <v>100</v>
      </c>
      <c r="G23" s="39">
        <v>100</v>
      </c>
      <c r="H23" s="39">
        <v>100</v>
      </c>
      <c r="I23" s="39">
        <v>100</v>
      </c>
      <c r="J23" s="39">
        <v>100</v>
      </c>
      <c r="K23" s="39">
        <v>100</v>
      </c>
      <c r="L23" s="39">
        <v>100</v>
      </c>
      <c r="M23" s="39">
        <v>100</v>
      </c>
      <c r="N23" s="39">
        <v>100</v>
      </c>
      <c r="O23" s="23" t="s">
        <v>70</v>
      </c>
      <c r="Q23" s="17"/>
    </row>
    <row r="24" spans="1:17" ht="25.5" x14ac:dyDescent="0.25">
      <c r="A24" s="6" t="s">
        <v>67</v>
      </c>
      <c r="B24" s="39">
        <v>99.916069976435082</v>
      </c>
      <c r="C24" s="39">
        <v>99.88126373959949</v>
      </c>
      <c r="D24" s="39">
        <v>99.900015376557647</v>
      </c>
      <c r="E24" s="39">
        <v>99.915639773127552</v>
      </c>
      <c r="F24" s="39">
        <v>99.940237448098429</v>
      </c>
      <c r="G24" s="39">
        <v>99.921809762435061</v>
      </c>
      <c r="H24" s="39">
        <v>99.931450710861156</v>
      </c>
      <c r="I24" s="39">
        <v>99.996292716650132</v>
      </c>
      <c r="J24" s="39">
        <v>99.980674191058071</v>
      </c>
      <c r="K24" s="39">
        <v>100.01182469225026</v>
      </c>
      <c r="L24" s="39">
        <v>100.02620273812502</v>
      </c>
      <c r="M24" s="39">
        <v>100.04018101736438</v>
      </c>
      <c r="N24" s="39">
        <f>AVERAGE(B24:M24)</f>
        <v>99.955138511880179</v>
      </c>
      <c r="O24" s="27" t="s">
        <v>21</v>
      </c>
      <c r="Q24" s="17"/>
    </row>
    <row r="25" spans="1:17" ht="15" x14ac:dyDescent="0.25">
      <c r="A25" s="9" t="s">
        <v>22</v>
      </c>
      <c r="B25" s="21">
        <v>99.302368031059999</v>
      </c>
      <c r="C25" s="21">
        <v>99.251565467096</v>
      </c>
      <c r="D25" s="21">
        <v>99.054735754289027</v>
      </c>
      <c r="E25" s="21">
        <v>99.138737098928999</v>
      </c>
      <c r="F25" s="21">
        <v>98.608293423219308</v>
      </c>
      <c r="G25" s="21">
        <v>96.472507095122438</v>
      </c>
      <c r="H25" s="21">
        <v>99.171226706114453</v>
      </c>
      <c r="I25" s="21">
        <v>99.248474026876806</v>
      </c>
      <c r="J25" s="21">
        <v>98.954950898444437</v>
      </c>
      <c r="K25" s="21">
        <v>99.036527281604961</v>
      </c>
      <c r="L25" s="21">
        <v>99.15143257149299</v>
      </c>
      <c r="M25" s="21">
        <v>99.078353303157485</v>
      </c>
      <c r="N25" s="21">
        <f>AVERAGE(B25:M25)</f>
        <v>98.872430971450569</v>
      </c>
      <c r="O25" s="28" t="s">
        <v>23</v>
      </c>
      <c r="Q25" s="17"/>
    </row>
    <row r="26" spans="1:17" ht="15" x14ac:dyDescent="0.25">
      <c r="A26" s="10" t="s">
        <v>24</v>
      </c>
      <c r="B26" s="22">
        <v>99.480050491137092</v>
      </c>
      <c r="C26" s="22">
        <v>99.458649342248151</v>
      </c>
      <c r="D26" s="22">
        <v>99.112621165076732</v>
      </c>
      <c r="E26" s="22">
        <v>98.975942465727556</v>
      </c>
      <c r="F26" s="22">
        <v>98.398465733815613</v>
      </c>
      <c r="G26" s="22">
        <v>96.196841751699523</v>
      </c>
      <c r="H26" s="22">
        <v>99.074401072006125</v>
      </c>
      <c r="I26" s="22">
        <v>99.195158557851684</v>
      </c>
      <c r="J26" s="22">
        <v>98.871178289657053</v>
      </c>
      <c r="K26" s="22">
        <v>98.894181580581247</v>
      </c>
      <c r="L26" s="22">
        <v>99.050311419052989</v>
      </c>
      <c r="M26" s="22">
        <v>99.022690433852304</v>
      </c>
      <c r="N26" s="22">
        <f>AVERAGE(B26:M26)</f>
        <v>98.810874358558848</v>
      </c>
      <c r="O26" s="30" t="s">
        <v>25</v>
      </c>
      <c r="Q26" s="17"/>
    </row>
    <row r="27" spans="1:17" ht="15" x14ac:dyDescent="0.25">
      <c r="A27" s="20" t="s">
        <v>27</v>
      </c>
      <c r="B27" s="20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37"/>
      <c r="Q27" s="17"/>
    </row>
    <row r="28" spans="1:17" ht="15" x14ac:dyDescent="0.25">
      <c r="A28" s="11" t="s">
        <v>28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37"/>
      <c r="Q28" s="17"/>
    </row>
    <row r="29" spans="1:17" ht="15" x14ac:dyDescent="0.25">
      <c r="A29" s="11" t="s">
        <v>69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37"/>
      <c r="Q29" s="17"/>
    </row>
    <row r="30" spans="1:17" ht="15" x14ac:dyDescent="0.25">
      <c r="A30" s="24" t="s"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37"/>
      <c r="Q30" s="17"/>
    </row>
  </sheetData>
  <mergeCells count="6">
    <mergeCell ref="B5:N5"/>
    <mergeCell ref="A1:O1"/>
    <mergeCell ref="Q1:X1"/>
    <mergeCell ref="A2:O2"/>
    <mergeCell ref="A3:O3"/>
    <mergeCell ref="A4:O4"/>
  </mergeCells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17.4</vt:lpstr>
      <vt:lpstr>'17.4'!Print_Area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2023-01-29T09:38:08Z</cp:lastPrinted>
  <dcterms:created xsi:type="dcterms:W3CDTF">2019-03-21T03:27:43Z</dcterms:created>
  <dcterms:modified xsi:type="dcterms:W3CDTF">2023-01-29T09:38:13Z</dcterms:modified>
</cp:coreProperties>
</file>