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BAAF040C-7A31-42D2-8159-27CA1E718203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6" sheetId="6" r:id="rId1"/>
  </sheets>
  <definedNames>
    <definedName name="_xlnm.Print_Area" localSheetId="0">'17.6'!$A$1:$R$113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2" i="6" l="1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26" i="6"/>
  <c r="DZ99" i="6" s="1"/>
  <c r="N25" i="6"/>
  <c r="DZ98" i="6" s="1"/>
  <c r="N24" i="6"/>
  <c r="DZ97" i="6" s="1"/>
  <c r="N23" i="6"/>
  <c r="DZ96" i="6" s="1"/>
  <c r="N22" i="6"/>
  <c r="DZ95" i="6" s="1"/>
  <c r="N21" i="6"/>
  <c r="DZ94" i="6" s="1"/>
  <c r="N20" i="6"/>
  <c r="DZ93" i="6" s="1"/>
  <c r="N19" i="6"/>
  <c r="DZ92" i="6" s="1"/>
  <c r="N18" i="6"/>
  <c r="DZ91" i="6" s="1"/>
  <c r="N17" i="6"/>
  <c r="DZ90" i="6" s="1"/>
  <c r="N16" i="6"/>
  <c r="DZ89" i="6" s="1"/>
  <c r="N15" i="6"/>
  <c r="DZ88" i="6" s="1"/>
  <c r="N14" i="6"/>
  <c r="DZ87" i="6" s="1"/>
  <c r="N13" i="6"/>
  <c r="DZ86" i="6" s="1"/>
  <c r="N12" i="6"/>
  <c r="DZ85" i="6" s="1"/>
  <c r="N11" i="6"/>
  <c r="DZ84" i="6" s="1"/>
  <c r="N10" i="6"/>
  <c r="DZ83" i="6" s="1"/>
  <c r="N9" i="6"/>
  <c r="DZ82" i="6" s="1"/>
</calcChain>
</file>

<file path=xl/sharedStrings.xml><?xml version="1.0" encoding="utf-8"?>
<sst xmlns="http://schemas.openxmlformats.org/spreadsheetml/2006/main" count="273" uniqueCount="92">
  <si>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</si>
  <si>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</si>
  <si>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</si>
  <si>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</si>
  <si>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</si>
  <si>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</si>
  <si>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</si>
  <si>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</si>
  <si>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</si>
  <si>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</si>
  <si>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</si>
  <si>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</si>
  <si>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</si>
  <si>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</si>
  <si>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</si>
  <si>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</si>
  <si>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</si>
  <si>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</si>
  <si>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</si>
  <si>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</si>
  <si>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</si>
  <si>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</si>
  <si>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</si>
  <si>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</si>
  <si>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</si>
  <si>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</si>
  <si>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</si>
  <si>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</si>
  <si>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</si>
  <si>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</si>
  <si>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</si>
  <si>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</si>
  <si>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</si>
  <si>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</si>
  <si>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</si>
  <si>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</si>
  <si>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</si>
  <si>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</si>
  <si>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</si>
  <si>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</si>
  <si>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</si>
  <si>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</si>
  <si>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</si>
  <si>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</si>
  <si>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</si>
  <si>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</si>
  <si>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</si>
  <si>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</si>
  <si>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</si>
  <si>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</si>
  <si>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</si>
  <si>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</si>
  <si>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</si>
  <si>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</si>
  <si>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</si>
  <si>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</si>
  <si>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</si>
  <si>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</si>
  <si>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</si>
  <si>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</si>
  <si>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</si>
  <si>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</si>
  <si>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</si>
  <si>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</si>
  <si>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</si>
  <si>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</si>
  <si>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</si>
  <si>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</si>
  <si>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</si>
  <si>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</si>
  <si>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</si>
  <si>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</si>
  <si>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</si>
  <si>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</si>
  <si>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</si>
  <si>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</si>
  <si>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</si>
  <si>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</si>
  <si>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</si>
  <si>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</si>
  <si>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</si>
  <si>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</si>
  <si>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</si>
  <si>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</si>
  <si>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>Jan '20</t>
  </si>
  <si>
    <t>(cnegiawlwbcSwa 100 IkwDnwgcnim eg އޮގަސްޓް 2019 )</t>
  </si>
  <si>
    <t>Jan '19</t>
  </si>
  <si>
    <t>Monthly CPI , 2021</t>
  </si>
  <si>
    <t xml:space="preserve"> 2021 ،iawa.Ip.Is eguhwmcswm</t>
  </si>
  <si>
    <t>2021 ,uDnwgcnim egugwa egurWzWb eguhwmcswmikea : 17.6 ulwvWt</t>
  </si>
  <si>
    <t>Table  17.6 : CONSUMER PRICE INDEX, FOR MALE' AND ATOLLS BY MONTH,  2021</t>
  </si>
  <si>
    <t>Jan '21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</si>
</sst>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70" formatCode="_-* #,##0.00_-;\-* #,##0.00_-;_-* &quot;-&quot;??_-;_-@_-"/>
    <numFmt numFmtId="171" formatCode="[$-409]mmm\-yy;@"/>
    <numFmt numFmtId="172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7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99">
    <xf numFmtId="0" fontId="0" fillId="0" borderId="0" xfId="0"/>
    <xf numFmtId="0" fontId="4" fillId="2" borderId="0" xfId="2" applyFill="1"/>
    <xf numFmtId="2" fontId="0" fillId="2" borderId="0" xfId="0" applyNumberFormat="1" applyFill="1"/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8" fillId="2" borderId="1" xfId="4" applyFont="1" applyFill="1" applyBorder="1" applyAlignment="1">
      <alignment vertical="center"/>
    </xf>
    <xf numFmtId="3" fontId="14" fillId="2" borderId="0" xfId="6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vertical="center"/>
    </xf>
    <xf numFmtId="166" fontId="4" fillId="2" borderId="0" xfId="2" applyNumberFormat="1" applyFill="1"/>
    <xf numFmtId="0" fontId="12" fillId="2" borderId="0" xfId="2" applyFont="1" applyFill="1"/>
    <xf numFmtId="0" fontId="12" fillId="2" borderId="2" xfId="2" applyFont="1" applyFill="1" applyBorder="1"/>
    <xf numFmtId="0" fontId="14" fillId="2" borderId="0" xfId="2" applyFont="1" applyFill="1"/>
    <xf numFmtId="165" fontId="13" fillId="2" borderId="0" xfId="4" applyFont="1" applyFill="1" applyAlignment="1">
      <alignment vertical="center" wrapText="1"/>
    </xf>
    <xf numFmtId="2" fontId="4" fillId="2" borderId="0" xfId="2" applyNumberFormat="1" applyFill="1"/>
    <xf numFmtId="165" fontId="3" fillId="2" borderId="0" xfId="3" applyFont="1" applyFill="1" applyAlignment="1">
      <alignment vertical="center"/>
    </xf>
    <xf numFmtId="165" fontId="1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3" fontId="13" fillId="2" borderId="1" xfId="6" applyNumberFormat="1" applyFont="1" applyFill="1" applyBorder="1" applyAlignment="1">
      <alignment horizontal="left" vertical="center"/>
    </xf>
    <xf numFmtId="3" fontId="14" fillId="2" borderId="1" xfId="6" applyNumberFormat="1" applyFont="1" applyFill="1" applyBorder="1" applyAlignment="1">
      <alignment horizontal="center" vertical="center"/>
    </xf>
    <xf numFmtId="3" fontId="14" fillId="2" borderId="1" xfId="6" applyNumberFormat="1" applyFont="1" applyFill="1" applyBorder="1" applyAlignment="1">
      <alignment horizontal="right" vertical="center"/>
    </xf>
    <xf numFmtId="0" fontId="4" fillId="2" borderId="1" xfId="2" applyFill="1" applyBorder="1"/>
    <xf numFmtId="0" fontId="12" fillId="2" borderId="1" xfId="2" applyFont="1" applyFill="1" applyBorder="1"/>
    <xf numFmtId="0" fontId="5" fillId="2" borderId="2" xfId="2" applyFont="1" applyFill="1" applyBorder="1"/>
    <xf numFmtId="0" fontId="14" fillId="2" borderId="2" xfId="2" applyFont="1" applyFill="1" applyBorder="1"/>
    <xf numFmtId="0" fontId="14" fillId="2" borderId="2" xfId="2" applyFont="1" applyFill="1" applyBorder="1" applyAlignment="1">
      <alignment horizontal="right"/>
    </xf>
    <xf numFmtId="0" fontId="14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Alignment="1">
      <alignment horizontal="left"/>
    </xf>
    <xf numFmtId="0" fontId="5" fillId="2" borderId="1" xfId="2" applyFont="1" applyFill="1" applyBorder="1" applyAlignment="1">
      <alignment horizontal="left"/>
    </xf>
    <xf numFmtId="166" fontId="12" fillId="2" borderId="0" xfId="2" applyNumberFormat="1" applyFont="1" applyFill="1"/>
    <xf numFmtId="0" fontId="14" fillId="2" borderId="1" xfId="2" applyFont="1" applyFill="1" applyBorder="1"/>
    <xf numFmtId="3" fontId="13" fillId="2" borderId="0" xfId="6" applyNumberFormat="1" applyFont="1" applyFill="1" applyAlignment="1">
      <alignment horizontal="left" vertical="center"/>
    </xf>
    <xf numFmtId="3" fontId="10" fillId="2" borderId="0" xfId="6" applyNumberFormat="1" applyFont="1" applyFill="1" applyAlignment="1">
      <alignment horizontal="right" vertical="center"/>
    </xf>
    <xf numFmtId="2" fontId="12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3" fillId="2" borderId="1" xfId="2" applyFont="1" applyFill="1" applyBorder="1"/>
    <xf numFmtId="0" fontId="13" fillId="2" borderId="0" xfId="2" applyFont="1" applyFill="1"/>
    <xf numFmtId="0" fontId="12" fillId="2" borderId="0" xfId="2" applyFont="1" applyFill="1" applyAlignment="1">
      <alignment horizontal="right"/>
    </xf>
    <xf numFmtId="168" fontId="12" fillId="2" borderId="0" xfId="2" applyNumberFormat="1" applyFont="1" applyFill="1"/>
    <xf numFmtId="0" fontId="15" fillId="2" borderId="0" xfId="2" applyFont="1" applyFill="1"/>
    <xf numFmtId="166" fontId="5" fillId="2" borderId="0" xfId="3" applyNumberFormat="1" applyFont="1" applyFill="1" applyAlignment="1">
      <alignment horizontal="right" vertical="center"/>
    </xf>
    <xf numFmtId="165" fontId="13" fillId="2" borderId="0" xfId="4" applyFont="1" applyFill="1" applyAlignment="1">
      <alignment wrapText="1"/>
    </xf>
    <xf numFmtId="165" fontId="13" fillId="2" borderId="0" xfId="4" applyFont="1" applyFill="1"/>
    <xf numFmtId="0" fontId="13" fillId="2" borderId="0" xfId="5" applyFont="1" applyFill="1"/>
    <xf numFmtId="171" fontId="12" fillId="2" borderId="0" xfId="2" applyNumberFormat="1" applyFont="1" applyFill="1"/>
    <xf numFmtId="168" fontId="9" fillId="2" borderId="0" xfId="0" applyNumberFormat="1" applyFont="1" applyFill="1" applyAlignment="1">
      <alignment horizontal="left"/>
    </xf>
    <xf numFmtId="0" fontId="12" fillId="2" borderId="0" xfId="2" applyFont="1" applyFill="1" applyAlignment="1">
      <alignment horizontal="right" vertical="center"/>
    </xf>
    <xf numFmtId="0" fontId="12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20" fillId="2" borderId="0" xfId="3" applyFont="1" applyFill="1" applyAlignment="1">
      <alignment horizontal="right" vertical="center"/>
    </xf>
    <xf numFmtId="165" fontId="20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165" fontId="19" fillId="2" borderId="3" xfId="3" applyFont="1" applyFill="1" applyBorder="1" applyAlignment="1">
      <alignment horizontal="right" vertical="center"/>
    </xf>
    <xf numFmtId="0" fontId="20" fillId="2" borderId="1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19" fillId="2" borderId="0" xfId="1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19" fillId="2" borderId="2" xfId="3" applyFont="1" applyFill="1" applyBorder="1" applyAlignment="1">
      <alignment horizontal="right" vertical="center"/>
    </xf>
    <xf numFmtId="165" fontId="19" fillId="2" borderId="4" xfId="3" applyFont="1" applyFill="1" applyBorder="1" applyAlignment="1">
      <alignment horizontal="right" vertical="center" wrapText="1"/>
    </xf>
    <xf numFmtId="165" fontId="19" fillId="2" borderId="0" xfId="3" applyFont="1" applyFill="1" applyAlignment="1">
      <alignment horizontal="right" vertical="center" wrapText="1"/>
    </xf>
    <xf numFmtId="2" fontId="11" fillId="2" borderId="0" xfId="2" applyNumberFormat="1" applyFont="1" applyFill="1"/>
    <xf numFmtId="3" fontId="20" fillId="2" borderId="0" xfId="6" applyNumberFormat="1" applyFont="1" applyFill="1" applyAlignment="1">
      <alignment horizontal="right" vertical="center"/>
    </xf>
    <xf numFmtId="170" fontId="19" fillId="2" borderId="0" xfId="3" applyNumberFormat="1" applyFont="1" applyFill="1" applyAlignment="1">
      <alignment horizontal="right"/>
    </xf>
    <xf numFmtId="17" fontId="8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horizontal="right" vertical="center"/>
    </xf>
    <xf numFmtId="165" fontId="8" fillId="2" borderId="1" xfId="3" applyFont="1" applyFill="1" applyBorder="1" applyAlignment="1">
      <alignment horizontal="right" vertical="center"/>
    </xf>
    <xf numFmtId="3" fontId="20" fillId="2" borderId="1" xfId="6" applyNumberFormat="1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/>
    </xf>
    <xf numFmtId="0" fontId="20" fillId="2" borderId="0" xfId="2" applyFont="1" applyFill="1"/>
    <xf numFmtId="0" fontId="20" fillId="2" borderId="1" xfId="2" applyFont="1" applyFill="1" applyBorder="1"/>
    <xf numFmtId="168" fontId="9" fillId="2" borderId="0" xfId="0" applyNumberFormat="1" applyFont="1" applyFill="1" applyAlignment="1">
      <alignment horizontal="right" vertical="center"/>
    </xf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170" fontId="19" fillId="2" borderId="0" xfId="3" applyNumberFormat="1" applyFont="1" applyFill="1" applyAlignment="1">
      <alignment horizontal="right" vertical="center"/>
    </xf>
    <xf numFmtId="168" fontId="8" fillId="2" borderId="0" xfId="0" applyNumberFormat="1" applyFont="1" applyFill="1" applyAlignment="1">
      <alignment horizontal="right" vertical="center"/>
    </xf>
    <xf numFmtId="168" fontId="8" fillId="2" borderId="1" xfId="0" applyNumberFormat="1" applyFont="1" applyFill="1" applyBorder="1" applyAlignment="1">
      <alignment horizontal="right" vertical="center"/>
    </xf>
    <xf numFmtId="43" fontId="9" fillId="2" borderId="0" xfId="0" applyNumberFormat="1" applyFont="1" applyFill="1" applyAlignment="1">
      <alignment horizontal="right" vertical="center"/>
    </xf>
    <xf numFmtId="2" fontId="14" fillId="2" borderId="0" xfId="2" applyNumberFormat="1" applyFont="1" applyFill="1"/>
    <xf numFmtId="43" fontId="8" fillId="2" borderId="0" xfId="0" applyNumberFormat="1" applyFont="1" applyFill="1" applyAlignment="1">
      <alignment horizontal="right" vertical="center"/>
    </xf>
    <xf numFmtId="43" fontId="8" fillId="2" borderId="1" xfId="0" applyNumberFormat="1" applyFont="1" applyFill="1" applyBorder="1" applyAlignment="1">
      <alignment horizontal="right" vertical="center"/>
    </xf>
    <xf numFmtId="168" fontId="8" fillId="2" borderId="0" xfId="0" applyNumberFormat="1" applyFont="1" applyFill="1" applyAlignment="1">
      <alignment horizontal="left"/>
    </xf>
    <xf numFmtId="3" fontId="14" fillId="2" borderId="0" xfId="6" applyNumberFormat="1" applyFont="1" applyFill="1" applyAlignment="1">
      <alignment horizontal="right" vertical="center"/>
    </xf>
    <xf numFmtId="0" fontId="5" fillId="2" borderId="0" xfId="2" applyFont="1" applyFill="1"/>
    <xf numFmtId="0" fontId="14" fillId="2" borderId="0" xfId="2" applyFont="1" applyFill="1" applyAlignment="1">
      <alignment horizontal="right"/>
    </xf>
    <xf numFmtId="165" fontId="3" fillId="2" borderId="0" xfId="3" applyFont="1" applyFill="1" applyAlignment="1">
      <alignment horizontal="right" vertical="center" wrapText="1"/>
    </xf>
    <xf numFmtId="17" fontId="8" fillId="2" borderId="0" xfId="2" applyNumberFormat="1" applyFont="1" applyFill="1" applyAlignment="1">
      <alignment horizontal="right" vertical="center"/>
    </xf>
    <xf numFmtId="0" fontId="8" fillId="2" borderId="0" xfId="2" applyFont="1" applyFill="1" applyAlignment="1">
      <alignment horizontal="right" vertical="center"/>
    </xf>
    <xf numFmtId="165" fontId="8" fillId="2" borderId="0" xfId="3" applyFont="1" applyFill="1" applyAlignment="1">
      <alignment horizontal="right" vertical="center"/>
    </xf>
    <xf numFmtId="165" fontId="8" fillId="2" borderId="0" xfId="3" applyFont="1" applyFill="1" applyAlignment="1">
      <alignment horizontal="center" vertical="center"/>
    </xf>
    <xf numFmtId="165" fontId="19" fillId="2" borderId="0" xfId="3" applyFont="1" applyFill="1" applyAlignment="1">
      <alignment horizontal="center" vertical="center" wrapText="1"/>
    </xf>
    <xf numFmtId="165" fontId="5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/>
    </xf>
  </cellXfs>
  <cellStyles count="22">
    <cellStyle name="1" xfId="11" xr:uid="{00000000-0005-0000-0000-000000000000}"/>
    <cellStyle name="Comma 2" xfId="12" xr:uid="{00000000-0005-0000-0000-000001000000}"/>
    <cellStyle name="Comma 2 2" xfId="17" xr:uid="{00000000-0005-0000-0000-000002000000}"/>
    <cellStyle name="Comma 3" xfId="13" xr:uid="{00000000-0005-0000-0000-000003000000}"/>
    <cellStyle name="Comma 3 2" xfId="7" xr:uid="{00000000-0005-0000-0000-000004000000}"/>
    <cellStyle name="Normal" xfId="0" builtinId="0"/>
    <cellStyle name="Normal - Style1" xfId="14" xr:uid="{00000000-0005-0000-0000-000007000000}"/>
    <cellStyle name="Normal 2" xfId="16" xr:uid="{00000000-0005-0000-0000-000008000000}"/>
    <cellStyle name="Normal 3" xfId="8" xr:uid="{00000000-0005-0000-0000-000009000000}"/>
    <cellStyle name="Normal 4" xfId="9" xr:uid="{00000000-0005-0000-0000-00000A000000}"/>
    <cellStyle name="Normal 5" xfId="10" xr:uid="{00000000-0005-0000-0000-00000B000000}"/>
    <cellStyle name="Normal 5 2" xfId="20" xr:uid="{00000000-0005-0000-0000-00000C000000}"/>
    <cellStyle name="Normal 6" xfId="19" xr:uid="{00000000-0005-0000-0000-00000D000000}"/>
    <cellStyle name="Normal 6 2" xfId="21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5" xr:uid="{00000000-0005-0000-0000-000015000000}"/>
    <cellStyle name="Percent 2 2" xfId="18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397E-2"/>
          <c:y val="0.122980545186643"/>
          <c:w val="0.91787753419041496"/>
          <c:h val="0.452192929560931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'17.6'!$DY$81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'17.6'!$DO$82:$DO$99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'17.6'!$DY$82:$DY$99</c:f>
              <c:numCache>
                <c:formatCode>0.0</c:formatCode>
                <c:ptCount val="18"/>
                <c:pt idx="0">
                  <c:v>99.755867509454859</c:v>
                </c:pt>
                <c:pt idx="1">
                  <c:v>100.0189697454872</c:v>
                </c:pt>
                <c:pt idx="2">
                  <c:v>102.19215981021229</c:v>
                </c:pt>
                <c:pt idx="3">
                  <c:v>100.23444513498929</c:v>
                </c:pt>
                <c:pt idx="4">
                  <c:v>99.962545178697326</c:v>
                </c:pt>
                <c:pt idx="5">
                  <c:v>99.542874629829512</c:v>
                </c:pt>
                <c:pt idx="6">
                  <c:v>99.287613094180429</c:v>
                </c:pt>
                <c:pt idx="7">
                  <c:v>100.03347598488823</c:v>
                </c:pt>
                <c:pt idx="8">
                  <c:v>99.651230898131658</c:v>
                </c:pt>
                <c:pt idx="9">
                  <c:v>99.177907186017364</c:v>
                </c:pt>
                <c:pt idx="10">
                  <c:v>100.25721192236689</c:v>
                </c:pt>
                <c:pt idx="11">
                  <c:v>100.42641155289699</c:v>
                </c:pt>
                <c:pt idx="12">
                  <c:v>99.997620891203681</c:v>
                </c:pt>
                <c:pt idx="13">
                  <c:v>99.155419008916851</c:v>
                </c:pt>
                <c:pt idx="14" formatCode="General">
                  <c:v>100</c:v>
                </c:pt>
                <c:pt idx="15">
                  <c:v>99.967391567614428</c:v>
                </c:pt>
                <c:pt idx="16">
                  <c:v>99.704026856120265</c:v>
                </c:pt>
                <c:pt idx="17">
                  <c:v>99.768516719136173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7-4188-99F5-3377ED319B60}"/>
            </c:ext>
          </c:extLst>
        </c:ser>
        <c:ser>
          <c:idx val="2"/>
          <c:order val="1"/>
          <c:tx>
            <c:strRef>
              <c:f>'17.6'!$DZ$81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85C00"/>
            </a:solidFill>
          </c:spPr>
          <c:invertIfNegative val="0"/>
          <c:cat>
            <c:strRef>
              <c:f>'17.6'!$DO$82:$DO$99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'17.6'!$DZ$82:$DZ$99</c:f>
              <c:numCache>
                <c:formatCode>0.0</c:formatCode>
                <c:ptCount val="18"/>
                <c:pt idx="0">
                  <c:v>104.32095882991126</c:v>
                </c:pt>
                <c:pt idx="1">
                  <c:v>105.2422746584155</c:v>
                </c:pt>
                <c:pt idx="2">
                  <c:v>100.31089926502996</c:v>
                </c:pt>
                <c:pt idx="3">
                  <c:v>135.94615167562134</c:v>
                </c:pt>
                <c:pt idx="4">
                  <c:v>98.78312407403439</c:v>
                </c:pt>
                <c:pt idx="5">
                  <c:v>95.708072576042923</c:v>
                </c:pt>
                <c:pt idx="6">
                  <c:v>94.14175895634007</c:v>
                </c:pt>
                <c:pt idx="7">
                  <c:v>99.168634885700143</c:v>
                </c:pt>
                <c:pt idx="8">
                  <c:v>100.14993114267816</c:v>
                </c:pt>
                <c:pt idx="9">
                  <c:v>100.85971287891068</c:v>
                </c:pt>
                <c:pt idx="10">
                  <c:v>82.583730636649364</c:v>
                </c:pt>
                <c:pt idx="11">
                  <c:v>102.15559102437322</c:v>
                </c:pt>
                <c:pt idx="12">
                  <c:v>100.26970732814955</c:v>
                </c:pt>
                <c:pt idx="13">
                  <c:v>100.50787945146017</c:v>
                </c:pt>
                <c:pt idx="14">
                  <c:v>100</c:v>
                </c:pt>
                <c:pt idx="15">
                  <c:v>99.955138511880179</c:v>
                </c:pt>
                <c:pt idx="16">
                  <c:v>98.872430971450569</c:v>
                </c:pt>
                <c:pt idx="17">
                  <c:v>98.810874358558848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7-4188-99F5-3377ED31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8546768"/>
        <c:axId val="478541672"/>
      </c:barChart>
      <c:catAx>
        <c:axId val="47854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78541672"/>
        <c:crosses val="autoZero"/>
        <c:auto val="1"/>
        <c:lblAlgn val="ctr"/>
        <c:lblOffset val="100"/>
        <c:noMultiLvlLbl val="0"/>
      </c:catAx>
      <c:valAx>
        <c:axId val="478541672"/>
        <c:scaling>
          <c:orientation val="minMax"/>
          <c:max val="18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478546768"/>
        <c:crosses val="autoZero"/>
        <c:crossBetween val="between"/>
      </c:valAx>
      <c:spPr>
        <a:solidFill>
          <a:srgbClr val="FCF9F6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530953193636843"/>
          <c:y val="0.84614818628535893"/>
          <c:w val="0.17641749218191299"/>
          <c:h val="5.156728304147539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102E-2"/>
          <c:y val="0.15285599615551601"/>
          <c:w val="0.92474503881256398"/>
          <c:h val="0.76666197605023034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B85C00"/>
              </a:solidFill>
            </a:ln>
          </c:spPr>
          <c:marker>
            <c:symbol val="diamond"/>
            <c:size val="7"/>
            <c:spPr>
              <a:solidFill>
                <a:srgbClr val="B85C00"/>
              </a:solidFill>
              <a:ln>
                <a:solidFill>
                  <a:srgbClr val="663300"/>
                </a:solidFill>
              </a:ln>
            </c:spPr>
          </c:marker>
          <c:cat>
            <c:strRef>
              <c:f>'17.6'!$DQ$117:$DQ$128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 '21</c:v>
                </c:pt>
                <c:pt idx="11">
                  <c:v>Feb</c:v>
                </c:pt>
              </c:strCache>
            </c:strRef>
          </c:cat>
          <c:val>
            <c:numRef>
              <c:f>'17.6'!$DR$117:$DR$128</c:f>
              <c:numCache>
                <c:formatCode>_(* #,##0.0_);_(* \(#,##0.0\);_(* "-"??_);_(@_)</c:formatCode>
                <c:ptCount val="12"/>
                <c:pt idx="0">
                  <c:v>99.134360875184882</c:v>
                </c:pt>
                <c:pt idx="1">
                  <c:v>95.928851542873616</c:v>
                </c:pt>
                <c:pt idx="2">
                  <c:v>95.980515573689644</c:v>
                </c:pt>
                <c:pt idx="3">
                  <c:v>95.584066696262042</c:v>
                </c:pt>
                <c:pt idx="4">
                  <c:v>98.274426578525649</c:v>
                </c:pt>
                <c:pt idx="5">
                  <c:v>98.804137332519716</c:v>
                </c:pt>
                <c:pt idx="6">
                  <c:v>98.878005829685932</c:v>
                </c:pt>
                <c:pt idx="7">
                  <c:v>98.89643815543414</c:v>
                </c:pt>
                <c:pt idx="8">
                  <c:v>99.020036660051346</c:v>
                </c:pt>
                <c:pt idx="9">
                  <c:v>99.053803617897771</c:v>
                </c:pt>
                <c:pt idx="10" formatCode="0.0">
                  <c:v>99.302368031059999</c:v>
                </c:pt>
                <c:pt idx="11" formatCode="0.0">
                  <c:v>99.251565467096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3-4B1B-A47A-85A5959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540888"/>
        <c:axId val="478535792"/>
      </c:lineChart>
      <c:catAx>
        <c:axId val="4785408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0" vert="horz"/>
          <a:lstStyle/>
          <a:p>
            <a:pPr>
              <a:defRPr lang="en-AU" sz="1050"/>
            </a:pPr>
            <a:endParaRPr lang="en-US"/>
          </a:p>
        </c:txPr>
        <c:crossAx val="478535792"/>
        <c:crosses val="autoZero"/>
        <c:auto val="1"/>
        <c:lblAlgn val="ctr"/>
        <c:lblOffset val="100"/>
        <c:noMultiLvlLbl val="0"/>
      </c:catAx>
      <c:valAx>
        <c:axId val="478535792"/>
        <c:scaling>
          <c:orientation val="minMax"/>
          <c:max val="20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78540888"/>
        <c:crosses val="autoZero"/>
        <c:crossBetween val="between"/>
        <c:majorUnit val="50"/>
      </c:valAx>
      <c:spPr>
        <a:solidFill>
          <a:srgbClr val="FCF9F6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397E-2"/>
          <c:y val="0.122980545186643"/>
          <c:w val="0.91787753419041496"/>
          <c:h val="0.452192929560931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'17.6'!$DZ$81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'17.6'!$DO$82:$DO$99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'17.6'!$DZ$82:$DZ$99</c:f>
              <c:numCache>
                <c:formatCode>0.0</c:formatCode>
                <c:ptCount val="18"/>
                <c:pt idx="0">
                  <c:v>104.32095882991126</c:v>
                </c:pt>
                <c:pt idx="1">
                  <c:v>105.2422746584155</c:v>
                </c:pt>
                <c:pt idx="2">
                  <c:v>100.31089926502996</c:v>
                </c:pt>
                <c:pt idx="3">
                  <c:v>135.94615167562134</c:v>
                </c:pt>
                <c:pt idx="4">
                  <c:v>98.78312407403439</c:v>
                </c:pt>
                <c:pt idx="5">
                  <c:v>95.708072576042923</c:v>
                </c:pt>
                <c:pt idx="6">
                  <c:v>94.14175895634007</c:v>
                </c:pt>
                <c:pt idx="7">
                  <c:v>99.168634885700143</c:v>
                </c:pt>
                <c:pt idx="8">
                  <c:v>100.14993114267816</c:v>
                </c:pt>
                <c:pt idx="9">
                  <c:v>100.85971287891068</c:v>
                </c:pt>
                <c:pt idx="10">
                  <c:v>82.583730636649364</c:v>
                </c:pt>
                <c:pt idx="11">
                  <c:v>102.15559102437322</c:v>
                </c:pt>
                <c:pt idx="12">
                  <c:v>100.26970732814955</c:v>
                </c:pt>
                <c:pt idx="13">
                  <c:v>100.50787945146017</c:v>
                </c:pt>
                <c:pt idx="14">
                  <c:v>100</c:v>
                </c:pt>
                <c:pt idx="15">
                  <c:v>99.955138511880179</c:v>
                </c:pt>
                <c:pt idx="16">
                  <c:v>98.872430971450569</c:v>
                </c:pt>
                <c:pt idx="17">
                  <c:v>98.810874358558848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7-4188-99F5-3377ED319B60}"/>
            </c:ext>
          </c:extLst>
        </c:ser>
        <c:ser>
          <c:idx val="2"/>
          <c:order val="1"/>
          <c:tx>
            <c:strRef>
              <c:f>'17.6'!$EA$81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'17.6'!$DO$82:$DO$99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'17.6'!$EA$82:$EA$99</c:f>
              <c:numCache>
                <c:formatCode>0.0</c:formatCode>
                <c:ptCount val="18"/>
                <c:pt idx="0">
                  <c:v>104.32095882991126</c:v>
                </c:pt>
                <c:pt idx="1">
                  <c:v>105.2422746584155</c:v>
                </c:pt>
                <c:pt idx="2">
                  <c:v>100.31089926502996</c:v>
                </c:pt>
                <c:pt idx="3">
                  <c:v>135.94615167562134</c:v>
                </c:pt>
                <c:pt idx="4">
                  <c:v>98.78312407403439</c:v>
                </c:pt>
                <c:pt idx="5">
                  <c:v>95.708072576042923</c:v>
                </c:pt>
                <c:pt idx="6">
                  <c:v>94.14175895634007</c:v>
                </c:pt>
                <c:pt idx="7">
                  <c:v>99.168634885700143</c:v>
                </c:pt>
                <c:pt idx="8">
                  <c:v>100.14993114267816</c:v>
                </c:pt>
                <c:pt idx="9">
                  <c:v>100.85971287891068</c:v>
                </c:pt>
                <c:pt idx="10">
                  <c:v>82.583730636649364</c:v>
                </c:pt>
                <c:pt idx="11">
                  <c:v>102.15559102437322</c:v>
                </c:pt>
                <c:pt idx="12">
                  <c:v>100.26970732814955</c:v>
                </c:pt>
                <c:pt idx="13">
                  <c:v>100.50787945146017</c:v>
                </c:pt>
                <c:pt idx="14">
                  <c:v>100</c:v>
                </c:pt>
                <c:pt idx="15">
                  <c:v>99.955138511880179</c:v>
                </c:pt>
                <c:pt idx="16">
                  <c:v>98.872430971450569</c:v>
                </c:pt>
                <c:pt idx="17">
                  <c:v>98.810874358558848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7-4188-99F5-3377ED31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509776"/>
        <c:axId val="472812664"/>
      </c:barChart>
      <c:catAx>
        <c:axId val="303509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72812664"/>
        <c:crosses val="autoZero"/>
        <c:auto val="1"/>
        <c:lblAlgn val="ctr"/>
        <c:lblOffset val="100"/>
        <c:noMultiLvlLbl val="0"/>
      </c:catAx>
      <c:valAx>
        <c:axId val="472812664"/>
        <c:scaling>
          <c:orientation val="minMax"/>
          <c:max val="14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303509776"/>
        <c:crosses val="autoZero"/>
        <c:crossBetween val="between"/>
        <c:majorUnit val="10"/>
      </c:valAx>
      <c:spPr>
        <a:solidFill>
          <a:srgbClr val="FFEFE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530953193636843"/>
          <c:y val="0.84614818628535893"/>
          <c:w val="0.17641749218191299"/>
          <c:h val="5.156728304147539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102E-2"/>
          <c:y val="0.15285599615551601"/>
          <c:w val="0.92474503881256398"/>
          <c:h val="0.76666197605023034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FFB3B3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'17.6'!$DQ$115:$DQ$138</c:f>
              <c:strCache>
                <c:ptCount val="24"/>
                <c:pt idx="0">
                  <c:v>Jan '20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'21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'17.6'!$DR$115:$DR$138</c:f>
              <c:numCache>
                <c:formatCode>_(* #,##0.0_);_(* \(#,##0.0\);_(* "-"??_);_(@_)</c:formatCode>
                <c:ptCount val="24"/>
                <c:pt idx="0">
                  <c:v>100.25198249012915</c:v>
                </c:pt>
                <c:pt idx="1">
                  <c:v>100.25305581995573</c:v>
                </c:pt>
                <c:pt idx="2">
                  <c:v>99.134360875184882</c:v>
                </c:pt>
                <c:pt idx="3">
                  <c:v>95.928851542873616</c:v>
                </c:pt>
                <c:pt idx="4">
                  <c:v>95.980515573689644</c:v>
                </c:pt>
                <c:pt idx="5">
                  <c:v>95.584066696262042</c:v>
                </c:pt>
                <c:pt idx="6">
                  <c:v>98.274426578525649</c:v>
                </c:pt>
                <c:pt idx="7">
                  <c:v>98.804137332519716</c:v>
                </c:pt>
                <c:pt idx="8">
                  <c:v>98.878005829685932</c:v>
                </c:pt>
                <c:pt idx="9">
                  <c:v>98.89643815543414</c:v>
                </c:pt>
                <c:pt idx="10">
                  <c:v>99.020036660051346</c:v>
                </c:pt>
                <c:pt idx="11">
                  <c:v>99.053803617897771</c:v>
                </c:pt>
                <c:pt idx="12" formatCode="0.0">
                  <c:v>99.302368031059999</c:v>
                </c:pt>
                <c:pt idx="13" formatCode="0.0">
                  <c:v>99.251565467096</c:v>
                </c:pt>
                <c:pt idx="14" formatCode="0.0">
                  <c:v>99.054735754289027</c:v>
                </c:pt>
                <c:pt idx="15" formatCode="0.0">
                  <c:v>99.138737098928999</c:v>
                </c:pt>
                <c:pt idx="16" formatCode="0.0">
                  <c:v>98.608293423219308</c:v>
                </c:pt>
                <c:pt idx="17" formatCode="0.0">
                  <c:v>96.472507095122438</c:v>
                </c:pt>
                <c:pt idx="18" formatCode="0.0">
                  <c:v>99.171226706114453</c:v>
                </c:pt>
                <c:pt idx="19" formatCode="0.0">
                  <c:v>99.248474026876806</c:v>
                </c:pt>
                <c:pt idx="20" formatCode="0.0">
                  <c:v>98.954950898444437</c:v>
                </c:pt>
                <c:pt idx="21" formatCode="0.0">
                  <c:v>99.036527281604961</c:v>
                </c:pt>
                <c:pt idx="22" formatCode="0.0">
                  <c:v>99.15143257149299</c:v>
                </c:pt>
                <c:pt idx="23" formatCode="0.0">
                  <c:v>99.078353303157485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3-4B1B-A47A-85A5959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820112"/>
        <c:axId val="472816584"/>
      </c:lineChart>
      <c:catAx>
        <c:axId val="472820112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0" vert="horz"/>
          <a:lstStyle/>
          <a:p>
            <a:pPr>
              <a:defRPr lang="en-AU" sz="1050"/>
            </a:pPr>
            <a:endParaRPr lang="en-US"/>
          </a:p>
        </c:txPr>
        <c:crossAx val="472816584"/>
        <c:crosses val="autoZero"/>
        <c:auto val="1"/>
        <c:lblAlgn val="ctr"/>
        <c:lblOffset val="100"/>
        <c:noMultiLvlLbl val="0"/>
      </c:catAx>
      <c:valAx>
        <c:axId val="472816584"/>
        <c:scaling>
          <c:orientation val="minMax"/>
          <c:max val="200"/>
          <c:min val="0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72820112"/>
        <c:crosses val="autoZero"/>
        <c:crossBetween val="between"/>
        <c:majorUnit val="50"/>
      </c:valAx>
      <c:spPr>
        <a:solidFill>
          <a:srgbClr val="FFEFEF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92</xdr:row>
      <xdr:rowOff>33120</xdr:rowOff>
    </xdr:from>
    <xdr:to>
      <xdr:col>12</xdr:col>
      <xdr:colOff>513184</xdr:colOff>
      <xdr:row>111</xdr:row>
      <xdr:rowOff>98961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73</xdr:row>
      <xdr:rowOff>103302</xdr:rowOff>
    </xdr:from>
    <xdr:to>
      <xdr:col>12</xdr:col>
      <xdr:colOff>495513</xdr:colOff>
      <xdr:row>91</xdr:row>
      <xdr:rowOff>89065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793102</xdr:colOff>
      <xdr:row>92</xdr:row>
      <xdr:rowOff>33120</xdr:rowOff>
    </xdr:from>
    <xdr:to>
      <xdr:col>12</xdr:col>
      <xdr:colOff>513184</xdr:colOff>
      <xdr:row>111</xdr:row>
      <xdr:rowOff>98961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790983</xdr:colOff>
      <xdr:row>73</xdr:row>
      <xdr:rowOff>103302</xdr:rowOff>
    </xdr:from>
    <xdr:to>
      <xdr:col>12</xdr:col>
      <xdr:colOff>495513</xdr:colOff>
      <xdr:row>91</xdr:row>
      <xdr:rowOff>89065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0.21531</cdr:x>
      <cdr:y>0.02231</cdr:y>
    </cdr:from>
    <cdr:to>
      <cdr:x>0.81706</cdr:x>
      <cdr:y>0.08632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157947" y="113987"/>
          <a:ext cx="6031119" cy="32710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 17.5: Consumer Price Index by </a:t>
          </a:r>
          <a:r>
            <a:rPr lang="en-US" sz="12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Major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 Catagories, Republic, 2019 - 2020</a:t>
          </a:r>
          <a:endParaRPr lang="en-US" sz="1200" b="1">
            <a:latin typeface="+mn-lt"/>
            <a:cs typeface="Consolas" pitchFamily="49" charset="0"/>
          </a:endParaRPr>
        </a:p>
        <a:p xmlns:a="http://schemas.openxmlformats.org/drawingml/2006/main">
          <a:endParaRPr lang="en-US" sz="1200" b="1">
            <a:latin typeface="+mn-lt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0.01996</cdr:y>
    </cdr:from>
    <cdr:to>
      <cdr:x>0.87042</cdr:x>
      <cdr:y>0.0807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575" y="68152"/>
          <a:ext cx="6685816" cy="20741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2019 - 2020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0.23014</cdr:x>
      <cdr:y>0.03055</cdr:y>
    </cdr:from>
    <cdr:to>
      <cdr:x>0.87928</cdr:x>
      <cdr:y>0.09456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284207" y="155193"/>
          <a:ext cx="6443028" cy="32514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 17.5: Consumer Price Index by </a:t>
          </a:r>
          <a:r>
            <a:rPr lang="en-US" sz="12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Major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 Catagories, Republic, 2020 - 2021</a:t>
          </a:r>
          <a:endParaRPr lang="en-US" sz="1200" b="1">
            <a:latin typeface="+mn-lt"/>
            <a:cs typeface="Consolas" pitchFamily="49" charset="0"/>
          </a:endParaRPr>
        </a:p>
        <a:p xmlns:a="http://schemas.openxmlformats.org/drawingml/2006/main">
          <a:endParaRPr lang="en-US" sz="1200" b="1">
            <a:latin typeface="+mn-lt"/>
            <a:cs typeface="Consolas" pitchFamily="49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0.01996</cdr:y>
    </cdr:from>
    <cdr:to>
      <cdr:x>0.87042</cdr:x>
      <cdr:y>0.0807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575" y="68152"/>
          <a:ext cx="6685816" cy="20741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2020 - 2021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A234"/>
  <sheetViews>
    <sheetView tabSelected="1" zoomScale="136" zoomScaleNormal="136" zoomScaleSheetLayoutView="100" workbookViewId="0">
      <selection activeCell="AC7" sqref="AC7"/>
    </sheetView>
  </sheetViews>
  <sheetFormatPr defaultColWidth="9.140625" defaultRowHeight="14.25" x14ac:dyDescent="0.35"/>
  <cols>
    <col min="1" max="1" width="37.42578125" style="40" customWidth="1"/>
    <col min="2" max="2" width="10.5703125" style="12" customWidth="1"/>
    <col min="3" max="4" width="10.5703125" style="41" customWidth="1"/>
    <col min="5" max="13" width="10.5703125" style="12" customWidth="1"/>
    <col min="14" max="14" width="9.85546875" style="12" customWidth="1"/>
    <col min="15" max="15" width="7.7109375" style="12" customWidth="1"/>
    <col min="16" max="16" width="8.85546875" style="12" customWidth="1"/>
    <col min="17" max="17" width="6.42578125" style="12" customWidth="1"/>
    <col min="18" max="18" width="17.7109375" style="75" customWidth="1"/>
    <col min="19" max="111" width="6.42578125" style="12" customWidth="1"/>
    <col min="112" max="112" width="23.42578125" style="12" customWidth="1"/>
    <col min="113" max="117" width="6.42578125" style="12" customWidth="1"/>
    <col min="118" max="118" width="9.140625" style="12"/>
    <col min="119" max="131" width="10.140625" style="12" customWidth="1"/>
    <col min="132" max="16384" width="9.140625" style="12"/>
  </cols>
  <sheetData>
    <row r="1" spans="1:121" s="18" customFormat="1" ht="23.25" customHeight="1" x14ac:dyDescent="0.25">
      <c r="A1" s="98" t="s">
        <v>89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</row>
    <row r="2" spans="1:121" s="19" customFormat="1" ht="12.75" x14ac:dyDescent="0.25">
      <c r="A2" s="95" t="s">
        <v>90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21" s="18" customFormat="1" ht="15" customHeight="1" x14ac:dyDescent="0.25">
      <c r="A3" s="96" t="s">
        <v>85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</row>
    <row r="4" spans="1:121" s="19" customFormat="1" ht="12" x14ac:dyDescent="0.25">
      <c r="A4" s="97" t="s">
        <v>82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21" ht="6" customHeight="1" x14ac:dyDescent="0.2">
      <c r="A5" s="21"/>
      <c r="B5" s="22"/>
      <c r="C5" s="23"/>
      <c r="D5" s="23"/>
      <c r="E5" s="22"/>
      <c r="F5" s="24"/>
      <c r="G5" s="24"/>
      <c r="H5" s="24"/>
      <c r="I5" s="24"/>
      <c r="J5" s="24"/>
      <c r="K5" s="24"/>
      <c r="L5" s="24"/>
      <c r="M5" s="24"/>
      <c r="O5" s="25"/>
      <c r="P5" s="25"/>
      <c r="Q5" s="25"/>
      <c r="R5" s="73"/>
    </row>
    <row r="6" spans="1:121" ht="15" x14ac:dyDescent="0.2">
      <c r="A6" s="26"/>
      <c r="B6" s="27" t="s">
        <v>87</v>
      </c>
      <c r="C6" s="28"/>
      <c r="D6" s="28"/>
      <c r="E6" s="27"/>
      <c r="F6" s="14"/>
      <c r="G6" s="29"/>
      <c r="H6" s="30"/>
      <c r="I6" s="30"/>
      <c r="J6" s="30"/>
      <c r="K6" s="30"/>
      <c r="L6" s="30"/>
      <c r="M6" s="29"/>
      <c r="N6" s="59" t="s">
        <v>88</v>
      </c>
      <c r="R6" s="57" t="s">
        <v>62</v>
      </c>
    </row>
    <row r="7" spans="1:121" ht="20.25" customHeight="1" x14ac:dyDescent="0.35">
      <c r="A7" s="31" t="s">
        <v>63</v>
      </c>
      <c r="B7" s="65" t="s">
        <v>37</v>
      </c>
      <c r="C7" s="65" t="s">
        <v>38</v>
      </c>
      <c r="D7" s="65" t="s">
        <v>39</v>
      </c>
      <c r="E7" s="65" t="s">
        <v>40</v>
      </c>
      <c r="F7" s="65" t="s">
        <v>41</v>
      </c>
      <c r="G7" s="66" t="s">
        <v>42</v>
      </c>
      <c r="H7" s="66" t="s">
        <v>43</v>
      </c>
      <c r="I7" s="66" t="s">
        <v>44</v>
      </c>
      <c r="J7" s="66" t="s">
        <v>45</v>
      </c>
      <c r="K7" s="66" t="s">
        <v>46</v>
      </c>
      <c r="L7" s="66" t="s">
        <v>47</v>
      </c>
      <c r="M7" s="66" t="s">
        <v>48</v>
      </c>
      <c r="N7" s="69" t="s">
        <v>49</v>
      </c>
      <c r="R7" s="74" t="s">
        <v>64</v>
      </c>
    </row>
    <row r="8" spans="1:121" s="10" customFormat="1" ht="18" customHeight="1" x14ac:dyDescent="0.25">
      <c r="A8" s="52" t="s">
        <v>0</v>
      </c>
      <c r="B8" s="70" t="s">
        <v>50</v>
      </c>
      <c r="C8" s="71" t="s">
        <v>51</v>
      </c>
      <c r="D8" s="71" t="s">
        <v>52</v>
      </c>
      <c r="E8" s="71" t="s">
        <v>53</v>
      </c>
      <c r="F8" s="71" t="s">
        <v>54</v>
      </c>
      <c r="G8" s="71" t="s">
        <v>55</v>
      </c>
      <c r="H8" s="71" t="s">
        <v>56</v>
      </c>
      <c r="I8" s="71" t="s">
        <v>57</v>
      </c>
      <c r="J8" s="71" t="s">
        <v>58</v>
      </c>
      <c r="K8" s="71" t="s">
        <v>59</v>
      </c>
      <c r="L8" s="71" t="s">
        <v>60</v>
      </c>
      <c r="M8" s="71" t="s">
        <v>61</v>
      </c>
      <c r="N8" s="72" t="s">
        <v>65</v>
      </c>
      <c r="O8" s="51"/>
      <c r="P8" s="51"/>
      <c r="Q8" s="51"/>
      <c r="R8" s="60"/>
    </row>
    <row r="9" spans="1:121" ht="19.5" customHeight="1" x14ac:dyDescent="0.2">
      <c r="A9" s="3" t="s">
        <v>5</v>
      </c>
      <c r="B9" s="83">
        <v>103.21800120735259</v>
      </c>
      <c r="C9" s="83">
        <v>103.90494392830662</v>
      </c>
      <c r="D9" s="83">
        <v>103.38046297504388</v>
      </c>
      <c r="E9" s="83">
        <v>103.77284770697182</v>
      </c>
      <c r="F9" s="83">
        <v>103.74932064154059</v>
      </c>
      <c r="G9" s="83">
        <v>104.07614667184311</v>
      </c>
      <c r="H9" s="83">
        <v>104.00592465035898</v>
      </c>
      <c r="I9" s="83">
        <v>104.94447617193714</v>
      </c>
      <c r="J9" s="83">
        <v>104.81984206987529</v>
      </c>
      <c r="K9" s="83">
        <v>105.42868851809197</v>
      </c>
      <c r="L9" s="83">
        <v>105.42282822768868</v>
      </c>
      <c r="M9" s="83">
        <v>105.12802318992441</v>
      </c>
      <c r="N9" s="83">
        <f>AVERAGE(B9:M9)</f>
        <v>104.32095882991126</v>
      </c>
      <c r="R9" s="55" t="s">
        <v>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</row>
    <row r="10" spans="1:121" ht="19.5" customHeight="1" x14ac:dyDescent="0.2">
      <c r="A10" s="3" t="s">
        <v>7</v>
      </c>
      <c r="B10" s="83">
        <v>105.07157737030896</v>
      </c>
      <c r="C10" s="83">
        <v>106.08587044524479</v>
      </c>
      <c r="D10" s="83">
        <v>104.68508334418422</v>
      </c>
      <c r="E10" s="83">
        <v>103.9635159592669</v>
      </c>
      <c r="F10" s="83">
        <v>103.80393897540084</v>
      </c>
      <c r="G10" s="83">
        <v>104.34307891609768</v>
      </c>
      <c r="H10" s="83">
        <v>104.59685738123761</v>
      </c>
      <c r="I10" s="83">
        <v>105.96689517510582</v>
      </c>
      <c r="J10" s="83">
        <v>105.71754294811026</v>
      </c>
      <c r="K10" s="83">
        <v>106.13305869746566</v>
      </c>
      <c r="L10" s="83">
        <v>106.32078182081075</v>
      </c>
      <c r="M10" s="83">
        <v>106.21909486775236</v>
      </c>
      <c r="N10" s="83">
        <f t="shared" ref="N10:N26" si="0">AVERAGE(B10:M10)</f>
        <v>105.2422746584155</v>
      </c>
      <c r="R10" s="55" t="s">
        <v>8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</row>
    <row r="11" spans="1:121" ht="19.5" customHeight="1" x14ac:dyDescent="0.2">
      <c r="A11" s="4" t="s">
        <v>9</v>
      </c>
      <c r="B11" s="83">
        <v>95.150245730311838</v>
      </c>
      <c r="C11" s="83">
        <v>94.412384516025654</v>
      </c>
      <c r="D11" s="83">
        <v>97.70205690846872</v>
      </c>
      <c r="E11" s="83">
        <v>102.94295742919775</v>
      </c>
      <c r="F11" s="83">
        <v>103.51159242138226</v>
      </c>
      <c r="G11" s="83">
        <v>102.91431468531792</v>
      </c>
      <c r="H11" s="83">
        <v>101.43386914415059</v>
      </c>
      <c r="I11" s="83">
        <v>100.49436148148473</v>
      </c>
      <c r="J11" s="83">
        <v>100.91256740705651</v>
      </c>
      <c r="K11" s="83">
        <v>102.36289252541897</v>
      </c>
      <c r="L11" s="83">
        <v>101.51445361443083</v>
      </c>
      <c r="M11" s="83">
        <v>100.37909531711405</v>
      </c>
      <c r="N11" s="83">
        <f t="shared" si="0"/>
        <v>100.31089926502996</v>
      </c>
      <c r="R11" s="55" t="s">
        <v>10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</row>
    <row r="12" spans="1:121" ht="19.5" customHeight="1" x14ac:dyDescent="0.2">
      <c r="A12" s="4" t="s">
        <v>11</v>
      </c>
      <c r="B12" s="83">
        <v>133.40082450157695</v>
      </c>
      <c r="C12" s="83">
        <v>133.83084014732074</v>
      </c>
      <c r="D12" s="83">
        <v>133.97344183087353</v>
      </c>
      <c r="E12" s="83">
        <v>134.01365336660766</v>
      </c>
      <c r="F12" s="83">
        <v>134.01365336660766</v>
      </c>
      <c r="G12" s="83">
        <v>134.02653658175751</v>
      </c>
      <c r="H12" s="83">
        <v>135.06703946815583</v>
      </c>
      <c r="I12" s="83">
        <v>136.10710345696225</v>
      </c>
      <c r="J12" s="83">
        <v>138.15398600082287</v>
      </c>
      <c r="K12" s="83">
        <v>138.15398600082287</v>
      </c>
      <c r="L12" s="83">
        <v>139.49046306534055</v>
      </c>
      <c r="M12" s="83">
        <v>141.1222923206075</v>
      </c>
      <c r="N12" s="83">
        <f t="shared" si="0"/>
        <v>135.94615167562134</v>
      </c>
      <c r="R12" s="55" t="s">
        <v>36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</row>
    <row r="13" spans="1:121" ht="19.5" customHeight="1" x14ac:dyDescent="0.2">
      <c r="A13" s="4" t="s">
        <v>71</v>
      </c>
      <c r="B13" s="83">
        <v>98.44579109555049</v>
      </c>
      <c r="C13" s="83">
        <v>98.817900289912359</v>
      </c>
      <c r="D13" s="83">
        <v>98.823828026205149</v>
      </c>
      <c r="E13" s="83">
        <v>98.853287751070653</v>
      </c>
      <c r="F13" s="83">
        <v>98.867888838328454</v>
      </c>
      <c r="G13" s="83">
        <v>98.869356195700391</v>
      </c>
      <c r="H13" s="83">
        <v>98.725939024196549</v>
      </c>
      <c r="I13" s="83">
        <v>98.819075938213118</v>
      </c>
      <c r="J13" s="83">
        <v>98.797610662999759</v>
      </c>
      <c r="K13" s="83">
        <v>98.887377296818116</v>
      </c>
      <c r="L13" s="83">
        <v>98.859725889711711</v>
      </c>
      <c r="M13" s="83">
        <v>98.629707879705734</v>
      </c>
      <c r="N13" s="83">
        <f t="shared" si="0"/>
        <v>98.78312407403439</v>
      </c>
      <c r="R13" s="55" t="s">
        <v>13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</row>
    <row r="14" spans="1:121" ht="19.5" customHeight="1" x14ac:dyDescent="0.2">
      <c r="A14" s="4" t="s">
        <v>72</v>
      </c>
      <c r="B14" s="83">
        <v>96.400121679115358</v>
      </c>
      <c r="C14" s="83">
        <v>96.302733692724843</v>
      </c>
      <c r="D14" s="83">
        <v>96.57286274103646</v>
      </c>
      <c r="E14" s="83">
        <v>96.550840426793229</v>
      </c>
      <c r="F14" s="83">
        <v>96.547710048882522</v>
      </c>
      <c r="G14" s="83">
        <v>86.089599685066048</v>
      </c>
      <c r="H14" s="83">
        <v>96.50090046883615</v>
      </c>
      <c r="I14" s="83">
        <v>96.614321936429292</v>
      </c>
      <c r="J14" s="83">
        <v>96.6420537985083</v>
      </c>
      <c r="K14" s="83">
        <v>96.68490394049924</v>
      </c>
      <c r="L14" s="83">
        <v>96.741772050942885</v>
      </c>
      <c r="M14" s="83">
        <v>96.849050443680568</v>
      </c>
      <c r="N14" s="83">
        <f t="shared" si="0"/>
        <v>95.708072576042923</v>
      </c>
      <c r="R14" s="55" t="s">
        <v>15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</row>
    <row r="15" spans="1:121" ht="19.5" customHeight="1" x14ac:dyDescent="0.2">
      <c r="A15" s="4" t="s">
        <v>73</v>
      </c>
      <c r="B15" s="83">
        <v>93.903419959032618</v>
      </c>
      <c r="C15" s="83">
        <v>93.809148017751312</v>
      </c>
      <c r="D15" s="83">
        <v>94.088462373448536</v>
      </c>
      <c r="E15" s="83">
        <v>94.119831691158168</v>
      </c>
      <c r="F15" s="83">
        <v>94.119831691158168</v>
      </c>
      <c r="G15" s="83">
        <v>94.09875578386405</v>
      </c>
      <c r="H15" s="83">
        <v>94.047721844786182</v>
      </c>
      <c r="I15" s="83">
        <v>94.267013334268157</v>
      </c>
      <c r="J15" s="83">
        <v>94.267013334268157</v>
      </c>
      <c r="K15" s="83">
        <v>94.267013334268157</v>
      </c>
      <c r="L15" s="83">
        <v>94.333413995850975</v>
      </c>
      <c r="M15" s="83">
        <v>94.3794821162262</v>
      </c>
      <c r="N15" s="83">
        <f t="shared" si="0"/>
        <v>94.14175895634007</v>
      </c>
      <c r="R15" s="61" t="s">
        <v>66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</row>
    <row r="16" spans="1:121" ht="25.5" x14ac:dyDescent="0.2">
      <c r="A16" s="3" t="s">
        <v>74</v>
      </c>
      <c r="B16" s="83">
        <v>99.673427351416336</v>
      </c>
      <c r="C16" s="83">
        <v>98.898522152034587</v>
      </c>
      <c r="D16" s="83">
        <v>99.000264827196034</v>
      </c>
      <c r="E16" s="83">
        <v>99.055012446789704</v>
      </c>
      <c r="F16" s="83">
        <v>98.662631120681155</v>
      </c>
      <c r="G16" s="83">
        <v>99.120276054972649</v>
      </c>
      <c r="H16" s="83">
        <v>99.122295046407373</v>
      </c>
      <c r="I16" s="83">
        <v>99.147476266020888</v>
      </c>
      <c r="J16" s="83">
        <v>99.273736774323922</v>
      </c>
      <c r="K16" s="83">
        <v>99.331433877010497</v>
      </c>
      <c r="L16" s="83">
        <v>99.411465548921811</v>
      </c>
      <c r="M16" s="83">
        <v>99.327077162626736</v>
      </c>
      <c r="N16" s="83">
        <f t="shared" si="0"/>
        <v>99.168634885700143</v>
      </c>
      <c r="R16" s="55" t="s">
        <v>18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</row>
    <row r="17" spans="1:131" ht="19.5" customHeight="1" x14ac:dyDescent="0.2">
      <c r="A17" s="5" t="s">
        <v>19</v>
      </c>
      <c r="B17" s="83">
        <v>100.14774170269101</v>
      </c>
      <c r="C17" s="83">
        <v>100.14774170269101</v>
      </c>
      <c r="D17" s="83">
        <v>100.14774170269101</v>
      </c>
      <c r="E17" s="83">
        <v>100.14774170269101</v>
      </c>
      <c r="F17" s="83">
        <v>100.14774170269101</v>
      </c>
      <c r="G17" s="83">
        <v>100.14774170269101</v>
      </c>
      <c r="H17" s="83">
        <v>100.14774170269101</v>
      </c>
      <c r="I17" s="83">
        <v>100.14774170269101</v>
      </c>
      <c r="J17" s="83">
        <v>100.15688509896528</v>
      </c>
      <c r="K17" s="83">
        <v>100.15688509896528</v>
      </c>
      <c r="L17" s="83">
        <v>99.742702575031487</v>
      </c>
      <c r="M17" s="83">
        <v>100.56076731764779</v>
      </c>
      <c r="N17" s="83">
        <f t="shared" si="0"/>
        <v>100.14993114267816</v>
      </c>
      <c r="R17" s="55" t="s">
        <v>20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</row>
    <row r="18" spans="1:131" ht="19.5" customHeight="1" x14ac:dyDescent="0.2">
      <c r="A18" s="5" t="s">
        <v>75</v>
      </c>
      <c r="B18" s="83">
        <v>100.09134993232473</v>
      </c>
      <c r="C18" s="83">
        <v>100.3610119815137</v>
      </c>
      <c r="D18" s="83">
        <v>100.4409546234657</v>
      </c>
      <c r="E18" s="83">
        <v>100.44103023874311</v>
      </c>
      <c r="F18" s="83">
        <v>100.44238617850237</v>
      </c>
      <c r="G18" s="83">
        <v>100.83939399255186</v>
      </c>
      <c r="H18" s="83">
        <v>101.40569226550309</v>
      </c>
      <c r="I18" s="83">
        <v>101.34660708766407</v>
      </c>
      <c r="J18" s="83">
        <v>101.18917176489542</v>
      </c>
      <c r="K18" s="83">
        <v>101.44159732827144</v>
      </c>
      <c r="L18" s="83">
        <v>101.1482541997688</v>
      </c>
      <c r="M18" s="83">
        <v>101.16910495372383</v>
      </c>
      <c r="N18" s="83">
        <f t="shared" si="0"/>
        <v>100.85971287891068</v>
      </c>
      <c r="R18" s="55" t="s">
        <v>22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</row>
    <row r="19" spans="1:131" ht="19.5" customHeight="1" x14ac:dyDescent="0.2">
      <c r="A19" s="5" t="s">
        <v>76</v>
      </c>
      <c r="B19" s="83">
        <v>88.910438475648306</v>
      </c>
      <c r="C19" s="83">
        <v>86.896396772913548</v>
      </c>
      <c r="D19" s="83">
        <v>85.169777010456684</v>
      </c>
      <c r="E19" s="83">
        <v>85.134521868960803</v>
      </c>
      <c r="F19" s="83">
        <v>80.292899275123801</v>
      </c>
      <c r="G19" s="83">
        <v>82.064958470703658</v>
      </c>
      <c r="H19" s="83">
        <v>84.16216652808626</v>
      </c>
      <c r="I19" s="83">
        <v>82.410942646671657</v>
      </c>
      <c r="J19" s="83">
        <v>79.706223277845297</v>
      </c>
      <c r="K19" s="83">
        <v>78.754250844521067</v>
      </c>
      <c r="L19" s="83">
        <v>79.206819388554351</v>
      </c>
      <c r="M19" s="83">
        <v>78.295373080306973</v>
      </c>
      <c r="N19" s="83">
        <f t="shared" si="0"/>
        <v>82.583730636649364</v>
      </c>
      <c r="R19" s="55" t="s">
        <v>24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</row>
    <row r="20" spans="1:131" ht="19.5" customHeight="1" x14ac:dyDescent="0.2">
      <c r="A20" s="3" t="s">
        <v>77</v>
      </c>
      <c r="B20" s="83">
        <v>100.56702966470652</v>
      </c>
      <c r="C20" s="83">
        <v>101.88219222703694</v>
      </c>
      <c r="D20" s="83">
        <v>102.37769278418165</v>
      </c>
      <c r="E20" s="83">
        <v>102.37769278418165</v>
      </c>
      <c r="F20" s="83">
        <v>102.34525444554727</v>
      </c>
      <c r="G20" s="83">
        <v>102.34525444554727</v>
      </c>
      <c r="H20" s="83">
        <v>102.34783281200865</v>
      </c>
      <c r="I20" s="83">
        <v>102.41712512444171</v>
      </c>
      <c r="J20" s="83">
        <v>102.23856834676543</v>
      </c>
      <c r="K20" s="83">
        <v>102.23856834676543</v>
      </c>
      <c r="L20" s="83">
        <v>102.5002979496024</v>
      </c>
      <c r="M20" s="83">
        <v>102.22958336169377</v>
      </c>
      <c r="N20" s="83">
        <f t="shared" si="0"/>
        <v>102.15559102437322</v>
      </c>
      <c r="R20" s="56" t="s">
        <v>26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</row>
    <row r="21" spans="1:131" ht="19.5" customHeight="1" x14ac:dyDescent="0.2">
      <c r="A21" s="4" t="s">
        <v>78</v>
      </c>
      <c r="B21" s="83">
        <v>100.4517641591878</v>
      </c>
      <c r="C21" s="83">
        <v>100.4517641591878</v>
      </c>
      <c r="D21" s="83">
        <v>100.4517641591878</v>
      </c>
      <c r="E21" s="83">
        <v>100.4517641591878</v>
      </c>
      <c r="F21" s="83">
        <v>100.4517641591878</v>
      </c>
      <c r="G21" s="83">
        <v>100.4517641591878</v>
      </c>
      <c r="H21" s="83">
        <v>100.4517641591878</v>
      </c>
      <c r="I21" s="83">
        <v>100.4517641591878</v>
      </c>
      <c r="J21" s="83">
        <v>99.826937352257573</v>
      </c>
      <c r="K21" s="83">
        <v>99.931812437344846</v>
      </c>
      <c r="L21" s="83">
        <v>99.931812437344846</v>
      </c>
      <c r="M21" s="83">
        <v>99.931812437344846</v>
      </c>
      <c r="N21" s="83">
        <f t="shared" si="0"/>
        <v>100.26970732814955</v>
      </c>
      <c r="R21" s="56" t="s">
        <v>28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</row>
    <row r="22" spans="1:131" ht="19.5" customHeight="1" x14ac:dyDescent="0.2">
      <c r="A22" s="4" t="s">
        <v>79</v>
      </c>
      <c r="B22" s="83">
        <v>100.37398122712857</v>
      </c>
      <c r="C22" s="83">
        <v>100.37398122712857</v>
      </c>
      <c r="D22" s="83">
        <v>100.37398122712857</v>
      </c>
      <c r="E22" s="83">
        <v>100.37398122712857</v>
      </c>
      <c r="F22" s="83">
        <v>100.17200810071972</v>
      </c>
      <c r="G22" s="83">
        <v>100.17200810071972</v>
      </c>
      <c r="H22" s="83">
        <v>100.2846216924596</v>
      </c>
      <c r="I22" s="83">
        <v>100.22483195621993</v>
      </c>
      <c r="J22" s="83">
        <v>100.21173895534416</v>
      </c>
      <c r="K22" s="83">
        <v>100.21173895534416</v>
      </c>
      <c r="L22" s="83">
        <v>101.70230629202091</v>
      </c>
      <c r="M22" s="83">
        <v>101.61937445617966</v>
      </c>
      <c r="N22" s="83">
        <f>AVERAGE(B22:M22)</f>
        <v>100.50787945146017</v>
      </c>
      <c r="R22" s="56" t="s">
        <v>30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S22" s="1"/>
      <c r="DT22" s="1"/>
      <c r="DU22" s="1"/>
    </row>
    <row r="23" spans="1:131" ht="19.5" customHeight="1" x14ac:dyDescent="0.2">
      <c r="A23" s="4" t="s">
        <v>80</v>
      </c>
      <c r="B23" s="83">
        <v>100</v>
      </c>
      <c r="C23" s="83">
        <v>100</v>
      </c>
      <c r="D23" s="83">
        <v>100</v>
      </c>
      <c r="E23" s="83">
        <v>100</v>
      </c>
      <c r="F23" s="83">
        <v>100</v>
      </c>
      <c r="G23" s="83">
        <v>100</v>
      </c>
      <c r="H23" s="83">
        <v>100</v>
      </c>
      <c r="I23" s="83">
        <v>100</v>
      </c>
      <c r="J23" s="83">
        <v>100</v>
      </c>
      <c r="K23" s="83">
        <v>100</v>
      </c>
      <c r="L23" s="83">
        <v>100</v>
      </c>
      <c r="M23" s="83">
        <v>100</v>
      </c>
      <c r="N23" s="83">
        <f t="shared" si="0"/>
        <v>100</v>
      </c>
      <c r="R23" s="53" t="s">
        <v>83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S23" s="1"/>
      <c r="DT23" s="1"/>
      <c r="DU23" s="1"/>
    </row>
    <row r="24" spans="1:131" s="1" customFormat="1" ht="25.5" customHeight="1" x14ac:dyDescent="0.2">
      <c r="A24" s="3" t="s">
        <v>81</v>
      </c>
      <c r="B24" s="83">
        <v>99.916069976435082</v>
      </c>
      <c r="C24" s="83">
        <v>99.88126373959949</v>
      </c>
      <c r="D24" s="83">
        <v>99.900015376557647</v>
      </c>
      <c r="E24" s="83">
        <v>99.915639773127552</v>
      </c>
      <c r="F24" s="83">
        <v>99.940237448098429</v>
      </c>
      <c r="G24" s="83">
        <v>99.921809762435061</v>
      </c>
      <c r="H24" s="83">
        <v>99.931450710861156</v>
      </c>
      <c r="I24" s="83">
        <v>99.996292716650132</v>
      </c>
      <c r="J24" s="83">
        <v>99.980674191058071</v>
      </c>
      <c r="K24" s="83">
        <v>100.01182469225026</v>
      </c>
      <c r="L24" s="83">
        <v>100.02620273812502</v>
      </c>
      <c r="M24" s="83">
        <v>100.04018101736438</v>
      </c>
      <c r="N24" s="83">
        <f>AVERAGE(B24:M24)</f>
        <v>99.955138511880179</v>
      </c>
      <c r="O24" s="12"/>
      <c r="P24" s="12"/>
      <c r="Q24" s="12"/>
      <c r="R24" s="56" t="s">
        <v>31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O24" s="12"/>
      <c r="DP24" s="12"/>
      <c r="DQ24" s="12"/>
      <c r="DR24" s="12"/>
    </row>
    <row r="25" spans="1:131" s="14" customFormat="1" ht="19.5" customHeight="1" x14ac:dyDescent="0.2">
      <c r="A25" s="6" t="s">
        <v>32</v>
      </c>
      <c r="B25" s="85">
        <v>99.302368031059999</v>
      </c>
      <c r="C25" s="85">
        <v>99.251565467096</v>
      </c>
      <c r="D25" s="85">
        <v>99.054735754289027</v>
      </c>
      <c r="E25" s="85">
        <v>99.138737098928999</v>
      </c>
      <c r="F25" s="85">
        <v>98.608293423219308</v>
      </c>
      <c r="G25" s="85">
        <v>96.472507095122438</v>
      </c>
      <c r="H25" s="85">
        <v>99.171226706114453</v>
      </c>
      <c r="I25" s="85">
        <v>99.248474026876806</v>
      </c>
      <c r="J25" s="85">
        <v>98.954950898444437</v>
      </c>
      <c r="K25" s="85">
        <v>99.036527281604961</v>
      </c>
      <c r="L25" s="85">
        <v>99.15143257149299</v>
      </c>
      <c r="M25" s="85">
        <v>99.078353303157485</v>
      </c>
      <c r="N25" s="85">
        <f t="shared" si="0"/>
        <v>98.872430971450569</v>
      </c>
      <c r="R25" s="57" t="s">
        <v>33</v>
      </c>
      <c r="S25" s="33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84"/>
      <c r="DO25" s="67"/>
      <c r="DP25" s="67"/>
      <c r="DQ25" s="67"/>
      <c r="DR25" s="67"/>
    </row>
    <row r="26" spans="1:131" s="14" customFormat="1" ht="19.5" customHeight="1" x14ac:dyDescent="0.2">
      <c r="A26" s="7" t="s">
        <v>34</v>
      </c>
      <c r="B26" s="86">
        <v>99.480050491137092</v>
      </c>
      <c r="C26" s="86">
        <v>99.458649342248151</v>
      </c>
      <c r="D26" s="86">
        <v>99.112621165076732</v>
      </c>
      <c r="E26" s="86">
        <v>98.975942465727556</v>
      </c>
      <c r="F26" s="86">
        <v>98.398465733815613</v>
      </c>
      <c r="G26" s="86">
        <v>96.196841751699523</v>
      </c>
      <c r="H26" s="86">
        <v>99.074401072006125</v>
      </c>
      <c r="I26" s="86">
        <v>99.195158557851684</v>
      </c>
      <c r="J26" s="86">
        <v>98.871178289657053</v>
      </c>
      <c r="K26" s="86">
        <v>98.894181580581247</v>
      </c>
      <c r="L26" s="86">
        <v>99.050311419052989</v>
      </c>
      <c r="M26" s="86">
        <v>99.022690433852304</v>
      </c>
      <c r="N26" s="86">
        <f t="shared" si="0"/>
        <v>98.810874358558848</v>
      </c>
      <c r="O26" s="34"/>
      <c r="P26" s="34"/>
      <c r="Q26" s="34"/>
      <c r="R26" s="58" t="s">
        <v>35</v>
      </c>
      <c r="S26" s="33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84"/>
      <c r="DO26" s="67"/>
      <c r="DP26" s="67"/>
      <c r="DQ26" s="67"/>
      <c r="DR26" s="67"/>
    </row>
    <row r="27" spans="1:131" x14ac:dyDescent="0.3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31" ht="15" x14ac:dyDescent="0.35">
      <c r="A28" s="35"/>
      <c r="B28" s="78"/>
      <c r="C28" s="78"/>
      <c r="D28" s="78"/>
      <c r="E28" s="78"/>
      <c r="F28" s="79"/>
      <c r="G28" s="78"/>
      <c r="H28" s="78"/>
      <c r="I28" s="50"/>
      <c r="J28" s="50"/>
      <c r="K28" s="50"/>
      <c r="L28" s="50"/>
      <c r="M28" s="36"/>
      <c r="N28" s="50"/>
    </row>
    <row r="29" spans="1:131" ht="15" x14ac:dyDescent="0.2">
      <c r="A29" s="26"/>
      <c r="B29" s="27" t="s">
        <v>87</v>
      </c>
      <c r="C29" s="28"/>
      <c r="D29" s="28"/>
      <c r="E29" s="27"/>
      <c r="F29" s="14"/>
      <c r="G29" s="29"/>
      <c r="H29" s="30"/>
      <c r="I29" s="30"/>
      <c r="J29" s="30"/>
      <c r="K29" s="30"/>
      <c r="L29" s="30"/>
      <c r="M29" s="29"/>
      <c r="N29" s="59" t="s">
        <v>88</v>
      </c>
      <c r="O29" s="13"/>
      <c r="P29" s="13"/>
      <c r="Q29" s="13"/>
      <c r="R29" s="64" t="s">
        <v>62</v>
      </c>
    </row>
    <row r="30" spans="1:131" x14ac:dyDescent="0.35">
      <c r="A30" s="31" t="s">
        <v>63</v>
      </c>
      <c r="B30" s="65" t="s">
        <v>37</v>
      </c>
      <c r="C30" s="65" t="s">
        <v>38</v>
      </c>
      <c r="D30" s="65" t="s">
        <v>39</v>
      </c>
      <c r="E30" s="65" t="s">
        <v>40</v>
      </c>
      <c r="F30" s="65" t="s">
        <v>41</v>
      </c>
      <c r="G30" s="66" t="s">
        <v>42</v>
      </c>
      <c r="H30" s="66" t="s">
        <v>43</v>
      </c>
      <c r="I30" s="66" t="s">
        <v>44</v>
      </c>
      <c r="J30" s="66" t="s">
        <v>45</v>
      </c>
      <c r="K30" s="66" t="s">
        <v>46</v>
      </c>
      <c r="L30" s="66" t="s">
        <v>47</v>
      </c>
      <c r="M30" s="66" t="s">
        <v>48</v>
      </c>
      <c r="N30" s="80" t="s">
        <v>49</v>
      </c>
      <c r="R30" s="74" t="s">
        <v>67</v>
      </c>
    </row>
    <row r="31" spans="1:131" ht="18" customHeight="1" x14ac:dyDescent="0.35">
      <c r="A31" s="32" t="s">
        <v>1</v>
      </c>
      <c r="B31" s="70" t="s">
        <v>50</v>
      </c>
      <c r="C31" s="71" t="s">
        <v>51</v>
      </c>
      <c r="D31" s="71" t="s">
        <v>52</v>
      </c>
      <c r="E31" s="71" t="s">
        <v>53</v>
      </c>
      <c r="F31" s="71" t="s">
        <v>54</v>
      </c>
      <c r="G31" s="71" t="s">
        <v>55</v>
      </c>
      <c r="H31" s="71" t="s">
        <v>56</v>
      </c>
      <c r="I31" s="71" t="s">
        <v>57</v>
      </c>
      <c r="J31" s="71" t="s">
        <v>58</v>
      </c>
      <c r="K31" s="71" t="s">
        <v>59</v>
      </c>
      <c r="L31" s="71" t="s">
        <v>60</v>
      </c>
      <c r="M31" s="71" t="s">
        <v>61</v>
      </c>
      <c r="N31" s="72" t="s">
        <v>65</v>
      </c>
      <c r="O31" s="25"/>
      <c r="P31" s="25"/>
      <c r="Q31" s="25"/>
      <c r="R31" s="76"/>
    </row>
    <row r="32" spans="1:131" ht="19.5" customHeight="1" x14ac:dyDescent="0.2">
      <c r="A32" s="3" t="s">
        <v>5</v>
      </c>
      <c r="B32" s="83">
        <v>104.11441395236535</v>
      </c>
      <c r="C32" s="83">
        <v>104.95606967436137</v>
      </c>
      <c r="D32" s="83">
        <v>103.93880289441158</v>
      </c>
      <c r="E32" s="83">
        <v>104.47540285138352</v>
      </c>
      <c r="F32" s="83">
        <v>104.46535457236037</v>
      </c>
      <c r="G32" s="83">
        <v>105.10137553990658</v>
      </c>
      <c r="H32" s="83">
        <v>104.6200358754779</v>
      </c>
      <c r="I32" s="83">
        <v>106.20222509971866</v>
      </c>
      <c r="J32" s="83">
        <v>104.75749423647939</v>
      </c>
      <c r="K32" s="83">
        <v>105.04124509675823</v>
      </c>
      <c r="L32" s="83">
        <v>105.3183159589388</v>
      </c>
      <c r="M32" s="83">
        <v>105.62989201094612</v>
      </c>
      <c r="N32" s="83">
        <f>AVERAGE(B32:M32)</f>
        <v>104.88505231359234</v>
      </c>
      <c r="R32" s="55" t="s">
        <v>6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7"/>
      <c r="DI32" s="33"/>
      <c r="DJ32" s="33"/>
      <c r="DK32" s="33"/>
      <c r="DL32" s="33"/>
      <c r="DM32" s="33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</row>
    <row r="33" spans="1:131" ht="19.5" customHeight="1" x14ac:dyDescent="0.2">
      <c r="A33" s="3" t="s">
        <v>7</v>
      </c>
      <c r="B33" s="83">
        <v>105.62190024034547</v>
      </c>
      <c r="C33" s="83">
        <v>106.99470490026741</v>
      </c>
      <c r="D33" s="83">
        <v>105.69123549854389</v>
      </c>
      <c r="E33" s="83">
        <v>105.36838565898645</v>
      </c>
      <c r="F33" s="83">
        <v>104.93514932433061</v>
      </c>
      <c r="G33" s="83">
        <v>105.7520390110549</v>
      </c>
      <c r="H33" s="83">
        <v>105.90844022599065</v>
      </c>
      <c r="I33" s="83">
        <v>107.9372606479545</v>
      </c>
      <c r="J33" s="83">
        <v>106.35551821331029</v>
      </c>
      <c r="K33" s="83">
        <v>106.79994197855422</v>
      </c>
      <c r="L33" s="83">
        <v>106.94065586420705</v>
      </c>
      <c r="M33" s="83">
        <v>107.28594762707378</v>
      </c>
      <c r="N33" s="83">
        <f t="shared" ref="N33:N49" si="1">AVERAGE(B33:M33)</f>
        <v>106.29926493255158</v>
      </c>
      <c r="R33" s="55" t="s">
        <v>8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7"/>
      <c r="DI33" s="33"/>
      <c r="DJ33" s="33"/>
      <c r="DK33" s="33"/>
      <c r="DL33" s="33"/>
      <c r="DM33" s="33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</row>
    <row r="34" spans="1:131" ht="19.5" customHeight="1" x14ac:dyDescent="0.2">
      <c r="A34" s="4" t="s">
        <v>9</v>
      </c>
      <c r="B34" s="83">
        <v>97.090450858841081</v>
      </c>
      <c r="C34" s="83">
        <v>95.457277743650778</v>
      </c>
      <c r="D34" s="83">
        <v>95.773539944121836</v>
      </c>
      <c r="E34" s="83">
        <v>100.31464972628631</v>
      </c>
      <c r="F34" s="83">
        <v>102.27639867559303</v>
      </c>
      <c r="G34" s="83">
        <v>102.06968215463971</v>
      </c>
      <c r="H34" s="83">
        <v>98.616860470371464</v>
      </c>
      <c r="I34" s="83">
        <v>98.118021777982321</v>
      </c>
      <c r="J34" s="83">
        <v>97.311680947612686</v>
      </c>
      <c r="K34" s="83">
        <v>96.846794448067627</v>
      </c>
      <c r="L34" s="83">
        <v>97.759205331787399</v>
      </c>
      <c r="M34" s="83">
        <v>97.913686814751657</v>
      </c>
      <c r="N34" s="83">
        <f t="shared" si="1"/>
        <v>98.295687407808828</v>
      </c>
      <c r="R34" s="55" t="s">
        <v>10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7"/>
      <c r="DI34" s="33"/>
      <c r="DJ34" s="33"/>
      <c r="DK34" s="33"/>
      <c r="DL34" s="33"/>
      <c r="DM34" s="33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</row>
    <row r="35" spans="1:131" ht="19.5" customHeight="1" x14ac:dyDescent="0.2">
      <c r="A35" s="4" t="s">
        <v>11</v>
      </c>
      <c r="B35" s="83">
        <v>131.76085832870532</v>
      </c>
      <c r="C35" s="83">
        <v>131.91578347946935</v>
      </c>
      <c r="D35" s="83">
        <v>131.91578347946935</v>
      </c>
      <c r="E35" s="83">
        <v>132.01284764471927</v>
      </c>
      <c r="F35" s="83">
        <v>132.01284764471927</v>
      </c>
      <c r="G35" s="83">
        <v>132.01284764471927</v>
      </c>
      <c r="H35" s="83">
        <v>132.01284764471927</v>
      </c>
      <c r="I35" s="83">
        <v>133.64671665302686</v>
      </c>
      <c r="J35" s="83">
        <v>133.64671665302686</v>
      </c>
      <c r="K35" s="83">
        <v>133.64671665302686</v>
      </c>
      <c r="L35" s="83">
        <v>135.33141242079074</v>
      </c>
      <c r="M35" s="83">
        <v>135.89809355265132</v>
      </c>
      <c r="N35" s="83">
        <f t="shared" si="1"/>
        <v>132.98445598325364</v>
      </c>
      <c r="R35" s="55" t="s">
        <v>36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7"/>
      <c r="DI35" s="33"/>
      <c r="DJ35" s="33"/>
      <c r="DK35" s="33"/>
      <c r="DL35" s="33"/>
      <c r="DM35" s="33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</row>
    <row r="36" spans="1:131" ht="19.5" customHeight="1" x14ac:dyDescent="0.2">
      <c r="A36" s="4" t="s">
        <v>71</v>
      </c>
      <c r="B36" s="83">
        <v>98.345593411836575</v>
      </c>
      <c r="C36" s="83">
        <v>99.128411950244626</v>
      </c>
      <c r="D36" s="83">
        <v>99.128411950244626</v>
      </c>
      <c r="E36" s="83">
        <v>99.156683198008636</v>
      </c>
      <c r="F36" s="83">
        <v>99.169806127991293</v>
      </c>
      <c r="G36" s="83">
        <v>99.200328259422776</v>
      </c>
      <c r="H36" s="83">
        <v>98.938627859613433</v>
      </c>
      <c r="I36" s="83">
        <v>99.052184090208854</v>
      </c>
      <c r="J36" s="83">
        <v>99.052184090208854</v>
      </c>
      <c r="K36" s="83">
        <v>99.289640806478189</v>
      </c>
      <c r="L36" s="83">
        <v>99.297522912853466</v>
      </c>
      <c r="M36" s="83">
        <v>98.904424634530315</v>
      </c>
      <c r="N36" s="83">
        <f t="shared" si="1"/>
        <v>99.055318274303488</v>
      </c>
      <c r="R36" s="55" t="s">
        <v>13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7"/>
      <c r="DI36" s="33"/>
      <c r="DJ36" s="33"/>
      <c r="DK36" s="33"/>
      <c r="DL36" s="33"/>
      <c r="DM36" s="33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</row>
    <row r="37" spans="1:131" ht="19.5" customHeight="1" x14ac:dyDescent="0.2">
      <c r="A37" s="4" t="s">
        <v>72</v>
      </c>
      <c r="B37" s="83">
        <v>95.462214106666778</v>
      </c>
      <c r="C37" s="83">
        <v>95.396004989147031</v>
      </c>
      <c r="D37" s="83">
        <v>95.611921602942033</v>
      </c>
      <c r="E37" s="83">
        <v>95.6351606631289</v>
      </c>
      <c r="F37" s="83">
        <v>95.6351606631289</v>
      </c>
      <c r="G37" s="83">
        <v>87.958140502485804</v>
      </c>
      <c r="H37" s="83">
        <v>95.582199165949007</v>
      </c>
      <c r="I37" s="83">
        <v>95.744654980879545</v>
      </c>
      <c r="J37" s="83">
        <v>95.744654980879545</v>
      </c>
      <c r="K37" s="83">
        <v>95.755594192559101</v>
      </c>
      <c r="L37" s="83">
        <v>95.807287498572165</v>
      </c>
      <c r="M37" s="83">
        <v>95.851370488407909</v>
      </c>
      <c r="N37" s="83">
        <f t="shared" si="1"/>
        <v>95.015363652895545</v>
      </c>
      <c r="R37" s="55" t="s">
        <v>15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7"/>
      <c r="DI37" s="33"/>
      <c r="DJ37" s="33"/>
      <c r="DK37" s="33"/>
      <c r="DL37" s="33"/>
      <c r="DM37" s="33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</row>
    <row r="38" spans="1:131" ht="19.5" customHeight="1" x14ac:dyDescent="0.2">
      <c r="A38" s="4" t="s">
        <v>73</v>
      </c>
      <c r="B38" s="83">
        <v>93.903419982992034</v>
      </c>
      <c r="C38" s="83">
        <v>93.809148042293785</v>
      </c>
      <c r="D38" s="83">
        <v>94.088462397083191</v>
      </c>
      <c r="E38" s="83">
        <v>94.119831714848189</v>
      </c>
      <c r="F38" s="83">
        <v>94.119831714848189</v>
      </c>
      <c r="G38" s="83">
        <v>94.098755807656516</v>
      </c>
      <c r="H38" s="83">
        <v>94.047721868966988</v>
      </c>
      <c r="I38" s="83">
        <v>94.267013356675747</v>
      </c>
      <c r="J38" s="83">
        <v>94.267013356675747</v>
      </c>
      <c r="K38" s="83">
        <v>94.267013356675747</v>
      </c>
      <c r="L38" s="83">
        <v>94.333414018152823</v>
      </c>
      <c r="M38" s="83">
        <v>94.37948213884259</v>
      </c>
      <c r="N38" s="83">
        <f t="shared" si="1"/>
        <v>94.141758979642631</v>
      </c>
      <c r="R38" s="61" t="s">
        <v>66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7"/>
      <c r="DI38" s="33"/>
      <c r="DJ38" s="33"/>
      <c r="DK38" s="33"/>
      <c r="DL38" s="33"/>
      <c r="DM38" s="33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</row>
    <row r="39" spans="1:131" ht="25.5" x14ac:dyDescent="0.2">
      <c r="A39" s="3" t="s">
        <v>74</v>
      </c>
      <c r="B39" s="83">
        <v>99.409148652803168</v>
      </c>
      <c r="C39" s="83">
        <v>98.127322046253994</v>
      </c>
      <c r="D39" s="83">
        <v>98.438261359201633</v>
      </c>
      <c r="E39" s="83">
        <v>98.445512407518819</v>
      </c>
      <c r="F39" s="83">
        <v>98.445512407518819</v>
      </c>
      <c r="G39" s="83">
        <v>99.333728485931957</v>
      </c>
      <c r="H39" s="83">
        <v>99.332721336321427</v>
      </c>
      <c r="I39" s="83">
        <v>99.388961283000057</v>
      </c>
      <c r="J39" s="83">
        <v>99.451061881545854</v>
      </c>
      <c r="K39" s="83">
        <v>99.56447637963926</v>
      </c>
      <c r="L39" s="83">
        <v>99.611138880865212</v>
      </c>
      <c r="M39" s="83">
        <v>99.426015858877392</v>
      </c>
      <c r="N39" s="83">
        <f t="shared" si="1"/>
        <v>99.081155081623137</v>
      </c>
      <c r="R39" s="55" t="s">
        <v>18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7"/>
      <c r="DI39" s="33"/>
      <c r="DJ39" s="33"/>
      <c r="DK39" s="33"/>
      <c r="DL39" s="33"/>
      <c r="DM39" s="33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</row>
    <row r="40" spans="1:131" ht="19.5" customHeight="1" x14ac:dyDescent="0.2">
      <c r="A40" s="5" t="s">
        <v>19</v>
      </c>
      <c r="B40" s="83">
        <v>100.00171429194947</v>
      </c>
      <c r="C40" s="83">
        <v>100.00171429194947</v>
      </c>
      <c r="D40" s="83">
        <v>100.00171429194947</v>
      </c>
      <c r="E40" s="83">
        <v>100.00171429194947</v>
      </c>
      <c r="F40" s="83">
        <v>100.00171429194947</v>
      </c>
      <c r="G40" s="83">
        <v>100.00171429194947</v>
      </c>
      <c r="H40" s="83">
        <v>100.00171429194947</v>
      </c>
      <c r="I40" s="83">
        <v>100.00171429194947</v>
      </c>
      <c r="J40" s="83">
        <v>100.00171429194947</v>
      </c>
      <c r="K40" s="83">
        <v>100.00171429194947</v>
      </c>
      <c r="L40" s="83">
        <v>99.228261036024477</v>
      </c>
      <c r="M40" s="83">
        <v>101.48501502133666</v>
      </c>
      <c r="N40" s="83">
        <f t="shared" si="1"/>
        <v>100.06086824807134</v>
      </c>
      <c r="R40" s="55" t="s">
        <v>20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7"/>
      <c r="DI40" s="33"/>
      <c r="DJ40" s="33"/>
      <c r="DK40" s="33"/>
      <c r="DL40" s="33"/>
      <c r="DM40" s="33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</row>
    <row r="41" spans="1:131" ht="19.5" customHeight="1" x14ac:dyDescent="0.2">
      <c r="A41" s="5" t="s">
        <v>75</v>
      </c>
      <c r="B41" s="83">
        <v>98.517831897073876</v>
      </c>
      <c r="C41" s="83">
        <v>98.813050953745332</v>
      </c>
      <c r="D41" s="83">
        <v>99.140185584111023</v>
      </c>
      <c r="E41" s="83">
        <v>99.140346561652706</v>
      </c>
      <c r="F41" s="83">
        <v>99.140346561652706</v>
      </c>
      <c r="G41" s="83">
        <v>99.850628995841802</v>
      </c>
      <c r="H41" s="83">
        <v>100.63256055135002</v>
      </c>
      <c r="I41" s="83">
        <v>100.52197385592538</v>
      </c>
      <c r="J41" s="83">
        <v>100.52205725179003</v>
      </c>
      <c r="K41" s="83">
        <v>100.87324988333994</v>
      </c>
      <c r="L41" s="83">
        <v>100.87350165625993</v>
      </c>
      <c r="M41" s="83">
        <v>100.87350165625993</v>
      </c>
      <c r="N41" s="83">
        <f t="shared" si="1"/>
        <v>99.908269617416877</v>
      </c>
      <c r="R41" s="55" t="s">
        <v>22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7"/>
      <c r="DI41" s="33"/>
      <c r="DJ41" s="33"/>
      <c r="DK41" s="33"/>
      <c r="DL41" s="33"/>
      <c r="DM41" s="33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</row>
    <row r="42" spans="1:131" ht="19.5" customHeight="1" x14ac:dyDescent="0.2">
      <c r="A42" s="5" t="s">
        <v>76</v>
      </c>
      <c r="B42" s="83">
        <v>89.438785649817859</v>
      </c>
      <c r="C42" s="83">
        <v>87.540907383095075</v>
      </c>
      <c r="D42" s="83">
        <v>85.856326963819058</v>
      </c>
      <c r="E42" s="83">
        <v>85.892586992711713</v>
      </c>
      <c r="F42" s="83">
        <v>81.145780070975562</v>
      </c>
      <c r="G42" s="83">
        <v>82.861757858231513</v>
      </c>
      <c r="H42" s="83">
        <v>85.013573063843026</v>
      </c>
      <c r="I42" s="83">
        <v>83.129362530347606</v>
      </c>
      <c r="J42" s="83">
        <v>80.515594555203521</v>
      </c>
      <c r="K42" s="83">
        <v>79.626224267475521</v>
      </c>
      <c r="L42" s="83">
        <v>80.035626717655163</v>
      </c>
      <c r="M42" s="83">
        <v>79.075478502356987</v>
      </c>
      <c r="N42" s="83">
        <f t="shared" si="1"/>
        <v>83.34433371296106</v>
      </c>
      <c r="R42" s="55" t="s">
        <v>24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7"/>
      <c r="DI42" s="33"/>
      <c r="DJ42" s="33"/>
      <c r="DK42" s="33"/>
      <c r="DL42" s="33"/>
      <c r="DM42" s="33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</row>
    <row r="43" spans="1:131" ht="19.5" customHeight="1" x14ac:dyDescent="0.2">
      <c r="A43" s="3" t="s">
        <v>77</v>
      </c>
      <c r="B43" s="83">
        <v>100.18054068162421</v>
      </c>
      <c r="C43" s="83">
        <v>100.18054068162421</v>
      </c>
      <c r="D43" s="83">
        <v>100.18054068162421</v>
      </c>
      <c r="E43" s="83">
        <v>100.18054068162421</v>
      </c>
      <c r="F43" s="83">
        <v>100.18054068162421</v>
      </c>
      <c r="G43" s="83">
        <v>100.18054068162421</v>
      </c>
      <c r="H43" s="83">
        <v>100.18054068162421</v>
      </c>
      <c r="I43" s="83">
        <v>100.30565850647419</v>
      </c>
      <c r="J43" s="83">
        <v>100.30565850647419</v>
      </c>
      <c r="K43" s="83">
        <v>100.30565850647419</v>
      </c>
      <c r="L43" s="83">
        <v>100.20151399949133</v>
      </c>
      <c r="M43" s="83">
        <v>99.955976882649921</v>
      </c>
      <c r="N43" s="83">
        <f t="shared" si="1"/>
        <v>100.19485426441111</v>
      </c>
      <c r="R43" s="56" t="s">
        <v>26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7"/>
      <c r="DI43" s="33"/>
      <c r="DJ43" s="33"/>
      <c r="DK43" s="33"/>
      <c r="DL43" s="33"/>
      <c r="DM43" s="33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</row>
    <row r="44" spans="1:131" ht="19.5" customHeight="1" x14ac:dyDescent="0.2">
      <c r="A44" s="4" t="s">
        <v>78</v>
      </c>
      <c r="B44" s="83">
        <v>100.00068480306915</v>
      </c>
      <c r="C44" s="83">
        <v>100.00068480306915</v>
      </c>
      <c r="D44" s="83">
        <v>100.00068480306915</v>
      </c>
      <c r="E44" s="83">
        <v>100.00068480306915</v>
      </c>
      <c r="F44" s="83">
        <v>100.00068480306915</v>
      </c>
      <c r="G44" s="83">
        <v>100.00068480306915</v>
      </c>
      <c r="H44" s="83">
        <v>100.00068480306915</v>
      </c>
      <c r="I44" s="83">
        <v>100.00068480306915</v>
      </c>
      <c r="J44" s="83">
        <v>99.166675714517609</v>
      </c>
      <c r="K44" s="83">
        <v>99.166675714517609</v>
      </c>
      <c r="L44" s="83">
        <v>99.166675714517609</v>
      </c>
      <c r="M44" s="83">
        <v>99.166675714517609</v>
      </c>
      <c r="N44" s="83">
        <f t="shared" si="1"/>
        <v>99.722681773551969</v>
      </c>
      <c r="R44" s="56" t="s">
        <v>28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7"/>
      <c r="DI44" s="33"/>
      <c r="DJ44" s="33"/>
      <c r="DK44" s="33"/>
      <c r="DL44" s="33"/>
      <c r="DM44" s="33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</row>
    <row r="45" spans="1:131" ht="19.5" customHeight="1" x14ac:dyDescent="0.2">
      <c r="A45" s="4" t="s">
        <v>79</v>
      </c>
      <c r="B45" s="83">
        <v>100.52685945025803</v>
      </c>
      <c r="C45" s="83">
        <v>100.52685945025803</v>
      </c>
      <c r="D45" s="83">
        <v>100.52685945025803</v>
      </c>
      <c r="E45" s="83">
        <v>100.52685945025803</v>
      </c>
      <c r="F45" s="83">
        <v>100.52685945025803</v>
      </c>
      <c r="G45" s="83">
        <v>100.52685945025803</v>
      </c>
      <c r="H45" s="83">
        <v>100.52685945025803</v>
      </c>
      <c r="I45" s="83">
        <v>100.52685945025803</v>
      </c>
      <c r="J45" s="83">
        <v>100.52685945025803</v>
      </c>
      <c r="K45" s="83">
        <v>100.52685945025803</v>
      </c>
      <c r="L45" s="83">
        <v>102.92622658179329</v>
      </c>
      <c r="M45" s="83">
        <v>102.92622658179329</v>
      </c>
      <c r="N45" s="83">
        <f t="shared" si="1"/>
        <v>100.92675397218058</v>
      </c>
      <c r="R45" s="56" t="s">
        <v>30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7"/>
      <c r="DI45" s="33"/>
      <c r="DJ45" s="33"/>
      <c r="DK45" s="33"/>
      <c r="DL45" s="33"/>
      <c r="DM45" s="33"/>
      <c r="DO45" s="37"/>
      <c r="DP45" s="37"/>
      <c r="DQ45" s="37"/>
      <c r="DR45" s="37"/>
      <c r="DS45" s="16"/>
      <c r="DT45" s="16"/>
      <c r="DU45" s="16"/>
      <c r="DV45" s="37"/>
      <c r="DW45" s="37"/>
      <c r="DX45" s="37"/>
      <c r="DY45" s="37"/>
      <c r="DZ45" s="37"/>
      <c r="EA45" s="37"/>
    </row>
    <row r="46" spans="1:131" ht="19.5" customHeight="1" x14ac:dyDescent="0.2">
      <c r="A46" s="4" t="s">
        <v>80</v>
      </c>
      <c r="B46" s="83">
        <v>100</v>
      </c>
      <c r="C46" s="83">
        <v>100</v>
      </c>
      <c r="D46" s="83">
        <v>100</v>
      </c>
      <c r="E46" s="83">
        <v>100</v>
      </c>
      <c r="F46" s="83">
        <v>100</v>
      </c>
      <c r="G46" s="83">
        <v>100</v>
      </c>
      <c r="H46" s="83">
        <v>100</v>
      </c>
      <c r="I46" s="83">
        <v>100</v>
      </c>
      <c r="J46" s="83">
        <v>100</v>
      </c>
      <c r="K46" s="83">
        <v>100</v>
      </c>
      <c r="L46" s="83">
        <v>100</v>
      </c>
      <c r="M46" s="83">
        <v>100</v>
      </c>
      <c r="N46" s="83">
        <f t="shared" si="1"/>
        <v>100</v>
      </c>
      <c r="R46" s="53" t="s">
        <v>83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7"/>
      <c r="DI46" s="33"/>
      <c r="DJ46" s="33"/>
      <c r="DK46" s="33"/>
      <c r="DL46" s="33"/>
      <c r="DM46" s="33"/>
      <c r="DO46" s="37"/>
      <c r="DP46" s="37"/>
      <c r="DQ46" s="37"/>
      <c r="DR46" s="37"/>
      <c r="DS46" s="16"/>
      <c r="DT46" s="16"/>
      <c r="DU46" s="16"/>
      <c r="DV46" s="37"/>
      <c r="DW46" s="37"/>
      <c r="DX46" s="37"/>
      <c r="DY46" s="37"/>
      <c r="DZ46" s="37"/>
      <c r="EA46" s="37"/>
    </row>
    <row r="47" spans="1:131" s="1" customFormat="1" ht="25.5" customHeight="1" x14ac:dyDescent="0.2">
      <c r="A47" s="3" t="s">
        <v>81</v>
      </c>
      <c r="B47" s="83">
        <v>99.899417276919849</v>
      </c>
      <c r="C47" s="83">
        <v>99.872006098137632</v>
      </c>
      <c r="D47" s="83">
        <v>99.954080656569687</v>
      </c>
      <c r="E47" s="83">
        <v>99.955771955484707</v>
      </c>
      <c r="F47" s="83">
        <v>99.955004477891265</v>
      </c>
      <c r="G47" s="83">
        <v>99.955004477891265</v>
      </c>
      <c r="H47" s="83">
        <v>99.955004477891265</v>
      </c>
      <c r="I47" s="83">
        <v>100.06947686943803</v>
      </c>
      <c r="J47" s="83">
        <v>100.1686686237979</v>
      </c>
      <c r="K47" s="83">
        <v>100.1686686237979</v>
      </c>
      <c r="L47" s="83">
        <v>100.22902953609373</v>
      </c>
      <c r="M47" s="83">
        <v>100.25848013476624</v>
      </c>
      <c r="N47" s="83">
        <f t="shared" si="1"/>
        <v>100.03671776738996</v>
      </c>
      <c r="O47" s="12"/>
      <c r="P47" s="12"/>
      <c r="Q47" s="12"/>
      <c r="R47" s="56" t="s">
        <v>31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7"/>
      <c r="DI47" s="33"/>
      <c r="DJ47" s="33"/>
      <c r="DK47" s="33"/>
      <c r="DL47" s="33"/>
      <c r="DM47" s="33"/>
      <c r="DO47" s="37"/>
      <c r="DP47" s="37"/>
      <c r="DQ47" s="37"/>
      <c r="DR47" s="37"/>
      <c r="DS47" s="16"/>
      <c r="DT47" s="16"/>
      <c r="DU47" s="16"/>
      <c r="DV47" s="16"/>
      <c r="DW47" s="16"/>
      <c r="DX47" s="16"/>
      <c r="DY47" s="16"/>
      <c r="DZ47" s="16"/>
      <c r="EA47" s="16"/>
    </row>
    <row r="48" spans="1:131" ht="19.5" customHeight="1" x14ac:dyDescent="0.2">
      <c r="A48" s="6" t="s">
        <v>32</v>
      </c>
      <c r="B48" s="85">
        <v>98.564641967132104</v>
      </c>
      <c r="C48" s="85">
        <v>98.501567391250944</v>
      </c>
      <c r="D48" s="85">
        <v>98.268607512526557</v>
      </c>
      <c r="E48" s="85">
        <v>98.38103428451457</v>
      </c>
      <c r="F48" s="85">
        <v>97.93689281882618</v>
      </c>
      <c r="G48" s="85">
        <v>95.862765072231596</v>
      </c>
      <c r="H48" s="85">
        <v>98.448267364812423</v>
      </c>
      <c r="I48" s="85">
        <v>98.644085317654813</v>
      </c>
      <c r="J48" s="85">
        <v>98.099332220769867</v>
      </c>
      <c r="K48" s="85">
        <v>98.110707725265542</v>
      </c>
      <c r="L48" s="85">
        <v>98.332104727104763</v>
      </c>
      <c r="M48" s="85">
        <v>98.408809685946494</v>
      </c>
      <c r="N48" s="85">
        <f t="shared" si="1"/>
        <v>98.129901340669633</v>
      </c>
      <c r="R48" s="57" t="s">
        <v>33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7"/>
      <c r="DI48" s="37"/>
      <c r="DJ48" s="37"/>
      <c r="DK48" s="37"/>
      <c r="DL48" s="37"/>
      <c r="DM48" s="37"/>
      <c r="DN48" s="37"/>
      <c r="DO48" s="16"/>
      <c r="DP48" s="16"/>
      <c r="DQ48" s="16"/>
      <c r="DR48" s="16"/>
      <c r="DS48" s="37"/>
      <c r="DT48" s="37"/>
      <c r="DU48" s="37"/>
      <c r="DV48" s="37"/>
      <c r="DW48" s="37"/>
      <c r="DX48" s="37"/>
      <c r="DY48" s="37"/>
      <c r="DZ48" s="37"/>
      <c r="EA48" s="37"/>
    </row>
    <row r="49" spans="1:131" ht="19.5" customHeight="1" x14ac:dyDescent="0.2">
      <c r="A49" s="7" t="s">
        <v>34</v>
      </c>
      <c r="B49" s="86">
        <v>98.614235976371248</v>
      </c>
      <c r="C49" s="86">
        <v>98.603981880159921</v>
      </c>
      <c r="D49" s="86">
        <v>98.352545343479321</v>
      </c>
      <c r="E49" s="86">
        <v>98.315984548734065</v>
      </c>
      <c r="F49" s="86">
        <v>97.790905305847957</v>
      </c>
      <c r="G49" s="86">
        <v>95.653955033017155</v>
      </c>
      <c r="H49" s="86">
        <v>98.442595638814538</v>
      </c>
      <c r="I49" s="86">
        <v>98.661782887461186</v>
      </c>
      <c r="J49" s="86">
        <v>98.12582999592162</v>
      </c>
      <c r="K49" s="86">
        <v>98.153227671556323</v>
      </c>
      <c r="L49" s="86">
        <v>98.351377925636967</v>
      </c>
      <c r="M49" s="86">
        <v>98.42546636506394</v>
      </c>
      <c r="N49" s="86">
        <f t="shared" si="1"/>
        <v>98.124324047672033</v>
      </c>
      <c r="O49" s="25"/>
      <c r="P49" s="25"/>
      <c r="Q49" s="25"/>
      <c r="R49" s="58" t="s">
        <v>35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7"/>
      <c r="DI49" s="37"/>
      <c r="DJ49" s="37"/>
      <c r="DK49" s="37"/>
      <c r="DL49" s="37"/>
      <c r="DM49" s="37"/>
      <c r="DN49" s="37"/>
      <c r="DO49" s="16"/>
      <c r="DP49" s="16"/>
      <c r="DQ49" s="16"/>
      <c r="DR49" s="16"/>
      <c r="DS49" s="37"/>
      <c r="DT49" s="37"/>
      <c r="DU49" s="37"/>
      <c r="DV49" s="37"/>
      <c r="DW49" s="37"/>
      <c r="DX49" s="37"/>
      <c r="DY49" s="37"/>
      <c r="DZ49" s="37"/>
      <c r="EA49" s="37"/>
    </row>
    <row r="50" spans="1:131" x14ac:dyDescent="0.35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31" ht="15" x14ac:dyDescent="0.35">
      <c r="A51" s="35"/>
      <c r="B51" s="78"/>
      <c r="C51" s="78"/>
      <c r="D51" s="78"/>
      <c r="E51" s="78"/>
      <c r="F51" s="79"/>
      <c r="G51" s="78"/>
      <c r="H51" s="78"/>
      <c r="I51" s="50"/>
      <c r="J51" s="50"/>
      <c r="K51" s="50"/>
      <c r="L51" s="50"/>
      <c r="M51" s="36"/>
      <c r="N51" s="50"/>
    </row>
    <row r="52" spans="1:131" ht="15" x14ac:dyDescent="0.2">
      <c r="A52" s="38" t="s">
        <v>63</v>
      </c>
      <c r="B52" s="27" t="s">
        <v>87</v>
      </c>
      <c r="C52" s="28"/>
      <c r="D52" s="28"/>
      <c r="E52" s="27"/>
      <c r="F52" s="14"/>
      <c r="G52" s="29"/>
      <c r="H52" s="30"/>
      <c r="I52" s="30"/>
      <c r="J52" s="30"/>
      <c r="K52" s="30"/>
      <c r="L52" s="30"/>
      <c r="M52" s="29"/>
      <c r="N52" s="59" t="s">
        <v>88</v>
      </c>
      <c r="O52" s="13"/>
      <c r="P52" s="13"/>
      <c r="Q52" s="13"/>
      <c r="R52" s="64" t="s">
        <v>62</v>
      </c>
    </row>
    <row r="53" spans="1:131" x14ac:dyDescent="0.2">
      <c r="A53" s="31" t="s">
        <v>68</v>
      </c>
      <c r="B53" s="65" t="s">
        <v>37</v>
      </c>
      <c r="C53" s="65" t="s">
        <v>38</v>
      </c>
      <c r="D53" s="65" t="s">
        <v>39</v>
      </c>
      <c r="E53" s="65" t="s">
        <v>40</v>
      </c>
      <c r="F53" s="65" t="s">
        <v>41</v>
      </c>
      <c r="G53" s="66" t="s">
        <v>42</v>
      </c>
      <c r="H53" s="66" t="s">
        <v>43</v>
      </c>
      <c r="I53" s="66" t="s">
        <v>44</v>
      </c>
      <c r="J53" s="66" t="s">
        <v>45</v>
      </c>
      <c r="K53" s="66" t="s">
        <v>46</v>
      </c>
      <c r="L53" s="66" t="s">
        <v>47</v>
      </c>
      <c r="M53" s="66" t="s">
        <v>48</v>
      </c>
      <c r="N53" s="80" t="s">
        <v>49</v>
      </c>
      <c r="R53" s="57" t="s">
        <v>69</v>
      </c>
    </row>
    <row r="54" spans="1:131" x14ac:dyDescent="0.35">
      <c r="A54" s="39"/>
      <c r="B54" s="70" t="s">
        <v>50</v>
      </c>
      <c r="C54" s="71" t="s">
        <v>51</v>
      </c>
      <c r="D54" s="71" t="s">
        <v>52</v>
      </c>
      <c r="E54" s="71" t="s">
        <v>53</v>
      </c>
      <c r="F54" s="71" t="s">
        <v>54</v>
      </c>
      <c r="G54" s="71" t="s">
        <v>55</v>
      </c>
      <c r="H54" s="71" t="s">
        <v>56</v>
      </c>
      <c r="I54" s="71" t="s">
        <v>57</v>
      </c>
      <c r="J54" s="71" t="s">
        <v>58</v>
      </c>
      <c r="K54" s="71" t="s">
        <v>59</v>
      </c>
      <c r="L54" s="71" t="s">
        <v>60</v>
      </c>
      <c r="M54" s="71" t="s">
        <v>61</v>
      </c>
      <c r="N54" s="72" t="s">
        <v>65</v>
      </c>
      <c r="O54" s="25"/>
      <c r="P54" s="25"/>
      <c r="Q54" s="25"/>
      <c r="R54" s="76"/>
    </row>
    <row r="55" spans="1:131" ht="22.5" customHeight="1" x14ac:dyDescent="0.25">
      <c r="A55" s="3" t="s">
        <v>5</v>
      </c>
      <c r="B55" s="77">
        <v>102.3941738465102</v>
      </c>
      <c r="C55" s="77">
        <v>102.9389311690018</v>
      </c>
      <c r="D55" s="77">
        <v>102.8673336104909</v>
      </c>
      <c r="E55" s="77">
        <v>103.12718068172367</v>
      </c>
      <c r="F55" s="77">
        <v>103.09126624998636</v>
      </c>
      <c r="G55" s="77">
        <v>103.13393383815102</v>
      </c>
      <c r="H55" s="77">
        <v>103.44153995963688</v>
      </c>
      <c r="I55" s="77">
        <v>103.78857116551978</v>
      </c>
      <c r="J55" s="77">
        <v>104.87714140137932</v>
      </c>
      <c r="K55" s="77">
        <v>105.78475941629051</v>
      </c>
      <c r="L55" s="77">
        <v>105.51887780643359</v>
      </c>
      <c r="M55" s="77">
        <v>104.6667922797086</v>
      </c>
      <c r="N55" s="77">
        <f>AVERAGE(B55:M55)</f>
        <v>103.80254178540274</v>
      </c>
      <c r="R55" s="55" t="s">
        <v>6</v>
      </c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</row>
    <row r="56" spans="1:131" ht="22.5" customHeight="1" x14ac:dyDescent="0.25">
      <c r="A56" s="3" t="s">
        <v>7</v>
      </c>
      <c r="B56" s="77">
        <v>104.55358535476807</v>
      </c>
      <c r="C56" s="77">
        <v>105.23042900026368</v>
      </c>
      <c r="D56" s="77">
        <v>103.73804150610283</v>
      </c>
      <c r="E56" s="77">
        <v>102.64118078667667</v>
      </c>
      <c r="F56" s="77">
        <v>102.73918597212479</v>
      </c>
      <c r="G56" s="77">
        <v>103.01689365442537</v>
      </c>
      <c r="H56" s="77">
        <v>103.3623285649857</v>
      </c>
      <c r="I56" s="77">
        <v>104.11228647500694</v>
      </c>
      <c r="J56" s="77">
        <v>105.11704801780823</v>
      </c>
      <c r="K56" s="77">
        <v>105.50535406494934</v>
      </c>
      <c r="L56" s="77">
        <v>105.73732468573105</v>
      </c>
      <c r="M56" s="77">
        <v>105.21491851751342</v>
      </c>
      <c r="N56" s="77">
        <f t="shared" ref="N56:N72" si="2">AVERAGE(B56:M56)</f>
        <v>104.24738138336301</v>
      </c>
      <c r="R56" s="55" t="s">
        <v>8</v>
      </c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</row>
    <row r="57" spans="1:131" ht="22.5" customHeight="1" x14ac:dyDescent="0.25">
      <c r="A57" s="4" t="s">
        <v>9</v>
      </c>
      <c r="B57" s="77">
        <v>93.543870283248282</v>
      </c>
      <c r="C57" s="77">
        <v>93.547274533076376</v>
      </c>
      <c r="D57" s="77">
        <v>99.29875524475284</v>
      </c>
      <c r="E57" s="77">
        <v>105.11904123559694</v>
      </c>
      <c r="F57" s="77">
        <v>104.53426001277583</v>
      </c>
      <c r="G57" s="77">
        <v>103.61362061906793</v>
      </c>
      <c r="H57" s="77">
        <v>103.7661862281459</v>
      </c>
      <c r="I57" s="77">
        <v>102.46183064103819</v>
      </c>
      <c r="J57" s="77">
        <v>103.8938890781827</v>
      </c>
      <c r="K57" s="77">
        <v>106.92989649049402</v>
      </c>
      <c r="L57" s="77">
        <v>104.6235777736062</v>
      </c>
      <c r="M57" s="77">
        <v>102.42030819040392</v>
      </c>
      <c r="N57" s="77">
        <f t="shared" si="2"/>
        <v>101.97937586086574</v>
      </c>
      <c r="R57" s="55" t="s">
        <v>10</v>
      </c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</row>
    <row r="58" spans="1:131" ht="22.5" customHeight="1" x14ac:dyDescent="0.25">
      <c r="A58" s="4" t="s">
        <v>11</v>
      </c>
      <c r="B58" s="77">
        <v>134.56076308181116</v>
      </c>
      <c r="C58" s="77">
        <v>135.18534864214291</v>
      </c>
      <c r="D58" s="77">
        <v>135.42881167094498</v>
      </c>
      <c r="E58" s="77">
        <v>135.42881167094498</v>
      </c>
      <c r="F58" s="77">
        <v>135.42881167094498</v>
      </c>
      <c r="G58" s="77">
        <v>135.45080710958882</v>
      </c>
      <c r="H58" s="77">
        <v>137.22725166401875</v>
      </c>
      <c r="I58" s="77">
        <v>137.84732080009593</v>
      </c>
      <c r="J58" s="77">
        <v>141.34195151773415</v>
      </c>
      <c r="K58" s="77">
        <v>141.34195151773415</v>
      </c>
      <c r="L58" s="77">
        <v>142.43213550929948</v>
      </c>
      <c r="M58" s="77">
        <v>144.81733786606142</v>
      </c>
      <c r="N58" s="77">
        <f t="shared" si="2"/>
        <v>138.04094189344349</v>
      </c>
      <c r="R58" s="55" t="s">
        <v>36</v>
      </c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</row>
    <row r="59" spans="1:131" ht="22.5" customHeight="1" x14ac:dyDescent="0.25">
      <c r="A59" s="4" t="s">
        <v>71</v>
      </c>
      <c r="B59" s="77">
        <v>98.5455280010422</v>
      </c>
      <c r="C59" s="77">
        <v>98.508816576868838</v>
      </c>
      <c r="D59" s="77">
        <v>98.520644789624768</v>
      </c>
      <c r="E59" s="77">
        <v>98.55128752615235</v>
      </c>
      <c r="F59" s="77">
        <v>98.567359973096245</v>
      </c>
      <c r="G59" s="77">
        <v>98.539906170346981</v>
      </c>
      <c r="H59" s="77">
        <v>98.514228279088854</v>
      </c>
      <c r="I59" s="77">
        <v>98.58703977866125</v>
      </c>
      <c r="J59" s="77">
        <v>98.544207940410146</v>
      </c>
      <c r="K59" s="77">
        <v>98.486963672883334</v>
      </c>
      <c r="L59" s="77">
        <v>98.423942159956582</v>
      </c>
      <c r="M59" s="77">
        <v>98.356254462447268</v>
      </c>
      <c r="N59" s="77">
        <f t="shared" si="2"/>
        <v>98.512181610881555</v>
      </c>
      <c r="R59" s="55" t="s">
        <v>13</v>
      </c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</row>
    <row r="60" spans="1:131" ht="22.5" customHeight="1" x14ac:dyDescent="0.25">
      <c r="A60" s="4" t="s">
        <v>72</v>
      </c>
      <c r="B60" s="77">
        <v>99.682388273976954</v>
      </c>
      <c r="C60" s="77">
        <v>99.475887873137211</v>
      </c>
      <c r="D60" s="77">
        <v>99.935736748931916</v>
      </c>
      <c r="E60" s="77">
        <v>99.75531940548386</v>
      </c>
      <c r="F60" s="77">
        <v>99.741234073004676</v>
      </c>
      <c r="G60" s="77">
        <v>79.550523462298386</v>
      </c>
      <c r="H60" s="77">
        <v>99.715953514255233</v>
      </c>
      <c r="I60" s="77">
        <v>99.657776196430532</v>
      </c>
      <c r="J60" s="77">
        <v>99.78255745568795</v>
      </c>
      <c r="K60" s="77">
        <v>99.93708190722586</v>
      </c>
      <c r="L60" s="77">
        <v>100.01205957154916</v>
      </c>
      <c r="M60" s="77">
        <v>100.34049425514864</v>
      </c>
      <c r="N60" s="77">
        <f t="shared" si="2"/>
        <v>98.132251061427539</v>
      </c>
      <c r="R60" s="55" t="s">
        <v>15</v>
      </c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</row>
    <row r="61" spans="1:131" ht="15.6" customHeight="1" x14ac:dyDescent="0.25">
      <c r="A61" s="4" t="s">
        <v>73</v>
      </c>
      <c r="B61" s="77">
        <v>93.903419222031118</v>
      </c>
      <c r="C61" s="77">
        <v>93.809147262815216</v>
      </c>
      <c r="D61" s="77">
        <v>94.088461646437182</v>
      </c>
      <c r="E61" s="77">
        <v>94.119830962443586</v>
      </c>
      <c r="F61" s="77">
        <v>94.119830962443586</v>
      </c>
      <c r="G61" s="77">
        <v>94.098755051998651</v>
      </c>
      <c r="H61" s="77">
        <v>94.047721100975068</v>
      </c>
      <c r="I61" s="77">
        <v>94.267012645002779</v>
      </c>
      <c r="J61" s="77">
        <v>94.267012645002779</v>
      </c>
      <c r="K61" s="77">
        <v>94.267012645002779</v>
      </c>
      <c r="L61" s="77">
        <v>94.333413309838079</v>
      </c>
      <c r="M61" s="77">
        <v>94.379481420537729</v>
      </c>
      <c r="N61" s="77">
        <f t="shared" si="2"/>
        <v>94.141758239544046</v>
      </c>
      <c r="R61" s="61" t="s">
        <v>70</v>
      </c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</row>
    <row r="62" spans="1:131" ht="30" customHeight="1" x14ac:dyDescent="0.25">
      <c r="A62" s="3" t="s">
        <v>74</v>
      </c>
      <c r="B62" s="77">
        <v>99.900898184819852</v>
      </c>
      <c r="C62" s="77">
        <v>99.562312051498338</v>
      </c>
      <c r="D62" s="77">
        <v>99.483994306383096</v>
      </c>
      <c r="E62" s="77">
        <v>99.579623331511101</v>
      </c>
      <c r="F62" s="77">
        <v>98.849510255812774</v>
      </c>
      <c r="G62" s="77">
        <v>98.936552574354749</v>
      </c>
      <c r="H62" s="77">
        <v>98.94117623589409</v>
      </c>
      <c r="I62" s="77">
        <v>98.939624485476244</v>
      </c>
      <c r="J62" s="77">
        <v>99.121108922987972</v>
      </c>
      <c r="K62" s="77">
        <v>99.130848765271892</v>
      </c>
      <c r="L62" s="77">
        <v>99.239602059870236</v>
      </c>
      <c r="M62" s="77">
        <v>99.241918321561869</v>
      </c>
      <c r="N62" s="77">
        <f t="shared" si="2"/>
        <v>99.243930791286857</v>
      </c>
      <c r="R62" s="55" t="s">
        <v>18</v>
      </c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</row>
    <row r="63" spans="1:131" ht="22.5" customHeight="1" x14ac:dyDescent="0.25">
      <c r="A63" s="5" t="s">
        <v>19</v>
      </c>
      <c r="B63" s="77">
        <v>100.26599251590096</v>
      </c>
      <c r="C63" s="77">
        <v>100.26599251590096</v>
      </c>
      <c r="D63" s="77">
        <v>100.26599251590096</v>
      </c>
      <c r="E63" s="77">
        <v>100.26599251590096</v>
      </c>
      <c r="F63" s="77">
        <v>100.26599251590096</v>
      </c>
      <c r="G63" s="77">
        <v>100.26599251590096</v>
      </c>
      <c r="H63" s="77">
        <v>100.26599251590096</v>
      </c>
      <c r="I63" s="77">
        <v>100.26599251590096</v>
      </c>
      <c r="J63" s="77">
        <v>100.2825400977281</v>
      </c>
      <c r="K63" s="77">
        <v>100.2825400977281</v>
      </c>
      <c r="L63" s="77">
        <v>100.15928963925201</v>
      </c>
      <c r="M63" s="77">
        <v>99.812325350392683</v>
      </c>
      <c r="N63" s="77">
        <f t="shared" si="2"/>
        <v>100.22205294269237</v>
      </c>
      <c r="R63" s="55" t="s">
        <v>20</v>
      </c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</row>
    <row r="64" spans="1:131" ht="22.5" customHeight="1" x14ac:dyDescent="0.25">
      <c r="A64" s="5" t="s">
        <v>75</v>
      </c>
      <c r="B64" s="77">
        <v>101.48519771350179</v>
      </c>
      <c r="C64" s="77">
        <v>101.73222095120279</v>
      </c>
      <c r="D64" s="77">
        <v>101.59319692302044</v>
      </c>
      <c r="E64" s="77">
        <v>101.59319692302044</v>
      </c>
      <c r="F64" s="77">
        <v>101.59575397619723</v>
      </c>
      <c r="G64" s="77">
        <v>101.71525805377944</v>
      </c>
      <c r="H64" s="77">
        <v>102.09054486978728</v>
      </c>
      <c r="I64" s="77">
        <v>102.09054486978728</v>
      </c>
      <c r="J64" s="77">
        <v>101.79357692396287</v>
      </c>
      <c r="K64" s="77">
        <v>101.95856005749823</v>
      </c>
      <c r="L64" s="77">
        <v>101.40514584008478</v>
      </c>
      <c r="M64" s="77">
        <v>101.44446652986835</v>
      </c>
      <c r="N64" s="77">
        <f t="shared" si="2"/>
        <v>101.70813863597591</v>
      </c>
      <c r="R64" s="55" t="s">
        <v>22</v>
      </c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</row>
    <row r="65" spans="1:131" ht="22.5" customHeight="1" x14ac:dyDescent="0.25">
      <c r="A65" s="5" t="s">
        <v>76</v>
      </c>
      <c r="B65" s="77">
        <v>88.321911293808057</v>
      </c>
      <c r="C65" s="77">
        <v>86.178474861676975</v>
      </c>
      <c r="D65" s="77">
        <v>84.405027374235075</v>
      </c>
      <c r="E65" s="77">
        <v>84.290111313280832</v>
      </c>
      <c r="F65" s="77">
        <v>79.34287331536126</v>
      </c>
      <c r="G65" s="77">
        <v>81.177401725896956</v>
      </c>
      <c r="H65" s="77">
        <v>83.213782750172015</v>
      </c>
      <c r="I65" s="77">
        <v>81.610693018797107</v>
      </c>
      <c r="J65" s="77">
        <v>78.804662674867345</v>
      </c>
      <c r="K65" s="77">
        <v>77.78295756173307</v>
      </c>
      <c r="L65" s="77">
        <v>78.28360892102252</v>
      </c>
      <c r="M65" s="77">
        <v>77.42641178360094</v>
      </c>
      <c r="N65" s="77">
        <f t="shared" si="2"/>
        <v>81.736493049537671</v>
      </c>
      <c r="R65" s="55" t="s">
        <v>24</v>
      </c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</row>
    <row r="66" spans="1:131" ht="22.5" customHeight="1" x14ac:dyDescent="0.25">
      <c r="A66" s="3" t="s">
        <v>77</v>
      </c>
      <c r="B66" s="77">
        <v>101.03900708988036</v>
      </c>
      <c r="C66" s="77">
        <v>103.9602362337301</v>
      </c>
      <c r="D66" s="77">
        <v>105.06083832641743</v>
      </c>
      <c r="E66" s="77">
        <v>105.06083832641743</v>
      </c>
      <c r="F66" s="77">
        <v>104.98878653380183</v>
      </c>
      <c r="G66" s="77">
        <v>104.98878653380183</v>
      </c>
      <c r="H66" s="77">
        <v>104.99451358189934</v>
      </c>
      <c r="I66" s="77">
        <v>104.99563220048111</v>
      </c>
      <c r="J66" s="77">
        <v>104.59902323538438</v>
      </c>
      <c r="K66" s="77">
        <v>104.59902323538438</v>
      </c>
      <c r="L66" s="77">
        <v>105.30755553596812</v>
      </c>
      <c r="M66" s="77">
        <v>105.00609441067583</v>
      </c>
      <c r="N66" s="77">
        <f t="shared" si="2"/>
        <v>104.55002793698685</v>
      </c>
      <c r="R66" s="56" t="s">
        <v>26</v>
      </c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</row>
    <row r="67" spans="1:131" ht="18" customHeight="1" x14ac:dyDescent="0.25">
      <c r="A67" s="4" t="s">
        <v>78</v>
      </c>
      <c r="B67" s="77">
        <v>101.79913675485537</v>
      </c>
      <c r="C67" s="77">
        <v>101.79913675485537</v>
      </c>
      <c r="D67" s="77">
        <v>101.79913675485537</v>
      </c>
      <c r="E67" s="77">
        <v>101.79913675485537</v>
      </c>
      <c r="F67" s="77">
        <v>101.79913675485537</v>
      </c>
      <c r="G67" s="77">
        <v>101.79913675485537</v>
      </c>
      <c r="H67" s="77">
        <v>101.79913675485537</v>
      </c>
      <c r="I67" s="77">
        <v>101.79913675485537</v>
      </c>
      <c r="J67" s="77">
        <v>101.79913675485537</v>
      </c>
      <c r="K67" s="77">
        <v>102.21727338405482</v>
      </c>
      <c r="L67" s="77">
        <v>102.21727338405482</v>
      </c>
      <c r="M67" s="77">
        <v>102.21727338405482</v>
      </c>
      <c r="N67" s="77">
        <f t="shared" si="2"/>
        <v>101.90367091215522</v>
      </c>
      <c r="R67" s="56" t="s">
        <v>28</v>
      </c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</row>
    <row r="68" spans="1:131" s="1" customFormat="1" ht="22.5" customHeight="1" x14ac:dyDescent="0.25">
      <c r="A68" s="4" t="s">
        <v>79</v>
      </c>
      <c r="B68" s="77">
        <v>100.10767109574419</v>
      </c>
      <c r="C68" s="77">
        <v>100.10767109574419</v>
      </c>
      <c r="D68" s="77">
        <v>100.10767109574419</v>
      </c>
      <c r="E68" s="77">
        <v>100.10767109574419</v>
      </c>
      <c r="F68" s="77">
        <v>99.553865715342639</v>
      </c>
      <c r="G68" s="77">
        <v>99.553865715342639</v>
      </c>
      <c r="H68" s="77">
        <v>99.862649433854003</v>
      </c>
      <c r="I68" s="77">
        <v>99.698707437158404</v>
      </c>
      <c r="J68" s="77">
        <v>99.662806748489913</v>
      </c>
      <c r="K68" s="77">
        <v>99.662806748489913</v>
      </c>
      <c r="L68" s="77">
        <v>99.570267035538933</v>
      </c>
      <c r="M68" s="77">
        <v>99.342869966869074</v>
      </c>
      <c r="N68" s="77">
        <f t="shared" si="2"/>
        <v>99.778210265338529</v>
      </c>
      <c r="R68" s="56" t="s">
        <v>30</v>
      </c>
      <c r="DN68" s="1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</row>
    <row r="69" spans="1:131" s="1" customFormat="1" ht="22.5" customHeight="1" x14ac:dyDescent="0.25">
      <c r="A69" s="4" t="s">
        <v>80</v>
      </c>
      <c r="B69" s="77">
        <v>100</v>
      </c>
      <c r="C69" s="77">
        <v>100</v>
      </c>
      <c r="D69" s="77">
        <v>100</v>
      </c>
      <c r="E69" s="77">
        <v>100</v>
      </c>
      <c r="F69" s="77">
        <v>100</v>
      </c>
      <c r="G69" s="77">
        <v>100</v>
      </c>
      <c r="H69" s="77">
        <v>100</v>
      </c>
      <c r="I69" s="77">
        <v>100</v>
      </c>
      <c r="J69" s="77">
        <v>100</v>
      </c>
      <c r="K69" s="77">
        <v>100</v>
      </c>
      <c r="L69" s="77">
        <v>100</v>
      </c>
      <c r="M69" s="77">
        <v>100</v>
      </c>
      <c r="N69" s="77">
        <f t="shared" si="2"/>
        <v>100</v>
      </c>
      <c r="R69" s="53" t="s">
        <v>83</v>
      </c>
      <c r="DN69" s="1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</row>
    <row r="70" spans="1:131" s="1" customFormat="1" ht="33.75" customHeight="1" x14ac:dyDescent="0.25">
      <c r="A70" s="3" t="s">
        <v>81</v>
      </c>
      <c r="B70" s="77">
        <v>99.932767836525414</v>
      </c>
      <c r="C70" s="77">
        <v>99.890546486925558</v>
      </c>
      <c r="D70" s="77">
        <v>99.845803476525532</v>
      </c>
      <c r="E70" s="77">
        <v>99.875398756017645</v>
      </c>
      <c r="F70" s="77">
        <v>99.925430371491714</v>
      </c>
      <c r="G70" s="77">
        <v>99.888525025992266</v>
      </c>
      <c r="H70" s="77">
        <v>99.907833068201512</v>
      </c>
      <c r="I70" s="77">
        <v>99.922910095234087</v>
      </c>
      <c r="J70" s="77">
        <v>99.792169934869662</v>
      </c>
      <c r="K70" s="77">
        <v>99.8545554145213</v>
      </c>
      <c r="L70" s="77">
        <v>99.822825892710185</v>
      </c>
      <c r="M70" s="77">
        <v>99.821289893022453</v>
      </c>
      <c r="N70" s="77">
        <f t="shared" si="2"/>
        <v>99.873338021003107</v>
      </c>
      <c r="R70" s="56" t="s">
        <v>31</v>
      </c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</row>
    <row r="71" spans="1:131" ht="22.5" customHeight="1" x14ac:dyDescent="0.25">
      <c r="A71" s="6" t="s">
        <v>32</v>
      </c>
      <c r="B71" s="81">
        <v>100.28466204100826</v>
      </c>
      <c r="C71" s="81">
        <v>100.25019985646929</v>
      </c>
      <c r="D71" s="81">
        <v>100.10147803532355</v>
      </c>
      <c r="E71" s="81">
        <v>100.14763047048412</v>
      </c>
      <c r="F71" s="81">
        <v>99.502274026886226</v>
      </c>
      <c r="G71" s="81">
        <v>97.284388314975871</v>
      </c>
      <c r="H71" s="81">
        <v>100.13385858957542</v>
      </c>
      <c r="I71" s="81">
        <v>100.05322722427391</v>
      </c>
      <c r="J71" s="81">
        <v>100.09422080224142</v>
      </c>
      <c r="K71" s="81">
        <v>100.26927077401074</v>
      </c>
      <c r="L71" s="81">
        <v>100.24238065246674</v>
      </c>
      <c r="M71" s="81">
        <v>99.969861298799842</v>
      </c>
      <c r="N71" s="81">
        <f t="shared" si="2"/>
        <v>99.861121007209604</v>
      </c>
      <c r="R71" s="57" t="s">
        <v>33</v>
      </c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</row>
    <row r="72" spans="1:131" ht="22.5" customHeight="1" x14ac:dyDescent="0.25">
      <c r="A72" s="7" t="s">
        <v>34</v>
      </c>
      <c r="B72" s="82">
        <v>100.65697816578744</v>
      </c>
      <c r="C72" s="82">
        <v>100.62042449339222</v>
      </c>
      <c r="D72" s="82">
        <v>100.14581505824275</v>
      </c>
      <c r="E72" s="82">
        <v>99.873043084125356</v>
      </c>
      <c r="F72" s="82">
        <v>99.224340871622601</v>
      </c>
      <c r="G72" s="82">
        <v>96.934803974000843</v>
      </c>
      <c r="H72" s="82">
        <v>99.933233173612422</v>
      </c>
      <c r="I72" s="82">
        <v>99.920192126545672</v>
      </c>
      <c r="J72" s="82">
        <v>99.8843526118592</v>
      </c>
      <c r="K72" s="82">
        <v>99.901382483661109</v>
      </c>
      <c r="L72" s="82">
        <v>100.00039270911303</v>
      </c>
      <c r="M72" s="82">
        <v>99.834515048174538</v>
      </c>
      <c r="N72" s="82">
        <f t="shared" si="2"/>
        <v>99.7441228166781</v>
      </c>
      <c r="O72" s="25"/>
      <c r="P72" s="25"/>
      <c r="Q72" s="25"/>
      <c r="R72" s="58" t="s">
        <v>35</v>
      </c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</row>
    <row r="73" spans="1:131" ht="17.25" x14ac:dyDescent="0.2">
      <c r="A73" s="54" t="s">
        <v>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53" t="s">
        <v>4</v>
      </c>
    </row>
    <row r="74" spans="1:131" ht="15" customHeight="1" x14ac:dyDescent="0.35"/>
    <row r="75" spans="1:131" ht="15" customHeight="1" x14ac:dyDescent="0.35"/>
    <row r="76" spans="1:131" ht="15" customHeight="1" x14ac:dyDescent="0.35"/>
    <row r="77" spans="1:131" ht="15" customHeight="1" x14ac:dyDescent="0.35">
      <c r="Q77" s="42"/>
    </row>
    <row r="78" spans="1:131" ht="15" customHeight="1" x14ac:dyDescent="0.35">
      <c r="Q78" s="42"/>
    </row>
    <row r="79" spans="1:131" ht="15" customHeight="1" x14ac:dyDescent="0.35">
      <c r="Q79" s="42"/>
    </row>
    <row r="80" spans="1:131" ht="15" customHeight="1" x14ac:dyDescent="0.35">
      <c r="Q80" s="42"/>
    </row>
    <row r="81" spans="17:131" ht="15" customHeight="1" x14ac:dyDescent="0.35">
      <c r="Q81" s="42"/>
      <c r="DP81" s="12">
        <v>2010</v>
      </c>
      <c r="DQ81" s="12">
        <v>2011</v>
      </c>
      <c r="DR81" s="12">
        <v>2012</v>
      </c>
      <c r="DS81" s="12">
        <v>2013</v>
      </c>
      <c r="DT81" s="12">
        <v>2014</v>
      </c>
      <c r="DU81" s="43">
        <v>2015</v>
      </c>
      <c r="DV81" s="12">
        <v>2016</v>
      </c>
      <c r="DW81" s="43">
        <v>2017</v>
      </c>
      <c r="DX81" s="43">
        <v>2018</v>
      </c>
      <c r="DY81" s="43">
        <v>2019</v>
      </c>
      <c r="DZ81" s="43">
        <v>2020</v>
      </c>
      <c r="EA81" s="43">
        <v>2021</v>
      </c>
    </row>
    <row r="82" spans="17:131" ht="15" customHeight="1" x14ac:dyDescent="0.2">
      <c r="Q82" s="42"/>
      <c r="R82" s="3"/>
      <c r="DO82" s="15" t="s">
        <v>5</v>
      </c>
      <c r="DP82" s="44">
        <v>69.554480633976965</v>
      </c>
      <c r="DQ82" s="44">
        <v>83.416709968576413</v>
      </c>
      <c r="DR82" s="44">
        <v>98.126990664931839</v>
      </c>
      <c r="DS82" s="44">
        <v>105.15731822206406</v>
      </c>
      <c r="DT82" s="44">
        <v>105.91516633353841</v>
      </c>
      <c r="DU82" s="44">
        <v>106.42761479980396</v>
      </c>
      <c r="DV82" s="44">
        <v>107.04157551050889</v>
      </c>
      <c r="DW82" s="44">
        <v>113.03489126776282</v>
      </c>
      <c r="DX82" s="44">
        <v>111.81011866226531</v>
      </c>
      <c r="DY82" s="44">
        <v>99.755867509454859</v>
      </c>
      <c r="DZ82" s="44">
        <f t="shared" ref="DZ82:DZ99" si="3">N9</f>
        <v>104.32095882991126</v>
      </c>
      <c r="EA82" s="44">
        <v>104.32095882991126</v>
      </c>
    </row>
    <row r="83" spans="17:131" ht="15" customHeight="1" x14ac:dyDescent="0.2">
      <c r="Q83" s="42"/>
      <c r="R83" s="3"/>
      <c r="DO83" s="45" t="s">
        <v>7</v>
      </c>
      <c r="DP83" s="44">
        <v>84.204150454829019</v>
      </c>
      <c r="DQ83" s="44">
        <v>94.794400673064558</v>
      </c>
      <c r="DR83" s="44">
        <v>100.0268178957039</v>
      </c>
      <c r="DS83" s="44">
        <v>105.46827201556327</v>
      </c>
      <c r="DT83" s="44">
        <v>105.77637644985344</v>
      </c>
      <c r="DU83" s="44">
        <v>106.72890504792964</v>
      </c>
      <c r="DV83" s="44">
        <v>108.34446887815083</v>
      </c>
      <c r="DW83" s="44">
        <v>115.49732275295001</v>
      </c>
      <c r="DX83" s="44">
        <v>112.9320821179051</v>
      </c>
      <c r="DY83" s="44">
        <v>100.0189697454872</v>
      </c>
      <c r="DZ83" s="44">
        <f t="shared" si="3"/>
        <v>105.2422746584155</v>
      </c>
      <c r="EA83" s="44">
        <v>105.2422746584155</v>
      </c>
    </row>
    <row r="84" spans="17:131" ht="15" customHeight="1" x14ac:dyDescent="0.2">
      <c r="Q84" s="42"/>
      <c r="R84" s="3"/>
      <c r="DO84" s="46" t="s">
        <v>9</v>
      </c>
      <c r="DP84" s="44">
        <v>36.005776836416281</v>
      </c>
      <c r="DQ84" s="44">
        <v>57.361052741283949</v>
      </c>
      <c r="DR84" s="44">
        <v>93.7760772522998</v>
      </c>
      <c r="DS84" s="44">
        <v>104.44563486657425</v>
      </c>
      <c r="DT84" s="44">
        <v>106.23281626157906</v>
      </c>
      <c r="DU84" s="44">
        <v>105.73804850653096</v>
      </c>
      <c r="DV84" s="44">
        <v>104.05962917920893</v>
      </c>
      <c r="DW84" s="44">
        <v>107.39909733735</v>
      </c>
      <c r="DX84" s="44">
        <v>109.24226860370483</v>
      </c>
      <c r="DY84" s="44">
        <v>102.19215981021229</v>
      </c>
      <c r="DZ84" s="44">
        <f t="shared" si="3"/>
        <v>100.31089926502996</v>
      </c>
      <c r="EA84" s="44">
        <v>100.31089926502996</v>
      </c>
    </row>
    <row r="85" spans="17:131" ht="15" customHeight="1" x14ac:dyDescent="0.2">
      <c r="Q85" s="42"/>
      <c r="R85" s="3"/>
      <c r="DO85" s="4" t="s">
        <v>11</v>
      </c>
      <c r="DP85" s="44">
        <v>50.532891620339313</v>
      </c>
      <c r="DQ85" s="44">
        <v>64.296766109008189</v>
      </c>
      <c r="DR85" s="44">
        <v>101.2436810917912</v>
      </c>
      <c r="DS85" s="44">
        <v>98.00579870542515</v>
      </c>
      <c r="DT85" s="44">
        <v>100.18505236961772</v>
      </c>
      <c r="DU85" s="44">
        <v>117.46360163260034</v>
      </c>
      <c r="DV85" s="44">
        <v>122.18459773517431</v>
      </c>
      <c r="DW85" s="44">
        <v>154.41417266945828</v>
      </c>
      <c r="DX85" s="44">
        <v>167.34151423693964</v>
      </c>
      <c r="DY85" s="44">
        <v>100.23444513498929</v>
      </c>
      <c r="DZ85" s="44">
        <f t="shared" si="3"/>
        <v>135.94615167562134</v>
      </c>
      <c r="EA85" s="44">
        <v>135.94615167562134</v>
      </c>
    </row>
    <row r="86" spans="17:131" ht="15" customHeight="1" x14ac:dyDescent="0.2">
      <c r="Q86" s="42"/>
      <c r="R86" s="3"/>
      <c r="DO86" s="46" t="s">
        <v>12</v>
      </c>
      <c r="DP86" s="44">
        <v>72.534285938334179</v>
      </c>
      <c r="DQ86" s="44">
        <v>81.881292827210913</v>
      </c>
      <c r="DR86" s="44">
        <v>98.359038463336105</v>
      </c>
      <c r="DS86" s="44">
        <v>101.52586212230904</v>
      </c>
      <c r="DT86" s="44">
        <v>102.46527730468375</v>
      </c>
      <c r="DU86" s="44">
        <v>101.54061731751705</v>
      </c>
      <c r="DV86" s="44">
        <v>100.99558210523537</v>
      </c>
      <c r="DW86" s="44">
        <v>100.29057707007946</v>
      </c>
      <c r="DX86" s="44">
        <v>98.155711491556062</v>
      </c>
      <c r="DY86" s="44">
        <v>99.962545178697326</v>
      </c>
      <c r="DZ86" s="44">
        <f t="shared" si="3"/>
        <v>98.78312407403439</v>
      </c>
      <c r="EA86" s="44">
        <v>98.78312407403439</v>
      </c>
    </row>
    <row r="87" spans="17:131" ht="15" customHeight="1" x14ac:dyDescent="0.2">
      <c r="Q87" s="42"/>
      <c r="R87" s="3"/>
      <c r="DO87" s="46" t="s">
        <v>14</v>
      </c>
      <c r="DP87" s="44">
        <v>93.758762276598645</v>
      </c>
      <c r="DQ87" s="44">
        <v>96.487654366096692</v>
      </c>
      <c r="DR87" s="44">
        <v>99.951850044063292</v>
      </c>
      <c r="DS87" s="44">
        <v>103.51724004351574</v>
      </c>
      <c r="DT87" s="44">
        <v>106.69055604936631</v>
      </c>
      <c r="DU87" s="44">
        <v>107.78553856963902</v>
      </c>
      <c r="DV87" s="44">
        <v>108.10803524718015</v>
      </c>
      <c r="DW87" s="44">
        <v>109.47834485115725</v>
      </c>
      <c r="DX87" s="44">
        <v>109.29547192198891</v>
      </c>
      <c r="DY87" s="44">
        <v>99.542874629829512</v>
      </c>
      <c r="DZ87" s="44">
        <f t="shared" si="3"/>
        <v>95.708072576042923</v>
      </c>
      <c r="EA87" s="44">
        <v>95.708072576042923</v>
      </c>
    </row>
    <row r="88" spans="17:131" ht="15" customHeight="1" x14ac:dyDescent="0.2">
      <c r="Q88" s="42"/>
      <c r="R88" s="3"/>
      <c r="DO88" s="46" t="s">
        <v>16</v>
      </c>
      <c r="DP88" s="44">
        <v>91.040551259171139</v>
      </c>
      <c r="DQ88" s="44">
        <v>95.103608962918898</v>
      </c>
      <c r="DR88" s="44">
        <v>100.07057660044312</v>
      </c>
      <c r="DS88" s="44">
        <v>104.08964183574052</v>
      </c>
      <c r="DT88" s="44">
        <v>108.54742074440985</v>
      </c>
      <c r="DU88" s="44">
        <v>112.36921152715941</v>
      </c>
      <c r="DV88" s="44">
        <v>116.59514145414504</v>
      </c>
      <c r="DW88" s="44">
        <v>122.00177799672292</v>
      </c>
      <c r="DX88" s="44">
        <v>129.26555175057555</v>
      </c>
      <c r="DY88" s="44">
        <v>99.287613094180429</v>
      </c>
      <c r="DZ88" s="44">
        <f t="shared" si="3"/>
        <v>94.14175895634007</v>
      </c>
      <c r="EA88" s="44">
        <v>94.14175895634007</v>
      </c>
    </row>
    <row r="89" spans="17:131" ht="15" customHeight="1" x14ac:dyDescent="0.2">
      <c r="Q89" s="42"/>
      <c r="R89" s="3"/>
      <c r="DO89" s="15" t="s">
        <v>17</v>
      </c>
      <c r="DP89" s="44">
        <v>80.397772506783596</v>
      </c>
      <c r="DQ89" s="44">
        <v>83.774232067142066</v>
      </c>
      <c r="DR89" s="44">
        <v>98.65523637265558</v>
      </c>
      <c r="DS89" s="44">
        <v>97.029807398560521</v>
      </c>
      <c r="DT89" s="44">
        <v>96.030794344264748</v>
      </c>
      <c r="DU89" s="44">
        <v>96.619226474540611</v>
      </c>
      <c r="DV89" s="44">
        <v>97.499129166170533</v>
      </c>
      <c r="DW89" s="44">
        <v>98.588794205371599</v>
      </c>
      <c r="DX89" s="44">
        <v>97.270333580269437</v>
      </c>
      <c r="DY89" s="44">
        <v>100.03347598488823</v>
      </c>
      <c r="DZ89" s="44">
        <f t="shared" si="3"/>
        <v>99.168634885700143</v>
      </c>
      <c r="EA89" s="44">
        <v>99.168634885700143</v>
      </c>
    </row>
    <row r="90" spans="17:131" ht="15" customHeight="1" x14ac:dyDescent="0.2">
      <c r="Q90" s="42"/>
      <c r="R90" s="3"/>
      <c r="DO90" s="47" t="s">
        <v>19</v>
      </c>
      <c r="DP90" s="44">
        <v>123.09882000085349</v>
      </c>
      <c r="DQ90" s="44">
        <v>136.10400273752558</v>
      </c>
      <c r="DR90" s="44">
        <v>103.11447443846129</v>
      </c>
      <c r="DS90" s="44">
        <v>110.75985912203326</v>
      </c>
      <c r="DT90" s="44">
        <v>120.99690521142638</v>
      </c>
      <c r="DU90" s="44">
        <v>123.58711110547449</v>
      </c>
      <c r="DV90" s="44">
        <v>125.81722828813672</v>
      </c>
      <c r="DW90" s="44">
        <v>125.52846282798579</v>
      </c>
      <c r="DX90" s="44">
        <v>126.1113957972745</v>
      </c>
      <c r="DY90" s="44">
        <v>99.651230898131658</v>
      </c>
      <c r="DZ90" s="44">
        <f t="shared" si="3"/>
        <v>100.14993114267816</v>
      </c>
      <c r="EA90" s="44">
        <v>100.14993114267816</v>
      </c>
    </row>
    <row r="91" spans="17:131" ht="12.75" x14ac:dyDescent="0.2">
      <c r="R91" s="3"/>
      <c r="DO91" s="47" t="s">
        <v>21</v>
      </c>
      <c r="DP91" s="44">
        <v>80.571924425587255</v>
      </c>
      <c r="DQ91" s="44">
        <v>91.644770975471246</v>
      </c>
      <c r="DR91" s="44">
        <v>99.95473548796538</v>
      </c>
      <c r="DS91" s="44">
        <v>102.17949400970934</v>
      </c>
      <c r="DT91" s="44">
        <v>105.37961599773739</v>
      </c>
      <c r="DU91" s="44">
        <v>102.92917404156066</v>
      </c>
      <c r="DV91" s="44">
        <v>101.34706519435288</v>
      </c>
      <c r="DW91" s="44">
        <v>101.83981865912176</v>
      </c>
      <c r="DX91" s="44">
        <v>102.86901120705778</v>
      </c>
      <c r="DY91" s="44">
        <v>99.177907186017364</v>
      </c>
      <c r="DZ91" s="44">
        <f t="shared" si="3"/>
        <v>100.85971287891068</v>
      </c>
      <c r="EA91" s="44">
        <v>100.85971287891068</v>
      </c>
    </row>
    <row r="92" spans="17:131" ht="12.75" x14ac:dyDescent="0.2">
      <c r="R92" s="3"/>
      <c r="DO92" s="47" t="s">
        <v>23</v>
      </c>
      <c r="DP92" s="44">
        <v>100.38298344923554</v>
      </c>
      <c r="DQ92" s="44">
        <v>100.6195512642537</v>
      </c>
      <c r="DR92" s="44">
        <v>100.00528180711392</v>
      </c>
      <c r="DS92" s="44">
        <v>99.050815085253589</v>
      </c>
      <c r="DT92" s="44">
        <v>100.28780520090577</v>
      </c>
      <c r="DU92" s="44">
        <v>100.55782006117782</v>
      </c>
      <c r="DV92" s="44">
        <v>99.79368976091358</v>
      </c>
      <c r="DW92" s="44">
        <v>99.659396804799613</v>
      </c>
      <c r="DX92" s="44">
        <v>100.41005623870753</v>
      </c>
      <c r="DY92" s="44">
        <v>100.25721192236689</v>
      </c>
      <c r="DZ92" s="44">
        <f t="shared" si="3"/>
        <v>82.583730636649364</v>
      </c>
      <c r="EA92" s="44">
        <v>82.583730636649364</v>
      </c>
    </row>
    <row r="93" spans="17:131" ht="24" x14ac:dyDescent="0.2">
      <c r="R93" s="3"/>
      <c r="DO93" s="45" t="s">
        <v>25</v>
      </c>
      <c r="DP93" s="44">
        <v>100.01905005623114</v>
      </c>
      <c r="DQ93" s="44">
        <v>97.89290317146407</v>
      </c>
      <c r="DR93" s="44">
        <v>99.531777140452178</v>
      </c>
      <c r="DS93" s="44">
        <v>98.82807875047888</v>
      </c>
      <c r="DT93" s="44">
        <v>102.2003441480955</v>
      </c>
      <c r="DU93" s="44">
        <v>101.95630588932649</v>
      </c>
      <c r="DV93" s="44">
        <v>100.69713942933714</v>
      </c>
      <c r="DW93" s="44">
        <v>100.58404074832116</v>
      </c>
      <c r="DX93" s="44">
        <v>99.029706628505878</v>
      </c>
      <c r="DY93" s="44">
        <v>100.42641155289699</v>
      </c>
      <c r="DZ93" s="44">
        <f t="shared" si="3"/>
        <v>102.15559102437322</v>
      </c>
      <c r="EA93" s="44">
        <v>102.15559102437322</v>
      </c>
    </row>
    <row r="94" spans="17:131" ht="12.75" x14ac:dyDescent="0.2">
      <c r="R94" s="3"/>
      <c r="DO94" s="46" t="s">
        <v>27</v>
      </c>
      <c r="DP94" s="44">
        <v>72.465176121953334</v>
      </c>
      <c r="DQ94" s="44">
        <v>85.752154766717368</v>
      </c>
      <c r="DR94" s="44">
        <v>100.26897294373833</v>
      </c>
      <c r="DS94" s="44">
        <v>105.75107702222947</v>
      </c>
      <c r="DT94" s="44">
        <v>110.56855328746506</v>
      </c>
      <c r="DU94" s="44">
        <v>119.00762505009182</v>
      </c>
      <c r="DV94" s="44">
        <v>124.80292719209795</v>
      </c>
      <c r="DW94" s="44">
        <v>130.07859259520549</v>
      </c>
      <c r="DX94" s="44">
        <v>133.11915518648536</v>
      </c>
      <c r="DY94" s="44">
        <v>99.997620891203681</v>
      </c>
      <c r="DZ94" s="44">
        <f t="shared" si="3"/>
        <v>100.26970732814955</v>
      </c>
      <c r="EA94" s="44">
        <v>100.26970732814955</v>
      </c>
    </row>
    <row r="95" spans="17:131" ht="12.75" x14ac:dyDescent="0.2">
      <c r="R95" s="3"/>
      <c r="DO95" s="40" t="s">
        <v>29</v>
      </c>
      <c r="DP95" s="44">
        <v>70.167294544238487</v>
      </c>
      <c r="DQ95" s="44">
        <v>81.124231104476152</v>
      </c>
      <c r="DR95" s="44">
        <v>103.56604942649903</v>
      </c>
      <c r="DS95" s="44">
        <v>115.92908544747458</v>
      </c>
      <c r="DT95" s="44">
        <v>121.3287709962447</v>
      </c>
      <c r="DU95" s="44">
        <v>121.06073734975051</v>
      </c>
      <c r="DV95" s="44">
        <v>123.14673548135868</v>
      </c>
      <c r="DW95" s="44">
        <v>125.6295963585136</v>
      </c>
      <c r="DX95" s="44">
        <v>128.2294953174422</v>
      </c>
      <c r="DY95" s="44">
        <v>99.155419008916851</v>
      </c>
      <c r="DZ95" s="44">
        <f t="shared" si="3"/>
        <v>100.50787945146017</v>
      </c>
      <c r="EA95" s="44">
        <v>100.50787945146017</v>
      </c>
    </row>
    <row r="96" spans="17:131" ht="12.75" x14ac:dyDescent="0.2">
      <c r="R96" s="3"/>
      <c r="DO96" s="4" t="s">
        <v>80</v>
      </c>
      <c r="DP96" s="12" t="s">
        <v>2</v>
      </c>
      <c r="DQ96" s="12" t="s">
        <v>2</v>
      </c>
      <c r="DR96" s="12" t="s">
        <v>2</v>
      </c>
      <c r="DS96" s="12" t="s">
        <v>2</v>
      </c>
      <c r="DT96" s="12" t="s">
        <v>2</v>
      </c>
      <c r="DU96" s="12" t="s">
        <v>2</v>
      </c>
      <c r="DV96" s="12" t="s">
        <v>2</v>
      </c>
      <c r="DW96" s="12" t="s">
        <v>2</v>
      </c>
      <c r="DX96" s="12" t="s">
        <v>2</v>
      </c>
      <c r="DY96" s="12">
        <v>100</v>
      </c>
      <c r="DZ96" s="44">
        <f t="shared" si="3"/>
        <v>100</v>
      </c>
      <c r="EA96" s="44">
        <v>100</v>
      </c>
    </row>
    <row r="97" spans="18:131" ht="108" x14ac:dyDescent="0.2">
      <c r="R97" s="3"/>
      <c r="DO97" s="45" t="s">
        <v>81</v>
      </c>
      <c r="DP97" s="44">
        <v>80.738363693637908</v>
      </c>
      <c r="DQ97" s="44">
        <v>86.725904563278689</v>
      </c>
      <c r="DR97" s="44">
        <v>100.59989156921542</v>
      </c>
      <c r="DS97" s="44">
        <v>99.01609787482279</v>
      </c>
      <c r="DT97" s="44">
        <v>98.892634758290214</v>
      </c>
      <c r="DU97" s="44">
        <v>98.735605526974709</v>
      </c>
      <c r="DV97" s="44">
        <v>98.469134997835681</v>
      </c>
      <c r="DW97" s="44">
        <v>98.317889337161489</v>
      </c>
      <c r="DX97" s="44">
        <v>97.662171177004552</v>
      </c>
      <c r="DY97" s="44">
        <v>99.967391567614428</v>
      </c>
      <c r="DZ97" s="44">
        <f t="shared" si="3"/>
        <v>99.955138511880179</v>
      </c>
      <c r="EA97" s="44">
        <v>99.955138511880179</v>
      </c>
    </row>
    <row r="98" spans="18:131" ht="24" x14ac:dyDescent="0.2">
      <c r="R98" s="3"/>
      <c r="DO98" s="45" t="s">
        <v>32</v>
      </c>
      <c r="DP98" s="44">
        <v>80.568542845421106</v>
      </c>
      <c r="DQ98" s="44">
        <v>89.651368722070842</v>
      </c>
      <c r="DR98" s="44">
        <v>99.409647361204449</v>
      </c>
      <c r="DS98" s="44">
        <v>103.19281073321666</v>
      </c>
      <c r="DT98" s="44">
        <v>105.38050013404563</v>
      </c>
      <c r="DU98" s="44">
        <v>106.38499407837655</v>
      </c>
      <c r="DV98" s="44">
        <v>106.91958868829052</v>
      </c>
      <c r="DW98" s="44">
        <v>109.93201964009602</v>
      </c>
      <c r="DX98" s="44">
        <v>109.78539958307455</v>
      </c>
      <c r="DY98" s="44">
        <v>99.704026856120265</v>
      </c>
      <c r="DZ98" s="44">
        <f t="shared" si="3"/>
        <v>98.872430971450569</v>
      </c>
      <c r="EA98" s="44">
        <v>98.872430971450569</v>
      </c>
    </row>
    <row r="99" spans="18:131" ht="36" x14ac:dyDescent="0.2">
      <c r="R99" s="3"/>
      <c r="DO99" s="45" t="s">
        <v>34</v>
      </c>
      <c r="DP99" s="44">
        <v>84.338371332150743</v>
      </c>
      <c r="DQ99" s="44">
        <v>91.679051572020867</v>
      </c>
      <c r="DR99" s="44">
        <v>100.14126599840249</v>
      </c>
      <c r="DS99" s="44">
        <v>103.07423491391059</v>
      </c>
      <c r="DT99" s="44">
        <v>105.29983112357628</v>
      </c>
      <c r="DU99" s="44">
        <v>106.44622541898161</v>
      </c>
      <c r="DV99" s="44">
        <v>107.1902747590181</v>
      </c>
      <c r="DW99" s="44">
        <v>110.17175267946645</v>
      </c>
      <c r="DX99" s="44">
        <v>109.83680520270974</v>
      </c>
      <c r="DY99" s="44">
        <v>99.768516719136173</v>
      </c>
      <c r="DZ99" s="44">
        <f t="shared" si="3"/>
        <v>98.810874358558848</v>
      </c>
      <c r="EA99" s="44">
        <v>98.810874358558848</v>
      </c>
    </row>
    <row r="100" spans="18:131" ht="12.75" x14ac:dyDescent="0.2">
      <c r="R100" s="3"/>
    </row>
    <row r="101" spans="18:131" ht="12.75" x14ac:dyDescent="0.2">
      <c r="R101" s="3"/>
      <c r="DO101" s="19"/>
      <c r="DP101" s="19"/>
      <c r="DQ101" s="19"/>
      <c r="DR101" s="19"/>
    </row>
    <row r="102" spans="18:131" ht="12.75" x14ac:dyDescent="0.2">
      <c r="R102" s="3"/>
      <c r="DO102" s="18"/>
      <c r="DP102" s="18"/>
      <c r="DQ102" s="18"/>
      <c r="DR102" s="18"/>
    </row>
    <row r="103" spans="18:131" ht="12.75" x14ac:dyDescent="0.2">
      <c r="R103" s="3"/>
      <c r="DQ103" s="48" t="s">
        <v>86</v>
      </c>
      <c r="DR103" s="49">
        <v>99.024145997101201</v>
      </c>
      <c r="DS103" s="48"/>
      <c r="DT103" s="33"/>
    </row>
    <row r="104" spans="18:131" ht="12.75" x14ac:dyDescent="0.2">
      <c r="R104" s="3"/>
      <c r="DQ104" s="48" t="s">
        <v>51</v>
      </c>
      <c r="DR104" s="49">
        <v>99.344804114687122</v>
      </c>
      <c r="DS104" s="48"/>
      <c r="DT104" s="33"/>
    </row>
    <row r="105" spans="18:131" ht="15" x14ac:dyDescent="0.35">
      <c r="DQ105" s="48" t="s">
        <v>52</v>
      </c>
      <c r="DR105" s="49">
        <v>99.132707625477963</v>
      </c>
      <c r="DS105" s="48"/>
      <c r="DT105" s="33"/>
    </row>
    <row r="106" spans="18:131" ht="15" x14ac:dyDescent="0.35">
      <c r="DQ106" s="48" t="s">
        <v>53</v>
      </c>
      <c r="DR106" s="49">
        <v>99.533742480414617</v>
      </c>
      <c r="DS106" s="48"/>
      <c r="DT106" s="33"/>
    </row>
    <row r="107" spans="18:131" ht="15" x14ac:dyDescent="0.35">
      <c r="DQ107" s="48" t="s">
        <v>54</v>
      </c>
      <c r="DR107" s="49">
        <v>99.847391328514448</v>
      </c>
      <c r="DS107" s="48"/>
      <c r="DT107" s="33"/>
    </row>
    <row r="108" spans="18:131" ht="15" x14ac:dyDescent="0.35">
      <c r="DQ108" s="48" t="s">
        <v>55</v>
      </c>
      <c r="DR108" s="49">
        <v>100.09029082934444</v>
      </c>
      <c r="DS108" s="48"/>
      <c r="DT108" s="33"/>
    </row>
    <row r="109" spans="18:131" ht="15" x14ac:dyDescent="0.35">
      <c r="DQ109" s="48" t="s">
        <v>56</v>
      </c>
      <c r="DR109" s="49">
        <v>99.363852263327374</v>
      </c>
      <c r="DS109" s="48"/>
      <c r="DT109" s="33"/>
    </row>
    <row r="110" spans="18:131" ht="15" x14ac:dyDescent="0.35">
      <c r="DQ110" s="48" t="s">
        <v>57</v>
      </c>
      <c r="DR110" s="49">
        <v>100</v>
      </c>
      <c r="DS110" s="48"/>
      <c r="DT110" s="33"/>
    </row>
    <row r="111" spans="18:131" ht="15" x14ac:dyDescent="0.35">
      <c r="DQ111" s="48" t="s">
        <v>58</v>
      </c>
      <c r="DR111" s="49">
        <v>99.76655720061612</v>
      </c>
      <c r="DS111" s="48"/>
      <c r="DT111" s="33"/>
    </row>
    <row r="112" spans="18:131" ht="15" x14ac:dyDescent="0.35">
      <c r="DQ112" s="48" t="s">
        <v>59</v>
      </c>
      <c r="DR112" s="49">
        <v>100.04280196173474</v>
      </c>
      <c r="DS112" s="48"/>
      <c r="DT112" s="33"/>
    </row>
    <row r="113" spans="1:124" ht="15" x14ac:dyDescent="0.35">
      <c r="DQ113" s="48" t="s">
        <v>60</v>
      </c>
      <c r="DR113" s="49">
        <v>99.911763852084249</v>
      </c>
      <c r="DS113" s="48"/>
      <c r="DT113" s="33"/>
    </row>
    <row r="114" spans="1:124" ht="15" x14ac:dyDescent="0.35">
      <c r="DQ114" s="48" t="s">
        <v>61</v>
      </c>
      <c r="DR114" s="49">
        <v>100.39026462014091</v>
      </c>
      <c r="DS114" s="48"/>
      <c r="DT114" s="33"/>
    </row>
    <row r="115" spans="1:124" ht="15" x14ac:dyDescent="0.35">
      <c r="DQ115" s="48" t="s">
        <v>84</v>
      </c>
      <c r="DR115" s="49">
        <v>100.25198249012915</v>
      </c>
      <c r="DS115" s="48"/>
      <c r="DT115" s="33"/>
    </row>
    <row r="116" spans="1:124" ht="15" x14ac:dyDescent="0.35">
      <c r="DQ116" s="48" t="s">
        <v>51</v>
      </c>
      <c r="DR116" s="49">
        <v>100.25305581995573</v>
      </c>
      <c r="DS116" s="48"/>
      <c r="DT116" s="33"/>
    </row>
    <row r="117" spans="1:124" ht="15" x14ac:dyDescent="0.35">
      <c r="DQ117" s="48" t="s">
        <v>52</v>
      </c>
      <c r="DR117" s="49">
        <v>99.134360875184882</v>
      </c>
      <c r="DS117" s="48"/>
      <c r="DT117" s="33"/>
    </row>
    <row r="118" spans="1:124" ht="15" x14ac:dyDescent="0.35">
      <c r="DQ118" s="48" t="s">
        <v>53</v>
      </c>
      <c r="DR118" s="49">
        <v>95.928851542873616</v>
      </c>
      <c r="DS118" s="48"/>
      <c r="DT118" s="33"/>
    </row>
    <row r="119" spans="1:124" ht="15" x14ac:dyDescent="0.35">
      <c r="DQ119" s="48" t="s">
        <v>54</v>
      </c>
      <c r="DR119" s="49">
        <v>95.980515573689644</v>
      </c>
      <c r="DS119" s="48"/>
      <c r="DT119" s="33"/>
    </row>
    <row r="120" spans="1:124" ht="18.75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Q120" s="48" t="s">
        <v>55</v>
      </c>
      <c r="DR120" s="49">
        <v>95.584066696262042</v>
      </c>
      <c r="DS120" s="48"/>
      <c r="DT120" s="33"/>
    </row>
    <row r="121" spans="1:124" ht="12.75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Q121" s="48" t="s">
        <v>56</v>
      </c>
      <c r="DR121" s="49">
        <v>98.274426578525649</v>
      </c>
      <c r="DS121" s="48"/>
      <c r="DT121" s="33"/>
    </row>
    <row r="122" spans="1:124" ht="15" x14ac:dyDescent="0.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Q122" s="48" t="s">
        <v>57</v>
      </c>
      <c r="DR122" s="49">
        <v>98.804137332519716</v>
      </c>
      <c r="DS122" s="48"/>
      <c r="DT122" s="33"/>
    </row>
    <row r="123" spans="1:124" ht="12.75" x14ac:dyDescent="0.2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Q123" s="48" t="s">
        <v>58</v>
      </c>
      <c r="DR123" s="49">
        <v>98.878005829685932</v>
      </c>
      <c r="DS123" s="48"/>
      <c r="DT123" s="33"/>
    </row>
    <row r="124" spans="1:124" x14ac:dyDescent="0.2">
      <c r="A124" s="35"/>
      <c r="B124" s="8"/>
      <c r="C124" s="88"/>
      <c r="D124" s="88"/>
      <c r="E124" s="8"/>
      <c r="F124" s="1"/>
      <c r="G124" s="1"/>
      <c r="H124" s="1"/>
      <c r="I124" s="1"/>
      <c r="J124" s="1"/>
      <c r="K124" s="1"/>
      <c r="L124" s="1"/>
      <c r="M124" s="1"/>
      <c r="R124" s="68"/>
      <c r="DQ124" s="48" t="s">
        <v>59</v>
      </c>
      <c r="DR124" s="49">
        <v>98.89643815543414</v>
      </c>
      <c r="DS124" s="48"/>
      <c r="DT124" s="33"/>
    </row>
    <row r="125" spans="1:124" ht="15" x14ac:dyDescent="0.2">
      <c r="A125" s="89"/>
      <c r="B125" s="14"/>
      <c r="C125" s="90"/>
      <c r="D125" s="90"/>
      <c r="E125" s="14"/>
      <c r="F125" s="14"/>
      <c r="G125" s="14"/>
      <c r="H125" s="91"/>
      <c r="I125" s="91"/>
      <c r="J125" s="91"/>
      <c r="K125" s="91"/>
      <c r="L125" s="91"/>
      <c r="M125" s="14"/>
      <c r="N125" s="57"/>
      <c r="R125" s="57"/>
      <c r="DQ125" s="48" t="s">
        <v>60</v>
      </c>
      <c r="DR125" s="49">
        <v>99.020036660051346</v>
      </c>
      <c r="DS125" s="48"/>
      <c r="DT125" s="33"/>
    </row>
    <row r="126" spans="1:124" ht="15" x14ac:dyDescent="0.35">
      <c r="A126" s="31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9"/>
      <c r="R126" s="74"/>
      <c r="DQ126" s="48" t="s">
        <v>61</v>
      </c>
      <c r="DR126" s="49">
        <v>99.053803617897771</v>
      </c>
      <c r="DS126" s="48"/>
      <c r="DT126" s="33"/>
    </row>
    <row r="127" spans="1:124" x14ac:dyDescent="0.2">
      <c r="A127" s="9"/>
      <c r="B127" s="92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4"/>
      <c r="O127" s="10"/>
      <c r="P127" s="10"/>
      <c r="Q127" s="10"/>
      <c r="R127" s="63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Q127" s="48" t="s">
        <v>91</v>
      </c>
      <c r="DR127" s="33">
        <v>99.302368031059999</v>
      </c>
      <c r="DS127" s="48"/>
      <c r="DT127" s="33"/>
    </row>
    <row r="128" spans="1:124" x14ac:dyDescent="0.2">
      <c r="A128" s="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R128" s="55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Q128" s="48" t="s">
        <v>51</v>
      </c>
      <c r="DR128" s="33">
        <v>99.251565467096</v>
      </c>
      <c r="DS128" s="48"/>
      <c r="DT128" s="33"/>
    </row>
    <row r="129" spans="1:124" x14ac:dyDescent="0.2">
      <c r="A129" s="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R129" s="55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Q129" s="48" t="s">
        <v>52</v>
      </c>
      <c r="DR129" s="33">
        <v>99.054735754289027</v>
      </c>
      <c r="DS129" s="48"/>
      <c r="DT129" s="33"/>
    </row>
    <row r="130" spans="1:124" x14ac:dyDescent="0.2">
      <c r="A130" s="4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R130" s="55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Q130" s="48" t="s">
        <v>53</v>
      </c>
      <c r="DR130" s="33">
        <v>99.138737098928999</v>
      </c>
      <c r="DS130" s="48"/>
      <c r="DT130" s="33"/>
    </row>
    <row r="131" spans="1:124" x14ac:dyDescent="0.2">
      <c r="A131" s="4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R131" s="55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Q131" s="48" t="s">
        <v>54</v>
      </c>
      <c r="DR131" s="33">
        <v>98.608293423219308</v>
      </c>
      <c r="DS131" s="48"/>
      <c r="DT131" s="33"/>
    </row>
    <row r="132" spans="1:124" x14ac:dyDescent="0.2">
      <c r="A132" s="4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R132" s="55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Q132" s="48" t="s">
        <v>55</v>
      </c>
      <c r="DR132" s="33">
        <v>96.472507095122438</v>
      </c>
      <c r="DS132" s="48"/>
      <c r="DT132" s="33"/>
    </row>
    <row r="133" spans="1:124" x14ac:dyDescent="0.2">
      <c r="A133" s="4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R133" s="55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Q133" s="48" t="s">
        <v>56</v>
      </c>
      <c r="DR133" s="33">
        <v>99.171226706114453</v>
      </c>
      <c r="DS133" s="48"/>
      <c r="DT133" s="33"/>
    </row>
    <row r="134" spans="1:124" x14ac:dyDescent="0.2">
      <c r="A134" s="4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R134" s="61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Q134" s="48" t="s">
        <v>57</v>
      </c>
      <c r="DR134" s="33">
        <v>99.248474026876806</v>
      </c>
      <c r="DS134" s="48"/>
      <c r="DT134" s="33"/>
    </row>
    <row r="135" spans="1:124" x14ac:dyDescent="0.2">
      <c r="A135" s="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R135" s="55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Q135" s="48" t="s">
        <v>58</v>
      </c>
      <c r="DR135" s="33">
        <v>98.954950898444437</v>
      </c>
      <c r="DS135" s="48"/>
      <c r="DT135" s="33"/>
    </row>
    <row r="136" spans="1:124" x14ac:dyDescent="0.2">
      <c r="A136" s="5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R136" s="55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Q136" s="48" t="s">
        <v>59</v>
      </c>
      <c r="DR136" s="33">
        <v>99.036527281604961</v>
      </c>
      <c r="DS136" s="48"/>
      <c r="DT136" s="33"/>
    </row>
    <row r="137" spans="1:124" x14ac:dyDescent="0.2">
      <c r="A137" s="5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R137" s="55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Q137" s="48" t="s">
        <v>60</v>
      </c>
      <c r="DR137" s="33">
        <v>99.15143257149299</v>
      </c>
      <c r="DS137" s="48"/>
      <c r="DT137" s="33"/>
    </row>
    <row r="138" spans="1:124" x14ac:dyDescent="0.2">
      <c r="A138" s="5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R138" s="55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Q138" s="48" t="s">
        <v>61</v>
      </c>
      <c r="DR138" s="33">
        <v>99.078353303157485</v>
      </c>
      <c r="DS138" s="48"/>
      <c r="DT138" s="33"/>
    </row>
    <row r="139" spans="1:124" x14ac:dyDescent="0.2">
      <c r="A139" s="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R139" s="56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S139" s="48"/>
      <c r="DT139" s="33"/>
    </row>
    <row r="140" spans="1:124" x14ac:dyDescent="0.2">
      <c r="A140" s="4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R140" s="56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S140" s="48"/>
      <c r="DT140" s="33"/>
    </row>
    <row r="141" spans="1:124" x14ac:dyDescent="0.2">
      <c r="A141" s="4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R141" s="56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S141" s="48"/>
      <c r="DT141" s="33"/>
    </row>
    <row r="142" spans="1:124" ht="17.25" x14ac:dyDescent="0.2">
      <c r="A142" s="4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R142" s="5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S142" s="48"/>
      <c r="DT142" s="33"/>
    </row>
    <row r="143" spans="1:124" x14ac:dyDescent="0.2">
      <c r="A143" s="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R143" s="56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S143" s="48"/>
      <c r="DT143" s="33"/>
    </row>
    <row r="144" spans="1:124" x14ac:dyDescent="0.2">
      <c r="A144" s="6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14"/>
      <c r="P144" s="14"/>
      <c r="Q144" s="14"/>
      <c r="R144" s="57"/>
      <c r="S144" s="33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S144" s="48"/>
      <c r="DT144" s="33"/>
    </row>
    <row r="145" spans="1:124" x14ac:dyDescent="0.2">
      <c r="A145" s="6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14"/>
      <c r="P145" s="14"/>
      <c r="Q145" s="14"/>
      <c r="R145" s="62"/>
      <c r="S145" s="33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S145" s="48"/>
      <c r="DT145" s="33"/>
    </row>
    <row r="146" spans="1:124" x14ac:dyDescent="0.35"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DS146" s="48"/>
      <c r="DT146" s="33"/>
    </row>
    <row r="147" spans="1:124" ht="15" x14ac:dyDescent="0.35">
      <c r="A147" s="35"/>
      <c r="B147" s="78"/>
      <c r="C147" s="78"/>
      <c r="D147" s="78"/>
      <c r="E147" s="78"/>
      <c r="F147" s="78"/>
      <c r="G147" s="78"/>
      <c r="H147" s="78"/>
      <c r="I147" s="50"/>
      <c r="J147" s="50"/>
      <c r="K147" s="50"/>
      <c r="L147" s="50"/>
      <c r="M147" s="36"/>
      <c r="N147" s="50"/>
      <c r="DS147" s="48"/>
      <c r="DT147" s="33"/>
    </row>
    <row r="148" spans="1:124" ht="15" x14ac:dyDescent="0.2">
      <c r="A148" s="89"/>
      <c r="B148" s="14"/>
      <c r="C148" s="90"/>
      <c r="D148" s="90"/>
      <c r="E148" s="14"/>
      <c r="F148" s="14"/>
      <c r="G148" s="14"/>
      <c r="H148" s="91"/>
      <c r="I148" s="91"/>
      <c r="J148" s="91"/>
      <c r="K148" s="91"/>
      <c r="L148" s="91"/>
      <c r="M148" s="14"/>
      <c r="N148" s="57"/>
      <c r="R148" s="57"/>
      <c r="DS148" s="48"/>
      <c r="DT148" s="33"/>
    </row>
    <row r="149" spans="1:124" x14ac:dyDescent="0.35">
      <c r="A149" s="31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80"/>
      <c r="R149" s="74"/>
      <c r="DS149" s="48"/>
      <c r="DT149" s="33"/>
    </row>
    <row r="150" spans="1:124" x14ac:dyDescent="0.35">
      <c r="A150" s="31"/>
      <c r="B150" s="92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4"/>
      <c r="DS150" s="48"/>
      <c r="DT150" s="33"/>
    </row>
    <row r="151" spans="1:124" x14ac:dyDescent="0.2">
      <c r="A151" s="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R151" s="55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S151" s="48"/>
      <c r="DT151" s="42"/>
    </row>
    <row r="152" spans="1:124" x14ac:dyDescent="0.2">
      <c r="A152" s="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R152" s="55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S152" s="48"/>
      <c r="DT152" s="42"/>
    </row>
    <row r="153" spans="1:124" x14ac:dyDescent="0.2">
      <c r="A153" s="4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R153" s="55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S153" s="48"/>
      <c r="DT153" s="42"/>
    </row>
    <row r="154" spans="1:124" x14ac:dyDescent="0.2">
      <c r="A154" s="4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R154" s="55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S154" s="48"/>
      <c r="DT154" s="42"/>
    </row>
    <row r="155" spans="1:124" x14ac:dyDescent="0.2">
      <c r="A155" s="4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R155" s="55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S155" s="48"/>
      <c r="DT155" s="42"/>
    </row>
    <row r="156" spans="1:124" x14ac:dyDescent="0.2">
      <c r="A156" s="4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R156" s="55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S156" s="48"/>
      <c r="DT156" s="42"/>
    </row>
    <row r="157" spans="1:124" x14ac:dyDescent="0.2">
      <c r="A157" s="4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R157" s="61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S157" s="48"/>
      <c r="DT157" s="42"/>
    </row>
    <row r="158" spans="1:124" x14ac:dyDescent="0.2">
      <c r="A158" s="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R158" s="55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S158" s="48"/>
      <c r="DT158" s="42"/>
    </row>
    <row r="159" spans="1:124" x14ac:dyDescent="0.2">
      <c r="A159" s="5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R159" s="55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S159" s="48"/>
      <c r="DT159" s="42"/>
    </row>
    <row r="160" spans="1:124" x14ac:dyDescent="0.2">
      <c r="A160" s="5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R160" s="55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S160" s="48"/>
      <c r="DT160" s="42"/>
    </row>
    <row r="161" spans="1:124" x14ac:dyDescent="0.2">
      <c r="A161" s="5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R161" s="55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S161" s="48"/>
      <c r="DT161" s="42"/>
    </row>
    <row r="162" spans="1:124" x14ac:dyDescent="0.2">
      <c r="A162" s="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R162" s="56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S162" s="48"/>
      <c r="DT162" s="42"/>
    </row>
    <row r="163" spans="1:124" x14ac:dyDescent="0.2">
      <c r="A163" s="4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R163" s="56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S163" s="48"/>
      <c r="DT163" s="33"/>
    </row>
    <row r="164" spans="1:124" x14ac:dyDescent="0.2">
      <c r="A164" s="4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R164" s="56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S164" s="48"/>
      <c r="DT164" s="11"/>
    </row>
    <row r="165" spans="1:124" ht="17.25" x14ac:dyDescent="0.2">
      <c r="A165" s="4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R165" s="5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S165" s="48"/>
      <c r="DT165" s="11"/>
    </row>
    <row r="166" spans="1:124" x14ac:dyDescent="0.2">
      <c r="A166" s="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R166" s="56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S166" s="48"/>
      <c r="DT166" s="33"/>
    </row>
    <row r="167" spans="1:124" x14ac:dyDescent="0.2">
      <c r="A167" s="6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R167" s="57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S167" s="48"/>
      <c r="DT167" s="33"/>
    </row>
    <row r="168" spans="1:124" x14ac:dyDescent="0.2">
      <c r="A168" s="6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R168" s="62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S168" s="48"/>
      <c r="DT168" s="33"/>
    </row>
    <row r="169" spans="1:124" x14ac:dyDescent="0.35"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DS169" s="48"/>
      <c r="DT169" s="33"/>
    </row>
    <row r="170" spans="1:124" ht="15" x14ac:dyDescent="0.35">
      <c r="A170" s="35"/>
      <c r="B170" s="78"/>
      <c r="C170" s="78"/>
      <c r="D170" s="78"/>
      <c r="E170" s="78"/>
      <c r="F170" s="78"/>
      <c r="G170" s="78"/>
      <c r="H170" s="78"/>
      <c r="I170" s="50"/>
      <c r="J170" s="50"/>
      <c r="K170" s="50"/>
      <c r="L170" s="50"/>
      <c r="M170" s="36"/>
      <c r="N170" s="50"/>
      <c r="DS170" s="48"/>
      <c r="DT170" s="33"/>
    </row>
    <row r="171" spans="1:124" ht="15" x14ac:dyDescent="0.2">
      <c r="A171" s="31"/>
      <c r="B171" s="14"/>
      <c r="C171" s="90"/>
      <c r="D171" s="90"/>
      <c r="E171" s="14"/>
      <c r="F171" s="14"/>
      <c r="G171" s="14"/>
      <c r="H171" s="91"/>
      <c r="I171" s="91"/>
      <c r="J171" s="91"/>
      <c r="K171" s="91"/>
      <c r="L171" s="91"/>
      <c r="M171" s="14"/>
      <c r="N171" s="57"/>
      <c r="R171" s="57"/>
      <c r="DS171" s="48"/>
      <c r="DT171" s="33"/>
    </row>
    <row r="172" spans="1:124" x14ac:dyDescent="0.2">
      <c r="A172" s="31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80"/>
      <c r="R172" s="57"/>
      <c r="DS172" s="48"/>
      <c r="DT172" s="33"/>
    </row>
    <row r="173" spans="1:124" x14ac:dyDescent="0.35">
      <c r="B173" s="92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4"/>
      <c r="DS173" s="48"/>
      <c r="DT173" s="33"/>
    </row>
    <row r="174" spans="1:124" x14ac:dyDescent="0.2">
      <c r="A174" s="3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R174" s="55"/>
      <c r="DS174" s="48"/>
      <c r="DT174" s="33"/>
    </row>
    <row r="175" spans="1:124" x14ac:dyDescent="0.2">
      <c r="A175" s="3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R175" s="55"/>
      <c r="DS175" s="48"/>
      <c r="DT175" s="49"/>
    </row>
    <row r="176" spans="1:124" x14ac:dyDescent="0.2">
      <c r="A176" s="4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R176" s="55"/>
      <c r="DS176" s="48"/>
      <c r="DT176" s="49"/>
    </row>
    <row r="177" spans="1:124" x14ac:dyDescent="0.2">
      <c r="A177" s="4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R177" s="55"/>
      <c r="DS177" s="48"/>
      <c r="DT177" s="49"/>
    </row>
    <row r="178" spans="1:124" x14ac:dyDescent="0.2">
      <c r="A178" s="4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R178" s="55"/>
      <c r="DS178" s="48"/>
      <c r="DT178" s="49"/>
    </row>
    <row r="179" spans="1:124" x14ac:dyDescent="0.2">
      <c r="A179" s="4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R179" s="55"/>
      <c r="DS179" s="48"/>
      <c r="DT179" s="49"/>
    </row>
    <row r="180" spans="1:124" x14ac:dyDescent="0.2">
      <c r="A180" s="4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R180" s="61"/>
      <c r="DS180" s="48"/>
      <c r="DT180" s="49"/>
    </row>
    <row r="181" spans="1:124" x14ac:dyDescent="0.2">
      <c r="A181" s="3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R181" s="55"/>
      <c r="DS181" s="48"/>
      <c r="DT181" s="49"/>
    </row>
    <row r="182" spans="1:124" x14ac:dyDescent="0.2">
      <c r="A182" s="5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R182" s="55"/>
      <c r="DS182" s="48"/>
      <c r="DT182" s="49"/>
    </row>
    <row r="183" spans="1:124" x14ac:dyDescent="0.2">
      <c r="A183" s="5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R183" s="55"/>
      <c r="DS183" s="48"/>
      <c r="DT183" s="49"/>
    </row>
    <row r="184" spans="1:124" x14ac:dyDescent="0.2">
      <c r="A184" s="5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R184" s="55"/>
      <c r="DS184" s="48"/>
      <c r="DT184" s="49"/>
    </row>
    <row r="185" spans="1:124" x14ac:dyDescent="0.2">
      <c r="A185" s="3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R185" s="56"/>
      <c r="DS185" s="48"/>
      <c r="DT185" s="49"/>
    </row>
    <row r="186" spans="1:124" x14ac:dyDescent="0.2">
      <c r="A186" s="4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R186" s="56"/>
      <c r="DS186" s="48"/>
      <c r="DT186" s="49"/>
    </row>
    <row r="187" spans="1:124" x14ac:dyDescent="0.2">
      <c r="A187" s="4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1"/>
      <c r="P187" s="1"/>
      <c r="Q187" s="1"/>
      <c r="R187" s="56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S187" s="48"/>
      <c r="DT187" s="49"/>
    </row>
    <row r="188" spans="1:124" ht="17.25" x14ac:dyDescent="0.2">
      <c r="A188" s="4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1"/>
      <c r="P188" s="1"/>
      <c r="Q188" s="1"/>
      <c r="R188" s="53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S188" s="48"/>
      <c r="DT188" s="49"/>
    </row>
    <row r="189" spans="1:124" x14ac:dyDescent="0.2">
      <c r="A189" s="3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1"/>
      <c r="P189" s="1"/>
      <c r="Q189" s="1"/>
      <c r="R189" s="56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S189" s="48"/>
      <c r="DT189" s="49"/>
    </row>
    <row r="190" spans="1:124" x14ac:dyDescent="0.2">
      <c r="A190" s="6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R190" s="57"/>
      <c r="DS190" s="48"/>
      <c r="DT190" s="49"/>
    </row>
    <row r="191" spans="1:124" x14ac:dyDescent="0.2">
      <c r="A191" s="6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R191" s="62"/>
      <c r="DS191" s="48"/>
      <c r="DT191" s="49"/>
    </row>
    <row r="192" spans="1:124" ht="17.25" x14ac:dyDescent="0.2">
      <c r="A192" s="5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R192" s="53"/>
      <c r="DS192" s="48"/>
      <c r="DT192" s="49"/>
    </row>
    <row r="193" spans="123:124" ht="15" x14ac:dyDescent="0.35">
      <c r="DS193" s="48"/>
      <c r="DT193" s="49"/>
    </row>
    <row r="194" spans="123:124" ht="15" x14ac:dyDescent="0.35">
      <c r="DS194" s="48"/>
      <c r="DT194" s="49"/>
    </row>
    <row r="195" spans="123:124" ht="15" x14ac:dyDescent="0.35">
      <c r="DS195" s="48"/>
      <c r="DT195" s="49"/>
    </row>
    <row r="196" spans="123:124" ht="15" x14ac:dyDescent="0.35">
      <c r="DS196" s="48"/>
      <c r="DT196" s="49"/>
    </row>
    <row r="197" spans="123:124" ht="15" x14ac:dyDescent="0.35">
      <c r="DS197" s="48"/>
      <c r="DT197" s="49"/>
    </row>
    <row r="198" spans="123:124" ht="15" x14ac:dyDescent="0.35">
      <c r="DS198" s="48"/>
      <c r="DT198" s="49"/>
    </row>
    <row r="199" spans="123:124" ht="15" x14ac:dyDescent="0.35">
      <c r="DS199" s="48"/>
      <c r="DT199" s="87"/>
    </row>
    <row r="200" spans="123:124" ht="15" x14ac:dyDescent="0.35">
      <c r="DS200" s="48"/>
      <c r="DT200" s="87"/>
    </row>
    <row r="201" spans="123:124" ht="15" x14ac:dyDescent="0.35">
      <c r="DS201" s="48"/>
      <c r="DT201" s="87"/>
    </row>
    <row r="202" spans="123:124" ht="15" x14ac:dyDescent="0.35">
      <c r="DS202" s="48"/>
      <c r="DT202" s="87"/>
    </row>
    <row r="203" spans="123:124" ht="15" x14ac:dyDescent="0.35">
      <c r="DS203" s="48"/>
      <c r="DT203" s="87"/>
    </row>
    <row r="204" spans="123:124" ht="15" x14ac:dyDescent="0.35">
      <c r="DS204" s="48"/>
      <c r="DT204" s="87"/>
    </row>
    <row r="205" spans="123:124" ht="15" x14ac:dyDescent="0.35">
      <c r="DS205" s="48"/>
      <c r="DT205" s="87"/>
    </row>
    <row r="206" spans="123:124" ht="15" x14ac:dyDescent="0.35">
      <c r="DS206" s="48"/>
      <c r="DT206" s="87"/>
    </row>
    <row r="207" spans="123:124" ht="15" x14ac:dyDescent="0.35">
      <c r="DS207" s="48"/>
      <c r="DT207" s="87"/>
    </row>
    <row r="208" spans="123:124" ht="15" x14ac:dyDescent="0.35">
      <c r="DS208" s="48"/>
      <c r="DT208" s="87"/>
    </row>
    <row r="209" spans="123:124" ht="15" x14ac:dyDescent="0.35">
      <c r="DS209" s="48"/>
      <c r="DT209" s="87"/>
    </row>
    <row r="210" spans="123:124" ht="15" x14ac:dyDescent="0.35">
      <c r="DS210" s="48"/>
      <c r="DT210" s="87"/>
    </row>
    <row r="211" spans="123:124" ht="15" x14ac:dyDescent="0.35">
      <c r="DS211" s="48"/>
      <c r="DT211" s="49"/>
    </row>
    <row r="212" spans="123:124" ht="15" x14ac:dyDescent="0.35">
      <c r="DS212" s="48"/>
      <c r="DT212" s="49"/>
    </row>
    <row r="213" spans="123:124" ht="15" x14ac:dyDescent="0.35">
      <c r="DS213" s="48"/>
      <c r="DT213" s="49"/>
    </row>
    <row r="214" spans="123:124" ht="15" x14ac:dyDescent="0.35">
      <c r="DS214" s="48"/>
      <c r="DT214" s="49"/>
    </row>
    <row r="215" spans="123:124" ht="15" x14ac:dyDescent="0.35">
      <c r="DS215" s="48"/>
      <c r="DT215" s="49"/>
    </row>
    <row r="216" spans="123:124" ht="15" x14ac:dyDescent="0.35">
      <c r="DS216" s="48"/>
      <c r="DT216" s="49"/>
    </row>
    <row r="217" spans="123:124" ht="15" x14ac:dyDescent="0.35">
      <c r="DS217" s="48"/>
      <c r="DT217" s="49"/>
    </row>
    <row r="218" spans="123:124" ht="15" x14ac:dyDescent="0.35">
      <c r="DS218" s="48"/>
      <c r="DT218" s="49"/>
    </row>
    <row r="219" spans="123:124" ht="15" x14ac:dyDescent="0.35">
      <c r="DS219" s="48"/>
      <c r="DT219" s="49"/>
    </row>
    <row r="220" spans="123:124" ht="15" x14ac:dyDescent="0.35">
      <c r="DS220" s="48"/>
      <c r="DT220" s="49"/>
    </row>
    <row r="221" spans="123:124" ht="15" x14ac:dyDescent="0.35">
      <c r="DS221" s="48"/>
      <c r="DT221" s="49"/>
    </row>
    <row r="222" spans="123:124" ht="15" x14ac:dyDescent="0.35">
      <c r="DS222" s="48"/>
      <c r="DT222" s="49"/>
    </row>
    <row r="223" spans="123:124" ht="15" x14ac:dyDescent="0.35">
      <c r="DS223" s="48"/>
      <c r="DT223" s="49"/>
    </row>
    <row r="224" spans="123:124" ht="15" x14ac:dyDescent="0.35">
      <c r="DS224" s="48"/>
      <c r="DT224" s="49"/>
    </row>
    <row r="225" spans="123:124" ht="15" x14ac:dyDescent="0.35">
      <c r="DS225" s="48"/>
      <c r="DT225" s="49"/>
    </row>
    <row r="226" spans="123:124" ht="15" x14ac:dyDescent="0.35">
      <c r="DS226" s="48"/>
      <c r="DT226" s="49"/>
    </row>
    <row r="227" spans="123:124" ht="15" x14ac:dyDescent="0.35">
      <c r="DS227" s="48"/>
      <c r="DT227" s="49"/>
    </row>
    <row r="228" spans="123:124" ht="15" x14ac:dyDescent="0.35">
      <c r="DS228" s="48"/>
      <c r="DT228" s="49"/>
    </row>
    <row r="229" spans="123:124" ht="15" x14ac:dyDescent="0.35">
      <c r="DS229" s="48"/>
      <c r="DT229" s="49"/>
    </row>
    <row r="230" spans="123:124" ht="15" x14ac:dyDescent="0.35">
      <c r="DS230" s="48"/>
      <c r="DT230" s="49"/>
    </row>
    <row r="231" spans="123:124" ht="15" x14ac:dyDescent="0.35">
      <c r="DS231" s="48"/>
      <c r="DT231" s="49"/>
    </row>
    <row r="232" spans="123:124" ht="15" x14ac:dyDescent="0.35">
      <c r="DS232" s="48"/>
      <c r="DT232" s="49"/>
    </row>
    <row r="233" spans="123:124" ht="15" x14ac:dyDescent="0.35">
      <c r="DS233" s="48"/>
      <c r="DT233" s="49"/>
    </row>
    <row r="234" spans="123:124" ht="15" x14ac:dyDescent="0.35">
      <c r="DS234" s="48"/>
      <c r="DT234" s="49"/>
    </row>
  </sheetData>
  <mergeCells count="8">
    <mergeCell ref="A121:R121"/>
    <mergeCell ref="A122:R122"/>
    <mergeCell ref="A123:R123"/>
    <mergeCell ref="A1:R1"/>
    <mergeCell ref="A2:R2"/>
    <mergeCell ref="A3:R3"/>
    <mergeCell ref="A4:R4"/>
    <mergeCell ref="A120:R120"/>
  </mergeCells>
  <pageMargins left="0.7" right="0.7" top="0.75" bottom="0.75" header="0.3" footer="0.3"/>
  <pageSetup paperSize="9" scale="35" orientation="portrait" r:id="rId1"/>
  <rowBreaks count="1" manualBreakCount="1">
    <brk id="113" max="16383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2023-01-29T09:40:29Z</cp:lastPrinted>
  <dcterms:created xsi:type="dcterms:W3CDTF">2019-03-21T03:27:43Z</dcterms:created>
  <dcterms:modified xsi:type="dcterms:W3CDTF">2023-01-29T09:40:50Z</dcterms:modified>
</cp:coreProperties>
</file>