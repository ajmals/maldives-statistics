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rices\"/>
    </mc:Choice>
  </mc:AlternateContent>
  <xr:revisionPtr revIDLastSave="0" documentId="13_ncr:1_{7F2D7671-8DB6-4DC9-AE28-0DC4253F9A48}" xr6:coauthVersionLast="47" xr6:coauthVersionMax="47" xr10:uidLastSave="{00000000-0000-0000-0000-000000000000}"/>
  <bookViews>
    <workbookView xWindow="-120" yWindow="-120" windowWidth="29040" windowHeight="15840" tabRatio="466" xr2:uid="{00000000-000D-0000-FFFF-FFFF00000000}"/>
  </bookViews>
  <sheets>
    <sheet name="17.5" sheetId="5" r:id="rId1"/>
  </sheets>
  <externalReferences>
    <externalReference r:id="rId2"/>
    <externalReference r:id="rId3"/>
  </externalReferences>
  <definedNames>
    <definedName name="_xlnm.Print_Area" localSheetId="0">'17.5'!$A$1:$AG$95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1" i="5" l="1"/>
  <c r="BP10" i="5"/>
  <c r="BE32" i="5"/>
  <c r="BD32" i="5"/>
  <c r="AE24" i="5"/>
  <c r="AE14" i="5" l="1"/>
  <c r="AE9" i="5"/>
  <c r="AE25" i="5"/>
  <c r="BN11" i="5" l="1"/>
  <c r="BN10" i="5"/>
  <c r="BM10" i="5"/>
  <c r="BE30" i="5"/>
  <c r="BE29" i="5"/>
  <c r="BE28" i="5"/>
  <c r="BE27" i="5"/>
  <c r="BE26" i="5"/>
  <c r="BE25" i="5"/>
  <c r="BD30" i="5"/>
  <c r="BD29" i="5"/>
  <c r="BD28" i="5"/>
  <c r="BD27" i="5"/>
  <c r="BD26" i="5"/>
  <c r="BD25" i="5"/>
  <c r="M47" i="5"/>
  <c r="BK11" i="5" s="1"/>
  <c r="M46" i="5"/>
  <c r="M45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P47" i="5"/>
  <c r="P25" i="5"/>
  <c r="B46" i="5"/>
  <c r="B47" i="5" s="1"/>
  <c r="B31" i="5"/>
  <c r="BE24" i="5"/>
  <c r="BD24" i="5"/>
  <c r="BK10" i="5"/>
  <c r="B24" i="5"/>
  <c r="B25" i="5" s="1"/>
  <c r="BE23" i="5"/>
  <c r="BD23" i="5"/>
  <c r="BE21" i="5"/>
  <c r="BD21" i="5"/>
  <c r="BE20" i="5"/>
  <c r="BD20" i="5"/>
  <c r="BE19" i="5"/>
  <c r="BD19" i="5"/>
  <c r="BE18" i="5"/>
  <c r="BD18" i="5"/>
  <c r="BE17" i="5"/>
  <c r="BD17" i="5"/>
  <c r="BM11" i="5"/>
  <c r="BL11" i="5"/>
  <c r="BJ11" i="5"/>
  <c r="BI11" i="5"/>
  <c r="BH11" i="5"/>
  <c r="BG11" i="5"/>
  <c r="BF11" i="5"/>
  <c r="BE11" i="5"/>
  <c r="BD11" i="5"/>
  <c r="BL10" i="5"/>
  <c r="BJ10" i="5"/>
  <c r="BI10" i="5"/>
  <c r="BH10" i="5"/>
  <c r="BG10" i="5"/>
  <c r="BF10" i="5"/>
  <c r="BE10" i="5"/>
  <c r="BD10" i="5"/>
  <c r="B9" i="5"/>
  <c r="AE8" i="5" l="1"/>
  <c r="AE19" i="5" l="1"/>
  <c r="AE17" i="5"/>
  <c r="AE12" i="5"/>
  <c r="AE11" i="5"/>
  <c r="AE23" i="5"/>
  <c r="AE16" i="5"/>
  <c r="AE13" i="5"/>
  <c r="AE18" i="5"/>
  <c r="AE22" i="5"/>
  <c r="AE21" i="5"/>
  <c r="AE20" i="5"/>
  <c r="AE10" i="5"/>
  <c r="AE15" i="5" l="1"/>
  <c r="Q10" i="5"/>
</calcChain>
</file>

<file path=xl/sharedStrings.xml><?xml version="1.0" encoding="utf-8"?>
<sst xmlns="http://schemas.openxmlformats.org/spreadsheetml/2006/main" count="195" uniqueCount="80">
  <si>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</si>
  <si>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</si>
  <si>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</si>
  <si>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</si>
  <si>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</si>
  <si>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Major Groups - Republic</t>
  </si>
  <si>
    <t xml:space="preserve">iawa.Ip.Is 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</si>
  <si>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</si>
  <si>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</si>
  <si>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</si>
  <si>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</si>
  <si>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</si>
  <si>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</si>
  <si>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</si>
  <si>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</si>
  <si>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</si>
  <si>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</si>
  <si>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</si>
  <si>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</si>
  <si>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</si>
  <si>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</si>
  <si>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</si>
  <si>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</si>
  <si>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</si>
  <si>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</si>
  <si>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</si>
  <si>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</si>
  <si>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</si>
  <si>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</si>
  <si>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</si>
  <si>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</si>
  <si>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</si>
  <si>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</si>
  <si>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</si>
  <si>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</si>
  <si>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</si>
  <si>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</si>
  <si>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</si>
  <si>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</si>
  <si>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</si>
  <si>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</si>
  <si>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</si>
  <si>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 xml:space="preserve">Tobacco </t>
  </si>
  <si>
    <t>ކުރީ އަހަރަށްވުރެ އިތުރުވި މިންވަރު، %</t>
  </si>
  <si>
    <t>Percentage change over previous year</t>
  </si>
  <si>
    <t>Base weights</t>
  </si>
  <si>
    <t>cawtctwvWb egumufud egWtwfcnud</t>
  </si>
  <si>
    <t xml:space="preserve">                                    ilukegEg</t>
  </si>
  <si>
    <t>Including fish</t>
  </si>
  <si>
    <t>Excluding fish</t>
  </si>
  <si>
    <t xml:space="preserve"> cSwCcaekwt   WviawfWLwawDnwk  cnwdurwb</t>
  </si>
  <si>
    <t>Major Groups - Male'</t>
  </si>
  <si>
    <t xml:space="preserve"> cSwa elWm - cawtiawb uDnwgiawm</t>
  </si>
  <si>
    <t>Note: The series for the Republic prior to June 2012 is linked to previously published series for Male'. Hence, CPI for Male' and Republic prior to June 2012 is the same.</t>
  </si>
  <si>
    <t>Major Groups - Atolls</t>
  </si>
  <si>
    <t xml:space="preserve"> cSwkwtuLotwa - cawtiawb uDnwgiawm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</si>
  <si>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</si>
  <si>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</si>
  <si>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</si>
  <si>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</si>
  <si>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</si>
  <si>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</si>
  <si>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</si>
  <si>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</si>
  <si>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</si>
  <si>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</si>
  <si>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</si>
  <si>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</si>
  <si>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</si>
  <si>
    <t xml:space="preserve"> cSwCcaekwt  WviawfWLwawDnwk  cnwdurub</t>
  </si>
  <si>
    <t>2019*</t>
  </si>
  <si>
    <t xml:space="preserve"> cSwCcaekwt  WviawfWLwawDnwk  cnwdurwb</t>
  </si>
  <si>
    <t>Total national inflation rates 2007-2019</t>
  </si>
  <si>
    <t>Total inflation rates 2009-2019</t>
  </si>
  <si>
    <t>Consumer Price Index</t>
  </si>
  <si>
    <t>In 2019, base of index: Aug 2019=100, COICOP 2018 has been adopted in the rebased series</t>
  </si>
  <si>
    <t>2019 (Male')  Fish index figure revised</t>
  </si>
  <si>
    <t>Table 17.5 :  CONSUMER PRICE INDEX, 2010 - 2021</t>
  </si>
  <si>
    <t>2021 - 2010 ,uDnwgcnim egugwa egurWzWb : 17.5 ulwvWt</t>
  </si>
  <si>
    <r>
      <t xml:space="preserve">(cnegiawlwbcSwa 100 IkwDnwgcnim eg </t>
    </r>
    <r>
      <rPr>
        <b/>
        <sz val="10"/>
        <rFont val="Faruma"/>
      </rPr>
      <t>އޮގަސްޓް 2019</t>
    </r>
    <r>
      <rPr>
        <b/>
        <sz val="10"/>
        <rFont val="A_Faseyha"/>
      </rPr>
      <t xml:space="preserve">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</si>
</sst>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.0_);_(* \(#,##0.0\);_(* &quot;-&quot;??_);_(@_)"/>
    <numFmt numFmtId="169" formatCode="0.00_);[Red]\(0.00\)"/>
    <numFmt numFmtId="172" formatCode="0.00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Arial"/>
      <family val="2"/>
    </font>
    <font>
      <i/>
      <sz val="10"/>
      <name val="Calibri"/>
      <family val="2"/>
      <scheme val="minor"/>
    </font>
    <font>
      <u/>
      <sz val="10"/>
      <color indexed="12"/>
      <name val="Courier"/>
      <family val="3"/>
    </font>
    <font>
      <u/>
      <sz val="10"/>
      <name val="Courier"/>
      <family val="3"/>
    </font>
    <font>
      <i/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b/>
      <sz val="12"/>
      <name val="A_Faseyha"/>
    </font>
    <font>
      <sz val="10"/>
      <name val="A_Faseyha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dotted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 style="dotted">
        <color auto="1"/>
      </bottom>
      <diagonal/>
    </border>
  </borders>
  <cellStyleXfs count="23">
    <xf numFmtId="0" fontId="0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0" fontId="5" fillId="0" borderId="0"/>
    <xf numFmtId="0" fontId="20" fillId="0" borderId="0" applyNumberFormat="0" applyFill="0" applyBorder="0" applyAlignment="0" applyProtection="0">
      <alignment vertical="top"/>
      <protection locked="0"/>
    </xf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24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25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</cellStyleXfs>
  <cellXfs count="134">
    <xf numFmtId="0" fontId="0" fillId="0" borderId="0" xfId="0"/>
    <xf numFmtId="0" fontId="0" fillId="2" borderId="0" xfId="0" applyFill="1"/>
    <xf numFmtId="165" fontId="3" fillId="2" borderId="0" xfId="1" applyFont="1" applyFill="1" applyAlignment="1">
      <alignment vertical="center"/>
    </xf>
    <xf numFmtId="0" fontId="5" fillId="2" borderId="0" xfId="2" applyFill="1"/>
    <xf numFmtId="165" fontId="12" fillId="2" borderId="0" xfId="4" applyFont="1" applyFill="1" applyAlignment="1">
      <alignment vertical="center" wrapText="1"/>
    </xf>
    <xf numFmtId="166" fontId="12" fillId="2" borderId="0" xfId="5" applyNumberFormat="1" applyFont="1" applyFill="1" applyAlignment="1">
      <alignment horizontal="right" vertical="center"/>
    </xf>
    <xf numFmtId="166" fontId="12" fillId="2" borderId="0" xfId="2" applyNumberFormat="1" applyFont="1" applyFill="1" applyAlignment="1">
      <alignment horizontal="right" vertical="center"/>
    </xf>
    <xf numFmtId="166" fontId="12" fillId="2" borderId="0" xfId="4" applyNumberFormat="1" applyFont="1" applyFill="1" applyAlignment="1">
      <alignment horizontal="right" vertical="center"/>
    </xf>
    <xf numFmtId="0" fontId="5" fillId="2" borderId="0" xfId="2" applyFill="1" applyAlignment="1">
      <alignment vertical="center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6" fontId="11" fillId="2" borderId="0" xfId="5" applyNumberFormat="1" applyFont="1" applyFill="1" applyAlignment="1">
      <alignment horizontal="right" vertical="center"/>
    </xf>
    <xf numFmtId="166" fontId="11" fillId="2" borderId="0" xfId="2" applyNumberFormat="1" applyFont="1" applyFill="1" applyAlignment="1">
      <alignment horizontal="right" vertical="center"/>
    </xf>
    <xf numFmtId="166" fontId="11" fillId="2" borderId="0" xfId="4" applyNumberFormat="1" applyFont="1" applyFill="1" applyAlignment="1">
      <alignment horizontal="right" vertical="center"/>
    </xf>
    <xf numFmtId="0" fontId="13" fillId="2" borderId="0" xfId="2" applyFont="1" applyFill="1" applyAlignment="1">
      <alignment vertical="center"/>
    </xf>
    <xf numFmtId="166" fontId="11" fillId="2" borderId="1" xfId="4" applyNumberFormat="1" applyFont="1" applyFill="1" applyBorder="1" applyAlignment="1">
      <alignment horizontal="right" vertical="center"/>
    </xf>
    <xf numFmtId="165" fontId="11" fillId="2" borderId="1" xfId="4" applyFont="1" applyFill="1" applyBorder="1" applyAlignment="1">
      <alignment vertical="center"/>
    </xf>
    <xf numFmtId="0" fontId="16" fillId="2" borderId="2" xfId="2" applyFont="1" applyFill="1" applyBorder="1" applyAlignment="1">
      <alignment horizontal="left"/>
    </xf>
    <xf numFmtId="0" fontId="11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65" fontId="13" fillId="2" borderId="0" xfId="1" applyFont="1" applyFill="1" applyAlignment="1">
      <alignment vertical="center"/>
    </xf>
    <xf numFmtId="0" fontId="6" fillId="2" borderId="5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right" vertical="center"/>
    </xf>
    <xf numFmtId="166" fontId="12" fillId="2" borderId="0" xfId="5" applyNumberFormat="1" applyFont="1" applyFill="1" applyAlignment="1">
      <alignment horizontal="center" vertical="center"/>
    </xf>
    <xf numFmtId="166" fontId="12" fillId="2" borderId="2" xfId="2" applyNumberFormat="1" applyFont="1" applyFill="1" applyBorder="1" applyAlignment="1">
      <alignment horizontal="right" vertical="center"/>
    </xf>
    <xf numFmtId="166" fontId="5" fillId="2" borderId="0" xfId="2" applyNumberFormat="1" applyFill="1" applyAlignment="1">
      <alignment vertical="center"/>
    </xf>
    <xf numFmtId="168" fontId="5" fillId="2" borderId="0" xfId="2" applyNumberFormat="1" applyFill="1" applyAlignment="1">
      <alignment vertical="center"/>
    </xf>
    <xf numFmtId="166" fontId="11" fillId="2" borderId="0" xfId="4" applyNumberFormat="1" applyFont="1" applyFill="1" applyAlignment="1">
      <alignment horizontal="center" vertical="center"/>
    </xf>
    <xf numFmtId="166" fontId="13" fillId="2" borderId="0" xfId="2" applyNumberFormat="1" applyFont="1" applyFill="1" applyAlignment="1">
      <alignment vertical="center"/>
    </xf>
    <xf numFmtId="166" fontId="11" fillId="2" borderId="1" xfId="4" applyNumberFormat="1" applyFont="1" applyFill="1" applyBorder="1" applyAlignment="1">
      <alignment horizontal="center" vertical="center"/>
    </xf>
    <xf numFmtId="3" fontId="12" fillId="2" borderId="0" xfId="6" applyNumberFormat="1" applyFont="1" applyFill="1" applyAlignment="1">
      <alignment horizontal="left" vertical="center"/>
    </xf>
    <xf numFmtId="3" fontId="18" fillId="2" borderId="0" xfId="6" applyNumberFormat="1" applyFont="1" applyFill="1" applyAlignment="1">
      <alignment horizontal="center" vertical="center"/>
    </xf>
    <xf numFmtId="166" fontId="18" fillId="2" borderId="0" xfId="6" applyNumberFormat="1" applyFont="1" applyFill="1" applyAlignment="1">
      <alignment horizontal="center" vertical="center"/>
    </xf>
    <xf numFmtId="3" fontId="15" fillId="2" borderId="0" xfId="6" applyNumberFormat="1" applyFont="1" applyFill="1"/>
    <xf numFmtId="0" fontId="6" fillId="2" borderId="0" xfId="2" applyFont="1" applyFill="1" applyAlignment="1">
      <alignment horizontal="left" vertical="center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right" vertical="top"/>
    </xf>
    <xf numFmtId="166" fontId="6" fillId="2" borderId="1" xfId="2" applyNumberFormat="1" applyFont="1" applyFill="1" applyBorder="1" applyAlignment="1">
      <alignment horizontal="right" vertical="center"/>
    </xf>
    <xf numFmtId="2" fontId="15" fillId="2" borderId="0" xfId="2" applyNumberFormat="1" applyFont="1" applyFill="1" applyAlignment="1">
      <alignment vertical="center"/>
    </xf>
    <xf numFmtId="0" fontId="15" fillId="2" borderId="0" xfId="2" applyFont="1" applyFill="1" applyAlignment="1">
      <alignment vertical="center"/>
    </xf>
    <xf numFmtId="2" fontId="15" fillId="2" borderId="2" xfId="2" applyNumberFormat="1" applyFont="1" applyFill="1" applyBorder="1" applyAlignment="1">
      <alignment vertical="center"/>
    </xf>
    <xf numFmtId="169" fontId="18" fillId="2" borderId="0" xfId="4" applyNumberFormat="1" applyFont="1" applyFill="1" applyAlignment="1">
      <alignment vertical="center"/>
    </xf>
    <xf numFmtId="169" fontId="15" fillId="2" borderId="0" xfId="2" applyNumberFormat="1" applyFont="1" applyFill="1" applyAlignment="1">
      <alignment vertical="center"/>
    </xf>
    <xf numFmtId="166" fontId="5" fillId="2" borderId="0" xfId="2" applyNumberFormat="1" applyFill="1"/>
    <xf numFmtId="0" fontId="15" fillId="2" borderId="0" xfId="2" applyFont="1" applyFill="1"/>
    <xf numFmtId="166" fontId="11" fillId="2" borderId="0" xfId="5" applyNumberFormat="1" applyFont="1" applyFill="1" applyAlignment="1">
      <alignment horizontal="center" vertical="center"/>
    </xf>
    <xf numFmtId="2" fontId="18" fillId="2" borderId="0" xfId="2" applyNumberFormat="1" applyFont="1" applyFill="1" applyAlignment="1">
      <alignment vertical="center"/>
    </xf>
    <xf numFmtId="0" fontId="18" fillId="2" borderId="0" xfId="2" applyFont="1" applyFill="1" applyAlignment="1">
      <alignment vertical="center"/>
    </xf>
    <xf numFmtId="169" fontId="18" fillId="2" borderId="0" xfId="2" applyNumberFormat="1" applyFont="1" applyFill="1" applyAlignment="1">
      <alignment vertical="center"/>
    </xf>
    <xf numFmtId="166" fontId="11" fillId="2" borderId="1" xfId="2" applyNumberFormat="1" applyFont="1" applyFill="1" applyBorder="1" applyAlignment="1">
      <alignment horizontal="right" vertical="center"/>
    </xf>
    <xf numFmtId="0" fontId="5" fillId="2" borderId="0" xfId="2" applyFill="1" applyAlignment="1">
      <alignment horizontal="center"/>
    </xf>
    <xf numFmtId="3" fontId="21" fillId="2" borderId="0" xfId="7" applyNumberFormat="1" applyFont="1" applyFill="1" applyAlignment="1" applyProtection="1"/>
    <xf numFmtId="0" fontId="15" fillId="2" borderId="2" xfId="2" applyFont="1" applyFill="1" applyBorder="1"/>
    <xf numFmtId="0" fontId="5" fillId="2" borderId="2" xfId="2" applyFill="1" applyBorder="1"/>
    <xf numFmtId="0" fontId="18" fillId="2" borderId="0" xfId="2" applyFont="1" applyFill="1"/>
    <xf numFmtId="0" fontId="6" fillId="2" borderId="1" xfId="2" applyFont="1" applyFill="1" applyBorder="1" applyAlignment="1">
      <alignment horizontal="left" vertical="top"/>
    </xf>
    <xf numFmtId="0" fontId="6" fillId="2" borderId="1" xfId="2" applyFont="1" applyFill="1" applyBorder="1" applyAlignment="1">
      <alignment horizontal="center" vertical="top"/>
    </xf>
    <xf numFmtId="0" fontId="6" fillId="2" borderId="1" xfId="2" applyFont="1" applyFill="1" applyBorder="1" applyAlignment="1">
      <alignment horizontal="right" vertical="top"/>
    </xf>
    <xf numFmtId="165" fontId="16" fillId="2" borderId="0" xfId="4" applyFont="1" applyFill="1" applyAlignment="1">
      <alignment vertical="center" wrapText="1"/>
    </xf>
    <xf numFmtId="166" fontId="16" fillId="2" borderId="0" xfId="5" applyNumberFormat="1" applyFont="1" applyFill="1" applyAlignment="1">
      <alignment horizontal="center" vertical="center"/>
    </xf>
    <xf numFmtId="166" fontId="16" fillId="2" borderId="0" xfId="5" applyNumberFormat="1" applyFont="1" applyFill="1" applyAlignment="1">
      <alignment horizontal="right" vertical="center"/>
    </xf>
    <xf numFmtId="166" fontId="16" fillId="2" borderId="0" xfId="2" applyNumberFormat="1" applyFont="1" applyFill="1" applyAlignment="1">
      <alignment horizontal="right" vertical="center"/>
    </xf>
    <xf numFmtId="166" fontId="16" fillId="2" borderId="0" xfId="4" applyNumberFormat="1" applyFont="1" applyFill="1" applyAlignment="1">
      <alignment horizontal="right" vertical="center"/>
    </xf>
    <xf numFmtId="165" fontId="16" fillId="2" borderId="0" xfId="4" applyFont="1" applyFill="1" applyAlignment="1">
      <alignment vertical="center"/>
    </xf>
    <xf numFmtId="165" fontId="6" fillId="2" borderId="0" xfId="4" applyFont="1" applyFill="1" applyAlignment="1">
      <alignment vertical="center"/>
    </xf>
    <xf numFmtId="166" fontId="6" fillId="2" borderId="0" xfId="5" applyNumberFormat="1" applyFont="1" applyFill="1" applyAlignment="1">
      <alignment horizontal="center" vertical="center"/>
    </xf>
    <xf numFmtId="166" fontId="6" fillId="2" borderId="0" xfId="5" applyNumberFormat="1" applyFont="1" applyFill="1" applyAlignment="1">
      <alignment horizontal="right" vertical="center"/>
    </xf>
    <xf numFmtId="166" fontId="6" fillId="2" borderId="0" xfId="2" applyNumberFormat="1" applyFont="1" applyFill="1" applyAlignment="1">
      <alignment horizontal="right" vertical="center"/>
    </xf>
    <xf numFmtId="166" fontId="6" fillId="2" borderId="0" xfId="4" applyNumberFormat="1" applyFont="1" applyFill="1" applyAlignment="1">
      <alignment horizontal="right" vertical="center"/>
    </xf>
    <xf numFmtId="165" fontId="6" fillId="2" borderId="1" xfId="4" applyFont="1" applyFill="1" applyBorder="1" applyAlignment="1">
      <alignment vertical="center"/>
    </xf>
    <xf numFmtId="166" fontId="6" fillId="2" borderId="1" xfId="4" applyNumberFormat="1" applyFont="1" applyFill="1" applyBorder="1" applyAlignment="1">
      <alignment horizontal="center" vertical="center"/>
    </xf>
    <xf numFmtId="166" fontId="6" fillId="2" borderId="1" xfId="4" applyNumberFormat="1" applyFont="1" applyFill="1" applyBorder="1" applyAlignment="1">
      <alignment horizontal="right" vertical="center"/>
    </xf>
    <xf numFmtId="165" fontId="22" fillId="2" borderId="0" xfId="1" applyFont="1" applyFill="1" applyAlignment="1">
      <alignment horizontal="left" vertical="center"/>
    </xf>
    <xf numFmtId="0" fontId="12" fillId="2" borderId="0" xfId="2" applyFont="1" applyFill="1"/>
    <xf numFmtId="2" fontId="5" fillId="2" borderId="0" xfId="2" applyNumberFormat="1" applyFill="1"/>
    <xf numFmtId="0" fontId="23" fillId="2" borderId="0" xfId="2" applyFont="1" applyFill="1"/>
    <xf numFmtId="2" fontId="15" fillId="2" borderId="0" xfId="2" applyNumberFormat="1" applyFont="1" applyFill="1"/>
    <xf numFmtId="165" fontId="9" fillId="2" borderId="0" xfId="1" applyFont="1" applyFill="1" applyAlignment="1">
      <alignment horizontal="right" vertical="center"/>
    </xf>
    <xf numFmtId="165" fontId="8" fillId="2" borderId="0" xfId="1" applyFont="1" applyFill="1" applyAlignment="1">
      <alignment horizontal="left" vertical="center"/>
    </xf>
    <xf numFmtId="165" fontId="28" fillId="2" borderId="0" xfId="3" applyFont="1" applyFill="1" applyAlignment="1">
      <alignment horizontal="right" vertical="center"/>
    </xf>
    <xf numFmtId="165" fontId="28" fillId="2" borderId="0" xfId="1" applyFont="1" applyFill="1" applyAlignment="1">
      <alignment horizontal="right" vertical="center"/>
    </xf>
    <xf numFmtId="165" fontId="26" fillId="2" borderId="0" xfId="3" applyFont="1" applyFill="1" applyAlignment="1">
      <alignment horizontal="right" vertical="center"/>
    </xf>
    <xf numFmtId="165" fontId="26" fillId="2" borderId="1" xfId="1" applyFont="1" applyFill="1" applyBorder="1" applyAlignment="1">
      <alignment horizontal="right" vertical="center"/>
    </xf>
    <xf numFmtId="165" fontId="28" fillId="2" borderId="0" xfId="3" applyFont="1" applyFill="1" applyAlignment="1">
      <alignment horizontal="center" vertical="center"/>
    </xf>
    <xf numFmtId="165" fontId="26" fillId="2" borderId="0" xfId="1" applyFont="1" applyFill="1" applyAlignment="1">
      <alignment horizontal="right" vertical="center"/>
    </xf>
    <xf numFmtId="0" fontId="28" fillId="2" borderId="2" xfId="2" applyFont="1" applyFill="1" applyBorder="1" applyAlignment="1">
      <alignment horizontal="right"/>
    </xf>
    <xf numFmtId="0" fontId="27" fillId="2" borderId="0" xfId="2" applyFont="1" applyFill="1" applyAlignment="1">
      <alignment horizontal="right" vertical="center"/>
    </xf>
    <xf numFmtId="0" fontId="26" fillId="2" borderId="1" xfId="2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 wrapText="1"/>
    </xf>
    <xf numFmtId="165" fontId="28" fillId="2" borderId="0" xfId="3" applyFont="1" applyFill="1" applyAlignment="1">
      <alignment horizontal="right" vertical="center" wrapText="1"/>
    </xf>
    <xf numFmtId="2" fontId="13" fillId="2" borderId="0" xfId="2" applyNumberFormat="1" applyFont="1" applyFill="1"/>
    <xf numFmtId="2" fontId="5" fillId="2" borderId="0" xfId="2" applyNumberFormat="1" applyFill="1" applyAlignment="1">
      <alignment vertical="center"/>
    </xf>
    <xf numFmtId="3" fontId="28" fillId="2" borderId="0" xfId="6" applyNumberFormat="1" applyFont="1" applyFill="1" applyAlignment="1">
      <alignment horizontal="right" vertical="center"/>
    </xf>
    <xf numFmtId="0" fontId="30" fillId="2" borderId="0" xfId="2" applyFont="1" applyFill="1"/>
    <xf numFmtId="166" fontId="30" fillId="2" borderId="0" xfId="2" applyNumberFormat="1" applyFont="1" applyFill="1"/>
    <xf numFmtId="165" fontId="19" fillId="2" borderId="0" xfId="4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6" fillId="2" borderId="12" xfId="2" applyFont="1" applyFill="1" applyBorder="1" applyAlignment="1">
      <alignment horizontal="right" vertical="center"/>
    </xf>
    <xf numFmtId="166" fontId="12" fillId="2" borderId="10" xfId="2" applyNumberFormat="1" applyFont="1" applyFill="1" applyBorder="1" applyAlignment="1">
      <alignment horizontal="center" vertical="center"/>
    </xf>
    <xf numFmtId="166" fontId="12" fillId="2" borderId="13" xfId="2" applyNumberFormat="1" applyFont="1" applyFill="1" applyBorder="1" applyAlignment="1">
      <alignment horizontal="center" vertical="center"/>
    </xf>
    <xf numFmtId="166" fontId="12" fillId="2" borderId="13" xfId="5" applyNumberFormat="1" applyFont="1" applyFill="1" applyBorder="1" applyAlignment="1">
      <alignment horizontal="center" vertical="center"/>
    </xf>
    <xf numFmtId="166" fontId="11" fillId="2" borderId="13" xfId="2" applyNumberFormat="1" applyFont="1" applyFill="1" applyBorder="1" applyAlignment="1">
      <alignment horizontal="center" vertical="center"/>
    </xf>
    <xf numFmtId="166" fontId="11" fillId="2" borderId="12" xfId="4" applyNumberFormat="1" applyFont="1" applyFill="1" applyBorder="1" applyAlignment="1">
      <alignment horizontal="center" vertical="center"/>
    </xf>
    <xf numFmtId="166" fontId="11" fillId="2" borderId="13" xfId="4" applyNumberFormat="1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right" vertical="center"/>
    </xf>
    <xf numFmtId="2" fontId="13" fillId="2" borderId="0" xfId="2" applyNumberFormat="1" applyFont="1" applyFill="1" applyAlignment="1">
      <alignment vertical="center"/>
    </xf>
    <xf numFmtId="166" fontId="31" fillId="2" borderId="0" xfId="2" applyNumberFormat="1" applyFont="1" applyFill="1" applyAlignment="1">
      <alignment horizontal="right" vertical="center"/>
    </xf>
    <xf numFmtId="166" fontId="12" fillId="2" borderId="6" xfId="2" applyNumberFormat="1" applyFont="1" applyFill="1" applyBorder="1" applyAlignment="1">
      <alignment horizontal="right" vertical="center"/>
    </xf>
    <xf numFmtId="166" fontId="11" fillId="2" borderId="6" xfId="2" applyNumberFormat="1" applyFont="1" applyFill="1" applyBorder="1" applyAlignment="1">
      <alignment horizontal="right" vertical="center"/>
    </xf>
    <xf numFmtId="166" fontId="11" fillId="2" borderId="7" xfId="4" applyNumberFormat="1" applyFont="1" applyFill="1" applyBorder="1" applyAlignment="1">
      <alignment horizontal="right" vertical="center"/>
    </xf>
    <xf numFmtId="165" fontId="29" fillId="2" borderId="0" xfId="1" applyFont="1" applyFill="1" applyAlignment="1">
      <alignment horizontal="center" vertical="center"/>
    </xf>
    <xf numFmtId="165" fontId="17" fillId="2" borderId="0" xfId="1" applyFont="1" applyFill="1" applyAlignment="1">
      <alignment horizontal="center" vertical="center"/>
    </xf>
    <xf numFmtId="165" fontId="27" fillId="2" borderId="0" xfId="1" applyFont="1" applyFill="1" applyAlignment="1">
      <alignment horizontal="center" vertical="center" wrapText="1"/>
    </xf>
    <xf numFmtId="165" fontId="11" fillId="2" borderId="1" xfId="1" applyFont="1" applyFill="1" applyBorder="1" applyAlignment="1">
      <alignment horizontal="center" vertical="center"/>
    </xf>
    <xf numFmtId="0" fontId="26" fillId="2" borderId="2" xfId="2" applyFont="1" applyFill="1" applyBorder="1" applyAlignment="1">
      <alignment horizontal="center" vertical="center" wrapText="1"/>
    </xf>
    <xf numFmtId="0" fontId="26" fillId="2" borderId="3" xfId="2" applyFont="1" applyFill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vertical="center" wrapText="1"/>
    </xf>
    <xf numFmtId="0" fontId="26" fillId="2" borderId="10" xfId="2" applyFont="1" applyFill="1" applyBorder="1" applyAlignment="1">
      <alignment horizontal="center" vertical="center" wrapText="1"/>
    </xf>
    <xf numFmtId="0" fontId="26" fillId="2" borderId="8" xfId="2" applyFont="1" applyFill="1" applyBorder="1" applyAlignment="1">
      <alignment horizontal="center" vertical="center" wrapText="1"/>
    </xf>
    <xf numFmtId="0" fontId="26" fillId="2" borderId="11" xfId="2" applyFont="1" applyFill="1" applyBorder="1" applyAlignment="1">
      <alignment horizontal="center" vertical="center" wrapText="1"/>
    </xf>
    <xf numFmtId="0" fontId="26" fillId="2" borderId="9" xfId="2" applyFont="1" applyFill="1" applyBorder="1" applyAlignment="1">
      <alignment horizontal="center" vertical="center" wrapText="1"/>
    </xf>
    <xf numFmtId="0" fontId="6" fillId="2" borderId="14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wrapText="1"/>
    </xf>
    <xf numFmtId="0" fontId="4" fillId="2" borderId="0" xfId="2" applyFont="1" applyFill="1" applyAlignment="1">
      <alignment horizontal="center" wrapText="1"/>
    </xf>
    <xf numFmtId="0" fontId="6" fillId="2" borderId="0" xfId="2" applyFont="1" applyFill="1" applyAlignment="1">
      <alignment horizontal="center" vertical="top" wrapText="1"/>
    </xf>
    <xf numFmtId="0" fontId="26" fillId="2" borderId="3" xfId="2" applyFont="1" applyFill="1" applyBorder="1" applyAlignment="1">
      <alignment horizontal="center" wrapText="1"/>
    </xf>
    <xf numFmtId="0" fontId="26" fillId="2" borderId="10" xfId="2" applyFont="1" applyFill="1" applyBorder="1" applyAlignment="1">
      <alignment horizontal="center" wrapText="1"/>
    </xf>
    <xf numFmtId="0" fontId="26" fillId="2" borderId="8" xfId="2" applyFont="1" applyFill="1" applyBorder="1" applyAlignment="1">
      <alignment horizontal="center" wrapText="1"/>
    </xf>
    <xf numFmtId="0" fontId="26" fillId="2" borderId="11" xfId="2" applyFont="1" applyFill="1" applyBorder="1" applyAlignment="1">
      <alignment horizontal="center" wrapText="1"/>
    </xf>
    <xf numFmtId="0" fontId="26" fillId="2" borderId="9" xfId="2" applyFont="1" applyFill="1" applyBorder="1" applyAlignment="1">
      <alignment horizontal="center" wrapText="1"/>
    </xf>
  </cellXfs>
  <cellStyles count="23">
    <cellStyle name="1" xfId="12" xr:uid="{00000000-0005-0000-0000-000000000000}"/>
    <cellStyle name="Comma 2" xfId="13" xr:uid="{00000000-0005-0000-0000-000001000000}"/>
    <cellStyle name="Comma 2 2" xfId="18" xr:uid="{00000000-0005-0000-0000-000002000000}"/>
    <cellStyle name="Comma 3" xfId="14" xr:uid="{00000000-0005-0000-0000-000003000000}"/>
    <cellStyle name="Comma 3 2" xfId="8" xr:uid="{00000000-0005-0000-0000-000004000000}"/>
    <cellStyle name="Hyperlink" xfId="7" builtinId="8"/>
    <cellStyle name="Normal" xfId="0" builtinId="0"/>
    <cellStyle name="Normal - Style1" xfId="15" xr:uid="{00000000-0005-0000-0000-000007000000}"/>
    <cellStyle name="Normal 2" xfId="17" xr:uid="{00000000-0005-0000-0000-000008000000}"/>
    <cellStyle name="Normal 3" xfId="9" xr:uid="{00000000-0005-0000-0000-000009000000}"/>
    <cellStyle name="Normal 4" xfId="10" xr:uid="{00000000-0005-0000-0000-00000A000000}"/>
    <cellStyle name="Normal 5" xfId="11" xr:uid="{00000000-0005-0000-0000-00000B000000}"/>
    <cellStyle name="Normal 5 2" xfId="21" xr:uid="{00000000-0005-0000-0000-00000C000000}"/>
    <cellStyle name="Normal 6" xfId="20" xr:uid="{00000000-0005-0000-0000-00000D000000}"/>
    <cellStyle name="Normal 6 2" xfId="22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II-15(Population)" xfId="6" xr:uid="{00000000-0005-0000-0000-000012000000}"/>
    <cellStyle name="Normal_XII-11(Commerce)" xfId="3" xr:uid="{00000000-0005-0000-0000-000013000000}"/>
    <cellStyle name="Normal_XII-12 (Commerce)" xfId="1" xr:uid="{00000000-0005-0000-0000-000014000000}"/>
    <cellStyle name="Percent 2" xfId="16" xr:uid="{00000000-0005-0000-0000-000015000000}"/>
    <cellStyle name="Percent 2 2" xfId="19" xr:uid="{00000000-0005-0000-0000-000016000000}"/>
  </cellStyles>
  <dxfs count="0"/>
  <tableStyles count="0" defaultTableStyle="TableStyleMedium2" defaultPivotStyle="PivotStyleLight16"/>
  <colors>
    <mruColors>
      <color rgb="FFFFC5C5"/>
      <color rgb="FFFFABAB"/>
      <color rgb="FFFFB3B3"/>
      <color rgb="FFFFEFEF"/>
      <color rgb="FFFACAD8"/>
      <color rgb="FF33CCCC"/>
      <color rgb="FFD0F5F4"/>
      <color rgb="FF196563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616032911559691E-2"/>
          <c:y val="0.16191904298815199"/>
          <c:w val="0.92994700119962903"/>
          <c:h val="0.6921002603758199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'17.5'!$BC$10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'17.5'!$BJ$9:$BP$9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'17.5'!$BJ$10:$BP$10</c:f>
              <c:numCache>
                <c:formatCode>_(* #,##0.0_);_(* \(#,##0.0\);_(* "-"??_);_(@_)</c:formatCode>
                <c:ptCount val="7"/>
                <c:pt idx="0">
                  <c:v>106.38499407837655</c:v>
                </c:pt>
                <c:pt idx="1">
                  <c:v>107.1902747590181</c:v>
                </c:pt>
                <c:pt idx="2">
                  <c:v>109.93201964009602</c:v>
                </c:pt>
                <c:pt idx="3">
                  <c:v>109.78539958307455</c:v>
                </c:pt>
                <c:pt idx="4">
                  <c:v>99.704026856120265</c:v>
                </c:pt>
                <c:pt idx="5">
                  <c:v>98.338306764350818</c:v>
                </c:pt>
                <c:pt idx="6" formatCode="0.0">
                  <c:v>98.872430971450569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7-41B0-B06F-01468E05B2DF}"/>
            </c:ext>
          </c:extLst>
        </c:ser>
        <c:ser>
          <c:idx val="3"/>
          <c:order val="1"/>
          <c:tx>
            <c:strRef>
              <c:f>'17.5'!$BC$11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numRef>
              <c:f>'17.5'!$BJ$9:$BP$9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'17.5'!$BJ$11:$BP$11</c:f>
              <c:numCache>
                <c:formatCode>_(* #,##0.0_);_(* \(#,##0.0\);_(* "-"??_);_(@_)</c:formatCode>
                <c:ptCount val="7"/>
                <c:pt idx="0">
                  <c:v>107.37293678888472</c:v>
                </c:pt>
                <c:pt idx="1">
                  <c:v>108.80768335920361</c:v>
                </c:pt>
                <c:pt idx="2">
                  <c:v>110.69246887707151</c:v>
                </c:pt>
                <c:pt idx="3">
                  <c:v>112.20541633013362</c:v>
                </c:pt>
                <c:pt idx="4">
                  <c:v>99.507327395575416</c:v>
                </c:pt>
                <c:pt idx="5">
                  <c:v>97.921275842569003</c:v>
                </c:pt>
                <c:pt idx="6" formatCode="0.0">
                  <c:v>98.124324047672033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7-41B0-B06F-01468E05B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9315472"/>
        <c:axId val="478540104"/>
      </c:barChart>
      <c:catAx>
        <c:axId val="47931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78540104"/>
        <c:crosses val="autoZero"/>
        <c:auto val="1"/>
        <c:lblAlgn val="ctr"/>
        <c:lblOffset val="100"/>
        <c:noMultiLvlLbl val="0"/>
      </c:catAx>
      <c:valAx>
        <c:axId val="4785401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ACAD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crossAx val="479315472"/>
        <c:crosses val="autoZero"/>
        <c:crossBetween val="between"/>
      </c:valAx>
      <c:spPr>
        <a:solidFill>
          <a:srgbClr val="FFEFE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59808076123749865"/>
          <c:y val="0.19935864666912059"/>
          <c:w val="0.35968327049504001"/>
          <c:h val="4.4230631870807703E-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784609716954497E-2"/>
          <c:y val="0.17800015339585901"/>
          <c:w val="0.90067274875771397"/>
          <c:h val="0.74644259341740515"/>
        </c:manualLayout>
      </c:layout>
      <c:lineChart>
        <c:grouping val="standard"/>
        <c:varyColors val="0"/>
        <c:ser>
          <c:idx val="0"/>
          <c:order val="0"/>
          <c:tx>
            <c:strRef>
              <c:f>'17.5'!$BD$16</c:f>
              <c:strCache>
                <c:ptCount val="1"/>
                <c:pt idx="0">
                  <c:v>Including fish</c:v>
                </c:pt>
              </c:strCache>
            </c:strRef>
          </c:tx>
          <c:spPr>
            <a:ln>
              <a:solidFill>
                <a:srgbClr val="FFB3B3"/>
              </a:solidFill>
            </a:ln>
          </c:spPr>
          <c:marker>
            <c:symbol val="diamond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'17.5'!$BC$26:$BC$32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'17.5'!$BD$26:$BD$32</c:f>
              <c:numCache>
                <c:formatCode>0.0</c:formatCode>
                <c:ptCount val="7"/>
                <c:pt idx="0">
                  <c:v>106.38499407837655</c:v>
                </c:pt>
                <c:pt idx="1">
                  <c:v>106.91958868829052</c:v>
                </c:pt>
                <c:pt idx="2">
                  <c:v>109.93201964009602</c:v>
                </c:pt>
                <c:pt idx="3">
                  <c:v>109.78539958307455</c:v>
                </c:pt>
                <c:pt idx="4">
                  <c:v>99.704026856120265</c:v>
                </c:pt>
                <c:pt idx="5">
                  <c:v>98.338306764350818</c:v>
                </c:pt>
                <c:pt idx="6">
                  <c:v>98.872430971450569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4-4060-AC1E-84BBB0B00BFB}"/>
            </c:ext>
          </c:extLst>
        </c:ser>
        <c:ser>
          <c:idx val="1"/>
          <c:order val="1"/>
          <c:tx>
            <c:strRef>
              <c:f>'17.5'!$BE$16</c:f>
              <c:strCache>
                <c:ptCount val="1"/>
                <c:pt idx="0">
                  <c:v>Excluding fish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square"/>
            <c:size val="6"/>
            <c:spPr>
              <a:solidFill>
                <a:srgbClr val="FFB3B3"/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'17.5'!$BC$26:$BC$32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'17.5'!$BE$26:$BE$32</c:f>
              <c:numCache>
                <c:formatCode>0.0</c:formatCode>
                <c:ptCount val="7"/>
                <c:pt idx="0">
                  <c:v>106.44622541898161</c:v>
                </c:pt>
                <c:pt idx="1">
                  <c:v>107.1902747590181</c:v>
                </c:pt>
                <c:pt idx="2">
                  <c:v>110.17175267946645</c:v>
                </c:pt>
                <c:pt idx="3">
                  <c:v>109.83680520270974</c:v>
                </c:pt>
                <c:pt idx="4">
                  <c:v>99.768516719136173</c:v>
                </c:pt>
                <c:pt idx="5">
                  <c:v>98.217948718411449</c:v>
                </c:pt>
                <c:pt idx="6">
                  <c:v>98.810874358558848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4-4060-AC1E-84BBB0B00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545984"/>
        <c:axId val="478546376"/>
      </c:lineChart>
      <c:catAx>
        <c:axId val="47854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78546376"/>
        <c:crosses val="autoZero"/>
        <c:auto val="1"/>
        <c:lblAlgn val="ctr"/>
        <c:lblOffset val="100"/>
        <c:noMultiLvlLbl val="0"/>
      </c:catAx>
      <c:valAx>
        <c:axId val="478546376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rgbClr val="FFC5C5"/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78545984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667410188311564"/>
          <c:y val="0.56828689817592037"/>
          <c:w val="0.2986290174218173"/>
          <c:h val="0.13254165133089277"/>
        </c:manualLayout>
      </c:layout>
      <c:overlay val="0"/>
      <c:txPr>
        <a:bodyPr/>
        <a:lstStyle/>
        <a:p>
          <a:pPr>
            <a:defRPr lang="en-AU" sz="1100">
              <a:latin typeface="+mn-lt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5" l="0.70000000000000095" r="0.70000000000000095" t="0.75000000000000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27</xdr:row>
      <xdr:rowOff>0</xdr:rowOff>
    </xdr:from>
    <xdr:to>
      <xdr:col>2</xdr:col>
      <xdr:colOff>0</xdr:colOff>
      <xdr:row>27</xdr:row>
      <xdr:rowOff>0</xdr:rowOff>
    </xdr:to>
    <xdr:sp macro="" textlink="">
      <xdr:nvSpPr>
        <xdr:cNvPr id="2" name="Text 1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3152775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271803</xdr:colOff>
      <xdr:row>74</xdr:row>
      <xdr:rowOff>3245</xdr:rowOff>
    </xdr:from>
    <xdr:to>
      <xdr:col>16</xdr:col>
      <xdr:colOff>82826</xdr:colOff>
      <xdr:row>92</xdr:row>
      <xdr:rowOff>11615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110435</xdr:colOff>
      <xdr:row>73</xdr:row>
      <xdr:rowOff>188510</xdr:rowOff>
    </xdr:from>
    <xdr:to>
      <xdr:col>31</xdr:col>
      <xdr:colOff>2719152</xdr:colOff>
      <xdr:row>92</xdr:row>
      <xdr:rowOff>6838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52</xdr:row>
      <xdr:rowOff>0</xdr:rowOff>
    </xdr:to>
    <xdr:sp macro="" textlink="">
      <xdr:nvSpPr>
        <xdr:cNvPr id="5" name="Text 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3152775" y="97917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1263316</xdr:colOff>
      <xdr:row>74</xdr:row>
      <xdr:rowOff>117308</xdr:rowOff>
    </xdr:from>
    <xdr:to>
      <xdr:col>10</xdr:col>
      <xdr:colOff>64281</xdr:colOff>
      <xdr:row>76</xdr:row>
      <xdr:rowOff>117308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1263316" y="10715124"/>
          <a:ext cx="3844202" cy="4010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</a:t>
          </a:r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Figure 17.2</a:t>
          </a:r>
          <a:r>
            <a:rPr lang="en-US" sz="12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: </a:t>
          </a:r>
          <a:r>
            <a:rPr lang="en-US" sz="1200" b="1">
              <a:latin typeface="+mn-lt"/>
              <a:cs typeface="Consolas" pitchFamily="49" charset="0"/>
            </a:rPr>
            <a:t>Consumer Price Index, 2015 - 2021</a:t>
          </a:r>
          <a:endParaRPr lang="en-US" sz="1100" b="1">
            <a:latin typeface="+mn-lt"/>
            <a:cs typeface="Consolas" pitchFamily="49" charset="0"/>
          </a:endParaRPr>
        </a:p>
        <a:p>
          <a:endParaRPr lang="en-US" sz="1100">
            <a:latin typeface="+mn-lt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0.17085</cdr:x>
      <cdr:y>0.05366</cdr:y>
    </cdr:from>
    <cdr:to>
      <cdr:x>0.76404</cdr:x>
      <cdr:y>0.16384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1407974" y="201800"/>
          <a:ext cx="4888552" cy="414351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17.3: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2015 - 2021</a:t>
          </a:r>
          <a:endParaRPr lang="en-US" sz="1100" b="1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ST2\PES\STI\CPI%20(consumer%20price%20index)\Rebasing%202018\Documenation\Writeup\Tables\2020\December\Graphs%20&amp;%20tables%20used_annual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ublic data"/>
      <sheetName val="Chnages in rep."/>
      <sheetName val="Major categories"/>
      <sheetName val="Sheet1"/>
      <sheetName val="graph"/>
      <sheetName val="Male"/>
      <sheetName val="Male,month on month &amp;monthly19"/>
      <sheetName val="ATOLLS"/>
      <sheetName val="ATOLLS Month on Month &amp; Monthly"/>
      <sheetName val="Annual 2020"/>
      <sheetName val="Annual CPI 2020"/>
      <sheetName val="Inflation &amp; Index table annual"/>
      <sheetName val="Republic 2020 monthly"/>
      <sheetName val="Male' 2020 monthly"/>
      <sheetName val="Atolls 2020 monthly"/>
      <sheetName val="Table 4"/>
      <sheetName val="Table 5"/>
      <sheetName val="Table 6"/>
    </sheetNames>
    <sheetDataSet>
      <sheetData sheetId="0" refreshError="1">
        <row r="3">
          <cell r="CE3">
            <v>98.338306764350818</v>
          </cell>
        </row>
        <row r="36">
          <cell r="CD36">
            <v>98.715192256714488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OC3">
            <v>108.23342334232696</v>
          </cell>
        </row>
        <row r="4">
          <cell r="OC4">
            <v>106.21438956055287</v>
          </cell>
        </row>
        <row r="38">
          <cell r="OC38">
            <v>101.29406507957015</v>
          </cell>
        </row>
        <row r="156">
          <cell r="OC156">
            <v>119.42144298997056</v>
          </cell>
        </row>
        <row r="167">
          <cell r="OC167">
            <v>98.190748488110202</v>
          </cell>
        </row>
        <row r="207">
          <cell r="OC207">
            <v>111.78087632908641</v>
          </cell>
        </row>
        <row r="209">
          <cell r="OC209">
            <v>117.41374229948713</v>
          </cell>
        </row>
        <row r="240">
          <cell r="OC240">
            <v>96.196125798305104</v>
          </cell>
        </row>
        <row r="292">
          <cell r="OC292">
            <v>128.61309538574685</v>
          </cell>
        </row>
        <row r="322">
          <cell r="OC322">
            <v>107.44337348085035</v>
          </cell>
        </row>
        <row r="348">
          <cell r="OC348">
            <v>95.751607847297137</v>
          </cell>
        </row>
        <row r="360">
          <cell r="OC360">
            <v>100.46158690929978</v>
          </cell>
        </row>
        <row r="405">
          <cell r="OC405">
            <v>125.51210025739101</v>
          </cell>
        </row>
        <row r="421">
          <cell r="OC421">
            <v>127.6536356791524</v>
          </cell>
        </row>
        <row r="438">
          <cell r="OC438">
            <v>97.897045106929454</v>
          </cell>
        </row>
        <row r="484">
          <cell r="OC484">
            <v>108.80768335920361</v>
          </cell>
        </row>
        <row r="485">
          <cell r="OC485">
            <v>108.54418419912565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R239"/>
  <sheetViews>
    <sheetView tabSelected="1" zoomScale="106" zoomScaleNormal="106" zoomScaleSheetLayoutView="35" workbookViewId="0">
      <pane xSplit="1" topLeftCell="B1" activePane="topRight" state="frozen"/>
      <selection activeCell="A2" sqref="A2"/>
      <selection pane="topRight" activeCell="Q14" sqref="Q14"/>
    </sheetView>
  </sheetViews>
  <sheetFormatPr defaultColWidth="9.140625" defaultRowHeight="15.75" x14ac:dyDescent="0.4"/>
  <cols>
    <col min="1" max="1" width="36.140625" style="74" customWidth="1"/>
    <col min="2" max="2" width="12.28515625" style="51" customWidth="1"/>
    <col min="3" max="3" width="7.28515625" style="3" hidden="1" customWidth="1"/>
    <col min="4" max="5" width="6.7109375" style="3" hidden="1" customWidth="1"/>
    <col min="6" max="6" width="0.140625" style="3" customWidth="1"/>
    <col min="7" max="15" width="6.7109375" style="3" customWidth="1"/>
    <col min="16" max="16" width="11.140625" style="3" customWidth="1"/>
    <col min="17" max="19" width="6.7109375" style="3" customWidth="1"/>
    <col min="20" max="31" width="6.85546875" style="3" customWidth="1"/>
    <col min="32" max="32" width="47.85546875" style="94" customWidth="1"/>
    <col min="33" max="53" width="9.140625" style="3" customWidth="1"/>
    <col min="54" max="54" width="7.140625" style="3" customWidth="1"/>
    <col min="55" max="64" width="9.140625" style="3"/>
    <col min="65" max="65" width="6.7109375" style="3" customWidth="1"/>
    <col min="66" max="16384" width="9.140625" style="3"/>
  </cols>
  <sheetData>
    <row r="1" spans="1:68" ht="19.5" x14ac:dyDescent="0.2">
      <c r="A1" s="111" t="s">
        <v>78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68" x14ac:dyDescent="0.2">
      <c r="A2" s="112" t="s">
        <v>77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</row>
    <row r="3" spans="1:68" ht="15" customHeight="1" x14ac:dyDescent="0.2">
      <c r="A3" s="113" t="s">
        <v>79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</row>
    <row r="4" spans="1:68" ht="12.75" x14ac:dyDescent="0.2">
      <c r="A4" s="114" t="s">
        <v>67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</row>
    <row r="5" spans="1:68" ht="15.75" customHeight="1" x14ac:dyDescent="0.35">
      <c r="A5" s="18"/>
      <c r="B5" s="115" t="s">
        <v>69</v>
      </c>
      <c r="C5" s="117" t="s">
        <v>6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9" t="s">
        <v>69</v>
      </c>
      <c r="Q5" s="115"/>
      <c r="R5" s="115"/>
      <c r="S5" s="120"/>
      <c r="T5" s="124" t="s">
        <v>43</v>
      </c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86"/>
    </row>
    <row r="6" spans="1:68" ht="24" customHeight="1" x14ac:dyDescent="0.2">
      <c r="A6" s="19" t="s">
        <v>5</v>
      </c>
      <c r="B6" s="116"/>
      <c r="C6" s="118" t="s">
        <v>74</v>
      </c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21"/>
      <c r="Q6" s="116"/>
      <c r="R6" s="116"/>
      <c r="S6" s="122"/>
      <c r="T6" s="123" t="s">
        <v>44</v>
      </c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87" t="s">
        <v>7</v>
      </c>
    </row>
    <row r="7" spans="1:68" ht="14.25" x14ac:dyDescent="0.2">
      <c r="A7" s="20"/>
      <c r="B7" s="20" t="s">
        <v>45</v>
      </c>
      <c r="C7" s="20">
        <v>2006</v>
      </c>
      <c r="D7" s="20">
        <v>2007</v>
      </c>
      <c r="E7" s="20">
        <v>2008</v>
      </c>
      <c r="F7" s="20">
        <v>2009</v>
      </c>
      <c r="G7" s="20">
        <v>2010</v>
      </c>
      <c r="H7" s="20">
        <v>2011</v>
      </c>
      <c r="I7" s="20">
        <v>2012</v>
      </c>
      <c r="J7" s="20">
        <v>2013</v>
      </c>
      <c r="K7" s="20">
        <v>2014</v>
      </c>
      <c r="L7" s="20">
        <v>2015</v>
      </c>
      <c r="M7" s="20">
        <v>2016</v>
      </c>
      <c r="N7" s="20">
        <v>2017</v>
      </c>
      <c r="O7" s="22">
        <v>2018</v>
      </c>
      <c r="P7" s="98" t="s">
        <v>45</v>
      </c>
      <c r="Q7" s="20" t="s">
        <v>70</v>
      </c>
      <c r="R7" s="20">
        <v>2020</v>
      </c>
      <c r="S7" s="105">
        <v>2021</v>
      </c>
      <c r="T7" s="23">
        <v>2010</v>
      </c>
      <c r="U7" s="23">
        <v>2011</v>
      </c>
      <c r="V7" s="23">
        <v>2012</v>
      </c>
      <c r="W7" s="23">
        <v>2013</v>
      </c>
      <c r="X7" s="23">
        <v>2014</v>
      </c>
      <c r="Y7" s="20">
        <v>2015</v>
      </c>
      <c r="Z7" s="23">
        <v>2016</v>
      </c>
      <c r="AA7" s="23">
        <v>2017</v>
      </c>
      <c r="AB7" s="23">
        <v>2018</v>
      </c>
      <c r="AC7" s="23">
        <v>2019</v>
      </c>
      <c r="AD7" s="23">
        <v>2020</v>
      </c>
      <c r="AE7" s="23">
        <v>2021</v>
      </c>
      <c r="AF7" s="88"/>
      <c r="BB7" s="8"/>
    </row>
    <row r="8" spans="1:68" s="8" customFormat="1" ht="14.25" x14ac:dyDescent="0.25">
      <c r="A8" s="4" t="s">
        <v>8</v>
      </c>
      <c r="B8" s="24">
        <v>28.43529313839241</v>
      </c>
      <c r="C8" s="5">
        <v>46.54226956659236</v>
      </c>
      <c r="D8" s="5">
        <v>54.070703301292049</v>
      </c>
      <c r="E8" s="6">
        <v>64.381973226397193</v>
      </c>
      <c r="F8" s="6">
        <v>64.715472651196961</v>
      </c>
      <c r="G8" s="6">
        <v>69.554480633976965</v>
      </c>
      <c r="H8" s="6">
        <v>83.416709968576413</v>
      </c>
      <c r="I8" s="6">
        <v>98.126990664931839</v>
      </c>
      <c r="J8" s="6">
        <v>105.15731822206406</v>
      </c>
      <c r="K8" s="6">
        <v>105.91516633353841</v>
      </c>
      <c r="L8" s="25">
        <v>106.42761479980396</v>
      </c>
      <c r="M8" s="25">
        <v>107.04157551050889</v>
      </c>
      <c r="N8" s="25">
        <v>113.03489126776282</v>
      </c>
      <c r="O8" s="25">
        <v>111.810118662265</v>
      </c>
      <c r="P8" s="101">
        <v>21.97</v>
      </c>
      <c r="Q8" s="25">
        <v>99.755867509454859</v>
      </c>
      <c r="R8" s="6">
        <v>102.47540524074198</v>
      </c>
      <c r="S8" s="108">
        <v>104.32095882991126</v>
      </c>
      <c r="T8" s="7">
        <v>7.4773586354862198</v>
      </c>
      <c r="U8" s="7">
        <v>19.930030687092536</v>
      </c>
      <c r="V8" s="7">
        <v>17.634692979256638</v>
      </c>
      <c r="W8" s="7">
        <v>7.1645196795428578</v>
      </c>
      <c r="X8" s="7">
        <v>0.72068033332113313</v>
      </c>
      <c r="Y8" s="7">
        <v>0.48382916630824724</v>
      </c>
      <c r="Z8" s="7">
        <v>0.57688102083264248</v>
      </c>
      <c r="AA8" s="7">
        <v>5.5990541326304877</v>
      </c>
      <c r="AB8" s="7">
        <v>-1.0835349968145724</v>
      </c>
      <c r="AC8" s="7">
        <v>-0.79052536778502214</v>
      </c>
      <c r="AD8" s="7">
        <v>2.7261932547770762</v>
      </c>
      <c r="AE8" s="7">
        <f>((S8/R8)-1)*100</f>
        <v>1.8009722282469554</v>
      </c>
      <c r="AF8" s="80" t="s">
        <v>9</v>
      </c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BC8" s="8" t="s">
        <v>73</v>
      </c>
    </row>
    <row r="9" spans="1:68" s="8" customFormat="1" ht="14.25" x14ac:dyDescent="0.25">
      <c r="A9" s="4" t="s">
        <v>10</v>
      </c>
      <c r="B9" s="24">
        <f>B8-B10</f>
        <v>19.788959216936362</v>
      </c>
      <c r="C9" s="5">
        <v>56.866771691184077</v>
      </c>
      <c r="D9" s="5">
        <v>62.767090501684173</v>
      </c>
      <c r="E9" s="6">
        <v>76.153290746199403</v>
      </c>
      <c r="F9" s="6">
        <v>78.381813378991197</v>
      </c>
      <c r="G9" s="6">
        <v>84.204150454829019</v>
      </c>
      <c r="H9" s="6">
        <v>94.794400673064558</v>
      </c>
      <c r="I9" s="6">
        <v>100.0268178957039</v>
      </c>
      <c r="J9" s="6">
        <v>105.46827201556327</v>
      </c>
      <c r="K9" s="6">
        <v>105.77637644985344</v>
      </c>
      <c r="L9" s="6">
        <v>106.72890504792964</v>
      </c>
      <c r="M9" s="6">
        <v>108.34446887815083</v>
      </c>
      <c r="N9" s="6">
        <v>115.49732275295001</v>
      </c>
      <c r="O9" s="6">
        <v>112.9320821179051</v>
      </c>
      <c r="P9" s="101">
        <v>17.86</v>
      </c>
      <c r="Q9" s="6">
        <v>100.0189697454872</v>
      </c>
      <c r="R9" s="6">
        <v>102.77972111001579</v>
      </c>
      <c r="S9" s="108">
        <v>105.2422746584155</v>
      </c>
      <c r="T9" s="7">
        <v>7.4281734816285638</v>
      </c>
      <c r="U9" s="7">
        <v>12.576874371432133</v>
      </c>
      <c r="V9" s="7">
        <v>5.5197534722386976</v>
      </c>
      <c r="W9" s="7">
        <v>5.4399952276129371</v>
      </c>
      <c r="X9" s="7">
        <v>0.29212997274166153</v>
      </c>
      <c r="Y9" s="7">
        <v>0.90051165491358276</v>
      </c>
      <c r="Z9" s="7">
        <v>1.513707865264502</v>
      </c>
      <c r="AA9" s="7">
        <v>6.6019557332858358</v>
      </c>
      <c r="AB9" s="7">
        <v>-2.2210390456686047</v>
      </c>
      <c r="AC9" s="7">
        <v>-0.11747739863767759</v>
      </c>
      <c r="AD9" s="7">
        <v>2.7602277563483435</v>
      </c>
      <c r="AE9" s="7">
        <f>((S9/R9)-1)*100</f>
        <v>2.395952744183627</v>
      </c>
      <c r="AF9" s="80" t="s">
        <v>11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BD9" s="8">
        <v>2009</v>
      </c>
      <c r="BE9" s="8">
        <v>2010</v>
      </c>
      <c r="BF9" s="8">
        <v>2011</v>
      </c>
      <c r="BG9" s="8">
        <v>2012</v>
      </c>
      <c r="BH9" s="8">
        <v>2013</v>
      </c>
      <c r="BI9" s="8">
        <v>2014</v>
      </c>
      <c r="BJ9" s="8">
        <v>2015</v>
      </c>
      <c r="BK9" s="8">
        <v>2016</v>
      </c>
      <c r="BL9" s="8">
        <v>2017</v>
      </c>
      <c r="BM9" s="8">
        <v>2018</v>
      </c>
      <c r="BN9" s="8">
        <v>2019</v>
      </c>
      <c r="BO9" s="8">
        <v>2020</v>
      </c>
      <c r="BP9" s="8">
        <v>2021</v>
      </c>
    </row>
    <row r="10" spans="1:68" s="8" customFormat="1" ht="14.25" x14ac:dyDescent="0.25">
      <c r="A10" s="9" t="s">
        <v>12</v>
      </c>
      <c r="B10" s="24">
        <v>8.646333921456046</v>
      </c>
      <c r="C10" s="5">
        <v>22.898483196595674</v>
      </c>
      <c r="D10" s="5">
        <v>34.155406788630842</v>
      </c>
      <c r="E10" s="6">
        <v>37.424884799955599</v>
      </c>
      <c r="F10" s="6">
        <v>33.418656908585071</v>
      </c>
      <c r="G10" s="6">
        <v>36.005776836416281</v>
      </c>
      <c r="H10" s="6">
        <v>57.361052741283949</v>
      </c>
      <c r="I10" s="6">
        <v>93.7760772522998</v>
      </c>
      <c r="J10" s="6">
        <v>104.44563486657425</v>
      </c>
      <c r="K10" s="6">
        <v>106.23281626157906</v>
      </c>
      <c r="L10" s="6">
        <v>105.73804850653096</v>
      </c>
      <c r="M10" s="6">
        <v>104.05962917920893</v>
      </c>
      <c r="N10" s="6">
        <v>107.39909733735</v>
      </c>
      <c r="O10" s="6">
        <v>109.24226860370483</v>
      </c>
      <c r="P10" s="101">
        <v>4.0999999999999996</v>
      </c>
      <c r="Q10" s="6">
        <f>'[1]Republic data'!$CD$36</f>
        <v>98.715192256714488</v>
      </c>
      <c r="R10" s="6">
        <v>101.15085971078189</v>
      </c>
      <c r="S10" s="108">
        <v>100.31089926502996</v>
      </c>
      <c r="T10" s="7">
        <v>7.7415436979054508</v>
      </c>
      <c r="U10" s="7">
        <v>59.310693397590896</v>
      </c>
      <c r="V10" s="7">
        <v>63.483884571050076</v>
      </c>
      <c r="W10" s="7">
        <v>11.377696665183112</v>
      </c>
      <c r="X10" s="7">
        <v>1.7111116202107146</v>
      </c>
      <c r="Y10" s="7">
        <v>-0.46573909311584671</v>
      </c>
      <c r="Z10" s="7">
        <v>-1.587337151600976</v>
      </c>
      <c r="AA10" s="7">
        <v>3.2091870636881792</v>
      </c>
      <c r="AB10" s="7">
        <v>1.7161887874767467</v>
      </c>
      <c r="AC10" s="7">
        <v>-2.7861602248204802</v>
      </c>
      <c r="AD10" s="7">
        <v>2.467368394252123</v>
      </c>
      <c r="AE10" s="7">
        <f t="shared" ref="AE10:AE25" si="0">((S10/R10)-1)*100</f>
        <v>-0.83040366453988046</v>
      </c>
      <c r="AF10" s="80" t="s">
        <v>13</v>
      </c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BC10" s="8" t="s">
        <v>0</v>
      </c>
      <c r="BD10" s="26">
        <f t="shared" ref="BD10:BJ10" si="1">F24</f>
        <v>75.900734670117231</v>
      </c>
      <c r="BE10" s="27">
        <f t="shared" si="1"/>
        <v>80.568542845421106</v>
      </c>
      <c r="BF10" s="27">
        <f t="shared" si="1"/>
        <v>89.651368722070842</v>
      </c>
      <c r="BG10" s="27">
        <f t="shared" si="1"/>
        <v>99.409647361204449</v>
      </c>
      <c r="BH10" s="27">
        <f t="shared" si="1"/>
        <v>103.19281073321666</v>
      </c>
      <c r="BI10" s="27">
        <f t="shared" si="1"/>
        <v>105.38050013404563</v>
      </c>
      <c r="BJ10" s="27">
        <f t="shared" si="1"/>
        <v>106.38499407837655</v>
      </c>
      <c r="BK10" s="27">
        <f>M25</f>
        <v>107.1902747590181</v>
      </c>
      <c r="BL10" s="27">
        <f t="shared" ref="BL10" si="2">N24</f>
        <v>109.93201964009602</v>
      </c>
      <c r="BM10" s="27">
        <f>O24</f>
        <v>109.78539958307455</v>
      </c>
      <c r="BN10" s="27">
        <f>Q24</f>
        <v>99.704026856120265</v>
      </c>
      <c r="BO10" s="27">
        <v>98.338306764350818</v>
      </c>
      <c r="BP10" s="26">
        <f>S24</f>
        <v>98.872430971450569</v>
      </c>
    </row>
    <row r="11" spans="1:68" s="8" customFormat="1" ht="14.25" x14ac:dyDescent="0.25">
      <c r="A11" s="9" t="s">
        <v>14</v>
      </c>
      <c r="B11" s="24">
        <v>2.254164063270403</v>
      </c>
      <c r="C11" s="5">
        <v>49.327553362016907</v>
      </c>
      <c r="D11" s="5">
        <v>49.926435555846972</v>
      </c>
      <c r="E11" s="6">
        <v>51.632567552779186</v>
      </c>
      <c r="F11" s="6">
        <v>50.700704461040182</v>
      </c>
      <c r="G11" s="6">
        <v>50.532891620339313</v>
      </c>
      <c r="H11" s="6">
        <v>64.296766109008189</v>
      </c>
      <c r="I11" s="6">
        <v>101.2436810917912</v>
      </c>
      <c r="J11" s="6">
        <v>98.00579870542515</v>
      </c>
      <c r="K11" s="6">
        <v>100.18505236961772</v>
      </c>
      <c r="L11" s="6">
        <v>117.46360163260034</v>
      </c>
      <c r="M11" s="6">
        <v>122.18459773517431</v>
      </c>
      <c r="N11" s="6">
        <v>154.41417266945828</v>
      </c>
      <c r="O11" s="6">
        <v>167.34151423693964</v>
      </c>
      <c r="P11" s="101">
        <v>1.75</v>
      </c>
      <c r="Q11" s="6">
        <v>100.23444513498929</v>
      </c>
      <c r="R11" s="6">
        <v>112.71042998288897</v>
      </c>
      <c r="S11" s="108">
        <v>135.94615167562134</v>
      </c>
      <c r="T11" s="7">
        <v>-0.33098719728800186</v>
      </c>
      <c r="U11" s="7">
        <v>27.237456728340014</v>
      </c>
      <c r="V11" s="7">
        <v>57.463099963913479</v>
      </c>
      <c r="W11" s="7">
        <v>-3.1981081203778738</v>
      </c>
      <c r="X11" s="7">
        <v>2.2235966575230304</v>
      </c>
      <c r="Y11" s="7">
        <v>17.246633958163748</v>
      </c>
      <c r="Z11" s="7">
        <v>4.0191140378448287</v>
      </c>
      <c r="AA11" s="7">
        <v>26.377772265649302</v>
      </c>
      <c r="AB11" s="7">
        <v>8.3718620797547327</v>
      </c>
      <c r="AC11" s="7">
        <v>-0.9138147564982213</v>
      </c>
      <c r="AD11" s="7">
        <v>12.446803921643724</v>
      </c>
      <c r="AE11" s="7">
        <f t="shared" si="0"/>
        <v>20.615413938408246</v>
      </c>
      <c r="AF11" s="80" t="s">
        <v>46</v>
      </c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BC11" s="8" t="s">
        <v>1</v>
      </c>
      <c r="BD11" s="26">
        <f t="shared" ref="BD11:BM11" si="3">F46</f>
        <v>75.900734670117231</v>
      </c>
      <c r="BE11" s="27">
        <f t="shared" si="3"/>
        <v>80.568542845421106</v>
      </c>
      <c r="BF11" s="27">
        <f t="shared" si="3"/>
        <v>89.651368722070842</v>
      </c>
      <c r="BG11" s="27">
        <f t="shared" si="3"/>
        <v>99.415139330518244</v>
      </c>
      <c r="BH11" s="27">
        <f t="shared" si="3"/>
        <v>103.38895723436703</v>
      </c>
      <c r="BI11" s="27">
        <f t="shared" si="3"/>
        <v>105.92043432963987</v>
      </c>
      <c r="BJ11" s="27">
        <f t="shared" si="3"/>
        <v>107.37293678888472</v>
      </c>
      <c r="BK11" s="27">
        <f>M47</f>
        <v>108.80768335920361</v>
      </c>
      <c r="BL11" s="27">
        <f t="shared" si="3"/>
        <v>110.69246887707151</v>
      </c>
      <c r="BM11" s="27">
        <f t="shared" si="3"/>
        <v>112.20541633013362</v>
      </c>
      <c r="BN11" s="27">
        <f>Q46</f>
        <v>99.507327395575416</v>
      </c>
      <c r="BO11" s="27">
        <v>97.921275842569003</v>
      </c>
      <c r="BP11" s="26">
        <f>S46</f>
        <v>98.124324047672033</v>
      </c>
    </row>
    <row r="12" spans="1:68" s="8" customFormat="1" ht="14.25" x14ac:dyDescent="0.25">
      <c r="A12" s="9" t="s">
        <v>56</v>
      </c>
      <c r="B12" s="24">
        <v>3.890313123952799</v>
      </c>
      <c r="C12" s="5">
        <v>67.493428550865232</v>
      </c>
      <c r="D12" s="5">
        <v>66.522696340505789</v>
      </c>
      <c r="E12" s="6">
        <v>68.251967675022911</v>
      </c>
      <c r="F12" s="6">
        <v>70.445891756658199</v>
      </c>
      <c r="G12" s="6">
        <v>72.534285938334179</v>
      </c>
      <c r="H12" s="6">
        <v>81.881292827210913</v>
      </c>
      <c r="I12" s="6">
        <v>98.359038463336105</v>
      </c>
      <c r="J12" s="6">
        <v>101.52586212230904</v>
      </c>
      <c r="K12" s="6">
        <v>102.46527730468375</v>
      </c>
      <c r="L12" s="6">
        <v>101.54061731751705</v>
      </c>
      <c r="M12" s="6">
        <v>100.99558210523537</v>
      </c>
      <c r="N12" s="6">
        <v>100.29057707007946</v>
      </c>
      <c r="O12" s="6">
        <v>98.155711491556062</v>
      </c>
      <c r="P12" s="101">
        <v>4.34</v>
      </c>
      <c r="Q12" s="6">
        <v>99.962545178697326</v>
      </c>
      <c r="R12" s="6">
        <v>98.02332989811508</v>
      </c>
      <c r="S12" s="108">
        <v>98.78312407403439</v>
      </c>
      <c r="T12" s="7">
        <v>2.964536511071425</v>
      </c>
      <c r="U12" s="7">
        <v>12.886329227564453</v>
      </c>
      <c r="V12" s="7">
        <v>20.123944147898555</v>
      </c>
      <c r="W12" s="7">
        <v>3.2196569918212292</v>
      </c>
      <c r="X12" s="7">
        <v>0.92529643456067401</v>
      </c>
      <c r="Y12" s="7">
        <v>-0.90241300418013592</v>
      </c>
      <c r="Z12" s="7">
        <v>-0.53676570684748626</v>
      </c>
      <c r="AA12" s="7">
        <v>-0.69805532129247894</v>
      </c>
      <c r="AB12" s="7">
        <v>-2.1286801221929719</v>
      </c>
      <c r="AC12" s="7">
        <v>-2.6574863685040695</v>
      </c>
      <c r="AD12" s="7">
        <v>-1.9399418823476511</v>
      </c>
      <c r="AE12" s="7">
        <f t="shared" si="0"/>
        <v>0.77511565533330273</v>
      </c>
      <c r="AF12" s="80" t="s">
        <v>17</v>
      </c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BD12" s="26"/>
      <c r="BE12" s="26"/>
      <c r="BF12" s="26"/>
      <c r="BG12" s="26"/>
    </row>
    <row r="13" spans="1:68" s="8" customFormat="1" ht="14.25" x14ac:dyDescent="0.25">
      <c r="A13" s="9" t="s">
        <v>57</v>
      </c>
      <c r="B13" s="24">
        <v>23.290469082093963</v>
      </c>
      <c r="C13" s="5">
        <v>70.128284933346336</v>
      </c>
      <c r="D13" s="5">
        <v>72.790167958905229</v>
      </c>
      <c r="E13" s="6">
        <v>80.824789456236729</v>
      </c>
      <c r="F13" s="6">
        <v>87.147430127106858</v>
      </c>
      <c r="G13" s="6">
        <v>93.758762276598645</v>
      </c>
      <c r="H13" s="6">
        <v>96.487654366096692</v>
      </c>
      <c r="I13" s="6">
        <v>99.951850044063292</v>
      </c>
      <c r="J13" s="6">
        <v>103.51724004351574</v>
      </c>
      <c r="K13" s="6">
        <v>106.69055604936631</v>
      </c>
      <c r="L13" s="6">
        <v>107.78553856963902</v>
      </c>
      <c r="M13" s="6">
        <v>108.10803524718015</v>
      </c>
      <c r="N13" s="6">
        <v>109.47834485115725</v>
      </c>
      <c r="O13" s="6">
        <v>109.29547192198891</v>
      </c>
      <c r="P13" s="101">
        <v>23.42</v>
      </c>
      <c r="Q13" s="6">
        <v>99.542874629829512</v>
      </c>
      <c r="R13" s="6">
        <v>94.86124691140401</v>
      </c>
      <c r="S13" s="108">
        <v>95.708072576042923</v>
      </c>
      <c r="T13" s="7">
        <v>7.5863764884965379</v>
      </c>
      <c r="U13" s="7">
        <v>2.9105461966824064</v>
      </c>
      <c r="V13" s="7">
        <v>3.5902994022661616</v>
      </c>
      <c r="W13" s="7">
        <v>3.5671075601708901</v>
      </c>
      <c r="X13" s="7">
        <v>3.0654951817847831</v>
      </c>
      <c r="Y13" s="7">
        <v>1.0263162559262184</v>
      </c>
      <c r="Z13" s="7">
        <v>0.29920217667491755</v>
      </c>
      <c r="AA13" s="7">
        <v>1.2675372379527428</v>
      </c>
      <c r="AB13" s="7">
        <v>-0.16704027578875458</v>
      </c>
      <c r="AC13" s="7">
        <v>2.2079230427968888</v>
      </c>
      <c r="AD13" s="7">
        <v>-4.7031269046981965</v>
      </c>
      <c r="AE13" s="7">
        <f t="shared" si="0"/>
        <v>0.89269927627011469</v>
      </c>
      <c r="AF13" s="80" t="s">
        <v>19</v>
      </c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</row>
    <row r="14" spans="1:68" s="8" customFormat="1" ht="14.25" x14ac:dyDescent="0.25">
      <c r="A14" s="9" t="s">
        <v>58</v>
      </c>
      <c r="B14" s="24">
        <v>11.680398408355288</v>
      </c>
      <c r="C14" s="5">
        <v>64.647461828276832</v>
      </c>
      <c r="D14" s="5">
        <v>67.343842950624648</v>
      </c>
      <c r="E14" s="6">
        <v>74.851279000594886</v>
      </c>
      <c r="F14" s="6">
        <v>85.550267697798958</v>
      </c>
      <c r="G14" s="6">
        <v>91.040551259171139</v>
      </c>
      <c r="H14" s="6">
        <v>95.103608962918898</v>
      </c>
      <c r="I14" s="6">
        <v>100.07057660044312</v>
      </c>
      <c r="J14" s="6">
        <v>104.08964183574052</v>
      </c>
      <c r="K14" s="6">
        <v>108.54742074440985</v>
      </c>
      <c r="L14" s="6">
        <v>112.36921152715941</v>
      </c>
      <c r="M14" s="6">
        <v>116.59514145414504</v>
      </c>
      <c r="N14" s="6">
        <v>122.00177799672292</v>
      </c>
      <c r="O14" s="6">
        <v>129.26555175057555</v>
      </c>
      <c r="P14" s="101">
        <v>13.93</v>
      </c>
      <c r="Q14" s="6">
        <v>99.287613094180429</v>
      </c>
      <c r="R14" s="6">
        <v>95.666467140177858</v>
      </c>
      <c r="S14" s="108">
        <v>94.14175895634007</v>
      </c>
      <c r="T14" s="7">
        <v>6.4176111999628915</v>
      </c>
      <c r="U14" s="7">
        <v>4.4629098215598351</v>
      </c>
      <c r="V14" s="7">
        <v>5.2226910121369263</v>
      </c>
      <c r="W14" s="7">
        <v>4.0162307161919708</v>
      </c>
      <c r="X14" s="7">
        <v>4.2826344966235608</v>
      </c>
      <c r="Y14" s="7">
        <v>3.5208490045548935</v>
      </c>
      <c r="Z14" s="7">
        <v>3.7607542756177725</v>
      </c>
      <c r="AA14" s="7">
        <v>4.6371027773093099</v>
      </c>
      <c r="AB14" s="7">
        <v>5.9538261434581186</v>
      </c>
      <c r="AC14" s="7">
        <v>4.4831323405588375</v>
      </c>
      <c r="AD14" s="7">
        <v>-3.6471276135601083</v>
      </c>
      <c r="AE14" s="7">
        <f t="shared" si="0"/>
        <v>-1.5937749447815119</v>
      </c>
      <c r="AF14" s="84" t="s">
        <v>47</v>
      </c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</row>
    <row r="15" spans="1:68" s="8" customFormat="1" ht="25.5" x14ac:dyDescent="0.25">
      <c r="A15" s="4" t="s">
        <v>59</v>
      </c>
      <c r="B15" s="24">
        <v>8.7141649537725758</v>
      </c>
      <c r="C15" s="5">
        <v>62.787235480784801</v>
      </c>
      <c r="D15" s="5">
        <v>65.996050857083574</v>
      </c>
      <c r="E15" s="6">
        <v>68.380911967950468</v>
      </c>
      <c r="F15" s="6">
        <v>75.858602553560274</v>
      </c>
      <c r="G15" s="6">
        <v>80.397772506783596</v>
      </c>
      <c r="H15" s="6">
        <v>83.774232067142066</v>
      </c>
      <c r="I15" s="6">
        <v>98.65523637265558</v>
      </c>
      <c r="J15" s="6">
        <v>97.029807398560521</v>
      </c>
      <c r="K15" s="6">
        <v>96.030794344264748</v>
      </c>
      <c r="L15" s="6">
        <v>96.619226474540611</v>
      </c>
      <c r="M15" s="6">
        <v>97.499129166170533</v>
      </c>
      <c r="N15" s="6">
        <v>98.588794205371599</v>
      </c>
      <c r="O15" s="6">
        <v>97.270333580269437</v>
      </c>
      <c r="P15" s="101">
        <v>6.74</v>
      </c>
      <c r="Q15" s="6">
        <v>100.03347598488823</v>
      </c>
      <c r="R15" s="6">
        <v>99.461737147374166</v>
      </c>
      <c r="S15" s="108">
        <v>99.168634885700143</v>
      </c>
      <c r="T15" s="7">
        <v>5.9837247199728161</v>
      </c>
      <c r="U15" s="7">
        <v>4.1996929206882916</v>
      </c>
      <c r="V15" s="7">
        <v>17.763223772182023</v>
      </c>
      <c r="W15" s="7">
        <v>-1.6475850992391683</v>
      </c>
      <c r="X15" s="7">
        <v>-1.0295939784691344</v>
      </c>
      <c r="Y15" s="7">
        <v>0.61275358003014535</v>
      </c>
      <c r="Z15" s="7">
        <v>0.91069109507078139</v>
      </c>
      <c r="AA15" s="7">
        <v>1.1176151505352561</v>
      </c>
      <c r="AB15" s="7">
        <v>-1.3373331479799466</v>
      </c>
      <c r="AC15" s="7">
        <v>-0.53603849194291397</v>
      </c>
      <c r="AD15" s="7">
        <v>-0.57154750635720619</v>
      </c>
      <c r="AE15" s="7">
        <f t="shared" si="0"/>
        <v>-0.29468846018617656</v>
      </c>
      <c r="AF15" s="80" t="s">
        <v>22</v>
      </c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BC15" s="8" t="s">
        <v>72</v>
      </c>
    </row>
    <row r="16" spans="1:68" s="8" customFormat="1" ht="18.75" customHeight="1" x14ac:dyDescent="0.25">
      <c r="A16" s="10" t="s">
        <v>23</v>
      </c>
      <c r="B16" s="24">
        <v>5.4197286759786749</v>
      </c>
      <c r="C16" s="5">
        <v>87.683380878679159</v>
      </c>
      <c r="D16" s="5">
        <v>95.725018168451655</v>
      </c>
      <c r="E16" s="6">
        <v>115.02993652927483</v>
      </c>
      <c r="F16" s="6">
        <v>117.62003560285746</v>
      </c>
      <c r="G16" s="6">
        <v>123.09882000085349</v>
      </c>
      <c r="H16" s="6">
        <v>136.10400273752558</v>
      </c>
      <c r="I16" s="6">
        <v>103.11447443846129</v>
      </c>
      <c r="J16" s="6">
        <v>110.75985912203326</v>
      </c>
      <c r="K16" s="6">
        <v>120.99690521142638</v>
      </c>
      <c r="L16" s="6">
        <v>123.58711110547449</v>
      </c>
      <c r="M16" s="6">
        <v>125.81722828813672</v>
      </c>
      <c r="N16" s="6">
        <v>125.52846282798579</v>
      </c>
      <c r="O16" s="6">
        <v>126.1113957972745</v>
      </c>
      <c r="P16" s="101">
        <v>6.63</v>
      </c>
      <c r="Q16" s="6">
        <v>99.651230898131658</v>
      </c>
      <c r="R16" s="6">
        <v>100.16020770865238</v>
      </c>
      <c r="S16" s="108">
        <v>100.14993114267816</v>
      </c>
      <c r="T16" s="7">
        <v>4.6580366770973214</v>
      </c>
      <c r="U16" s="7">
        <v>10.564831357913839</v>
      </c>
      <c r="V16" s="7">
        <v>-24.238470313532279</v>
      </c>
      <c r="W16" s="7">
        <v>7.4144631248009185</v>
      </c>
      <c r="X16" s="7">
        <v>9.2425596877241603</v>
      </c>
      <c r="Y16" s="7">
        <v>2.140720780851435</v>
      </c>
      <c r="Z16" s="7">
        <v>1.804490098291045</v>
      </c>
      <c r="AA16" s="7">
        <v>-0.22951185944870556</v>
      </c>
      <c r="AB16" s="7">
        <v>0.4643831017731026</v>
      </c>
      <c r="AC16" s="7">
        <v>1.9384082357142285</v>
      </c>
      <c r="AD16" s="7">
        <v>0.51075817722816552</v>
      </c>
      <c r="AE16" s="7">
        <f t="shared" si="0"/>
        <v>-1.026012845751767E-2</v>
      </c>
      <c r="AF16" s="80" t="s">
        <v>24</v>
      </c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BD16" s="8" t="s">
        <v>48</v>
      </c>
      <c r="BE16" s="8" t="s">
        <v>49</v>
      </c>
    </row>
    <row r="17" spans="1:70" s="8" customFormat="1" ht="14.25" x14ac:dyDescent="0.25">
      <c r="A17" s="10" t="s">
        <v>60</v>
      </c>
      <c r="B17" s="24">
        <v>5.4378723050111919</v>
      </c>
      <c r="C17" s="5">
        <v>60.859975065826738</v>
      </c>
      <c r="D17" s="5">
        <v>63.749393784738366</v>
      </c>
      <c r="E17" s="6">
        <v>77.220453300900303</v>
      </c>
      <c r="F17" s="6">
        <v>77.979582923899997</v>
      </c>
      <c r="G17" s="6">
        <v>80.571924425587255</v>
      </c>
      <c r="H17" s="6">
        <v>91.644770975471246</v>
      </c>
      <c r="I17" s="6">
        <v>99.95473548796538</v>
      </c>
      <c r="J17" s="6">
        <v>102.17949400970934</v>
      </c>
      <c r="K17" s="6">
        <v>105.37961599773739</v>
      </c>
      <c r="L17" s="6">
        <v>102.92917404156066</v>
      </c>
      <c r="M17" s="6">
        <v>101.34706519435288</v>
      </c>
      <c r="N17" s="6">
        <v>101.83981865912176</v>
      </c>
      <c r="O17" s="6">
        <v>102.86901120705778</v>
      </c>
      <c r="P17" s="101">
        <v>8.09</v>
      </c>
      <c r="Q17" s="6">
        <v>99.177907186017364</v>
      </c>
      <c r="R17" s="6">
        <v>98.121113915620427</v>
      </c>
      <c r="S17" s="108">
        <v>100.85971287891068</v>
      </c>
      <c r="T17" s="7">
        <v>3.3243849280613746</v>
      </c>
      <c r="U17" s="7">
        <v>13.742810077858314</v>
      </c>
      <c r="V17" s="7">
        <v>9.0675817332974695</v>
      </c>
      <c r="W17" s="7">
        <v>2.2257660038646376</v>
      </c>
      <c r="X17" s="7">
        <v>3.1318632168250593</v>
      </c>
      <c r="Y17" s="7">
        <v>-2.3253472058859526</v>
      </c>
      <c r="Z17" s="7">
        <v>-1.5370849537459153</v>
      </c>
      <c r="AA17" s="7">
        <v>0.48620398017833466</v>
      </c>
      <c r="AB17" s="7">
        <v>1.0105993524801349</v>
      </c>
      <c r="AC17" s="7">
        <v>0.27577567446597229</v>
      </c>
      <c r="AD17" s="7">
        <v>-1.0655531059097889</v>
      </c>
      <c r="AE17" s="7">
        <f t="shared" si="0"/>
        <v>2.791039414458063</v>
      </c>
      <c r="AF17" s="80" t="s">
        <v>26</v>
      </c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BC17" s="8">
        <v>2007</v>
      </c>
      <c r="BD17" s="26">
        <f>D24</f>
        <v>64.807540880908348</v>
      </c>
      <c r="BE17" s="26">
        <f>D25</f>
        <v>67.18924401230818</v>
      </c>
      <c r="BF17" s="26"/>
    </row>
    <row r="18" spans="1:70" s="8" customFormat="1" ht="14.25" x14ac:dyDescent="0.25">
      <c r="A18" s="10" t="s">
        <v>61</v>
      </c>
      <c r="B18" s="24">
        <v>4.7510307288693099</v>
      </c>
      <c r="C18" s="5">
        <v>115.34450273124089</v>
      </c>
      <c r="D18" s="5">
        <v>104.72754551977413</v>
      </c>
      <c r="E18" s="6">
        <v>100.9097966458598</v>
      </c>
      <c r="F18" s="6">
        <v>100.15439105359373</v>
      </c>
      <c r="G18" s="6">
        <v>100.38298344923554</v>
      </c>
      <c r="H18" s="6">
        <v>100.6195512642537</v>
      </c>
      <c r="I18" s="6">
        <v>100.00528180711392</v>
      </c>
      <c r="J18" s="6">
        <v>99.050815085253589</v>
      </c>
      <c r="K18" s="6">
        <v>100.28780520090577</v>
      </c>
      <c r="L18" s="6">
        <v>100.55782006117782</v>
      </c>
      <c r="M18" s="6">
        <v>99.79368976091358</v>
      </c>
      <c r="N18" s="6">
        <v>99.659396804799613</v>
      </c>
      <c r="O18" s="6">
        <v>100.41005623870753</v>
      </c>
      <c r="P18" s="101">
        <v>10.11</v>
      </c>
      <c r="Q18" s="6">
        <v>100.25721192236689</v>
      </c>
      <c r="R18" s="6">
        <v>90.470883420594149</v>
      </c>
      <c r="S18" s="108">
        <v>82.583730636649364</v>
      </c>
      <c r="T18" s="7">
        <v>0.22824001348027423</v>
      </c>
      <c r="U18" s="7">
        <v>0.23566525609173272</v>
      </c>
      <c r="V18" s="7">
        <v>-0.61048717612200987</v>
      </c>
      <c r="W18" s="7">
        <v>-0.95441631143169392</v>
      </c>
      <c r="X18" s="7">
        <v>1.2488439540729646</v>
      </c>
      <c r="Y18" s="7">
        <v>0.26923997362504615</v>
      </c>
      <c r="Z18" s="7">
        <v>-0.75989147318363814</v>
      </c>
      <c r="AA18" s="7">
        <v>-0.13457058901791275</v>
      </c>
      <c r="AB18" s="7">
        <v>0.75322494212783919</v>
      </c>
      <c r="AC18" s="7">
        <v>-6.6157019755708202E-2</v>
      </c>
      <c r="AD18" s="7">
        <v>-9.7612214763668881</v>
      </c>
      <c r="AE18" s="7">
        <f t="shared" si="0"/>
        <v>-8.7178907574913858</v>
      </c>
      <c r="AF18" s="80" t="s">
        <v>28</v>
      </c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BC18" s="8">
        <v>2008</v>
      </c>
      <c r="BD18" s="26">
        <f>E24</f>
        <v>72.611313924073201</v>
      </c>
      <c r="BE18" s="26">
        <f>E25</f>
        <v>75.385471686170362</v>
      </c>
      <c r="BF18" s="26"/>
    </row>
    <row r="19" spans="1:70" s="8" customFormat="1" ht="14.25" x14ac:dyDescent="0.25">
      <c r="A19" s="4" t="s">
        <v>62</v>
      </c>
      <c r="B19" s="24">
        <v>5.1031994041341724</v>
      </c>
      <c r="C19" s="5">
        <v>94.874945972791352</v>
      </c>
      <c r="D19" s="5">
        <v>96.624178349214034</v>
      </c>
      <c r="E19" s="6">
        <v>90.077187080296483</v>
      </c>
      <c r="F19" s="6">
        <v>94.587232125872092</v>
      </c>
      <c r="G19" s="6">
        <v>100.01905005623114</v>
      </c>
      <c r="H19" s="6">
        <v>97.89290317146407</v>
      </c>
      <c r="I19" s="6">
        <v>99.531777140452178</v>
      </c>
      <c r="J19" s="6">
        <v>98.82807875047888</v>
      </c>
      <c r="K19" s="6">
        <v>102.2003441480955</v>
      </c>
      <c r="L19" s="6">
        <v>101.95630588932649</v>
      </c>
      <c r="M19" s="6">
        <v>100.69713942933714</v>
      </c>
      <c r="N19" s="6">
        <v>100.58404074832116</v>
      </c>
      <c r="O19" s="6">
        <v>99.029706628505878</v>
      </c>
      <c r="P19" s="101">
        <v>2.5299999999999998</v>
      </c>
      <c r="Q19" s="6">
        <v>100.42641155289699</v>
      </c>
      <c r="R19" s="6">
        <v>100.19763794724838</v>
      </c>
      <c r="S19" s="108">
        <v>102.15559102437322</v>
      </c>
      <c r="T19" s="7">
        <v>5.7426544875852192</v>
      </c>
      <c r="U19" s="7">
        <v>-2.1257419297341262</v>
      </c>
      <c r="V19" s="7">
        <v>1.6741499290480188</v>
      </c>
      <c r="W19" s="7">
        <v>-0.70700876663770673</v>
      </c>
      <c r="X19" s="7">
        <v>3.4122543312117948</v>
      </c>
      <c r="Y19" s="7">
        <v>-0.2387841849293415</v>
      </c>
      <c r="Z19" s="7">
        <v>-1.2350059655517276</v>
      </c>
      <c r="AA19" s="7">
        <v>-0.1123156840968198</v>
      </c>
      <c r="AB19" s="7">
        <v>-1.545308886232255</v>
      </c>
      <c r="AC19" s="7">
        <v>-2.0789371282205926</v>
      </c>
      <c r="AD19" s="7">
        <v>-0.22780223061948934</v>
      </c>
      <c r="AE19" s="7">
        <f t="shared" si="0"/>
        <v>1.954091051682938</v>
      </c>
      <c r="AF19" s="81" t="s">
        <v>30</v>
      </c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BC19" s="8">
        <v>2009</v>
      </c>
      <c r="BD19" s="26">
        <f>F24</f>
        <v>75.900734670117231</v>
      </c>
      <c r="BE19" s="26">
        <f>F25</f>
        <v>79.51493809042644</v>
      </c>
      <c r="BF19" s="26"/>
    </row>
    <row r="20" spans="1:70" s="8" customFormat="1" ht="14.25" x14ac:dyDescent="0.25">
      <c r="A20" s="9" t="s">
        <v>63</v>
      </c>
      <c r="B20" s="24">
        <v>2.4983461177360984</v>
      </c>
      <c r="C20" s="5">
        <v>47.049388033467601</v>
      </c>
      <c r="D20" s="5">
        <v>48.13102192510862</v>
      </c>
      <c r="E20" s="6">
        <v>49.012472981378899</v>
      </c>
      <c r="F20" s="6">
        <v>66.212440093936394</v>
      </c>
      <c r="G20" s="6">
        <v>72.465176121953334</v>
      </c>
      <c r="H20" s="6">
        <v>85.752154766717368</v>
      </c>
      <c r="I20" s="6">
        <v>100.26897294373833</v>
      </c>
      <c r="J20" s="6">
        <v>105.75107702222947</v>
      </c>
      <c r="K20" s="6">
        <v>110.56855328746506</v>
      </c>
      <c r="L20" s="6">
        <v>119.00762505009182</v>
      </c>
      <c r="M20" s="6">
        <v>124.80292719209795</v>
      </c>
      <c r="N20" s="6">
        <v>130.07859259520549</v>
      </c>
      <c r="O20" s="6">
        <v>133.11915518648536</v>
      </c>
      <c r="P20" s="101">
        <v>3.93</v>
      </c>
      <c r="Q20" s="6">
        <v>99.997620891203681</v>
      </c>
      <c r="R20" s="6">
        <v>99.911814142191687</v>
      </c>
      <c r="S20" s="108">
        <v>100.26970732814955</v>
      </c>
      <c r="T20" s="7">
        <v>9.4434460037209114</v>
      </c>
      <c r="U20" s="7">
        <v>18.335674258768186</v>
      </c>
      <c r="V20" s="7">
        <v>16.928808630538718</v>
      </c>
      <c r="W20" s="7">
        <v>5.4673982564548584</v>
      </c>
      <c r="X20" s="7">
        <v>4.5554867154903089</v>
      </c>
      <c r="Y20" s="7">
        <v>7.6324339169801414</v>
      </c>
      <c r="Z20" s="7">
        <v>4.8696897695142072</v>
      </c>
      <c r="AA20" s="7">
        <v>4.2271968469034249</v>
      </c>
      <c r="AB20" s="7">
        <v>2.3374811570585408</v>
      </c>
      <c r="AC20" s="7">
        <v>2.452904272407519E-2</v>
      </c>
      <c r="AD20" s="7">
        <v>-8.5808790496477716E-2</v>
      </c>
      <c r="AE20" s="7">
        <f t="shared" si="0"/>
        <v>0.35820907570403016</v>
      </c>
      <c r="AF20" s="81" t="s">
        <v>32</v>
      </c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BC20" s="8">
        <v>2010</v>
      </c>
      <c r="BD20" s="26">
        <f>G24</f>
        <v>80.568542845421106</v>
      </c>
      <c r="BE20" s="27">
        <f>G25</f>
        <v>84.338371332150743</v>
      </c>
      <c r="BF20" s="26"/>
    </row>
    <row r="21" spans="1:70" s="8" customFormat="1" ht="14.25" x14ac:dyDescent="0.25">
      <c r="A21" s="9" t="s">
        <v>64</v>
      </c>
      <c r="B21" s="24">
        <v>3.0243474234302665</v>
      </c>
      <c r="C21" s="5">
        <v>49.094342913656533</v>
      </c>
      <c r="D21" s="5">
        <v>57.310377045571919</v>
      </c>
      <c r="E21" s="6">
        <v>66.268774405103429</v>
      </c>
      <c r="F21" s="6">
        <v>67.972496509520113</v>
      </c>
      <c r="G21" s="6">
        <v>70.167294544238487</v>
      </c>
      <c r="H21" s="6">
        <v>81.124231104476152</v>
      </c>
      <c r="I21" s="6">
        <v>103.56604942649903</v>
      </c>
      <c r="J21" s="6">
        <v>115.92908544747458</v>
      </c>
      <c r="K21" s="6">
        <v>121.3287709962447</v>
      </c>
      <c r="L21" s="6">
        <v>121.06073734975051</v>
      </c>
      <c r="M21" s="6">
        <v>123.14673548135868</v>
      </c>
      <c r="N21" s="6">
        <v>125.6295963585136</v>
      </c>
      <c r="O21" s="6">
        <v>128.2294953174422</v>
      </c>
      <c r="P21" s="101">
        <v>4.92</v>
      </c>
      <c r="Q21" s="6">
        <v>99.155419008916851</v>
      </c>
      <c r="R21" s="6">
        <v>100.13952412632808</v>
      </c>
      <c r="S21" s="108">
        <v>100.50787945146017</v>
      </c>
      <c r="T21" s="7">
        <v>3.2289501598796955</v>
      </c>
      <c r="U21" s="7">
        <v>15.615446813799583</v>
      </c>
      <c r="V21" s="7">
        <v>27.663520524615027</v>
      </c>
      <c r="W21" s="7">
        <v>11.937344418790063</v>
      </c>
      <c r="X21" s="7">
        <v>4.6577487676434881</v>
      </c>
      <c r="Y21" s="7">
        <v>-0.22091515828713826</v>
      </c>
      <c r="Z21" s="7">
        <v>1.7231004678103012</v>
      </c>
      <c r="AA21" s="7">
        <v>2.0161808329306252</v>
      </c>
      <c r="AB21" s="7">
        <v>2.0694955920332436</v>
      </c>
      <c r="AC21" s="7">
        <v>4.0352113606513917</v>
      </c>
      <c r="AD21" s="7">
        <v>0.99248747798921233</v>
      </c>
      <c r="AE21" s="7">
        <f t="shared" si="0"/>
        <v>0.36784209666045342</v>
      </c>
      <c r="AF21" s="81" t="s">
        <v>34</v>
      </c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BC21" s="8">
        <v>2011</v>
      </c>
      <c r="BD21" s="26">
        <f>H24</f>
        <v>89.651368722070842</v>
      </c>
      <c r="BE21" s="27">
        <f>H25</f>
        <v>91.679051572020867</v>
      </c>
      <c r="BF21" s="26"/>
    </row>
    <row r="22" spans="1:70" s="8" customFormat="1" ht="17.25" x14ac:dyDescent="0.25">
      <c r="A22" s="9" t="s">
        <v>65</v>
      </c>
      <c r="B22" s="24" t="s">
        <v>2</v>
      </c>
      <c r="C22" s="24" t="s">
        <v>2</v>
      </c>
      <c r="D22" s="24" t="s">
        <v>2</v>
      </c>
      <c r="E22" s="24" t="s">
        <v>2</v>
      </c>
      <c r="F22" s="24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5" t="s">
        <v>2</v>
      </c>
      <c r="L22" s="5" t="s">
        <v>2</v>
      </c>
      <c r="M22" s="5" t="s">
        <v>2</v>
      </c>
      <c r="N22" s="5" t="s">
        <v>2</v>
      </c>
      <c r="O22" s="5" t="s">
        <v>2</v>
      </c>
      <c r="P22" s="101">
        <v>0.11</v>
      </c>
      <c r="Q22" s="6">
        <v>100</v>
      </c>
      <c r="R22" s="6">
        <v>100</v>
      </c>
      <c r="S22" s="108">
        <v>100</v>
      </c>
      <c r="T22" s="7" t="s">
        <v>2</v>
      </c>
      <c r="U22" s="7" t="s">
        <v>2</v>
      </c>
      <c r="V22" s="7" t="s">
        <v>2</v>
      </c>
      <c r="W22" s="7" t="s">
        <v>2</v>
      </c>
      <c r="X22" s="7" t="s">
        <v>2</v>
      </c>
      <c r="Y22" s="7" t="s">
        <v>2</v>
      </c>
      <c r="Z22" s="7" t="s">
        <v>2</v>
      </c>
      <c r="AA22" s="7" t="s">
        <v>2</v>
      </c>
      <c r="AB22" s="7" t="s">
        <v>2</v>
      </c>
      <c r="AC22" s="7" t="s">
        <v>2</v>
      </c>
      <c r="AD22" s="7">
        <v>0</v>
      </c>
      <c r="AE22" s="7">
        <f t="shared" si="0"/>
        <v>0</v>
      </c>
      <c r="AF22" s="78" t="s">
        <v>68</v>
      </c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BD22" s="26"/>
      <c r="BE22" s="27"/>
      <c r="BF22" s="26"/>
    </row>
    <row r="23" spans="1:70" s="8" customFormat="1" ht="25.5" x14ac:dyDescent="0.25">
      <c r="A23" s="4" t="s">
        <v>66</v>
      </c>
      <c r="B23" s="24">
        <v>7.1810709833581452</v>
      </c>
      <c r="C23" s="5">
        <v>66.045812015945941</v>
      </c>
      <c r="D23" s="5">
        <v>67.578746700557247</v>
      </c>
      <c r="E23" s="6">
        <v>71.846737489273423</v>
      </c>
      <c r="F23" s="6">
        <v>76.948539555294857</v>
      </c>
      <c r="G23" s="6">
        <v>80.738363693637908</v>
      </c>
      <c r="H23" s="6">
        <v>86.725904563278689</v>
      </c>
      <c r="I23" s="6">
        <v>100.59989156921542</v>
      </c>
      <c r="J23" s="6">
        <v>99.01609787482279</v>
      </c>
      <c r="K23" s="6">
        <v>98.892634758290214</v>
      </c>
      <c r="L23" s="6">
        <v>98.735605526974709</v>
      </c>
      <c r="M23" s="6">
        <v>98.469134997835681</v>
      </c>
      <c r="N23" s="6">
        <v>98.317889337161489</v>
      </c>
      <c r="O23" s="6">
        <v>97.662171177004552</v>
      </c>
      <c r="P23" s="101">
        <v>5.46</v>
      </c>
      <c r="Q23" s="6">
        <v>99.967391567614428</v>
      </c>
      <c r="R23" s="6">
        <v>99.879452184790821</v>
      </c>
      <c r="S23" s="108">
        <v>99.955138511880179</v>
      </c>
      <c r="T23" s="7">
        <v>4.9251410881160362</v>
      </c>
      <c r="U23" s="7">
        <v>7.4159799576327012</v>
      </c>
      <c r="V23" s="7">
        <v>15.997512018815229</v>
      </c>
      <c r="W23" s="7">
        <v>-1.5743493056381008</v>
      </c>
      <c r="X23" s="7">
        <v>-0.12468994353691532</v>
      </c>
      <c r="Y23" s="7">
        <v>-0.15878758989413821</v>
      </c>
      <c r="Z23" s="7">
        <v>-0.2698829137845582</v>
      </c>
      <c r="AA23" s="7">
        <v>-0.15359702375522533</v>
      </c>
      <c r="AB23" s="7">
        <v>-0.66693677475956337</v>
      </c>
      <c r="AC23" s="7">
        <v>-0.27993231194257673</v>
      </c>
      <c r="AD23" s="7">
        <v>-8.7968067831523111E-2</v>
      </c>
      <c r="AE23" s="7">
        <f t="shared" si="0"/>
        <v>7.5777675421484503E-2</v>
      </c>
      <c r="AF23" s="90" t="s">
        <v>36</v>
      </c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BC23" s="8">
        <v>2012</v>
      </c>
      <c r="BD23" s="26">
        <f>I24</f>
        <v>99.409647361204449</v>
      </c>
      <c r="BE23" s="27">
        <f>I25</f>
        <v>100.14126599840249</v>
      </c>
    </row>
    <row r="24" spans="1:70" s="15" customFormat="1" ht="14.25" x14ac:dyDescent="0.25">
      <c r="A24" s="11" t="s">
        <v>37</v>
      </c>
      <c r="B24" s="28">
        <f>SUM(B8,B12:B13,B11,B15:B23)</f>
        <v>100.00000000000003</v>
      </c>
      <c r="C24" s="12">
        <v>60.684187749186492</v>
      </c>
      <c r="D24" s="12">
        <v>64.807540880908348</v>
      </c>
      <c r="E24" s="13">
        <v>72.611313924073201</v>
      </c>
      <c r="F24" s="13">
        <v>75.900734670117231</v>
      </c>
      <c r="G24" s="13">
        <v>80.568542845421106</v>
      </c>
      <c r="H24" s="13">
        <v>89.651368722070842</v>
      </c>
      <c r="I24" s="13">
        <v>99.409647361204449</v>
      </c>
      <c r="J24" s="13">
        <v>103.19281073321666</v>
      </c>
      <c r="K24" s="13">
        <v>105.38050013404563</v>
      </c>
      <c r="L24" s="13">
        <v>106.38499407837655</v>
      </c>
      <c r="M24" s="13">
        <v>106.91958868829052</v>
      </c>
      <c r="N24" s="13">
        <v>109.93201964009602</v>
      </c>
      <c r="O24" s="13">
        <v>109.78539958307455</v>
      </c>
      <c r="P24" s="104">
        <v>100</v>
      </c>
      <c r="Q24" s="13">
        <v>99.704026856120265</v>
      </c>
      <c r="R24" s="13">
        <v>98.338306764350818</v>
      </c>
      <c r="S24" s="109">
        <v>98.872430971450569</v>
      </c>
      <c r="T24" s="14">
        <v>6.1498853675017617</v>
      </c>
      <c r="U24" s="14">
        <v>11.273414605593723</v>
      </c>
      <c r="V24" s="14">
        <v>10.884695658563071</v>
      </c>
      <c r="W24" s="14">
        <v>3.8056300091942941</v>
      </c>
      <c r="X24" s="14">
        <v>2.1200017571813001</v>
      </c>
      <c r="Y24" s="14">
        <v>0.95</v>
      </c>
      <c r="Z24" s="14">
        <v>0.50250941361158485</v>
      </c>
      <c r="AA24" s="14">
        <v>2.8174733823451481</v>
      </c>
      <c r="AB24" s="14">
        <v>-0.13337338611760785</v>
      </c>
      <c r="AC24" s="14">
        <v>0.22002973106536317</v>
      </c>
      <c r="AD24" s="14">
        <v>-1.3697742556980863</v>
      </c>
      <c r="AE24" s="14">
        <f>((S24/R24)-1)*100</f>
        <v>0.54314968873694358</v>
      </c>
      <c r="AF24" s="82" t="s">
        <v>38</v>
      </c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92"/>
      <c r="BC24" s="15">
        <v>2013</v>
      </c>
      <c r="BD24" s="29">
        <f>J24</f>
        <v>103.19281073321666</v>
      </c>
      <c r="BE24" s="29">
        <f>J25</f>
        <v>103.07423491391059</v>
      </c>
    </row>
    <row r="25" spans="1:70" s="8" customFormat="1" ht="14.25" x14ac:dyDescent="0.25">
      <c r="A25" s="17" t="s">
        <v>39</v>
      </c>
      <c r="B25" s="30">
        <f>B24-B10</f>
        <v>91.353666078543981</v>
      </c>
      <c r="C25" s="16">
        <v>64.052485645287277</v>
      </c>
      <c r="D25" s="16">
        <v>67.18924401230818</v>
      </c>
      <c r="E25" s="16">
        <v>75.385471686170362</v>
      </c>
      <c r="F25" s="16">
        <v>79.51493809042644</v>
      </c>
      <c r="G25" s="16">
        <v>84.338371332150743</v>
      </c>
      <c r="H25" s="16">
        <v>91.679051572020867</v>
      </c>
      <c r="I25" s="16">
        <v>100.14126599840249</v>
      </c>
      <c r="J25" s="16">
        <v>103.07423491391059</v>
      </c>
      <c r="K25" s="16">
        <v>105.29983112357628</v>
      </c>
      <c r="L25" s="16">
        <v>106.44622541898161</v>
      </c>
      <c r="M25" s="16">
        <v>107.1902747590181</v>
      </c>
      <c r="N25" s="16">
        <v>110.17175267946645</v>
      </c>
      <c r="O25" s="16">
        <v>109.83680520270974</v>
      </c>
      <c r="P25" s="103">
        <f>P24-P10</f>
        <v>95.9</v>
      </c>
      <c r="Q25" s="16">
        <v>99.768516719136173</v>
      </c>
      <c r="R25" s="16">
        <v>98.217948718411449</v>
      </c>
      <c r="S25" s="110">
        <v>98.810874358558848</v>
      </c>
      <c r="T25" s="16">
        <v>6.0660718068332953</v>
      </c>
      <c r="U25" s="16">
        <v>8.7038439608470028</v>
      </c>
      <c r="V25" s="16">
        <v>9.2302595645133998</v>
      </c>
      <c r="W25" s="16">
        <v>2.9288314724869702</v>
      </c>
      <c r="X25" s="16">
        <v>2.159216812546938</v>
      </c>
      <c r="Y25" s="16">
        <v>1.0900000000000001</v>
      </c>
      <c r="Z25" s="16">
        <v>0.69899081635618199</v>
      </c>
      <c r="AA25" s="16">
        <v>2.7814817409053338</v>
      </c>
      <c r="AB25" s="16">
        <v>-0.30402300826710693</v>
      </c>
      <c r="AC25" s="16">
        <v>0.47629554571719801</v>
      </c>
      <c r="AD25" s="16">
        <v>-1.554165634325122</v>
      </c>
      <c r="AE25" s="16">
        <f t="shared" si="0"/>
        <v>0.60368359132332294</v>
      </c>
      <c r="AF25" s="83" t="s">
        <v>40</v>
      </c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BC25" s="15">
        <v>2014</v>
      </c>
      <c r="BD25" s="29">
        <f>K24</f>
        <v>105.38050013404563</v>
      </c>
      <c r="BE25" s="29">
        <f>K25</f>
        <v>105.29983112357628</v>
      </c>
    </row>
    <row r="26" spans="1:70" s="34" customFormat="1" ht="15.75" customHeight="1" x14ac:dyDescent="0.2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3"/>
      <c r="M26" s="33"/>
      <c r="N26" s="33"/>
      <c r="O26" s="33"/>
      <c r="P26" s="33"/>
      <c r="Q26" s="33"/>
      <c r="R26" s="33"/>
      <c r="S26" s="33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93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15">
        <v>2015</v>
      </c>
      <c r="BD26" s="29">
        <f>L24</f>
        <v>106.38499407837655</v>
      </c>
      <c r="BE26" s="29">
        <f>L25</f>
        <v>106.44622541898161</v>
      </c>
    </row>
    <row r="27" spans="1:70" ht="21" customHeight="1" x14ac:dyDescent="0.35">
      <c r="A27" s="18"/>
      <c r="B27" s="117" t="s">
        <v>71</v>
      </c>
      <c r="C27" s="117" t="s">
        <v>6</v>
      </c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30" t="s">
        <v>71</v>
      </c>
      <c r="Q27" s="117"/>
      <c r="R27" s="117"/>
      <c r="S27" s="131"/>
      <c r="T27" s="124" t="s">
        <v>43</v>
      </c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86"/>
      <c r="BC27" s="15">
        <v>2016</v>
      </c>
      <c r="BD27" s="29">
        <f>M24</f>
        <v>106.91958868829052</v>
      </c>
      <c r="BE27" s="29">
        <f>M25</f>
        <v>107.1902747590181</v>
      </c>
    </row>
    <row r="28" spans="1:70" ht="28.5" customHeight="1" x14ac:dyDescent="0.2">
      <c r="A28" s="35" t="s">
        <v>51</v>
      </c>
      <c r="B28" s="129"/>
      <c r="C28" s="118" t="s">
        <v>74</v>
      </c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32"/>
      <c r="Q28" s="129"/>
      <c r="R28" s="129"/>
      <c r="S28" s="133"/>
      <c r="T28" s="123" t="s">
        <v>44</v>
      </c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87" t="s">
        <v>52</v>
      </c>
      <c r="BC28" s="15">
        <v>2017</v>
      </c>
      <c r="BD28" s="29">
        <f>N24</f>
        <v>109.93201964009602</v>
      </c>
      <c r="BE28" s="29">
        <f>N25</f>
        <v>110.17175267946645</v>
      </c>
    </row>
    <row r="29" spans="1:70" ht="14.25" x14ac:dyDescent="0.2">
      <c r="A29" s="36"/>
      <c r="B29" s="20" t="s">
        <v>45</v>
      </c>
      <c r="C29" s="37">
        <v>2006</v>
      </c>
      <c r="D29" s="37">
        <v>2007</v>
      </c>
      <c r="E29" s="37">
        <v>2008</v>
      </c>
      <c r="F29" s="37">
        <v>2009</v>
      </c>
      <c r="G29" s="37">
        <v>2010</v>
      </c>
      <c r="H29" s="37">
        <v>2011</v>
      </c>
      <c r="I29" s="37">
        <v>2012</v>
      </c>
      <c r="J29" s="37">
        <v>2013</v>
      </c>
      <c r="K29" s="37">
        <v>2014</v>
      </c>
      <c r="L29" s="38">
        <v>2015</v>
      </c>
      <c r="M29" s="20">
        <v>2016</v>
      </c>
      <c r="N29" s="20">
        <v>2017</v>
      </c>
      <c r="O29" s="20">
        <v>2018</v>
      </c>
      <c r="P29" s="98" t="s">
        <v>45</v>
      </c>
      <c r="Q29" s="20" t="s">
        <v>70</v>
      </c>
      <c r="R29" s="20">
        <v>2020</v>
      </c>
      <c r="S29" s="105">
        <v>2021</v>
      </c>
      <c r="T29" s="23">
        <v>2010</v>
      </c>
      <c r="U29" s="23">
        <v>2011</v>
      </c>
      <c r="V29" s="23">
        <v>2012</v>
      </c>
      <c r="W29" s="23">
        <v>2013</v>
      </c>
      <c r="X29" s="23">
        <v>2014</v>
      </c>
      <c r="Y29" s="23">
        <v>2015</v>
      </c>
      <c r="Z29" s="23">
        <v>2016</v>
      </c>
      <c r="AA29" s="23">
        <v>2017</v>
      </c>
      <c r="AB29" s="23">
        <v>2018</v>
      </c>
      <c r="AC29" s="23">
        <v>2019</v>
      </c>
      <c r="AD29" s="23">
        <v>2020</v>
      </c>
      <c r="AE29" s="23">
        <v>2021</v>
      </c>
      <c r="AF29" s="88"/>
      <c r="BC29" s="15">
        <v>2018</v>
      </c>
      <c r="BD29" s="29">
        <f>O24</f>
        <v>109.78539958307455</v>
      </c>
      <c r="BE29" s="29">
        <f>O25</f>
        <v>109.83680520270974</v>
      </c>
    </row>
    <row r="30" spans="1:70" s="40" customFormat="1" ht="18" customHeight="1" x14ac:dyDescent="0.2">
      <c r="A30" s="4" t="s">
        <v>8</v>
      </c>
      <c r="B30" s="24">
        <v>23.78411261195577</v>
      </c>
      <c r="C30" s="5">
        <v>46.54226956659236</v>
      </c>
      <c r="D30" s="5">
        <v>54.070703301292049</v>
      </c>
      <c r="E30" s="6">
        <v>64.381973226397193</v>
      </c>
      <c r="F30" s="6">
        <v>64.715472651196961</v>
      </c>
      <c r="G30" s="6">
        <v>69.554480633976965</v>
      </c>
      <c r="H30" s="6">
        <v>83.416709968576413</v>
      </c>
      <c r="I30" s="6">
        <v>98.167408450774488</v>
      </c>
      <c r="J30" s="6">
        <v>105.5418979724201</v>
      </c>
      <c r="K30" s="6">
        <v>106.60711823254361</v>
      </c>
      <c r="L30" s="25">
        <v>107.44921725072059</v>
      </c>
      <c r="M30" s="25">
        <f>[2]Male!$OC$4</f>
        <v>106.21438956055287</v>
      </c>
      <c r="N30" s="25">
        <v>109.84186445841966</v>
      </c>
      <c r="O30" s="25">
        <v>108.28551440676121</v>
      </c>
      <c r="P30" s="99">
        <v>18.420000000000002</v>
      </c>
      <c r="Q30" s="25">
        <v>99.419992215007099</v>
      </c>
      <c r="R30" s="6">
        <v>102.42356587098804</v>
      </c>
      <c r="S30" s="108">
        <v>104.88505231359234</v>
      </c>
      <c r="T30" s="7">
        <v>7.4773586354862198</v>
      </c>
      <c r="U30" s="7">
        <v>19.930030687092536</v>
      </c>
      <c r="V30" s="7">
        <v>17.683145844225635</v>
      </c>
      <c r="W30" s="7">
        <v>7.5121566699435816</v>
      </c>
      <c r="X30" s="7">
        <v>1.0092866251105947</v>
      </c>
      <c r="Y30" s="7">
        <v>0.78990880922238382</v>
      </c>
      <c r="Z30" s="7">
        <v>-1.1492198098441153</v>
      </c>
      <c r="AA30" s="7">
        <v>3.4152386629297204</v>
      </c>
      <c r="AB30" s="7">
        <v>-1.4169006137433215</v>
      </c>
      <c r="AC30" s="7">
        <v>-0.9464952291403983</v>
      </c>
      <c r="AD30" s="7">
        <v>3.021096249419708</v>
      </c>
      <c r="AE30" s="7">
        <v>2.4032422828402344</v>
      </c>
      <c r="AF30" s="80" t="s">
        <v>9</v>
      </c>
      <c r="AG30" s="3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C30" s="15">
        <v>2019</v>
      </c>
      <c r="BD30" s="29">
        <f>Q24</f>
        <v>99.704026856120265</v>
      </c>
      <c r="BE30" s="29">
        <f>Q25</f>
        <v>99.768516719136173</v>
      </c>
      <c r="BF30" s="41"/>
      <c r="BG30" s="41"/>
      <c r="BH30" s="41"/>
      <c r="BI30" s="41"/>
      <c r="BJ30" s="41"/>
      <c r="BK30" s="41"/>
      <c r="BL30" s="42"/>
      <c r="BR30" s="43"/>
    </row>
    <row r="31" spans="1:70" s="40" customFormat="1" ht="18" customHeight="1" x14ac:dyDescent="0.2">
      <c r="A31" s="4" t="s">
        <v>10</v>
      </c>
      <c r="B31" s="24">
        <f>B30-B32</f>
        <v>16.141190180918223</v>
      </c>
      <c r="C31" s="5">
        <v>56.866771691184077</v>
      </c>
      <c r="D31" s="5">
        <v>62.767090501684173</v>
      </c>
      <c r="E31" s="6">
        <v>76.153290746199403</v>
      </c>
      <c r="F31" s="6">
        <v>78.381813378991197</v>
      </c>
      <c r="G31" s="6">
        <v>84.204150454829019</v>
      </c>
      <c r="H31" s="6">
        <v>94.794400673064558</v>
      </c>
      <c r="I31" s="6">
        <v>99.776621425288184</v>
      </c>
      <c r="J31" s="6">
        <v>106.34377466951754</v>
      </c>
      <c r="K31" s="6">
        <v>106.61664175076959</v>
      </c>
      <c r="L31" s="6">
        <v>108.00177303732585</v>
      </c>
      <c r="M31" s="6">
        <f>[2]Male!$OC$485</f>
        <v>108.54418419912565</v>
      </c>
      <c r="N31" s="6">
        <v>114.09709413054804</v>
      </c>
      <c r="O31" s="6">
        <v>112.49068892940353</v>
      </c>
      <c r="P31" s="100">
        <v>15.16</v>
      </c>
      <c r="Q31" s="6">
        <v>99.551962393931163</v>
      </c>
      <c r="R31" s="6">
        <v>103.21761230146035</v>
      </c>
      <c r="S31" s="108">
        <v>106.29926493255158</v>
      </c>
      <c r="T31" s="7">
        <v>7.4281734816285638</v>
      </c>
      <c r="U31" s="7">
        <v>12.576874371432133</v>
      </c>
      <c r="V31" s="7">
        <v>5.2558175555186493</v>
      </c>
      <c r="W31" s="7">
        <v>6.5818556996809052</v>
      </c>
      <c r="X31" s="7">
        <v>0.25658961429573246</v>
      </c>
      <c r="Y31" s="7">
        <v>1.2991698704918786</v>
      </c>
      <c r="Z31" s="7">
        <v>0.50222431219935082</v>
      </c>
      <c r="AA31" s="7">
        <v>5.1158060400873229</v>
      </c>
      <c r="AB31" s="7">
        <v>-1.4079282328667286</v>
      </c>
      <c r="AC31" s="7">
        <v>-0.31303885346686267</v>
      </c>
      <c r="AD31" s="7">
        <v>3.6821473121986914</v>
      </c>
      <c r="AE31" s="7">
        <v>2.9855879848207145</v>
      </c>
      <c r="AF31" s="80" t="s">
        <v>11</v>
      </c>
      <c r="AG31" s="3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C31" s="3">
        <v>2020</v>
      </c>
      <c r="BD31" s="29">
        <v>98.338306764350818</v>
      </c>
      <c r="BE31" s="29">
        <v>98.217948718411449</v>
      </c>
      <c r="BF31" s="39"/>
      <c r="BG31" s="39"/>
      <c r="BH31" s="39"/>
      <c r="BI31" s="39"/>
      <c r="BJ31" s="39"/>
      <c r="BK31" s="39"/>
      <c r="BL31" s="42"/>
      <c r="BR31" s="43"/>
    </row>
    <row r="32" spans="1:70" s="40" customFormat="1" ht="14.25" x14ac:dyDescent="0.2">
      <c r="A32" s="9" t="s">
        <v>12</v>
      </c>
      <c r="B32" s="24">
        <v>7.6429224310375492</v>
      </c>
      <c r="C32" s="5">
        <v>22.898483196595674</v>
      </c>
      <c r="D32" s="5">
        <v>34.155406788630842</v>
      </c>
      <c r="E32" s="6">
        <v>37.424884799955599</v>
      </c>
      <c r="F32" s="6">
        <v>33.418656908585071</v>
      </c>
      <c r="G32" s="6">
        <v>36.005776836416281</v>
      </c>
      <c r="H32" s="6">
        <v>57.361052741283949</v>
      </c>
      <c r="I32" s="6">
        <v>94.406157167404913</v>
      </c>
      <c r="J32" s="6">
        <v>103.84840384287946</v>
      </c>
      <c r="K32" s="6">
        <v>106.58700538693205</v>
      </c>
      <c r="L32" s="6">
        <v>106.28226728915327</v>
      </c>
      <c r="M32" s="6">
        <f>[2]Male!$OC$38</f>
        <v>101.29406507957015</v>
      </c>
      <c r="N32" s="6">
        <v>100.85518795855286</v>
      </c>
      <c r="O32" s="6">
        <v>99.404550047071211</v>
      </c>
      <c r="P32" s="100">
        <v>3.25</v>
      </c>
      <c r="Q32" s="107">
        <v>98.807594686360005</v>
      </c>
      <c r="R32" s="6">
        <v>98.723795686242113</v>
      </c>
      <c r="S32" s="108">
        <v>98.129901340669633</v>
      </c>
      <c r="T32" s="7">
        <v>7.7415436979054508</v>
      </c>
      <c r="U32" s="7">
        <v>59.310693397590896</v>
      </c>
      <c r="V32" s="7">
        <v>64.582330092869483</v>
      </c>
      <c r="W32" s="7">
        <v>10.001727597842125</v>
      </c>
      <c r="X32" s="7">
        <v>2.6371147198333666</v>
      </c>
      <c r="Y32" s="7">
        <v>-0.28590548788993697</v>
      </c>
      <c r="Z32" s="7">
        <v>-4.6933532157458995</v>
      </c>
      <c r="AA32" s="7">
        <v>-0.43327032109189423</v>
      </c>
      <c r="AB32" s="7">
        <v>-1.4383374230364843</v>
      </c>
      <c r="AC32" s="7">
        <v>-2.7473480210953194</v>
      </c>
      <c r="AD32" s="7">
        <v>-8.4810282432123962E-2</v>
      </c>
      <c r="AE32" s="7">
        <v>-0.60157162864762359</v>
      </c>
      <c r="AF32" s="80" t="s">
        <v>13</v>
      </c>
      <c r="AG32" s="3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">
        <v>2021</v>
      </c>
      <c r="BD32" s="29">
        <f>S24</f>
        <v>98.872430971450569</v>
      </c>
      <c r="BE32" s="29">
        <f>S25</f>
        <v>98.810874358558848</v>
      </c>
      <c r="BF32" s="39"/>
      <c r="BG32" s="39"/>
      <c r="BH32" s="39"/>
      <c r="BI32" s="39"/>
      <c r="BJ32" s="39"/>
      <c r="BK32" s="39"/>
      <c r="BL32" s="42"/>
      <c r="BR32" s="43"/>
    </row>
    <row r="33" spans="1:70" s="40" customFormat="1" ht="14.25" x14ac:dyDescent="0.2">
      <c r="A33" s="9" t="s">
        <v>14</v>
      </c>
      <c r="B33" s="24">
        <v>1.2551264274393874</v>
      </c>
      <c r="C33" s="5">
        <v>49.327553362016907</v>
      </c>
      <c r="D33" s="5">
        <v>49.926435555846972</v>
      </c>
      <c r="E33" s="6">
        <v>51.632567552779186</v>
      </c>
      <c r="F33" s="6">
        <v>50.700704461040182</v>
      </c>
      <c r="G33" s="6">
        <v>50.532891620339313</v>
      </c>
      <c r="H33" s="6">
        <v>64.296766109008189</v>
      </c>
      <c r="I33" s="6">
        <v>101.10997281948137</v>
      </c>
      <c r="J33" s="6">
        <v>98.191752361218789</v>
      </c>
      <c r="K33" s="6">
        <v>101.20504904236994</v>
      </c>
      <c r="L33" s="6">
        <v>116.20524691029136</v>
      </c>
      <c r="M33" s="6">
        <f>[2]Male!$OC$156</f>
        <v>119.42144298997056</v>
      </c>
      <c r="N33" s="6">
        <v>153.44593309791097</v>
      </c>
      <c r="O33" s="6">
        <v>171.15864688702308</v>
      </c>
      <c r="P33" s="100">
        <v>1.27</v>
      </c>
      <c r="Q33" s="6">
        <v>99.950827291526878</v>
      </c>
      <c r="R33" s="6">
        <v>113.12464998826887</v>
      </c>
      <c r="S33" s="108">
        <v>132.98445598325364</v>
      </c>
      <c r="T33" s="7">
        <v>-0.33098719728800186</v>
      </c>
      <c r="U33" s="7">
        <v>27.237456728340014</v>
      </c>
      <c r="V33" s="7">
        <v>57.255145069132077</v>
      </c>
      <c r="W33" s="7">
        <v>-2.8861845937518726</v>
      </c>
      <c r="X33" s="7">
        <v>3.068787967105524</v>
      </c>
      <c r="Y33" s="7">
        <v>14.821590434328558</v>
      </c>
      <c r="Z33" s="7">
        <v>2.7676857673750721</v>
      </c>
      <c r="AA33" s="7">
        <v>28.491106166585102</v>
      </c>
      <c r="AB33" s="7">
        <v>11.543293088002503</v>
      </c>
      <c r="AC33" s="7">
        <v>-3.2860947374332201</v>
      </c>
      <c r="AD33" s="7">
        <v>13.180303809109928</v>
      </c>
      <c r="AE33" s="7">
        <v>17.555683926575028</v>
      </c>
      <c r="AF33" s="80" t="s">
        <v>41</v>
      </c>
      <c r="AG33" s="3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"/>
      <c r="BD33" s="29"/>
      <c r="BE33" s="29"/>
      <c r="BF33" s="39"/>
      <c r="BG33" s="39"/>
      <c r="BH33" s="39"/>
      <c r="BI33" s="39"/>
      <c r="BJ33" s="39"/>
      <c r="BK33" s="39"/>
      <c r="BL33" s="42"/>
      <c r="BR33" s="43"/>
    </row>
    <row r="34" spans="1:70" s="40" customFormat="1" ht="14.25" x14ac:dyDescent="0.2">
      <c r="A34" s="9" t="s">
        <v>56</v>
      </c>
      <c r="B34" s="24">
        <v>3.325234690971965</v>
      </c>
      <c r="C34" s="5">
        <v>67.493428550865232</v>
      </c>
      <c r="D34" s="5">
        <v>66.522696340505789</v>
      </c>
      <c r="E34" s="6">
        <v>68.251967675022911</v>
      </c>
      <c r="F34" s="6">
        <v>70.445891756658199</v>
      </c>
      <c r="G34" s="6">
        <v>72.534285938334179</v>
      </c>
      <c r="H34" s="6">
        <v>81.881292827210913</v>
      </c>
      <c r="I34" s="6">
        <v>98.218343825881036</v>
      </c>
      <c r="J34" s="6">
        <v>99.664487530793849</v>
      </c>
      <c r="K34" s="6">
        <v>99.988590307242035</v>
      </c>
      <c r="L34" s="6">
        <v>99.014648713762881</v>
      </c>
      <c r="M34" s="6">
        <f>[2]Male!$OC$167</f>
        <v>98.190748488110202</v>
      </c>
      <c r="N34" s="6">
        <v>97.817675747130053</v>
      </c>
      <c r="O34" s="6">
        <v>94.86293122958206</v>
      </c>
      <c r="P34" s="100">
        <v>3.79</v>
      </c>
      <c r="Q34" s="6">
        <v>100.55785584218597</v>
      </c>
      <c r="R34" s="6">
        <v>98.014152208249357</v>
      </c>
      <c r="S34" s="108">
        <v>99.055318274303488</v>
      </c>
      <c r="T34" s="7">
        <v>2.964536511071425</v>
      </c>
      <c r="U34" s="7">
        <v>12.886329227564453</v>
      </c>
      <c r="V34" s="7">
        <v>19.95211657581568</v>
      </c>
      <c r="W34" s="7">
        <v>1.4723763897673825</v>
      </c>
      <c r="X34" s="7">
        <v>0.32519384233831161</v>
      </c>
      <c r="Y34" s="7">
        <v>-0.97405272990294112</v>
      </c>
      <c r="Z34" s="7">
        <v>-0.83209932707477563</v>
      </c>
      <c r="AA34" s="7">
        <v>-0.37994693667634527</v>
      </c>
      <c r="AB34" s="7">
        <v>-3.0206652274036294</v>
      </c>
      <c r="AC34" s="7">
        <v>-5.8237206038447065</v>
      </c>
      <c r="AD34" s="7">
        <v>-2.5295921563091683</v>
      </c>
      <c r="AE34" s="7">
        <v>1.0622609517062287</v>
      </c>
      <c r="AF34" s="80" t="s">
        <v>17</v>
      </c>
      <c r="AG34" s="3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D34" s="75"/>
      <c r="BE34" s="75"/>
      <c r="BF34" s="39"/>
      <c r="BG34" s="39"/>
      <c r="BH34" s="39"/>
      <c r="BI34" s="39"/>
      <c r="BJ34" s="39"/>
      <c r="BK34" s="39"/>
      <c r="BL34" s="42"/>
      <c r="BR34" s="43"/>
    </row>
    <row r="35" spans="1:70" s="40" customFormat="1" ht="14.25" x14ac:dyDescent="0.2">
      <c r="A35" s="9" t="s">
        <v>57</v>
      </c>
      <c r="B35" s="24">
        <v>33.253292498580983</v>
      </c>
      <c r="C35" s="5">
        <v>70.128284933346336</v>
      </c>
      <c r="D35" s="5">
        <v>72.790167958905229</v>
      </c>
      <c r="E35" s="6">
        <v>80.824789456236729</v>
      </c>
      <c r="F35" s="6">
        <v>87.147430127106858</v>
      </c>
      <c r="G35" s="6">
        <v>93.758762276598645</v>
      </c>
      <c r="H35" s="6">
        <v>96.487654366096692</v>
      </c>
      <c r="I35" s="6">
        <v>100.00377000426182</v>
      </c>
      <c r="J35" s="6">
        <v>103.95006675159617</v>
      </c>
      <c r="K35" s="6">
        <v>107.01057323330696</v>
      </c>
      <c r="L35" s="6">
        <v>109.61354663249911</v>
      </c>
      <c r="M35" s="6">
        <f>[2]Male!$OC$207</f>
        <v>111.78087632908641</v>
      </c>
      <c r="N35" s="6">
        <v>114.83955338142039</v>
      </c>
      <c r="O35" s="6">
        <v>119.40982119779115</v>
      </c>
      <c r="P35" s="100">
        <v>31.89</v>
      </c>
      <c r="Q35" s="6">
        <v>99.425729443590583</v>
      </c>
      <c r="R35" s="6">
        <v>94.853656927457166</v>
      </c>
      <c r="S35" s="108">
        <v>95.015363652895545</v>
      </c>
      <c r="T35" s="7">
        <v>7.5863764884965379</v>
      </c>
      <c r="U35" s="7">
        <v>2.9105461966824064</v>
      </c>
      <c r="V35" s="7">
        <v>3.6441093539533842</v>
      </c>
      <c r="W35" s="7">
        <v>3.9461479773874153</v>
      </c>
      <c r="X35" s="7">
        <v>2.9442082889896692</v>
      </c>
      <c r="Y35" s="7">
        <v>2.4324450571039158</v>
      </c>
      <c r="Z35" s="7">
        <v>1.9772462101365074</v>
      </c>
      <c r="AA35" s="7">
        <v>2.7363151486924586</v>
      </c>
      <c r="AB35" s="7">
        <v>3.9796983546177556</v>
      </c>
      <c r="AC35" s="7">
        <v>3.7068771585856863</v>
      </c>
      <c r="AD35" s="7">
        <v>-4.5984802341605064</v>
      </c>
      <c r="AE35" s="7">
        <v>0.1704802225622748</v>
      </c>
      <c r="AF35" s="80" t="s">
        <v>19</v>
      </c>
      <c r="AG35" s="3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D35" s="75"/>
      <c r="BE35" s="75"/>
      <c r="BF35" s="39"/>
      <c r="BG35" s="39"/>
      <c r="BH35" s="39"/>
      <c r="BI35" s="39"/>
      <c r="BJ35" s="39"/>
      <c r="BK35" s="39"/>
      <c r="BL35" s="42"/>
      <c r="BR35" s="43"/>
    </row>
    <row r="36" spans="1:70" s="40" customFormat="1" ht="14.25" x14ac:dyDescent="0.2">
      <c r="A36" s="9" t="s">
        <v>58</v>
      </c>
      <c r="B36" s="24">
        <v>24.01513195689877</v>
      </c>
      <c r="C36" s="5">
        <v>64.647461828276832</v>
      </c>
      <c r="D36" s="5">
        <v>67.343842950624648</v>
      </c>
      <c r="E36" s="6">
        <v>74.851279000594886</v>
      </c>
      <c r="F36" s="6">
        <v>85.550267697798958</v>
      </c>
      <c r="G36" s="6">
        <v>91.040551259171139</v>
      </c>
      <c r="H36" s="6">
        <v>95.103608962918898</v>
      </c>
      <c r="I36" s="6">
        <v>100.09393014432733</v>
      </c>
      <c r="J36" s="6">
        <v>104.20681505043228</v>
      </c>
      <c r="K36" s="6">
        <v>108.38813271909099</v>
      </c>
      <c r="L36" s="6">
        <v>113.03365604700161</v>
      </c>
      <c r="M36" s="6">
        <f>[2]Male!$OC$209</f>
        <v>117.41374229948713</v>
      </c>
      <c r="N36" s="6">
        <v>122.83526593997867</v>
      </c>
      <c r="O36" s="6">
        <v>130.24163983179812</v>
      </c>
      <c r="P36" s="100">
        <v>23.63</v>
      </c>
      <c r="Q36" s="6">
        <v>99.251485079661038</v>
      </c>
      <c r="R36" s="6">
        <v>95.666467140177858</v>
      </c>
      <c r="S36" s="108">
        <v>94.141758979642631</v>
      </c>
      <c r="T36" s="7">
        <v>6.4176111999628915</v>
      </c>
      <c r="U36" s="7">
        <v>4.4629098215598351</v>
      </c>
      <c r="V36" s="7">
        <v>5.2472469087415652</v>
      </c>
      <c r="W36" s="7">
        <v>4.1090252927170612</v>
      </c>
      <c r="X36" s="7">
        <v>4.012518439062851</v>
      </c>
      <c r="Y36" s="7">
        <v>4.2860073435810664</v>
      </c>
      <c r="Z36" s="7">
        <v>3.8750283815151443</v>
      </c>
      <c r="AA36" s="7">
        <v>4.6174523819050739</v>
      </c>
      <c r="AB36" s="7">
        <v>6.0295175291422032</v>
      </c>
      <c r="AC36" s="7">
        <v>4.6719990806475264</v>
      </c>
      <c r="AD36" s="7">
        <v>-3.6120547079026344</v>
      </c>
      <c r="AE36" s="7">
        <v>-1.5937749204233742</v>
      </c>
      <c r="AF36" s="84" t="s">
        <v>47</v>
      </c>
      <c r="AG36" s="3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D36" s="75"/>
      <c r="BE36" s="75"/>
      <c r="BF36" s="39"/>
      <c r="BG36" s="39"/>
      <c r="BH36" s="39"/>
      <c r="BI36" s="39"/>
      <c r="BJ36" s="39"/>
      <c r="BK36" s="39"/>
      <c r="BL36" s="42"/>
      <c r="BR36" s="43"/>
    </row>
    <row r="37" spans="1:70" s="40" customFormat="1" ht="25.5" x14ac:dyDescent="0.2">
      <c r="A37" s="4" t="s">
        <v>59</v>
      </c>
      <c r="B37" s="24">
        <v>7.3787368723932971</v>
      </c>
      <c r="C37" s="5">
        <v>62.787235480784801</v>
      </c>
      <c r="D37" s="5">
        <v>65.996050857083574</v>
      </c>
      <c r="E37" s="6">
        <v>68.380911967950468</v>
      </c>
      <c r="F37" s="6">
        <v>75.858602553560274</v>
      </c>
      <c r="G37" s="6">
        <v>80.397772506783596</v>
      </c>
      <c r="H37" s="6">
        <v>83.774232067142066</v>
      </c>
      <c r="I37" s="6">
        <v>98.524372725422779</v>
      </c>
      <c r="J37" s="6">
        <v>96.547282672985318</v>
      </c>
      <c r="K37" s="6">
        <v>93.814065718362556</v>
      </c>
      <c r="L37" s="6">
        <v>94.620620411023353</v>
      </c>
      <c r="M37" s="6">
        <f>[2]Male!$OC$240</f>
        <v>96.196125798305104</v>
      </c>
      <c r="N37" s="6">
        <v>97.823903613179155</v>
      </c>
      <c r="O37" s="6">
        <v>96.375951108177688</v>
      </c>
      <c r="P37" s="100">
        <v>5.46</v>
      </c>
      <c r="Q37" s="6">
        <v>99.912332615656041</v>
      </c>
      <c r="R37" s="6">
        <v>99.084022204313001</v>
      </c>
      <c r="S37" s="108">
        <v>99.081155081623137</v>
      </c>
      <c r="T37" s="7">
        <v>5.9837247199728161</v>
      </c>
      <c r="U37" s="7">
        <v>4.1996929206882916</v>
      </c>
      <c r="V37" s="7">
        <v>17.60701386848762</v>
      </c>
      <c r="W37" s="7">
        <v>-2.0067014868974664</v>
      </c>
      <c r="X37" s="7">
        <v>-2.8309620726255202</v>
      </c>
      <c r="Y37" s="7">
        <v>0.85973748870680211</v>
      </c>
      <c r="Z37" s="7">
        <v>1.6650761540538461</v>
      </c>
      <c r="AA37" s="7">
        <v>1.6921448773176362</v>
      </c>
      <c r="AB37" s="7">
        <v>-1.48016226251515</v>
      </c>
      <c r="AC37" s="7">
        <v>-1.0909357921221385</v>
      </c>
      <c r="AD37" s="7">
        <v>-0.82903720657728774</v>
      </c>
      <c r="AE37" s="7">
        <v>-2.8936276768698477E-3</v>
      </c>
      <c r="AF37" s="80" t="s">
        <v>22</v>
      </c>
      <c r="AG37" s="3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D37" s="75"/>
      <c r="BE37" s="75"/>
      <c r="BF37" s="39"/>
      <c r="BG37" s="39"/>
      <c r="BH37" s="39"/>
      <c r="BI37" s="39"/>
      <c r="BJ37" s="39"/>
      <c r="BK37" s="39"/>
      <c r="BL37" s="42"/>
      <c r="BR37" s="43"/>
    </row>
    <row r="38" spans="1:70" s="40" customFormat="1" ht="14.25" x14ac:dyDescent="0.2">
      <c r="A38" s="10" t="s">
        <v>23</v>
      </c>
      <c r="B38" s="24">
        <v>3.3443838651865483</v>
      </c>
      <c r="C38" s="5">
        <v>87.683380878679159</v>
      </c>
      <c r="D38" s="5">
        <v>95.725018168451655</v>
      </c>
      <c r="E38" s="6">
        <v>115.02993652927483</v>
      </c>
      <c r="F38" s="6">
        <v>117.62003560285746</v>
      </c>
      <c r="G38" s="6">
        <v>123.09882000085349</v>
      </c>
      <c r="H38" s="6">
        <v>136.10400273752558</v>
      </c>
      <c r="I38" s="6">
        <v>102.76543099265899</v>
      </c>
      <c r="J38" s="6">
        <v>110.56654167287611</v>
      </c>
      <c r="K38" s="6">
        <v>124.65316422633758</v>
      </c>
      <c r="L38" s="6">
        <v>127.35658087728201</v>
      </c>
      <c r="M38" s="6">
        <f>[2]Male!$OC$292</f>
        <v>128.61309538574685</v>
      </c>
      <c r="N38" s="6">
        <v>128.95886976125692</v>
      </c>
      <c r="O38" s="6">
        <v>130.04064947188434</v>
      </c>
      <c r="P38" s="100">
        <v>5.19</v>
      </c>
      <c r="Q38" s="6">
        <v>98.919612545439591</v>
      </c>
      <c r="R38" s="6">
        <v>100.00171429194948</v>
      </c>
      <c r="S38" s="108">
        <v>100.06086824807134</v>
      </c>
      <c r="T38" s="7">
        <v>4.6580366770973214</v>
      </c>
      <c r="U38" s="7">
        <v>10.564831357913839</v>
      </c>
      <c r="V38" s="7">
        <v>-24.49492378939031</v>
      </c>
      <c r="W38" s="7">
        <v>7.591181786387291</v>
      </c>
      <c r="X38" s="7">
        <v>12.740402603111489</v>
      </c>
      <c r="Y38" s="7">
        <v>2.1687509239923797</v>
      </c>
      <c r="Z38" s="7">
        <v>0.98661137085298556</v>
      </c>
      <c r="AA38" s="7">
        <v>0.2688484982598327</v>
      </c>
      <c r="AB38" s="7">
        <v>0.83885638314769029</v>
      </c>
      <c r="AC38" s="7">
        <v>6.4795571979933575</v>
      </c>
      <c r="AD38" s="7">
        <v>1.0939203244582307</v>
      </c>
      <c r="AE38" s="7">
        <v>5.9152942067730585E-2</v>
      </c>
      <c r="AF38" s="80" t="s">
        <v>24</v>
      </c>
      <c r="AG38" s="3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D38" s="75"/>
      <c r="BE38" s="75"/>
      <c r="BF38" s="39"/>
      <c r="BG38" s="39"/>
      <c r="BH38" s="39"/>
      <c r="BI38" s="39"/>
      <c r="BJ38" s="39"/>
      <c r="BK38" s="39"/>
      <c r="BL38" s="42"/>
      <c r="BR38" s="43"/>
    </row>
    <row r="39" spans="1:70" s="40" customFormat="1" ht="14.25" x14ac:dyDescent="0.2">
      <c r="A39" s="10" t="s">
        <v>60</v>
      </c>
      <c r="B39" s="24">
        <v>5.0247567425570834</v>
      </c>
      <c r="C39" s="5">
        <v>60.859975065826738</v>
      </c>
      <c r="D39" s="5">
        <v>63.749393784738366</v>
      </c>
      <c r="E39" s="6">
        <v>77.220453300900303</v>
      </c>
      <c r="F39" s="6">
        <v>77.979582923899997</v>
      </c>
      <c r="G39" s="6">
        <v>80.571924425587255</v>
      </c>
      <c r="H39" s="6">
        <v>91.644770975471246</v>
      </c>
      <c r="I39" s="6">
        <v>99.919914617161496</v>
      </c>
      <c r="J39" s="6">
        <v>102.42725062633708</v>
      </c>
      <c r="K39" s="6">
        <v>107.6673987994979</v>
      </c>
      <c r="L39" s="6">
        <v>107.33736946618552</v>
      </c>
      <c r="M39" s="6">
        <f>[2]Male!$OC$322</f>
        <v>107.44337348085035</v>
      </c>
      <c r="N39" s="6">
        <v>105.43253318252432</v>
      </c>
      <c r="O39" s="6">
        <v>105.3751683804018</v>
      </c>
      <c r="P39" s="100">
        <v>6.66</v>
      </c>
      <c r="Q39" s="6">
        <v>99.227791309449813</v>
      </c>
      <c r="R39" s="6">
        <v>98.792614789782348</v>
      </c>
      <c r="S39" s="108">
        <v>99.908269617416877</v>
      </c>
      <c r="T39" s="7">
        <v>3.3243849280613746</v>
      </c>
      <c r="U39" s="7">
        <v>13.742810077858314</v>
      </c>
      <c r="V39" s="7">
        <v>9.0295862531045046</v>
      </c>
      <c r="W39" s="7">
        <v>2.5093456282286901</v>
      </c>
      <c r="X39" s="7">
        <v>5.1159707412994138</v>
      </c>
      <c r="Y39" s="7">
        <v>-0.30652670817001848</v>
      </c>
      <c r="Z39" s="7">
        <v>9.8757790685599645E-2</v>
      </c>
      <c r="AA39" s="7">
        <v>-1.8715349613295795</v>
      </c>
      <c r="AB39" s="7">
        <v>-5.4409014362966079E-2</v>
      </c>
      <c r="AC39" s="7">
        <v>2.0377959132570789</v>
      </c>
      <c r="AD39" s="7">
        <v>-0.43856314236636607</v>
      </c>
      <c r="AE39" s="7">
        <v>1.1292897045072525</v>
      </c>
      <c r="AF39" s="80" t="s">
        <v>26</v>
      </c>
      <c r="AG39" s="3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D39" s="75"/>
      <c r="BE39" s="75"/>
      <c r="BF39" s="39"/>
      <c r="BG39" s="39"/>
      <c r="BH39" s="39"/>
      <c r="BI39" s="39"/>
      <c r="BJ39" s="39"/>
      <c r="BK39" s="39"/>
      <c r="BL39" s="42"/>
      <c r="BR39" s="43"/>
    </row>
    <row r="40" spans="1:70" s="40" customFormat="1" ht="14.25" x14ac:dyDescent="0.2">
      <c r="A40" s="10" t="s">
        <v>61</v>
      </c>
      <c r="B40" s="24">
        <v>4.9499335195000258</v>
      </c>
      <c r="C40" s="5">
        <v>115.34450273124089</v>
      </c>
      <c r="D40" s="5">
        <v>104.72754551977413</v>
      </c>
      <c r="E40" s="6">
        <v>100.9097966458598</v>
      </c>
      <c r="F40" s="6">
        <v>100.15439105359373</v>
      </c>
      <c r="G40" s="6">
        <v>100.38298344923554</v>
      </c>
      <c r="H40" s="6">
        <v>100.6195512642537</v>
      </c>
      <c r="I40" s="6">
        <v>99.902385256204028</v>
      </c>
      <c r="J40" s="6">
        <v>98.048576495455336</v>
      </c>
      <c r="K40" s="6">
        <v>97.118601810845405</v>
      </c>
      <c r="L40" s="6">
        <v>96.214029396765625</v>
      </c>
      <c r="M40" s="6">
        <f>[2]Male!$OC$348</f>
        <v>95.751607847297137</v>
      </c>
      <c r="N40" s="6">
        <v>95.746365973594948</v>
      </c>
      <c r="O40" s="6">
        <v>97.028495441250342</v>
      </c>
      <c r="P40" s="100">
        <v>9.33</v>
      </c>
      <c r="Q40" s="6">
        <v>100.14977566887954</v>
      </c>
      <c r="R40" s="6">
        <v>90.955091476945327</v>
      </c>
      <c r="S40" s="108">
        <v>83.34433371296106</v>
      </c>
      <c r="T40" s="7">
        <v>0.22824001348027423</v>
      </c>
      <c r="U40" s="7">
        <v>0.23566525609173272</v>
      </c>
      <c r="V40" s="7">
        <v>-0.71275015545061438</v>
      </c>
      <c r="W40" s="7">
        <v>-1.8556201195742417</v>
      </c>
      <c r="X40" s="7">
        <v>-0.94848361684581883</v>
      </c>
      <c r="Y40" s="7">
        <v>-0.93141004628709556</v>
      </c>
      <c r="Z40" s="7">
        <v>-0.48061759014536021</v>
      </c>
      <c r="AA40" s="7">
        <v>-5.474449797804315E-3</v>
      </c>
      <c r="AB40" s="7">
        <v>1.3390894313513479</v>
      </c>
      <c r="AC40" s="7">
        <v>0.83036744031659282</v>
      </c>
      <c r="AD40" s="7">
        <v>-9.1809333875436323</v>
      </c>
      <c r="AE40" s="7">
        <v>-8.3675994827770435</v>
      </c>
      <c r="AF40" s="80" t="s">
        <v>28</v>
      </c>
      <c r="AG40" s="3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D40" s="75"/>
      <c r="BE40" s="75"/>
      <c r="BF40" s="39"/>
      <c r="BG40" s="39"/>
      <c r="BH40" s="39"/>
      <c r="BI40" s="39"/>
      <c r="BJ40" s="39"/>
      <c r="BK40" s="39"/>
      <c r="BL40" s="42"/>
      <c r="BR40" s="43"/>
    </row>
    <row r="41" spans="1:70" s="40" customFormat="1" ht="14.25" x14ac:dyDescent="0.2">
      <c r="A41" s="4" t="s">
        <v>62</v>
      </c>
      <c r="B41" s="24">
        <v>3.8759977554993457</v>
      </c>
      <c r="C41" s="5">
        <v>94.874945972791352</v>
      </c>
      <c r="D41" s="5">
        <v>96.624178349214034</v>
      </c>
      <c r="E41" s="6">
        <v>90.077187080296483</v>
      </c>
      <c r="F41" s="6">
        <v>94.587232125872092</v>
      </c>
      <c r="G41" s="6">
        <v>100.01905005623114</v>
      </c>
      <c r="H41" s="6">
        <v>97.89290317146407</v>
      </c>
      <c r="I41" s="6">
        <v>99.123228888029075</v>
      </c>
      <c r="J41" s="6">
        <v>99.19328729416749</v>
      </c>
      <c r="K41" s="6">
        <v>101.98521882257955</v>
      </c>
      <c r="L41" s="6">
        <v>101.05736071574518</v>
      </c>
      <c r="M41" s="6">
        <f>[2]Male!$OC$360</f>
        <v>100.46158690929978</v>
      </c>
      <c r="N41" s="6">
        <v>102.05528211482302</v>
      </c>
      <c r="O41" s="6">
        <v>100.37103668676701</v>
      </c>
      <c r="P41" s="100">
        <v>2.44</v>
      </c>
      <c r="Q41" s="6">
        <v>100.43846974435807</v>
      </c>
      <c r="R41" s="6">
        <v>99.915509106799547</v>
      </c>
      <c r="S41" s="108">
        <v>100.19485426441111</v>
      </c>
      <c r="T41" s="7">
        <v>5.7426544875852192</v>
      </c>
      <c r="U41" s="7">
        <v>-2.1257419297341262</v>
      </c>
      <c r="V41" s="7">
        <v>1.256807875449395</v>
      </c>
      <c r="W41" s="7">
        <v>7.0678091224762873E-2</v>
      </c>
      <c r="X41" s="7">
        <v>2.8146375672905233</v>
      </c>
      <c r="Y41" s="7">
        <v>-0.90979665244288466</v>
      </c>
      <c r="Z41" s="7">
        <v>-0.58954023954889134</v>
      </c>
      <c r="AA41" s="7">
        <v>1.5863727167301001</v>
      </c>
      <c r="AB41" s="7">
        <v>-1.6503265614033036</v>
      </c>
      <c r="AC41" s="7">
        <v>-2.5274428504698854</v>
      </c>
      <c r="AD41" s="7">
        <v>-0.52067762371290627</v>
      </c>
      <c r="AE41" s="7">
        <v>0.27958137841539443</v>
      </c>
      <c r="AF41" s="81" t="s">
        <v>30</v>
      </c>
      <c r="AG41" s="3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D41" s="75"/>
      <c r="BE41" s="75"/>
      <c r="BF41" s="39"/>
      <c r="BG41" s="39"/>
      <c r="BH41" s="39"/>
      <c r="BI41" s="39"/>
      <c r="BJ41" s="39"/>
      <c r="BK41" s="39"/>
      <c r="BL41" s="42"/>
      <c r="BR41" s="43"/>
    </row>
    <row r="42" spans="1:70" s="40" customFormat="1" ht="14.25" x14ac:dyDescent="0.2">
      <c r="A42" s="9" t="s">
        <v>63</v>
      </c>
      <c r="B42" s="24">
        <v>3.1475471737470042</v>
      </c>
      <c r="C42" s="5">
        <v>47.049388033467601</v>
      </c>
      <c r="D42" s="5">
        <v>48.13102192510862</v>
      </c>
      <c r="E42" s="6">
        <v>49.012472981378899</v>
      </c>
      <c r="F42" s="6">
        <v>66.212440093936394</v>
      </c>
      <c r="G42" s="6">
        <v>72.465176121953334</v>
      </c>
      <c r="H42" s="6">
        <v>85.752154766717368</v>
      </c>
      <c r="I42" s="6">
        <v>99.974205552764317</v>
      </c>
      <c r="J42" s="6">
        <v>102.13692109662372</v>
      </c>
      <c r="K42" s="6">
        <v>111.56417616429451</v>
      </c>
      <c r="L42" s="6">
        <v>117.33257668396261</v>
      </c>
      <c r="M42" s="6">
        <f>[2]Male!$OC$405</f>
        <v>125.51210025739101</v>
      </c>
      <c r="N42" s="6">
        <v>127.79701695768269</v>
      </c>
      <c r="O42" s="6">
        <v>133.03091886109448</v>
      </c>
      <c r="P42" s="100">
        <v>5.15</v>
      </c>
      <c r="Q42" s="6">
        <v>99.976830213891262</v>
      </c>
      <c r="R42" s="6">
        <v>99.83397871047174</v>
      </c>
      <c r="S42" s="108">
        <v>99.722681773551969</v>
      </c>
      <c r="T42" s="7">
        <v>9.4434460037209114</v>
      </c>
      <c r="U42" s="7">
        <v>18.335674258768186</v>
      </c>
      <c r="V42" s="7">
        <v>16.585065208841733</v>
      </c>
      <c r="W42" s="7">
        <v>2.1632735483133825</v>
      </c>
      <c r="X42" s="7">
        <v>9.2300168895363512</v>
      </c>
      <c r="Y42" s="7">
        <v>5.1704774041205548</v>
      </c>
      <c r="Z42" s="7">
        <v>6.971229819200242</v>
      </c>
      <c r="AA42" s="7">
        <v>1.8204752335479579</v>
      </c>
      <c r="AB42" s="7">
        <v>4.0954804955618762</v>
      </c>
      <c r="AC42" s="7">
        <v>2.3180275367029601E-2</v>
      </c>
      <c r="AD42" s="7">
        <v>-0.14288460947792236</v>
      </c>
      <c r="AE42" s="7">
        <v>-0.11148202080830671</v>
      </c>
      <c r="AF42" s="81" t="s">
        <v>32</v>
      </c>
      <c r="AG42" s="3"/>
      <c r="BD42" s="75"/>
      <c r="BE42" s="75"/>
      <c r="BL42" s="42"/>
      <c r="BR42" s="43"/>
    </row>
    <row r="43" spans="1:70" s="40" customFormat="1" ht="14.25" x14ac:dyDescent="0.2">
      <c r="A43" s="9" t="s">
        <v>64</v>
      </c>
      <c r="B43" s="24">
        <v>4.0917964761770804</v>
      </c>
      <c r="C43" s="5">
        <v>49.094342913656533</v>
      </c>
      <c r="D43" s="5">
        <v>57.310377045571919</v>
      </c>
      <c r="E43" s="6">
        <v>66.268774405103429</v>
      </c>
      <c r="F43" s="6">
        <v>67.972496509520113</v>
      </c>
      <c r="G43" s="6">
        <v>70.167294544238487</v>
      </c>
      <c r="H43" s="6">
        <v>81.124231104476152</v>
      </c>
      <c r="I43" s="6">
        <v>103.92316833381101</v>
      </c>
      <c r="J43" s="6">
        <v>117.33190209291605</v>
      </c>
      <c r="K43" s="6">
        <v>125.48306357044619</v>
      </c>
      <c r="L43" s="6">
        <v>125.82497057055754</v>
      </c>
      <c r="M43" s="6">
        <f>[2]Male!$OC$421</f>
        <v>127.6536356791524</v>
      </c>
      <c r="N43" s="6">
        <v>128.04598972223968</v>
      </c>
      <c r="O43" s="6">
        <v>131.96832889286028</v>
      </c>
      <c r="P43" s="100">
        <v>5.47</v>
      </c>
      <c r="Q43" s="6">
        <v>98.569614288446914</v>
      </c>
      <c r="R43" s="6">
        <v>100.23358269530161</v>
      </c>
      <c r="S43" s="108">
        <v>100.92675397218058</v>
      </c>
      <c r="T43" s="7">
        <v>3.2289501598796955</v>
      </c>
      <c r="U43" s="7">
        <v>15.615446813799583</v>
      </c>
      <c r="V43" s="7">
        <v>28.103732903148448</v>
      </c>
      <c r="W43" s="7">
        <v>12.902545191881497</v>
      </c>
      <c r="X43" s="7">
        <v>6.9470973640870293</v>
      </c>
      <c r="Y43" s="7">
        <v>0.27247262728757882</v>
      </c>
      <c r="Z43" s="7">
        <v>1.4533403825192304</v>
      </c>
      <c r="AA43" s="7">
        <v>0.30735829888419719</v>
      </c>
      <c r="AB43" s="7">
        <v>3.0632268758506553</v>
      </c>
      <c r="AC43" s="7">
        <v>5.1205300952330557</v>
      </c>
      <c r="AD43" s="7">
        <v>1.6881149620666891</v>
      </c>
      <c r="AE43" s="7">
        <v>0.69155592191703086</v>
      </c>
      <c r="AF43" s="81" t="s">
        <v>34</v>
      </c>
      <c r="AG43" s="3"/>
      <c r="BD43" s="75"/>
      <c r="BE43" s="77"/>
      <c r="BL43" s="42"/>
      <c r="BR43" s="43"/>
    </row>
    <row r="44" spans="1:70" s="40" customFormat="1" ht="15" customHeight="1" x14ac:dyDescent="0.2">
      <c r="A44" s="9" t="s">
        <v>65</v>
      </c>
      <c r="B44" s="24" t="s">
        <v>2</v>
      </c>
      <c r="C44" s="5" t="s">
        <v>2</v>
      </c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5" t="s">
        <v>2</v>
      </c>
      <c r="J44" s="5" t="s">
        <v>2</v>
      </c>
      <c r="K44" s="5" t="s">
        <v>2</v>
      </c>
      <c r="L44" s="5" t="s">
        <v>2</v>
      </c>
      <c r="M44" s="5" t="s">
        <v>2</v>
      </c>
      <c r="N44" s="5" t="s">
        <v>2</v>
      </c>
      <c r="O44" s="5" t="s">
        <v>2</v>
      </c>
      <c r="P44" s="101">
        <v>0.14000000000000001</v>
      </c>
      <c r="Q44" s="6">
        <v>100</v>
      </c>
      <c r="R44" s="6">
        <v>100</v>
      </c>
      <c r="S44" s="108">
        <v>100</v>
      </c>
      <c r="T44" s="7" t="s">
        <v>2</v>
      </c>
      <c r="U44" s="7" t="s">
        <v>2</v>
      </c>
      <c r="V44" s="7" t="s">
        <v>2</v>
      </c>
      <c r="W44" s="7" t="s">
        <v>2</v>
      </c>
      <c r="X44" s="7" t="s">
        <v>2</v>
      </c>
      <c r="Y44" s="7" t="s">
        <v>2</v>
      </c>
      <c r="Z44" s="7" t="s">
        <v>2</v>
      </c>
      <c r="AA44" s="7" t="s">
        <v>2</v>
      </c>
      <c r="AB44" s="7" t="s">
        <v>2</v>
      </c>
      <c r="AC44" s="7" t="s">
        <v>2</v>
      </c>
      <c r="AD44" s="7">
        <v>0</v>
      </c>
      <c r="AE44" s="7">
        <v>0</v>
      </c>
      <c r="AF44" s="78" t="s">
        <v>68</v>
      </c>
      <c r="AG44" s="3"/>
      <c r="BD44" s="75"/>
      <c r="BE44" s="77"/>
      <c r="BL44" s="42"/>
      <c r="BR44" s="43"/>
    </row>
    <row r="45" spans="1:70" s="40" customFormat="1" ht="25.5" x14ac:dyDescent="0.2">
      <c r="A45" s="4" t="s">
        <v>66</v>
      </c>
      <c r="B45" s="24">
        <v>6.5690813659915177</v>
      </c>
      <c r="C45" s="5">
        <v>66.045812015945941</v>
      </c>
      <c r="D45" s="5">
        <v>67.578746700557247</v>
      </c>
      <c r="E45" s="6">
        <v>71.846737489273423</v>
      </c>
      <c r="F45" s="6">
        <v>76.948539555294857</v>
      </c>
      <c r="G45" s="6">
        <v>80.738363693637908</v>
      </c>
      <c r="H45" s="6">
        <v>86.725904563278689</v>
      </c>
      <c r="I45" s="6">
        <v>100.69814215631898</v>
      </c>
      <c r="J45" s="6">
        <v>98.812991503112301</v>
      </c>
      <c r="K45" s="6">
        <v>98.609462577367751</v>
      </c>
      <c r="L45" s="6">
        <v>98.344584404467298</v>
      </c>
      <c r="M45" s="6">
        <f>[2]Male!$OC$438</f>
        <v>97.897045106929454</v>
      </c>
      <c r="N45" s="6">
        <v>97.659694697503355</v>
      </c>
      <c r="O45" s="6">
        <v>97.498477137809516</v>
      </c>
      <c r="P45" s="100">
        <v>4.79</v>
      </c>
      <c r="Q45" s="6">
        <v>100.01573759120964</v>
      </c>
      <c r="R45" s="6">
        <v>99.920314735489967</v>
      </c>
      <c r="S45" s="108">
        <v>100.03671776738996</v>
      </c>
      <c r="T45" s="7">
        <v>4.9251410881160362</v>
      </c>
      <c r="U45" s="7">
        <v>7.4159799576327012</v>
      </c>
      <c r="V45" s="7">
        <v>16.110800646473034</v>
      </c>
      <c r="W45" s="7">
        <v>-1.8720808674704825</v>
      </c>
      <c r="X45" s="7">
        <v>-0.20597385287959291</v>
      </c>
      <c r="Y45" s="7">
        <v>-0.26861334194234754</v>
      </c>
      <c r="Z45" s="7">
        <v>-0.45507264100809186</v>
      </c>
      <c r="AA45" s="7">
        <v>-0.24244900258925117</v>
      </c>
      <c r="AB45" s="7">
        <v>-0.16508095810989776</v>
      </c>
      <c r="AC45" s="7">
        <v>0.26828006164163476</v>
      </c>
      <c r="AD45" s="7">
        <v>-9.5407840823702461E-2</v>
      </c>
      <c r="AE45" s="7">
        <v>0.11649586193571704</v>
      </c>
      <c r="AF45" s="90" t="s">
        <v>36</v>
      </c>
      <c r="AG45" s="3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D45" s="75"/>
      <c r="BE45" s="75"/>
      <c r="BF45" s="39"/>
      <c r="BG45" s="39"/>
      <c r="BH45" s="39"/>
      <c r="BI45" s="39"/>
      <c r="BJ45" s="39"/>
      <c r="BK45" s="39"/>
      <c r="BL45" s="42"/>
      <c r="BR45" s="43"/>
    </row>
    <row r="46" spans="1:70" s="48" customFormat="1" ht="14.25" x14ac:dyDescent="0.2">
      <c r="A46" s="11" t="s">
        <v>37</v>
      </c>
      <c r="B46" s="46">
        <f>SUM(B37:B45,B33:B35,B30)</f>
        <v>100</v>
      </c>
      <c r="C46" s="12">
        <v>60.684187749186492</v>
      </c>
      <c r="D46" s="12">
        <v>64.807540880908348</v>
      </c>
      <c r="E46" s="13">
        <v>72.611313924073201</v>
      </c>
      <c r="F46" s="13">
        <v>75.900734670117231</v>
      </c>
      <c r="G46" s="13">
        <v>80.568542845421106</v>
      </c>
      <c r="H46" s="13">
        <v>89.651368722070842</v>
      </c>
      <c r="I46" s="13">
        <v>99.415139330518244</v>
      </c>
      <c r="J46" s="13">
        <v>103.38895723436703</v>
      </c>
      <c r="K46" s="13">
        <v>105.92043432963987</v>
      </c>
      <c r="L46" s="13">
        <v>107.37293678888472</v>
      </c>
      <c r="M46" s="13">
        <f>[2]Male!$OC$3</f>
        <v>108.23342334232696</v>
      </c>
      <c r="N46" s="13">
        <v>110.69246887707151</v>
      </c>
      <c r="O46" s="13">
        <v>112.20541633013362</v>
      </c>
      <c r="P46" s="102">
        <v>100</v>
      </c>
      <c r="Q46" s="13">
        <v>99.507327395575416</v>
      </c>
      <c r="R46" s="13">
        <v>97.921275842569003</v>
      </c>
      <c r="S46" s="109">
        <v>98.124324047672033</v>
      </c>
      <c r="T46" s="14">
        <v>6.1498853675017617</v>
      </c>
      <c r="U46" s="14">
        <v>11.273414605593723</v>
      </c>
      <c r="V46" s="14">
        <v>10.890821576540755</v>
      </c>
      <c r="W46" s="14">
        <v>3.9971959307297356</v>
      </c>
      <c r="X46" s="14">
        <v>2.4484985272985815</v>
      </c>
      <c r="Y46" s="14">
        <v>1.3713146744890103</v>
      </c>
      <c r="Z46" s="14">
        <v>0.80139984913900619</v>
      </c>
      <c r="AA46" s="14">
        <v>2.2719835137866129</v>
      </c>
      <c r="AB46" s="14">
        <v>1.3668025190966659</v>
      </c>
      <c r="AC46" s="14">
        <v>1.3259769597774085</v>
      </c>
      <c r="AD46" s="14">
        <v>-1.5939042827482597</v>
      </c>
      <c r="AE46" s="14">
        <v>0.20735861880463169</v>
      </c>
      <c r="AF46" s="82" t="s">
        <v>38</v>
      </c>
      <c r="AG46" s="3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D46" s="91"/>
      <c r="BE46" s="91"/>
      <c r="BF46" s="47"/>
      <c r="BG46" s="47"/>
      <c r="BH46" s="47"/>
      <c r="BI46" s="47"/>
      <c r="BJ46" s="47"/>
      <c r="BK46" s="47"/>
      <c r="BL46" s="42"/>
      <c r="BR46" s="49"/>
    </row>
    <row r="47" spans="1:70" s="48" customFormat="1" ht="14.25" x14ac:dyDescent="0.2">
      <c r="A47" s="17" t="s">
        <v>39</v>
      </c>
      <c r="B47" s="30">
        <f>B46-B32</f>
        <v>92.357077568962453</v>
      </c>
      <c r="C47" s="16">
        <v>64.052485645287277</v>
      </c>
      <c r="D47" s="16">
        <v>67.18924401230818</v>
      </c>
      <c r="E47" s="16">
        <v>75.385471686170362</v>
      </c>
      <c r="F47" s="16">
        <v>79.51493809042644</v>
      </c>
      <c r="G47" s="16">
        <v>84.338371332150743</v>
      </c>
      <c r="H47" s="16">
        <v>91.679051572020867</v>
      </c>
      <c r="I47" s="16">
        <v>100.09850402946053</v>
      </c>
      <c r="J47" s="16">
        <v>103.35093616567913</v>
      </c>
      <c r="K47" s="50">
        <v>105.86527287347694</v>
      </c>
      <c r="L47" s="16">
        <v>107.46319410975025</v>
      </c>
      <c r="M47" s="16">
        <f>[2]Male!$OC$484</f>
        <v>108.80768335920361</v>
      </c>
      <c r="N47" s="16">
        <v>111.50654373707793</v>
      </c>
      <c r="O47" s="16">
        <v>113.26473988850915</v>
      </c>
      <c r="P47" s="103">
        <f>100-P32</f>
        <v>96.75</v>
      </c>
      <c r="Q47" s="16">
        <v>99.545691452003851</v>
      </c>
      <c r="R47" s="16">
        <v>97.894277866310745</v>
      </c>
      <c r="S47" s="110">
        <v>98.124324047672033</v>
      </c>
      <c r="T47" s="16">
        <v>6.0660718068332953</v>
      </c>
      <c r="U47" s="16">
        <v>8.7038439608470028</v>
      </c>
      <c r="V47" s="16">
        <v>9.1836164457106619</v>
      </c>
      <c r="W47" s="16">
        <v>3.2492315122525373</v>
      </c>
      <c r="X47" s="16">
        <v>2.4328146421113583</v>
      </c>
      <c r="Y47" s="16">
        <v>1.5093913168136242</v>
      </c>
      <c r="Z47" s="16">
        <v>1.2511160314853997</v>
      </c>
      <c r="AA47" s="16">
        <v>2.4803950369613581</v>
      </c>
      <c r="AB47" s="16">
        <v>1.5767649973770892</v>
      </c>
      <c r="AC47" s="16">
        <v>1.6109521122473547</v>
      </c>
      <c r="AD47" s="16">
        <v>-1.6589503388896976</v>
      </c>
      <c r="AE47" s="16">
        <v>0.23499451283093276</v>
      </c>
      <c r="AF47" s="83" t="s">
        <v>40</v>
      </c>
      <c r="AG47" s="3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D47" s="91"/>
      <c r="BE47" s="91"/>
      <c r="BF47" s="47"/>
      <c r="BG47" s="47"/>
      <c r="BH47" s="47"/>
      <c r="BI47" s="47"/>
      <c r="BJ47" s="47"/>
      <c r="BK47" s="47"/>
      <c r="BL47" s="42"/>
      <c r="BR47" s="49"/>
    </row>
    <row r="48" spans="1:70" s="8" customFormat="1" ht="14.25" x14ac:dyDescent="0.2">
      <c r="A48" s="96" t="s">
        <v>53</v>
      </c>
      <c r="B48" s="28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81" t="s">
        <v>4</v>
      </c>
      <c r="AG48" s="3"/>
      <c r="BD48" s="92"/>
      <c r="BE48" s="92"/>
    </row>
    <row r="49" spans="1:70" s="8" customFormat="1" ht="14.25" x14ac:dyDescent="0.2">
      <c r="A49" s="97" t="s">
        <v>75</v>
      </c>
      <c r="B49" s="28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85"/>
      <c r="AG49" s="3"/>
      <c r="BD49" s="92"/>
      <c r="BE49" s="92"/>
    </row>
    <row r="50" spans="1:70" ht="15" x14ac:dyDescent="0.25">
      <c r="A50" s="74" t="s">
        <v>76</v>
      </c>
      <c r="Q50" s="1"/>
      <c r="R50" s="1"/>
      <c r="S50" s="1"/>
      <c r="AF50" s="3"/>
      <c r="BD50" s="75"/>
      <c r="BE50" s="75"/>
    </row>
    <row r="51" spans="1:70" s="34" customFormat="1" ht="15.75" hidden="1" customHeight="1" x14ac:dyDescent="0.2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93"/>
      <c r="AG51" s="3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E51" s="52"/>
    </row>
    <row r="52" spans="1:70" ht="21" hidden="1" customHeight="1" x14ac:dyDescent="0.35">
      <c r="A52" s="18"/>
      <c r="B52" s="126" t="s">
        <v>50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86"/>
    </row>
    <row r="53" spans="1:70" ht="28.5" hidden="1" customHeight="1" x14ac:dyDescent="0.2">
      <c r="A53" s="35" t="s">
        <v>54</v>
      </c>
      <c r="B53" s="127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128"/>
      <c r="U53" s="128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7" t="s">
        <v>55</v>
      </c>
    </row>
    <row r="54" spans="1:70" ht="14.25" hidden="1" x14ac:dyDescent="0.2">
      <c r="A54" s="56"/>
      <c r="B54" s="57" t="s">
        <v>45</v>
      </c>
      <c r="C54" s="58">
        <v>2006</v>
      </c>
      <c r="D54" s="58">
        <v>2007</v>
      </c>
      <c r="E54" s="58">
        <v>2008</v>
      </c>
      <c r="F54" s="58">
        <v>2009</v>
      </c>
      <c r="G54" s="58">
        <v>2010</v>
      </c>
      <c r="H54" s="58">
        <v>2011</v>
      </c>
      <c r="I54" s="58">
        <v>2012</v>
      </c>
      <c r="J54" s="58">
        <v>2012</v>
      </c>
      <c r="K54" s="58">
        <v>2012</v>
      </c>
      <c r="L54" s="58"/>
      <c r="M54" s="58"/>
      <c r="N54" s="58"/>
      <c r="O54" s="58"/>
      <c r="P54" s="58"/>
      <c r="Q54" s="58"/>
      <c r="R54" s="58"/>
      <c r="S54" s="58"/>
      <c r="T54" s="57">
        <v>2010</v>
      </c>
      <c r="U54" s="57">
        <v>2011</v>
      </c>
      <c r="V54" s="57">
        <v>2012</v>
      </c>
      <c r="W54" s="57">
        <v>2012</v>
      </c>
      <c r="X54" s="57">
        <v>2012</v>
      </c>
      <c r="Y54" s="57"/>
      <c r="Z54" s="57"/>
      <c r="AA54" s="57"/>
      <c r="AB54" s="57"/>
      <c r="AC54" s="57"/>
      <c r="AD54" s="57"/>
      <c r="AE54" s="57"/>
      <c r="AF54" s="88"/>
    </row>
    <row r="55" spans="1:70" s="40" customFormat="1" ht="18" hidden="1" customHeight="1" x14ac:dyDescent="0.2">
      <c r="A55" s="59" t="s">
        <v>8</v>
      </c>
      <c r="B55" s="60">
        <v>32.41357084023938</v>
      </c>
      <c r="C55" s="61"/>
      <c r="D55" s="61"/>
      <c r="E55" s="6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80" t="s">
        <v>9</v>
      </c>
      <c r="AG55" s="3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C55" s="3"/>
      <c r="BD55" s="3"/>
      <c r="BE55" s="3"/>
      <c r="BF55" s="41"/>
      <c r="BG55" s="41"/>
      <c r="BH55" s="41"/>
      <c r="BI55" s="41"/>
      <c r="BJ55" s="41"/>
      <c r="BK55" s="41"/>
      <c r="BL55" s="42"/>
      <c r="BR55" s="43"/>
    </row>
    <row r="56" spans="1:70" s="40" customFormat="1" ht="18" hidden="1" customHeight="1" x14ac:dyDescent="0.2">
      <c r="A56" s="59" t="s">
        <v>10</v>
      </c>
      <c r="B56" s="60">
        <v>22.908992536433551</v>
      </c>
      <c r="C56" s="61"/>
      <c r="D56" s="61"/>
      <c r="E56" s="6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80" t="s">
        <v>11</v>
      </c>
      <c r="AG56" s="3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C56" s="3"/>
      <c r="BD56" s="3"/>
      <c r="BE56" s="3"/>
      <c r="BF56" s="39"/>
      <c r="BG56" s="39"/>
      <c r="BH56" s="39"/>
      <c r="BI56" s="39"/>
      <c r="BJ56" s="39"/>
      <c r="BK56" s="39"/>
      <c r="BL56" s="42"/>
      <c r="BR56" s="43"/>
    </row>
    <row r="57" spans="1:70" s="40" customFormat="1" ht="14.25" hidden="1" x14ac:dyDescent="0.2">
      <c r="A57" s="64" t="s">
        <v>12</v>
      </c>
      <c r="B57" s="60">
        <v>9.5045783038058271</v>
      </c>
      <c r="C57" s="61"/>
      <c r="D57" s="61"/>
      <c r="E57" s="6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80" t="s">
        <v>13</v>
      </c>
      <c r="AG57" s="3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"/>
      <c r="BD57" s="3"/>
      <c r="BE57" s="3"/>
      <c r="BF57" s="39"/>
      <c r="BG57" s="39"/>
      <c r="BH57" s="39"/>
      <c r="BI57" s="39"/>
      <c r="BJ57" s="39"/>
      <c r="BK57" s="39"/>
      <c r="BL57" s="42"/>
      <c r="BR57" s="43"/>
    </row>
    <row r="58" spans="1:70" s="40" customFormat="1" ht="14.25" hidden="1" x14ac:dyDescent="0.2">
      <c r="A58" s="64" t="s">
        <v>42</v>
      </c>
      <c r="B58" s="60">
        <v>3.1086673721276403</v>
      </c>
      <c r="C58" s="61"/>
      <c r="D58" s="61"/>
      <c r="E58" s="6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80" t="s">
        <v>15</v>
      </c>
      <c r="AG58" s="3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"/>
      <c r="BD58" s="3"/>
      <c r="BE58" s="3"/>
      <c r="BF58" s="39"/>
      <c r="BG58" s="39"/>
      <c r="BH58" s="39"/>
      <c r="BI58" s="39"/>
      <c r="BJ58" s="39"/>
      <c r="BK58" s="39"/>
      <c r="BL58" s="42"/>
      <c r="BR58" s="43"/>
    </row>
    <row r="59" spans="1:70" s="40" customFormat="1" ht="14.25" hidden="1" x14ac:dyDescent="0.2">
      <c r="A59" s="64" t="s">
        <v>16</v>
      </c>
      <c r="B59" s="60">
        <v>4.37363965083017</v>
      </c>
      <c r="C59" s="61"/>
      <c r="D59" s="61"/>
      <c r="E59" s="6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80" t="s">
        <v>17</v>
      </c>
      <c r="AG59" s="3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"/>
      <c r="BD59" s="3"/>
      <c r="BE59" s="3"/>
      <c r="BF59" s="39"/>
      <c r="BG59" s="39"/>
      <c r="BH59" s="39"/>
      <c r="BI59" s="39"/>
      <c r="BJ59" s="39"/>
      <c r="BK59" s="39"/>
      <c r="BL59" s="42"/>
      <c r="BR59" s="43"/>
    </row>
    <row r="60" spans="1:70" s="40" customFormat="1" ht="14.25" hidden="1" x14ac:dyDescent="0.2">
      <c r="A60" s="64" t="s">
        <v>18</v>
      </c>
      <c r="B60" s="60">
        <v>14.769002753283388</v>
      </c>
      <c r="C60" s="61"/>
      <c r="D60" s="61"/>
      <c r="E60" s="6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80" t="s">
        <v>19</v>
      </c>
      <c r="AG60" s="3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"/>
      <c r="BD60" s="3"/>
      <c r="BE60" s="3"/>
      <c r="BF60" s="39"/>
      <c r="BG60" s="39"/>
      <c r="BH60" s="39"/>
      <c r="BI60" s="39"/>
      <c r="BJ60" s="39"/>
      <c r="BK60" s="39"/>
      <c r="BL60" s="42"/>
      <c r="BR60" s="43"/>
    </row>
    <row r="61" spans="1:70" s="40" customFormat="1" ht="14.25" hidden="1" x14ac:dyDescent="0.2">
      <c r="A61" s="64" t="s">
        <v>20</v>
      </c>
      <c r="B61" s="60">
        <v>1.130174619903735</v>
      </c>
      <c r="C61" s="61"/>
      <c r="D61" s="61"/>
      <c r="E61" s="6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84" t="s">
        <v>47</v>
      </c>
      <c r="AG61" s="3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"/>
      <c r="BD61" s="3"/>
      <c r="BE61" s="3"/>
      <c r="BF61" s="39"/>
      <c r="BG61" s="39"/>
      <c r="BH61" s="39"/>
      <c r="BI61" s="39"/>
      <c r="BJ61" s="39"/>
      <c r="BK61" s="39"/>
      <c r="BL61" s="42"/>
      <c r="BR61" s="43"/>
    </row>
    <row r="62" spans="1:70" s="40" customFormat="1" ht="24" hidden="1" x14ac:dyDescent="0.2">
      <c r="A62" s="59" t="s">
        <v>21</v>
      </c>
      <c r="B62" s="60">
        <v>9.8563919063440419</v>
      </c>
      <c r="C62" s="61"/>
      <c r="D62" s="61"/>
      <c r="E62" s="6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80" t="s">
        <v>22</v>
      </c>
      <c r="AG62" s="3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"/>
      <c r="BD62" s="3"/>
      <c r="BE62" s="3"/>
      <c r="BF62" s="39"/>
      <c r="BG62" s="39"/>
      <c r="BH62" s="39"/>
      <c r="BI62" s="39"/>
      <c r="BJ62" s="39"/>
      <c r="BK62" s="39"/>
      <c r="BL62" s="42"/>
      <c r="BR62" s="43"/>
    </row>
    <row r="63" spans="1:70" s="40" customFormat="1" ht="14.25" hidden="1" x14ac:dyDescent="0.2">
      <c r="A63" s="10" t="s">
        <v>23</v>
      </c>
      <c r="B63" s="60">
        <v>7.1948259738561822</v>
      </c>
      <c r="C63" s="61"/>
      <c r="D63" s="61"/>
      <c r="E63" s="6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80" t="s">
        <v>24</v>
      </c>
      <c r="AG63" s="3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"/>
      <c r="BD63" s="3"/>
      <c r="BE63" s="3"/>
      <c r="BF63" s="39"/>
      <c r="BG63" s="39"/>
      <c r="BH63" s="39"/>
      <c r="BI63" s="39"/>
      <c r="BJ63" s="39"/>
      <c r="BK63" s="39"/>
      <c r="BL63" s="42"/>
      <c r="BR63" s="43"/>
    </row>
    <row r="64" spans="1:70" s="40" customFormat="1" ht="14.25" hidden="1" x14ac:dyDescent="0.2">
      <c r="A64" s="10" t="s">
        <v>25</v>
      </c>
      <c r="B64" s="60">
        <v>5.7912209701631463</v>
      </c>
      <c r="C64" s="61"/>
      <c r="D64" s="61"/>
      <c r="E64" s="6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80" t="s">
        <v>26</v>
      </c>
      <c r="AG64" s="3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"/>
      <c r="BD64" s="3"/>
      <c r="BE64" s="3"/>
      <c r="BF64" s="39"/>
      <c r="BG64" s="39"/>
      <c r="BH64" s="39"/>
      <c r="BI64" s="39"/>
      <c r="BJ64" s="39"/>
      <c r="BK64" s="39"/>
      <c r="BL64" s="42"/>
      <c r="BR64" s="43"/>
    </row>
    <row r="65" spans="1:70" s="40" customFormat="1" ht="14.25" hidden="1" x14ac:dyDescent="0.2">
      <c r="A65" s="10" t="s">
        <v>27</v>
      </c>
      <c r="B65" s="60">
        <v>4.58090391218186</v>
      </c>
      <c r="C65" s="61"/>
      <c r="D65" s="61"/>
      <c r="E65" s="6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80" t="s">
        <v>28</v>
      </c>
      <c r="AG65" s="3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"/>
      <c r="BD65" s="3"/>
      <c r="BE65" s="3"/>
      <c r="BF65" s="39"/>
      <c r="BG65" s="39"/>
      <c r="BH65" s="39"/>
      <c r="BI65" s="39"/>
      <c r="BJ65" s="39"/>
      <c r="BK65" s="39"/>
      <c r="BL65" s="42"/>
      <c r="BR65" s="43"/>
    </row>
    <row r="66" spans="1:70" s="40" customFormat="1" ht="14.25" hidden="1" x14ac:dyDescent="0.2">
      <c r="A66" s="59" t="s">
        <v>29</v>
      </c>
      <c r="B66" s="60">
        <v>6.1528574267983878</v>
      </c>
      <c r="C66" s="61"/>
      <c r="D66" s="61"/>
      <c r="E66" s="6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81" t="s">
        <v>30</v>
      </c>
      <c r="AG66" s="3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"/>
      <c r="BD66" s="3"/>
      <c r="BE66" s="3"/>
      <c r="BF66" s="39"/>
      <c r="BG66" s="39"/>
      <c r="BH66" s="39"/>
      <c r="BI66" s="39"/>
      <c r="BJ66" s="39"/>
      <c r="BK66" s="39"/>
      <c r="BL66" s="42"/>
      <c r="BR66" s="43"/>
    </row>
    <row r="67" spans="1:70" s="40" customFormat="1" ht="14.25" hidden="1" x14ac:dyDescent="0.2">
      <c r="A67" s="64" t="s">
        <v>31</v>
      </c>
      <c r="B67" s="60">
        <v>1.9430672868104886</v>
      </c>
      <c r="C67" s="61"/>
      <c r="D67" s="61"/>
      <c r="E67" s="6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81" t="s">
        <v>32</v>
      </c>
      <c r="AG67" s="3"/>
      <c r="BC67" s="3"/>
      <c r="BD67" s="3"/>
      <c r="BE67" s="3"/>
      <c r="BL67" s="42"/>
      <c r="BR67" s="43"/>
    </row>
    <row r="68" spans="1:70" s="40" customFormat="1" ht="14.25" hidden="1" x14ac:dyDescent="0.2">
      <c r="A68" s="64" t="s">
        <v>33</v>
      </c>
      <c r="B68" s="60">
        <v>2.1113300205874355</v>
      </c>
      <c r="C68" s="61"/>
      <c r="D68" s="61"/>
      <c r="E68" s="6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81" t="s">
        <v>34</v>
      </c>
      <c r="AG68" s="3"/>
      <c r="BC68" s="45"/>
      <c r="BD68" s="45"/>
      <c r="BE68" s="45"/>
      <c r="BL68" s="42"/>
      <c r="BR68" s="43"/>
    </row>
    <row r="69" spans="1:70" s="40" customFormat="1" ht="14.25" hidden="1" x14ac:dyDescent="0.2">
      <c r="A69" s="59" t="s">
        <v>35</v>
      </c>
      <c r="B69" s="60">
        <v>7.7045218867778775</v>
      </c>
      <c r="C69" s="61"/>
      <c r="D69" s="61"/>
      <c r="E69" s="6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90" t="s">
        <v>36</v>
      </c>
      <c r="AG69" s="3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"/>
      <c r="BD69" s="3"/>
      <c r="BE69" s="3"/>
      <c r="BF69" s="39"/>
      <c r="BG69" s="39"/>
      <c r="BH69" s="39"/>
      <c r="BI69" s="39"/>
      <c r="BJ69" s="39"/>
      <c r="BK69" s="39"/>
      <c r="BL69" s="42"/>
      <c r="BR69" s="43"/>
    </row>
    <row r="70" spans="1:70" s="48" customFormat="1" ht="14.25" hidden="1" x14ac:dyDescent="0.2">
      <c r="A70" s="65" t="s">
        <v>37</v>
      </c>
      <c r="B70" s="66">
        <v>100</v>
      </c>
      <c r="C70" s="67"/>
      <c r="D70" s="67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82" t="s">
        <v>38</v>
      </c>
      <c r="AG70" s="3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3"/>
      <c r="BD70" s="3"/>
      <c r="BE70" s="3"/>
      <c r="BF70" s="47"/>
      <c r="BG70" s="47"/>
      <c r="BH70" s="47"/>
      <c r="BI70" s="47"/>
      <c r="BJ70" s="47"/>
      <c r="BK70" s="47"/>
      <c r="BL70" s="42"/>
      <c r="BR70" s="49"/>
    </row>
    <row r="71" spans="1:70" s="48" customFormat="1" ht="14.25" hidden="1" x14ac:dyDescent="0.2">
      <c r="A71" s="70" t="s">
        <v>39</v>
      </c>
      <c r="B71" s="71">
        <v>90.495421696194171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83" t="s">
        <v>40</v>
      </c>
      <c r="AG71" s="3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3"/>
      <c r="BD71" s="3"/>
      <c r="BE71" s="3"/>
      <c r="BF71" s="47"/>
      <c r="BG71" s="47"/>
      <c r="BH71" s="47"/>
      <c r="BI71" s="47"/>
      <c r="BJ71" s="47"/>
      <c r="BK71" s="47"/>
      <c r="BL71" s="42"/>
      <c r="BR71" s="49"/>
    </row>
    <row r="72" spans="1:70" ht="21" hidden="1" x14ac:dyDescent="0.4">
      <c r="A72" s="73"/>
    </row>
    <row r="73" spans="1:70" ht="21.75" hidden="1" customHeight="1" x14ac:dyDescent="0.4">
      <c r="A73" s="73"/>
    </row>
    <row r="74" spans="1:70" x14ac:dyDescent="0.4">
      <c r="A74" s="79" t="s">
        <v>3</v>
      </c>
    </row>
    <row r="75" spans="1:70" x14ac:dyDescent="0.4">
      <c r="B75" s="3"/>
    </row>
    <row r="76" spans="1:70" x14ac:dyDescent="0.4">
      <c r="B76" s="3"/>
      <c r="BC76" s="44"/>
    </row>
    <row r="77" spans="1:70" x14ac:dyDescent="0.4">
      <c r="B77" s="3"/>
      <c r="BB77" s="75"/>
      <c r="BC77" s="44"/>
      <c r="BD77" s="44"/>
    </row>
    <row r="78" spans="1:70" x14ac:dyDescent="0.4">
      <c r="B78" s="3"/>
      <c r="BB78" s="75"/>
      <c r="BC78" s="44"/>
      <c r="BD78" s="44"/>
    </row>
    <row r="79" spans="1:70" x14ac:dyDescent="0.4">
      <c r="BB79" s="75"/>
      <c r="BC79" s="44"/>
      <c r="BD79" s="44"/>
    </row>
    <row r="80" spans="1:70" x14ac:dyDescent="0.4">
      <c r="BB80" s="75"/>
      <c r="BC80" s="44"/>
      <c r="BD80" s="44"/>
    </row>
    <row r="81" spans="1:56" x14ac:dyDescent="0.4">
      <c r="BB81" s="75"/>
      <c r="BC81" s="44"/>
      <c r="BD81" s="44"/>
    </row>
    <row r="82" spans="1:56" x14ac:dyDescent="0.4">
      <c r="BB82" s="75"/>
      <c r="BC82" s="44"/>
      <c r="BD82" s="44"/>
    </row>
    <row r="83" spans="1:56" x14ac:dyDescent="0.4">
      <c r="BB83" s="75"/>
      <c r="BC83" s="44"/>
      <c r="BD83" s="44"/>
    </row>
    <row r="84" spans="1:56" x14ac:dyDescent="0.4">
      <c r="A84" s="3"/>
      <c r="BB84" s="75"/>
      <c r="BC84" s="44"/>
      <c r="BD84" s="44"/>
    </row>
    <row r="85" spans="1:56" x14ac:dyDescent="0.4"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95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75"/>
      <c r="BC85" s="44"/>
      <c r="BD85" s="44"/>
    </row>
    <row r="86" spans="1:56" x14ac:dyDescent="0.4">
      <c r="A86" s="3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95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75"/>
      <c r="BC86" s="44"/>
      <c r="BD86" s="44"/>
    </row>
    <row r="87" spans="1:56" x14ac:dyDescent="0.4"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95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75"/>
      <c r="BC87" s="44"/>
      <c r="BD87" s="44"/>
    </row>
    <row r="88" spans="1:56" ht="24" x14ac:dyDescent="0.4">
      <c r="A88" s="76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95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75"/>
      <c r="BC88" s="44"/>
      <c r="BD88" s="44"/>
    </row>
    <row r="89" spans="1:56" x14ac:dyDescent="0.4"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95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75"/>
      <c r="BC89" s="44"/>
      <c r="BD89" s="44"/>
    </row>
    <row r="90" spans="1:56" x14ac:dyDescent="0.4"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95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75"/>
      <c r="BC90" s="44"/>
      <c r="BD90" s="44"/>
    </row>
    <row r="91" spans="1:56" x14ac:dyDescent="0.4"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95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75"/>
      <c r="BC91" s="44"/>
    </row>
    <row r="92" spans="1:56" x14ac:dyDescent="0.4"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95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75"/>
      <c r="BC92" s="44"/>
    </row>
    <row r="93" spans="1:56" x14ac:dyDescent="0.4"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95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75"/>
    </row>
    <row r="94" spans="1:56" x14ac:dyDescent="0.4"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95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75"/>
    </row>
    <row r="95" spans="1:56" x14ac:dyDescent="0.4"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95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75"/>
    </row>
    <row r="96" spans="1:56" x14ac:dyDescent="0.4"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95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75"/>
    </row>
    <row r="97" spans="8:54" x14ac:dyDescent="0.4"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95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75"/>
    </row>
    <row r="98" spans="8:54" x14ac:dyDescent="0.4"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95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75"/>
    </row>
    <row r="99" spans="8:54" x14ac:dyDescent="0.4"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95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</row>
    <row r="100" spans="8:54" x14ac:dyDescent="0.4"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95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</row>
    <row r="101" spans="8:54" x14ac:dyDescent="0.4"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95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</row>
    <row r="102" spans="8:54" x14ac:dyDescent="0.4"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95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</row>
    <row r="103" spans="8:54" x14ac:dyDescent="0.4"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95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</row>
    <row r="104" spans="8:54" x14ac:dyDescent="0.4"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95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</row>
    <row r="105" spans="8:54" x14ac:dyDescent="0.4"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95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</row>
    <row r="106" spans="8:54" x14ac:dyDescent="0.4"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95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</row>
    <row r="107" spans="8:54" x14ac:dyDescent="0.4"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95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</row>
    <row r="108" spans="8:54" x14ac:dyDescent="0.4"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95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</row>
    <row r="109" spans="8:54" x14ac:dyDescent="0.4"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95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</row>
    <row r="110" spans="8:54" x14ac:dyDescent="0.4"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95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</row>
    <row r="111" spans="8:54" x14ac:dyDescent="0.4"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95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</row>
    <row r="112" spans="8:54" x14ac:dyDescent="0.4"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95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</row>
    <row r="113" spans="8:53" x14ac:dyDescent="0.4"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95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</row>
    <row r="114" spans="8:53" x14ac:dyDescent="0.4"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95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</row>
    <row r="115" spans="8:53" x14ac:dyDescent="0.4"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95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</row>
    <row r="116" spans="8:53" x14ac:dyDescent="0.4"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95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</row>
    <row r="117" spans="8:53" x14ac:dyDescent="0.4"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95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</row>
    <row r="118" spans="8:53" x14ac:dyDescent="0.4"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95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</row>
    <row r="119" spans="8:53" x14ac:dyDescent="0.4"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95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</row>
    <row r="120" spans="8:53" x14ac:dyDescent="0.4"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95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</row>
    <row r="121" spans="8:53" x14ac:dyDescent="0.4"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95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</row>
    <row r="122" spans="8:53" x14ac:dyDescent="0.4"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95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</row>
    <row r="123" spans="8:53" x14ac:dyDescent="0.4"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95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</row>
    <row r="124" spans="8:53" x14ac:dyDescent="0.4"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95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</row>
    <row r="125" spans="8:53" x14ac:dyDescent="0.4"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95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</row>
    <row r="126" spans="8:53" x14ac:dyDescent="0.4"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95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</row>
    <row r="127" spans="8:53" x14ac:dyDescent="0.4"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95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</row>
    <row r="128" spans="8:53" x14ac:dyDescent="0.4"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95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</row>
    <row r="129" spans="8:53" x14ac:dyDescent="0.4"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95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</row>
    <row r="130" spans="8:53" x14ac:dyDescent="0.4"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95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</row>
    <row r="131" spans="8:53" x14ac:dyDescent="0.4"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95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</row>
    <row r="132" spans="8:53" x14ac:dyDescent="0.4"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95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</row>
    <row r="133" spans="8:53" x14ac:dyDescent="0.4"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95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</row>
    <row r="134" spans="8:53" x14ac:dyDescent="0.4"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95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</row>
    <row r="135" spans="8:53" x14ac:dyDescent="0.4"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95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</row>
    <row r="136" spans="8:53" x14ac:dyDescent="0.4"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95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</row>
    <row r="137" spans="8:53" x14ac:dyDescent="0.4"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95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</row>
    <row r="138" spans="8:53" x14ac:dyDescent="0.4"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95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</row>
    <row r="139" spans="8:53" x14ac:dyDescent="0.4"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95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</row>
    <row r="140" spans="8:53" x14ac:dyDescent="0.4"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95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</row>
    <row r="141" spans="8:53" x14ac:dyDescent="0.4"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95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</row>
    <row r="142" spans="8:53" x14ac:dyDescent="0.4"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95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</row>
    <row r="143" spans="8:53" x14ac:dyDescent="0.4"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95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</row>
    <row r="144" spans="8:53" x14ac:dyDescent="0.4"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95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</row>
    <row r="145" spans="8:53" x14ac:dyDescent="0.4"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95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</row>
    <row r="146" spans="8:53" x14ac:dyDescent="0.4"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95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</row>
    <row r="147" spans="8:53" x14ac:dyDescent="0.4"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8:53" x14ac:dyDescent="0.4"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8:53" x14ac:dyDescent="0.4"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8:53" x14ac:dyDescent="0.4"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8:53" x14ac:dyDescent="0.4"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8:53" x14ac:dyDescent="0.4"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8:53" x14ac:dyDescent="0.4"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8:53" x14ac:dyDescent="0.4"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8:53" x14ac:dyDescent="0.4"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8:53" x14ac:dyDescent="0.4"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8:53" x14ac:dyDescent="0.4"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8:53" x14ac:dyDescent="0.4"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8:53" x14ac:dyDescent="0.4"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8:53" x14ac:dyDescent="0.4"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8:19" x14ac:dyDescent="0.4"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8:19" x14ac:dyDescent="0.4"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8:19" x14ac:dyDescent="0.4"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8:19" x14ac:dyDescent="0.4"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8:19" x14ac:dyDescent="0.4"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8:19" x14ac:dyDescent="0.4"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8:19" x14ac:dyDescent="0.4"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8:19" x14ac:dyDescent="0.4"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8:19" x14ac:dyDescent="0.4"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8:19" x14ac:dyDescent="0.4"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8:19" x14ac:dyDescent="0.4"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8:19" x14ac:dyDescent="0.4"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8:19" x14ac:dyDescent="0.4"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8:19" x14ac:dyDescent="0.4"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8:19" x14ac:dyDescent="0.4"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8:19" x14ac:dyDescent="0.4"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8:19" x14ac:dyDescent="0.4"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8:19" x14ac:dyDescent="0.4"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8:19" x14ac:dyDescent="0.4"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8:19" x14ac:dyDescent="0.4"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8:19" x14ac:dyDescent="0.4"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8:19" x14ac:dyDescent="0.4"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8:19" x14ac:dyDescent="0.4"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8:19" x14ac:dyDescent="0.4"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8:19" x14ac:dyDescent="0.4"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8:19" x14ac:dyDescent="0.4"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8:19" x14ac:dyDescent="0.4"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 spans="8:19" x14ac:dyDescent="0.4"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 spans="8:19" x14ac:dyDescent="0.4"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  <row r="190" spans="8:19" x14ac:dyDescent="0.4"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</row>
    <row r="191" spans="8:19" x14ac:dyDescent="0.4"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</row>
    <row r="192" spans="8:19" x14ac:dyDescent="0.4"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</row>
    <row r="193" spans="8:19" x14ac:dyDescent="0.4"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</row>
    <row r="194" spans="8:19" x14ac:dyDescent="0.4"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</row>
    <row r="195" spans="8:19" x14ac:dyDescent="0.4"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</row>
    <row r="196" spans="8:19" x14ac:dyDescent="0.4"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</row>
    <row r="197" spans="8:19" x14ac:dyDescent="0.4"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</row>
    <row r="198" spans="8:19" x14ac:dyDescent="0.4"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</row>
    <row r="199" spans="8:19" x14ac:dyDescent="0.4"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</row>
    <row r="200" spans="8:19" x14ac:dyDescent="0.4"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</row>
    <row r="201" spans="8:19" x14ac:dyDescent="0.4"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</row>
    <row r="202" spans="8:19" x14ac:dyDescent="0.4"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spans="8:19" x14ac:dyDescent="0.4"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spans="8:19" x14ac:dyDescent="0.4"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spans="8:19" x14ac:dyDescent="0.4"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spans="8:19" x14ac:dyDescent="0.4"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spans="8:19" x14ac:dyDescent="0.4"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spans="8:19" x14ac:dyDescent="0.4"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spans="8:19" x14ac:dyDescent="0.4"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spans="8:19" x14ac:dyDescent="0.4"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8:19" x14ac:dyDescent="0.4"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8:19" x14ac:dyDescent="0.4"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8:19" x14ac:dyDescent="0.4"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8:19" x14ac:dyDescent="0.4"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8:19" x14ac:dyDescent="0.4"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8:19" x14ac:dyDescent="0.4"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</row>
    <row r="217" spans="8:19" x14ac:dyDescent="0.4"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8:19" x14ac:dyDescent="0.4"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8:19" x14ac:dyDescent="0.4"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8:19" x14ac:dyDescent="0.4"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8:19" x14ac:dyDescent="0.4"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8:19" x14ac:dyDescent="0.4"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8:19" x14ac:dyDescent="0.4"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8:19" x14ac:dyDescent="0.4"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pans="8:19" x14ac:dyDescent="0.4"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</row>
    <row r="226" spans="8:19" x14ac:dyDescent="0.4"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</row>
    <row r="227" spans="8:19" x14ac:dyDescent="0.4"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</row>
    <row r="228" spans="8:19" x14ac:dyDescent="0.4"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</row>
    <row r="229" spans="8:19" x14ac:dyDescent="0.4"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</row>
    <row r="230" spans="8:19" x14ac:dyDescent="0.4"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</row>
    <row r="231" spans="8:19" x14ac:dyDescent="0.4"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</row>
    <row r="232" spans="8:19" x14ac:dyDescent="0.4"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</row>
    <row r="233" spans="8:19" x14ac:dyDescent="0.4"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</row>
    <row r="234" spans="8:19" x14ac:dyDescent="0.4"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</row>
    <row r="235" spans="8:19" x14ac:dyDescent="0.4"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</row>
    <row r="236" spans="8:19" x14ac:dyDescent="0.4"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8:19" x14ac:dyDescent="0.4"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</row>
    <row r="238" spans="8:19" x14ac:dyDescent="0.4"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spans="8:19" x14ac:dyDescent="0.4"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</sheetData>
  <mergeCells count="18">
    <mergeCell ref="C27:O27"/>
    <mergeCell ref="C28:O28"/>
    <mergeCell ref="B52:B53"/>
    <mergeCell ref="T53:U53"/>
    <mergeCell ref="B27:B28"/>
    <mergeCell ref="P27:S28"/>
    <mergeCell ref="T28:AE28"/>
    <mergeCell ref="T27:AE27"/>
    <mergeCell ref="A1:AF1"/>
    <mergeCell ref="A2:AF2"/>
    <mergeCell ref="A3:AF3"/>
    <mergeCell ref="A4:AF4"/>
    <mergeCell ref="B5:B6"/>
    <mergeCell ref="C5:O5"/>
    <mergeCell ref="C6:O6"/>
    <mergeCell ref="P5:S6"/>
    <mergeCell ref="T6:AE6"/>
    <mergeCell ref="T5:AE5"/>
  </mergeCells>
  <pageMargins left="0.7" right="0.7" top="0.75" bottom="0.75" header="0.3" footer="0.3"/>
  <pageSetup scale="32" orientation="portrait" horizontalDpi="4294967295" verticalDpi="4294967295" r:id="rId1"/>
  <colBreaks count="1" manualBreakCount="1">
    <brk id="3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2023-01-29T09:38:54Z</cp:lastPrinted>
  <dcterms:created xsi:type="dcterms:W3CDTF">2019-03-21T03:27:43Z</dcterms:created>
  <dcterms:modified xsi:type="dcterms:W3CDTF">2023-01-29T09:39:46Z</dcterms:modified>
</cp:coreProperties>
</file>