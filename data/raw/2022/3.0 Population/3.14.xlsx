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opulation\"/>
    </mc:Choice>
  </mc:AlternateContent>
  <xr:revisionPtr revIDLastSave="0" documentId="13_ncr:1_{4DB67CBF-F3F5-48CB-BA71-F43628FF028B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14" sheetId="14" r:id="rId1"/>
  </sheets>
  <externalReferences>
    <externalReference r:id="rId2"/>
    <externalReference r:id="rId3"/>
    <externalReference r:id="rId4"/>
  </externalReferences>
  <definedNames>
    <definedName name="_xlnm.Print_Area" localSheetId="0">'3.14'!$A$1:$S$210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6" i="14" l="1"/>
  <c r="AW6" i="14"/>
  <c r="AS6" i="14"/>
  <c r="AR6" i="14"/>
  <c r="AS22" i="14"/>
  <c r="AL23" i="14"/>
  <c r="AM23" i="14"/>
  <c r="AN23" i="14"/>
  <c r="AM8" i="14"/>
  <c r="AM9" i="14"/>
  <c r="AM10" i="14"/>
  <c r="AM11" i="14"/>
  <c r="AM12" i="14"/>
  <c r="AM13" i="14"/>
  <c r="AM14" i="14"/>
  <c r="AM15" i="14"/>
  <c r="AM16" i="14"/>
  <c r="AM17" i="14"/>
  <c r="AM18" i="14"/>
  <c r="AM19" i="14"/>
  <c r="AM20" i="14"/>
  <c r="AM21" i="14"/>
  <c r="AM22" i="14"/>
  <c r="AM7" i="14"/>
  <c r="AW22" i="14"/>
  <c r="AV22" i="14"/>
  <c r="AK8" i="14"/>
  <c r="AK9" i="14"/>
  <c r="AK10" i="14"/>
  <c r="AK11" i="14"/>
  <c r="AK12" i="14"/>
  <c r="AK13" i="14"/>
  <c r="AK14" i="14"/>
  <c r="AK15" i="14"/>
  <c r="AK16" i="14"/>
  <c r="AK17" i="14"/>
  <c r="AK18" i="14"/>
  <c r="AK19" i="14"/>
  <c r="AK20" i="14"/>
  <c r="AK21" i="14"/>
  <c r="AK22" i="14"/>
  <c r="AK7" i="14"/>
  <c r="AR22" i="14"/>
  <c r="R168" i="14" l="1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N50" i="14"/>
  <c r="AM50" i="14"/>
  <c r="AL50" i="14"/>
  <c r="AK50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K23" i="14" l="1"/>
</calcChain>
</file>

<file path=xl/sharedStrings.xml><?xml version="1.0" encoding="utf-8"?>
<sst xmlns="http://schemas.openxmlformats.org/spreadsheetml/2006/main" count="241" uniqueCount="56">
  <si>
    <t>Both Sexes</t>
  </si>
  <si>
    <t>Male</t>
  </si>
  <si>
    <t>Female</t>
  </si>
  <si>
    <t>Source: National Bureau of Statistics</t>
  </si>
  <si>
    <t xml:space="preserve">Note: </t>
  </si>
  <si>
    <t>Age groups</t>
  </si>
  <si>
    <t xml:space="preserve"> 0-4</t>
  </si>
  <si>
    <t xml:space="preserve">  0-4</t>
  </si>
  <si>
    <t xml:space="preserve"> 5-9</t>
  </si>
  <si>
    <t xml:space="preserve">  5-9</t>
  </si>
  <si>
    <t xml:space="preserve"> 10-14 </t>
  </si>
  <si>
    <t xml:space="preserve"> 10-14</t>
  </si>
  <si>
    <t xml:space="preserve"> 15-19 </t>
  </si>
  <si>
    <t xml:space="preserve"> 15-19</t>
  </si>
  <si>
    <t xml:space="preserve"> 20-24 </t>
  </si>
  <si>
    <t xml:space="preserve"> 20-24</t>
  </si>
  <si>
    <t xml:space="preserve"> 25-29 </t>
  </si>
  <si>
    <t xml:space="preserve"> 25-29</t>
  </si>
  <si>
    <t xml:space="preserve"> 30-34 </t>
  </si>
  <si>
    <t xml:space="preserve"> 30-34</t>
  </si>
  <si>
    <t xml:space="preserve"> 35-39 </t>
  </si>
  <si>
    <t xml:space="preserve"> 35-39</t>
  </si>
  <si>
    <t xml:space="preserve"> 40-44 </t>
  </si>
  <si>
    <t xml:space="preserve"> 40-44</t>
  </si>
  <si>
    <t xml:space="preserve"> 45-49 </t>
  </si>
  <si>
    <t xml:space="preserve"> 45-49</t>
  </si>
  <si>
    <t xml:space="preserve"> 50-54 </t>
  </si>
  <si>
    <t xml:space="preserve"> 50-54</t>
  </si>
  <si>
    <t xml:space="preserve"> 55-59 </t>
  </si>
  <si>
    <t xml:space="preserve"> 55-59</t>
  </si>
  <si>
    <t xml:space="preserve"> 60-64 </t>
  </si>
  <si>
    <t xml:space="preserve"> 60-64</t>
  </si>
  <si>
    <t xml:space="preserve"> 65-69 </t>
  </si>
  <si>
    <t xml:space="preserve"> 65-69</t>
  </si>
  <si>
    <t xml:space="preserve"> 70-74 </t>
  </si>
  <si>
    <t xml:space="preserve"> 70-74</t>
  </si>
  <si>
    <t xml:space="preserve"> 75-79 </t>
  </si>
  <si>
    <t xml:space="preserve"> 75+</t>
  </si>
  <si>
    <t xml:space="preserve"> 80+ </t>
  </si>
  <si>
    <t xml:space="preserve"> All ages</t>
  </si>
  <si>
    <t xml:space="preserve">Male </t>
  </si>
  <si>
    <t>Residential Maldivian 2030</t>
  </si>
  <si>
    <t>Resident Foreigners 2030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</si>
  <si>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</si>
  <si>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</si>
  <si>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</si>
  <si>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</si>
  <si>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</si>
  <si>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Resident Population in Male'</t>
  </si>
  <si>
    <t xml:space="preserve">މާލޭގައި ދިރިއުޅޭ ދިވެހީންގެ އާބާދީ </t>
  </si>
  <si>
    <t xml:space="preserve">މާލޭގައި ދިރިއުޅޭ ބިދޭސީންގެ އާބާދީ </t>
  </si>
  <si>
    <t>Table 3.14 : PROJECTED MID-YEAR POPULATION OF MALE' BY AGE AND SEX, 2014  - 2030</t>
  </si>
  <si>
    <t>2030 - 2014 ,WzWdcnwa egIdWbWa egElWm : 3.14 ulwvWt</t>
  </si>
  <si>
    <t>މާލޭގައި ދިރިއުޅޭ މީހުންގެ އާބާދީ</t>
  </si>
  <si>
    <t>Residential Maldivian 2022</t>
  </si>
  <si>
    <t>Resident Foreigners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</si>
</sst>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10"/>
      <name val="Faruma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name val="A_Faseyh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167" fontId="3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1" fillId="0" borderId="0"/>
    <xf numFmtId="167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7" fillId="2" borderId="0" xfId="0" applyFont="1" applyFill="1"/>
    <xf numFmtId="0" fontId="2" fillId="2" borderId="0" xfId="0" applyFont="1" applyFill="1"/>
    <xf numFmtId="0" fontId="11" fillId="2" borderId="0" xfId="0" applyFont="1" applyFill="1"/>
    <xf numFmtId="3" fontId="2" fillId="2" borderId="0" xfId="0" applyNumberFormat="1" applyFont="1" applyFill="1"/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37" fontId="0" fillId="2" borderId="0" xfId="0" applyNumberFormat="1" applyFill="1"/>
    <xf numFmtId="3" fontId="11" fillId="2" borderId="0" xfId="0" applyNumberFormat="1" applyFont="1" applyFill="1"/>
    <xf numFmtId="0" fontId="11" fillId="2" borderId="1" xfId="0" applyFont="1" applyFill="1" applyBorder="1"/>
    <xf numFmtId="3" fontId="0" fillId="2" borderId="0" xfId="0" applyNumberFormat="1" applyFill="1"/>
    <xf numFmtId="0" fontId="13" fillId="2" borderId="0" xfId="0" applyFont="1" applyFill="1"/>
    <xf numFmtId="3" fontId="13" fillId="2" borderId="0" xfId="0" applyNumberFormat="1" applyFont="1" applyFill="1"/>
    <xf numFmtId="3" fontId="7" fillId="2" borderId="0" xfId="0" applyNumberFormat="1" applyFont="1" applyFill="1"/>
    <xf numFmtId="0" fontId="0" fillId="2" borderId="0" xfId="0" applyFill="1" applyAlignment="1">
      <alignment wrapText="1"/>
    </xf>
    <xf numFmtId="0" fontId="8" fillId="2" borderId="0" xfId="0" applyFont="1" applyFill="1"/>
    <xf numFmtId="3" fontId="8" fillId="2" borderId="0" xfId="0" applyNumberFormat="1" applyFont="1" applyFill="1"/>
    <xf numFmtId="3" fontId="14" fillId="2" borderId="0" xfId="0" applyNumberFormat="1" applyFont="1" applyFill="1"/>
    <xf numFmtId="1" fontId="0" fillId="2" borderId="0" xfId="0" applyNumberFormat="1" applyFill="1" applyAlignment="1">
      <alignment horizontal="right" vertical="center"/>
    </xf>
    <xf numFmtId="3" fontId="11" fillId="2" borderId="1" xfId="0" applyNumberFormat="1" applyFont="1" applyFill="1" applyBorder="1"/>
    <xf numFmtId="0" fontId="8" fillId="2" borderId="2" xfId="0" applyFont="1" applyFill="1" applyBorder="1" applyAlignment="1">
      <alignment horizontal="left" vertical="center" wrapText="1"/>
    </xf>
    <xf numFmtId="3" fontId="8" fillId="2" borderId="2" xfId="0" applyNumberFormat="1" applyFont="1" applyFill="1" applyBorder="1"/>
    <xf numFmtId="3" fontId="9" fillId="2" borderId="0" xfId="0" applyNumberFormat="1" applyFont="1" applyFill="1"/>
    <xf numFmtId="0" fontId="5" fillId="2" borderId="0" xfId="0" applyFont="1" applyFill="1"/>
    <xf numFmtId="3" fontId="6" fillId="2" borderId="0" xfId="0" applyNumberFormat="1" applyFont="1" applyFill="1"/>
    <xf numFmtId="0" fontId="12" fillId="2" borderId="0" xfId="0" applyFont="1" applyFill="1" applyAlignment="1">
      <alignment horizontal="center" vertical="center"/>
    </xf>
    <xf numFmtId="3" fontId="11" fillId="3" borderId="0" xfId="0" applyNumberFormat="1" applyFont="1" applyFill="1"/>
    <xf numFmtId="3" fontId="11" fillId="3" borderId="1" xfId="0" applyNumberFormat="1" applyFont="1" applyFill="1" applyBorder="1"/>
    <xf numFmtId="3" fontId="8" fillId="3" borderId="2" xfId="0" applyNumberFormat="1" applyFont="1" applyFill="1" applyBorder="1"/>
    <xf numFmtId="0" fontId="8" fillId="2" borderId="0" xfId="0" applyFont="1" applyFill="1" applyAlignment="1">
      <alignment horizontal="left"/>
    </xf>
    <xf numFmtId="167" fontId="15" fillId="2" borderId="0" xfId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3.15: Population Pyramid of</a:t>
            </a:r>
            <a:r>
              <a:rPr lang="en-US" sz="800" baseline="0"/>
              <a:t> </a:t>
            </a:r>
            <a:r>
              <a:rPr lang="en-US" sz="800"/>
              <a:t> Resident Maldivian and Foreigners  in Male', 2022 </a:t>
            </a:r>
          </a:p>
        </c:rich>
      </c:tx>
      <c:layout>
        <c:manualLayout>
          <c:xMode val="edge"/>
          <c:yMode val="edge"/>
          <c:x val="0.12281198476723695"/>
          <c:y val="3.6408211173304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0076358733968988E-2"/>
          <c:y val="0.10450367322841224"/>
          <c:w val="0.89809535295920884"/>
          <c:h val="0.8077141755043546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'3.14'!$AK$5:$AK$6</c:f>
              <c:strCache>
                <c:ptCount val="2"/>
                <c:pt idx="0">
                  <c:v>Residential Maldivian 2022</c:v>
                </c:pt>
                <c:pt idx="1">
                  <c:v>Male</c:v>
                </c:pt>
              </c:strCache>
            </c:strRef>
          </c:tx>
          <c:spPr>
            <a:solidFill>
              <a:srgbClr val="C00000"/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'3.14'!$AK$7:$AK$22</c:f>
              <c:numCache>
                <c:formatCode>0</c:formatCode>
                <c:ptCount val="16"/>
                <c:pt idx="0">
                  <c:v>-8395</c:v>
                </c:pt>
                <c:pt idx="1">
                  <c:v>-7106</c:v>
                </c:pt>
                <c:pt idx="2">
                  <c:v>-6673</c:v>
                </c:pt>
                <c:pt idx="3">
                  <c:v>-5081</c:v>
                </c:pt>
                <c:pt idx="4">
                  <c:v>-5439</c:v>
                </c:pt>
                <c:pt idx="5">
                  <c:v>-9069</c:v>
                </c:pt>
                <c:pt idx="6">
                  <c:v>-9211</c:v>
                </c:pt>
                <c:pt idx="7">
                  <c:v>-8689</c:v>
                </c:pt>
                <c:pt idx="8">
                  <c:v>-6543</c:v>
                </c:pt>
                <c:pt idx="9">
                  <c:v>-5225</c:v>
                </c:pt>
                <c:pt idx="10">
                  <c:v>-4322</c:v>
                </c:pt>
                <c:pt idx="11">
                  <c:v>-3311</c:v>
                </c:pt>
                <c:pt idx="12">
                  <c:v>-2573</c:v>
                </c:pt>
                <c:pt idx="13">
                  <c:v>-1517</c:v>
                </c:pt>
                <c:pt idx="14">
                  <c:v>-889</c:v>
                </c:pt>
                <c:pt idx="15">
                  <c:v>-1140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A-4BE5-BF44-D76002E3A0CD}"/>
            </c:ext>
          </c:extLst>
        </c:ser>
        <c:ser>
          <c:idx val="6"/>
          <c:order val="1"/>
          <c:tx>
            <c:strRef>
              <c:f>'3.14'!$AL$5:$AL$6</c:f>
              <c:strCache>
                <c:ptCount val="2"/>
                <c:pt idx="0">
                  <c:v>Residential Maldivian 2022</c:v>
                </c:pt>
                <c:pt idx="1">
                  <c:v>Female</c:v>
                </c:pt>
              </c:strCache>
            </c:strRef>
          </c:tx>
          <c:spPr>
            <a:solidFill>
              <a:srgbClr val="FFDDDD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'3.14'!$AL$7:$AL$22</c:f>
              <c:numCache>
                <c:formatCode>0</c:formatCode>
                <c:ptCount val="16"/>
                <c:pt idx="0">
                  <c:v>7822</c:v>
                </c:pt>
                <c:pt idx="1">
                  <c:v>6625</c:v>
                </c:pt>
                <c:pt idx="2">
                  <c:v>6225</c:v>
                </c:pt>
                <c:pt idx="3">
                  <c:v>4980</c:v>
                </c:pt>
                <c:pt idx="4">
                  <c:v>5421</c:v>
                </c:pt>
                <c:pt idx="5">
                  <c:v>9956</c:v>
                </c:pt>
                <c:pt idx="6">
                  <c:v>9604</c:v>
                </c:pt>
                <c:pt idx="7">
                  <c:v>8948</c:v>
                </c:pt>
                <c:pt idx="8">
                  <c:v>6792</c:v>
                </c:pt>
                <c:pt idx="9">
                  <c:v>4979</c:v>
                </c:pt>
                <c:pt idx="10">
                  <c:v>4256</c:v>
                </c:pt>
                <c:pt idx="11">
                  <c:v>3344</c:v>
                </c:pt>
                <c:pt idx="12">
                  <c:v>2658</c:v>
                </c:pt>
                <c:pt idx="13">
                  <c:v>1514</c:v>
                </c:pt>
                <c:pt idx="14">
                  <c:v>951</c:v>
                </c:pt>
                <c:pt idx="15">
                  <c:v>1310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FA-4BE5-BF44-D76002E3A0CD}"/>
            </c:ext>
          </c:extLst>
        </c:ser>
        <c:ser>
          <c:idx val="7"/>
          <c:order val="2"/>
          <c:tx>
            <c:strRef>
              <c:f>'3.14'!$AM$5:$AM$6</c:f>
              <c:strCache>
                <c:ptCount val="2"/>
                <c:pt idx="0">
                  <c:v>Resident Foreigners 2022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FF8181"/>
              </a:solidFill>
              <a:prstDash val="solid"/>
            </a:ln>
            <a:effectLst/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'3.14'!$AM$7:$AM$22</c:f>
              <c:numCache>
                <c:formatCode>0</c:formatCode>
                <c:ptCount val="16"/>
                <c:pt idx="0">
                  <c:v>-492.57716966090123</c:v>
                </c:pt>
                <c:pt idx="1">
                  <c:v>-326.37014922317366</c:v>
                </c:pt>
                <c:pt idx="2">
                  <c:v>-166.20702043772735</c:v>
                </c:pt>
                <c:pt idx="3">
                  <c:v>-1362.8975675893646</c:v>
                </c:pt>
                <c:pt idx="4">
                  <c:v>-13505.075897021881</c:v>
                </c:pt>
                <c:pt idx="5">
                  <c:v>-19216.553508427431</c:v>
                </c:pt>
                <c:pt idx="6">
                  <c:v>-11719.105913772852</c:v>
                </c:pt>
                <c:pt idx="7">
                  <c:v>-7355.4161408259715</c:v>
                </c:pt>
                <c:pt idx="8">
                  <c:v>-4532.918739210746</c:v>
                </c:pt>
                <c:pt idx="9">
                  <c:v>-2725.7951351787292</c:v>
                </c:pt>
                <c:pt idx="10">
                  <c:v>-1160.4271972379513</c:v>
                </c:pt>
                <c:pt idx="11">
                  <c:v>-465.37965722563666</c:v>
                </c:pt>
                <c:pt idx="12">
                  <c:v>-190.38258704685134</c:v>
                </c:pt>
                <c:pt idx="13">
                  <c:v>-96.702266436495918</c:v>
                </c:pt>
                <c:pt idx="14">
                  <c:v>-57.416970696669445</c:v>
                </c:pt>
                <c:pt idx="15">
                  <c:v>-72.526699827371942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FA-4BE5-BF44-D76002E3A0CD}"/>
            </c:ext>
          </c:extLst>
        </c:ser>
        <c:ser>
          <c:idx val="0"/>
          <c:order val="3"/>
          <c:tx>
            <c:strRef>
              <c:f>'3.14'!$AN$5:$AN$6</c:f>
              <c:strCache>
                <c:ptCount val="2"/>
                <c:pt idx="0">
                  <c:v>Resident Foreigners 2022</c:v>
                </c:pt>
                <c:pt idx="1">
                  <c:v>Female</c:v>
                </c:pt>
              </c:strCache>
            </c:strRef>
          </c:tx>
          <c:spPr>
            <a:noFill/>
            <a:ln w="9525">
              <a:solidFill>
                <a:srgbClr val="CC0066"/>
              </a:solidFill>
            </a:ln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'3.14'!$AN$7:$AN$22</c:f>
              <c:numCache>
                <c:formatCode>#,##0</c:formatCode>
                <c:ptCount val="16"/>
                <c:pt idx="0">
                  <c:v>355.51456851278829</c:v>
                </c:pt>
                <c:pt idx="1">
                  <c:v>170.30638012588659</c:v>
                </c:pt>
                <c:pt idx="2">
                  <c:v>78.766700808222552</c:v>
                </c:pt>
                <c:pt idx="3">
                  <c:v>112.82797683339987</c:v>
                </c:pt>
                <c:pt idx="4">
                  <c:v>583.29935193116148</c:v>
                </c:pt>
                <c:pt idx="5">
                  <c:v>1666.873695482115</c:v>
                </c:pt>
                <c:pt idx="6">
                  <c:v>1475.2790178404923</c:v>
                </c:pt>
                <c:pt idx="7">
                  <c:v>1183.6293418749119</c:v>
                </c:pt>
                <c:pt idx="8">
                  <c:v>736.57509404445943</c:v>
                </c:pt>
                <c:pt idx="9">
                  <c:v>517.30562963238049</c:v>
                </c:pt>
                <c:pt idx="10">
                  <c:v>325.71095199075813</c:v>
                </c:pt>
                <c:pt idx="11">
                  <c:v>191.59467764162241</c:v>
                </c:pt>
                <c:pt idx="12">
                  <c:v>72.380211553501795</c:v>
                </c:pt>
                <c:pt idx="13">
                  <c:v>27.674786770456571</c:v>
                </c:pt>
                <c:pt idx="14">
                  <c:v>10.644148757867912</c:v>
                </c:pt>
                <c:pt idx="15">
                  <c:v>2.1288297515735826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FA-4BE5-BF44-D76002E3A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6424"/>
        <c:axId val="499767208"/>
      </c:barChart>
      <c:catAx>
        <c:axId val="499766424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7208"/>
        <c:crosses val="autoZero"/>
        <c:auto val="1"/>
        <c:lblAlgn val="ctr"/>
        <c:lblOffset val="50"/>
        <c:noMultiLvlLbl val="0"/>
      </c:catAx>
      <c:valAx>
        <c:axId val="499767208"/>
        <c:scaling>
          <c:orientation val="minMax"/>
          <c:max val="25000"/>
          <c:min val="-25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6424"/>
        <c:crossesAt val="1"/>
        <c:crossBetween val="between"/>
        <c:majorUnit val="5000"/>
        <c:minorUnit val="2000"/>
      </c:valAx>
      <c:spPr>
        <a:solidFill>
          <a:srgbClr val="FFF7F7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4319195850644143E-2"/>
          <c:y val="0.28350661293605633"/>
          <c:w val="0.33259486150404505"/>
          <c:h val="0.2319401158137564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800" b="1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3.16:  </a:t>
            </a:r>
            <a:r>
              <a:rPr lang="en-US" sz="800" b="1" i="0" baseline="0">
                <a:effectLst/>
              </a:rPr>
              <a:t>Population Pyramid of  Resident Maldivian and Foreigners  in Male', </a:t>
            </a:r>
            <a:r>
              <a:rPr lang="en-US" sz="800"/>
              <a:t>2030 </a:t>
            </a:r>
          </a:p>
        </c:rich>
      </c:tx>
      <c:layout>
        <c:manualLayout>
          <c:xMode val="edge"/>
          <c:yMode val="edge"/>
          <c:x val="0.16064817534285031"/>
          <c:y val="3.70715222384839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348684584871713E-2"/>
          <c:y val="0.11236306047660699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'3.14'!$AK$32:$AK$33</c:f>
              <c:strCache>
                <c:ptCount val="2"/>
                <c:pt idx="0">
                  <c:v>Residential Maldivian 2030</c:v>
                </c:pt>
                <c:pt idx="1">
                  <c:v>Male</c:v>
                </c:pt>
              </c:strCache>
            </c:strRef>
          </c:tx>
          <c:spPr>
            <a:solidFill>
              <a:srgbClr val="C00000"/>
            </a:solidFill>
            <a:ln w="6350">
              <a:solidFill>
                <a:schemeClr val="bg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'3.14'!$AK$34:$AK$50</c15:sqref>
                  </c15:fullRef>
                </c:ext>
              </c:extLst>
              <c:f>'3.14'!$AK$34:$AK$49</c:f>
              <c:numCache>
                <c:formatCode>0</c:formatCode>
                <c:ptCount val="16"/>
                <c:pt idx="0">
                  <c:v>-8496</c:v>
                </c:pt>
                <c:pt idx="1">
                  <c:v>-8824</c:v>
                </c:pt>
                <c:pt idx="2">
                  <c:v>-8398</c:v>
                </c:pt>
                <c:pt idx="3">
                  <c:v>-7477</c:v>
                </c:pt>
                <c:pt idx="4">
                  <c:v>-7328</c:v>
                </c:pt>
                <c:pt idx="5">
                  <c:v>-6437</c:v>
                </c:pt>
                <c:pt idx="6">
                  <c:v>-8460</c:v>
                </c:pt>
                <c:pt idx="7">
                  <c:v>-10564</c:v>
                </c:pt>
                <c:pt idx="8">
                  <c:v>-10108</c:v>
                </c:pt>
                <c:pt idx="9">
                  <c:v>-8628</c:v>
                </c:pt>
                <c:pt idx="10">
                  <c:v>-6383</c:v>
                </c:pt>
                <c:pt idx="11">
                  <c:v>-5048</c:v>
                </c:pt>
                <c:pt idx="12">
                  <c:v>-3916</c:v>
                </c:pt>
                <c:pt idx="13">
                  <c:v>-2980</c:v>
                </c:pt>
                <c:pt idx="14">
                  <c:v>-1877</c:v>
                </c:pt>
                <c:pt idx="15">
                  <c:v>-1838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5-47C9-9DE8-6A477AD12621}"/>
            </c:ext>
          </c:extLst>
        </c:ser>
        <c:ser>
          <c:idx val="5"/>
          <c:order val="1"/>
          <c:tx>
            <c:strRef>
              <c:f>'3.14'!$AL$32:$AL$33</c:f>
              <c:strCache>
                <c:ptCount val="2"/>
                <c:pt idx="0">
                  <c:v>Residential Maldivian 2030</c:v>
                </c:pt>
                <c:pt idx="1">
                  <c:v>Female</c:v>
                </c:pt>
              </c:strCache>
            </c:strRef>
          </c:tx>
          <c:spPr>
            <a:solidFill>
              <a:srgbClr val="FFDDDD"/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'3.14'!$AL$34:$AL$50</c15:sqref>
                  </c15:fullRef>
                </c:ext>
              </c:extLst>
              <c:f>'3.14'!$AL$34:$AL$49</c:f>
              <c:numCache>
                <c:formatCode>0</c:formatCode>
                <c:ptCount val="16"/>
                <c:pt idx="0">
                  <c:v>7944</c:v>
                </c:pt>
                <c:pt idx="1">
                  <c:v>8212</c:v>
                </c:pt>
                <c:pt idx="2">
                  <c:v>7800</c:v>
                </c:pt>
                <c:pt idx="3">
                  <c:v>6865</c:v>
                </c:pt>
                <c:pt idx="4">
                  <c:v>7334</c:v>
                </c:pt>
                <c:pt idx="5">
                  <c:v>6491</c:v>
                </c:pt>
                <c:pt idx="6">
                  <c:v>8956</c:v>
                </c:pt>
                <c:pt idx="7">
                  <c:v>11335</c:v>
                </c:pt>
                <c:pt idx="8">
                  <c:v>10372</c:v>
                </c:pt>
                <c:pt idx="9">
                  <c:v>8988</c:v>
                </c:pt>
                <c:pt idx="10">
                  <c:v>6434</c:v>
                </c:pt>
                <c:pt idx="11">
                  <c:v>4988</c:v>
                </c:pt>
                <c:pt idx="12">
                  <c:v>3892</c:v>
                </c:pt>
                <c:pt idx="13">
                  <c:v>3053</c:v>
                </c:pt>
                <c:pt idx="14">
                  <c:v>2083</c:v>
                </c:pt>
                <c:pt idx="15">
                  <c:v>1967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F5-47C9-9DE8-6A477AD12621}"/>
            </c:ext>
          </c:extLst>
        </c:ser>
        <c:ser>
          <c:idx val="6"/>
          <c:order val="2"/>
          <c:tx>
            <c:strRef>
              <c:f>'3.14'!$AM$32:$AM$33</c:f>
              <c:strCache>
                <c:ptCount val="2"/>
                <c:pt idx="0">
                  <c:v>Resident Foreigners 2030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FF8181"/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'3.14'!$AM$34:$AM$50</c15:sqref>
                  </c15:fullRef>
                </c:ext>
              </c:extLst>
              <c:f>'3.14'!$AM$34:$AM$49</c:f>
              <c:numCache>
                <c:formatCode>0</c:formatCode>
                <c:ptCount val="16"/>
                <c:pt idx="0">
                  <c:v>-601.63511363055454</c:v>
                </c:pt>
                <c:pt idx="1">
                  <c:v>-398.62940044233051</c:v>
                </c:pt>
                <c:pt idx="2">
                  <c:v>-203.00571318822398</c:v>
                </c:pt>
                <c:pt idx="3">
                  <c:v>-1664.646848143437</c:v>
                </c:pt>
                <c:pt idx="4">
                  <c:v>-16495.136949784959</c:v>
                </c:pt>
                <c:pt idx="5">
                  <c:v>-23471.151457525757</c:v>
                </c:pt>
                <c:pt idx="6">
                  <c:v>-14313.74828625332</c:v>
                </c:pt>
                <c:pt idx="7">
                  <c:v>-8983.9255618206753</c:v>
                </c:pt>
                <c:pt idx="8">
                  <c:v>-5536.5194505879253</c:v>
                </c:pt>
                <c:pt idx="9">
                  <c:v>-3329.2936962868739</c:v>
                </c:pt>
                <c:pt idx="10">
                  <c:v>-1417.3489793505089</c:v>
                </c:pt>
                <c:pt idx="11">
                  <c:v>-568.41599692702709</c:v>
                </c:pt>
                <c:pt idx="12">
                  <c:v>-232.53381692469284</c:v>
                </c:pt>
                <c:pt idx="13">
                  <c:v>-118.11241494587573</c:v>
                </c:pt>
                <c:pt idx="14">
                  <c:v>-70.129246374113734</c:v>
                </c:pt>
                <c:pt idx="15">
                  <c:v>-88.584311209406792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F5-47C9-9DE8-6A477AD12621}"/>
            </c:ext>
          </c:extLst>
        </c:ser>
        <c:ser>
          <c:idx val="7"/>
          <c:order val="3"/>
          <c:tx>
            <c:strRef>
              <c:f>'3.14'!$AN$32:$AN$33</c:f>
              <c:strCache>
                <c:ptCount val="2"/>
                <c:pt idx="0">
                  <c:v>Resident Foreigners 2030</c:v>
                </c:pt>
                <c:pt idx="1">
                  <c:v>Female</c:v>
                </c:pt>
              </c:strCache>
            </c:strRef>
          </c:tx>
          <c:spPr>
            <a:noFill/>
            <a:ln w="9525" cmpd="sng">
              <a:solidFill>
                <a:srgbClr val="CC0066"/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'3.14'!$AN$34:$AN$50</c15:sqref>
                  </c15:fullRef>
                </c:ext>
              </c:extLst>
              <c:f>'3.14'!$AN$34:$AN$49</c:f>
              <c:numCache>
                <c:formatCode>0</c:formatCode>
                <c:ptCount val="16"/>
                <c:pt idx="0">
                  <c:v>434.22647454764228</c:v>
                </c:pt>
                <c:pt idx="1">
                  <c:v>208.01268241803223</c:v>
                </c:pt>
                <c:pt idx="2">
                  <c:v>96.205865618339914</c:v>
                </c:pt>
                <c:pt idx="3">
                  <c:v>137.80840210194634</c:v>
                </c:pt>
                <c:pt idx="4">
                  <c:v>712.44343728176045</c:v>
                </c:pt>
                <c:pt idx="5">
                  <c:v>2035.9241291664905</c:v>
                </c:pt>
                <c:pt idx="6">
                  <c:v>1801.9098614462039</c:v>
                </c:pt>
                <c:pt idx="7">
                  <c:v>1445.6881428053243</c:v>
                </c:pt>
                <c:pt idx="8">
                  <c:v>899.65485145798948</c:v>
                </c:pt>
                <c:pt idx="9">
                  <c:v>631.83852284477291</c:v>
                </c:pt>
                <c:pt idx="10">
                  <c:v>397.82425512448663</c:v>
                </c:pt>
                <c:pt idx="11">
                  <c:v>234.01426772028626</c:v>
                </c:pt>
                <c:pt idx="12">
                  <c:v>88.405390027663685</c:v>
                </c:pt>
                <c:pt idx="13">
                  <c:v>33.802060892930243</c:v>
                </c:pt>
                <c:pt idx="14">
                  <c:v>13.000792651127014</c:v>
                </c:pt>
                <c:pt idx="15">
                  <c:v>2.6001585302254036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F5-47C9-9DE8-6A477AD12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6032"/>
        <c:axId val="499764072"/>
      </c:barChart>
      <c:catAx>
        <c:axId val="499766032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4072"/>
        <c:crosses val="autoZero"/>
        <c:auto val="1"/>
        <c:lblAlgn val="ctr"/>
        <c:lblOffset val="50"/>
        <c:noMultiLvlLbl val="0"/>
      </c:catAx>
      <c:valAx>
        <c:axId val="499764072"/>
        <c:scaling>
          <c:orientation val="minMax"/>
          <c:max val="25000"/>
          <c:min val="-25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6032"/>
        <c:crossesAt val="1"/>
        <c:crossBetween val="between"/>
        <c:majorUnit val="5000"/>
      </c:valAx>
      <c:spPr>
        <a:solidFill>
          <a:srgbClr val="FFF7F7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8.7195384711762802E-2"/>
          <c:y val="0.19290069088055978"/>
          <c:w val="0.31241803776812016"/>
          <c:h val="0.2248325460593265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265814</xdr:colOff>
      <xdr:row>192</xdr:row>
      <xdr:rowOff>76786</xdr:rowOff>
    </xdr:from>
    <xdr:to>
      <xdr:col>8</xdr:col>
      <xdr:colOff>397916</xdr:colOff>
      <xdr:row>209</xdr:row>
      <xdr:rowOff>70048</xdr:rowOff>
    </xdr:to>
    <xdr:graphicFrame macro="">
      <xdr:nvGraphicFramePr>
        <xdr:cNvPr id="12" name="Chart 5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39008</xdr:colOff>
      <xdr:row>192</xdr:row>
      <xdr:rowOff>64274</xdr:rowOff>
    </xdr:from>
    <xdr:to>
      <xdr:col>17</xdr:col>
      <xdr:colOff>554460</xdr:colOff>
      <xdr:row>209</xdr:row>
      <xdr:rowOff>31658</xdr:rowOff>
    </xdr:to>
    <xdr:graphicFrame macro="">
      <xdr:nvGraphicFramePr>
        <xdr:cNvPr id="13" name="Chart 5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632960</xdr:colOff>
      <xdr:row>196</xdr:row>
      <xdr:rowOff>168852</xdr:rowOff>
    </xdr:from>
    <xdr:to>
      <xdr:col>8</xdr:col>
      <xdr:colOff>220807</xdr:colOff>
      <xdr:row>196</xdr:row>
      <xdr:rowOff>170741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CxnSpPr/>
      </xdr:nvCxnSpPr>
      <xdr:spPr>
        <a:xfrm flipV="1">
          <a:off x="632960" y="37571795"/>
          <a:ext cx="4501881" cy="1889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68348</xdr:colOff>
      <xdr:row>195</xdr:row>
      <xdr:rowOff>15291</xdr:rowOff>
    </xdr:from>
    <xdr:to>
      <xdr:col>7</xdr:col>
      <xdr:colOff>359061</xdr:colOff>
      <xdr:row>196</xdr:row>
      <xdr:rowOff>102769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/>
      </xdr:nvSpPr>
      <xdr:spPr>
        <a:xfrm>
          <a:off x="3827138" y="37992388"/>
          <a:ext cx="884746" cy="282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FF0000"/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554175</xdr:colOff>
      <xdr:row>205</xdr:row>
      <xdr:rowOff>162784</xdr:rowOff>
    </xdr:from>
    <xdr:to>
      <xdr:col>7</xdr:col>
      <xdr:colOff>440151</xdr:colOff>
      <xdr:row>207</xdr:row>
      <xdr:rowOff>90806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/>
      </xdr:nvSpPr>
      <xdr:spPr>
        <a:xfrm>
          <a:off x="3706950" y="39234334"/>
          <a:ext cx="1067076" cy="309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FF0000"/>
              </a:solidFill>
            </a:rPr>
            <a:t>Child Population</a:t>
          </a:r>
        </a:p>
      </xdr:txBody>
    </xdr:sp>
    <xdr:clientData/>
  </xdr:twoCellAnchor>
  <xdr:twoCellAnchor>
    <xdr:from>
      <xdr:col>5</xdr:col>
      <xdr:colOff>562205</xdr:colOff>
      <xdr:row>199</xdr:row>
      <xdr:rowOff>148732</xdr:rowOff>
    </xdr:from>
    <xdr:to>
      <xdr:col>7</xdr:col>
      <xdr:colOff>386678</xdr:colOff>
      <xdr:row>200</xdr:row>
      <xdr:rowOff>149715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/>
      </xdr:nvSpPr>
      <xdr:spPr>
        <a:xfrm>
          <a:off x="3709785" y="38123175"/>
          <a:ext cx="1002109" cy="191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FF0000"/>
              </a:solidFill>
            </a:rPr>
            <a:t>Working Population</a:t>
          </a:r>
        </a:p>
      </xdr:txBody>
    </xdr:sp>
    <xdr:clientData/>
  </xdr:twoCellAnchor>
  <xdr:twoCellAnchor>
    <xdr:from>
      <xdr:col>9</xdr:col>
      <xdr:colOff>445674</xdr:colOff>
      <xdr:row>205</xdr:row>
      <xdr:rowOff>107324</xdr:rowOff>
    </xdr:from>
    <xdr:to>
      <xdr:col>17</xdr:col>
      <xdr:colOff>382732</xdr:colOff>
      <xdr:row>205</xdr:row>
      <xdr:rowOff>113234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CxnSpPr/>
      </xdr:nvCxnSpPr>
      <xdr:spPr>
        <a:xfrm flipV="1">
          <a:off x="5928087" y="38794330"/>
          <a:ext cx="4633104" cy="5910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357149</xdr:colOff>
      <xdr:row>194</xdr:row>
      <xdr:rowOff>154742</xdr:rowOff>
    </xdr:from>
    <xdr:to>
      <xdr:col>17</xdr:col>
      <xdr:colOff>52018</xdr:colOff>
      <xdr:row>196</xdr:row>
      <xdr:rowOff>53935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/>
      </xdr:nvSpPr>
      <xdr:spPr>
        <a:xfrm>
          <a:off x="9392910" y="37176685"/>
          <a:ext cx="872506" cy="2801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FF0000"/>
              </a:solidFill>
            </a:rPr>
            <a:t>Elderly Population</a:t>
          </a:r>
        </a:p>
      </xdr:txBody>
    </xdr:sp>
    <xdr:clientData/>
  </xdr:twoCellAnchor>
  <xdr:twoCellAnchor>
    <xdr:from>
      <xdr:col>15</xdr:col>
      <xdr:colOff>302454</xdr:colOff>
      <xdr:row>205</xdr:row>
      <xdr:rowOff>141942</xdr:rowOff>
    </xdr:from>
    <xdr:to>
      <xdr:col>17</xdr:col>
      <xdr:colOff>188430</xdr:colOff>
      <xdr:row>207</xdr:row>
      <xdr:rowOff>69964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/>
      </xdr:nvSpPr>
      <xdr:spPr>
        <a:xfrm>
          <a:off x="9338215" y="39259385"/>
          <a:ext cx="1063613" cy="309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FF0000"/>
              </a:solidFill>
            </a:rPr>
            <a:t>Child</a:t>
          </a:r>
          <a:r>
            <a:rPr lang="en-US" sz="700" b="1">
              <a:solidFill>
                <a:srgbClr val="A85400"/>
              </a:solidFill>
            </a:rPr>
            <a:t> </a:t>
          </a:r>
          <a:r>
            <a:rPr lang="en-US" sz="700" b="1">
              <a:solidFill>
                <a:srgbClr val="FF0000"/>
              </a:solidFill>
            </a:rPr>
            <a:t>Population</a:t>
          </a:r>
        </a:p>
      </xdr:txBody>
    </xdr:sp>
    <xdr:clientData/>
  </xdr:twoCellAnchor>
  <xdr:twoCellAnchor>
    <xdr:from>
      <xdr:col>15</xdr:col>
      <xdr:colOff>362760</xdr:colOff>
      <xdr:row>200</xdr:row>
      <xdr:rowOff>147624</xdr:rowOff>
    </xdr:from>
    <xdr:to>
      <xdr:col>17</xdr:col>
      <xdr:colOff>187233</xdr:colOff>
      <xdr:row>201</xdr:row>
      <xdr:rowOff>148607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/>
      </xdr:nvSpPr>
      <xdr:spPr>
        <a:xfrm>
          <a:off x="9398521" y="38312567"/>
          <a:ext cx="1002110" cy="191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FF0000"/>
              </a:solidFill>
            </a:rPr>
            <a:t>Working Population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0.07266</cdr:x>
      <cdr:y>0.76698</cdr:y>
    </cdr:from>
    <cdr:to>
      <cdr:x>0.96591</cdr:x>
      <cdr:y>0.7716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B2D0B9D7-605D-46CE-B53E-600B4C603F22}"/>
            </a:ext>
          </a:extLst>
        </cdr:cNvPr>
        <cdr:cNvCxnSpPr/>
      </cdr:nvCxnSpPr>
      <cdr:spPr>
        <a:xfrm xmlns:a="http://schemas.openxmlformats.org/drawingml/2006/main">
          <a:off x="367357" y="2443718"/>
          <a:ext cx="4515882" cy="14713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0.08286</cdr:x>
      <cdr:y>0.26379</cdr:y>
    </cdr:from>
    <cdr:to>
      <cdr:x>0.97125</cdr:x>
      <cdr:y>0.26566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0180F48C-592E-4406-8808-B1FFE3F54BA6}"/>
            </a:ext>
          </a:extLst>
        </cdr:cNvPr>
        <cdr:cNvCxnSpPr/>
      </cdr:nvCxnSpPr>
      <cdr:spPr>
        <a:xfrm xmlns:a="http://schemas.openxmlformats.org/drawingml/2006/main" flipV="1">
          <a:off x="443888" y="828080"/>
          <a:ext cx="4759291" cy="5875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AW221"/>
  <sheetViews>
    <sheetView tabSelected="1" zoomScale="93" zoomScaleNormal="93" workbookViewId="0">
      <selection activeCell="I217" sqref="I217"/>
    </sheetView>
  </sheetViews>
  <sheetFormatPr defaultRowHeight="15" x14ac:dyDescent="0.25"/>
  <cols>
    <col min="1" max="1" width="11.85546875" style="1" customWidth="1"/>
    <col min="2" max="18" width="8.85546875" style="1" customWidth="1"/>
    <col min="19" max="19" width="1.7109375" style="1" customWidth="1"/>
    <col min="20" max="26" width="9.140625" style="1"/>
    <col min="27" max="27" width="9.140625" style="1" customWidth="1"/>
    <col min="28" max="226" width="9.140625" style="1"/>
    <col min="227" max="227" width="11.85546875" style="1" customWidth="1"/>
    <col min="228" max="268" width="8.85546875" style="1" customWidth="1"/>
    <col min="269" max="482" width="9.140625" style="1"/>
    <col min="483" max="483" width="11.85546875" style="1" customWidth="1"/>
    <col min="484" max="524" width="8.85546875" style="1" customWidth="1"/>
    <col min="525" max="738" width="9.140625" style="1"/>
    <col min="739" max="739" width="11.85546875" style="1" customWidth="1"/>
    <col min="740" max="780" width="8.85546875" style="1" customWidth="1"/>
    <col min="781" max="994" width="9.140625" style="1"/>
    <col min="995" max="995" width="11.85546875" style="1" customWidth="1"/>
    <col min="996" max="1036" width="8.85546875" style="1" customWidth="1"/>
    <col min="1037" max="1250" width="9.140625" style="1"/>
    <col min="1251" max="1251" width="11.85546875" style="1" customWidth="1"/>
    <col min="1252" max="1292" width="8.85546875" style="1" customWidth="1"/>
    <col min="1293" max="1506" width="9.140625" style="1"/>
    <col min="1507" max="1507" width="11.85546875" style="1" customWidth="1"/>
    <col min="1508" max="1548" width="8.85546875" style="1" customWidth="1"/>
    <col min="1549" max="1762" width="9.140625" style="1"/>
    <col min="1763" max="1763" width="11.85546875" style="1" customWidth="1"/>
    <col min="1764" max="1804" width="8.85546875" style="1" customWidth="1"/>
    <col min="1805" max="2018" width="9.140625" style="1"/>
    <col min="2019" max="2019" width="11.85546875" style="1" customWidth="1"/>
    <col min="2020" max="2060" width="8.85546875" style="1" customWidth="1"/>
    <col min="2061" max="2274" width="9.140625" style="1"/>
    <col min="2275" max="2275" width="11.85546875" style="1" customWidth="1"/>
    <col min="2276" max="2316" width="8.85546875" style="1" customWidth="1"/>
    <col min="2317" max="2530" width="9.140625" style="1"/>
    <col min="2531" max="2531" width="11.85546875" style="1" customWidth="1"/>
    <col min="2532" max="2572" width="8.85546875" style="1" customWidth="1"/>
    <col min="2573" max="2786" width="9.140625" style="1"/>
    <col min="2787" max="2787" width="11.85546875" style="1" customWidth="1"/>
    <col min="2788" max="2828" width="8.85546875" style="1" customWidth="1"/>
    <col min="2829" max="3042" width="9.140625" style="1"/>
    <col min="3043" max="3043" width="11.85546875" style="1" customWidth="1"/>
    <col min="3044" max="3084" width="8.85546875" style="1" customWidth="1"/>
    <col min="3085" max="3298" width="9.140625" style="1"/>
    <col min="3299" max="3299" width="11.85546875" style="1" customWidth="1"/>
    <col min="3300" max="3340" width="8.85546875" style="1" customWidth="1"/>
    <col min="3341" max="3554" width="9.140625" style="1"/>
    <col min="3555" max="3555" width="11.85546875" style="1" customWidth="1"/>
    <col min="3556" max="3596" width="8.85546875" style="1" customWidth="1"/>
    <col min="3597" max="3810" width="9.140625" style="1"/>
    <col min="3811" max="3811" width="11.85546875" style="1" customWidth="1"/>
    <col min="3812" max="3852" width="8.85546875" style="1" customWidth="1"/>
    <col min="3853" max="4066" width="9.140625" style="1"/>
    <col min="4067" max="4067" width="11.85546875" style="1" customWidth="1"/>
    <col min="4068" max="4108" width="8.85546875" style="1" customWidth="1"/>
    <col min="4109" max="4322" width="9.140625" style="1"/>
    <col min="4323" max="4323" width="11.85546875" style="1" customWidth="1"/>
    <col min="4324" max="4364" width="8.85546875" style="1" customWidth="1"/>
    <col min="4365" max="4578" width="9.140625" style="1"/>
    <col min="4579" max="4579" width="11.85546875" style="1" customWidth="1"/>
    <col min="4580" max="4620" width="8.85546875" style="1" customWidth="1"/>
    <col min="4621" max="4834" width="9.140625" style="1"/>
    <col min="4835" max="4835" width="11.85546875" style="1" customWidth="1"/>
    <col min="4836" max="4876" width="8.85546875" style="1" customWidth="1"/>
    <col min="4877" max="5090" width="9.140625" style="1"/>
    <col min="5091" max="5091" width="11.85546875" style="1" customWidth="1"/>
    <col min="5092" max="5132" width="8.85546875" style="1" customWidth="1"/>
    <col min="5133" max="5346" width="9.140625" style="1"/>
    <col min="5347" max="5347" width="11.85546875" style="1" customWidth="1"/>
    <col min="5348" max="5388" width="8.85546875" style="1" customWidth="1"/>
    <col min="5389" max="5602" width="9.140625" style="1"/>
    <col min="5603" max="5603" width="11.85546875" style="1" customWidth="1"/>
    <col min="5604" max="5644" width="8.85546875" style="1" customWidth="1"/>
    <col min="5645" max="5858" width="9.140625" style="1"/>
    <col min="5859" max="5859" width="11.85546875" style="1" customWidth="1"/>
    <col min="5860" max="5900" width="8.85546875" style="1" customWidth="1"/>
    <col min="5901" max="6114" width="9.140625" style="1"/>
    <col min="6115" max="6115" width="11.85546875" style="1" customWidth="1"/>
    <col min="6116" max="6156" width="8.85546875" style="1" customWidth="1"/>
    <col min="6157" max="6370" width="9.140625" style="1"/>
    <col min="6371" max="6371" width="11.85546875" style="1" customWidth="1"/>
    <col min="6372" max="6412" width="8.85546875" style="1" customWidth="1"/>
    <col min="6413" max="6626" width="9.140625" style="1"/>
    <col min="6627" max="6627" width="11.85546875" style="1" customWidth="1"/>
    <col min="6628" max="6668" width="8.85546875" style="1" customWidth="1"/>
    <col min="6669" max="6882" width="9.140625" style="1"/>
    <col min="6883" max="6883" width="11.85546875" style="1" customWidth="1"/>
    <col min="6884" max="6924" width="8.85546875" style="1" customWidth="1"/>
    <col min="6925" max="7138" width="9.140625" style="1"/>
    <col min="7139" max="7139" width="11.85546875" style="1" customWidth="1"/>
    <col min="7140" max="7180" width="8.85546875" style="1" customWidth="1"/>
    <col min="7181" max="7394" width="9.140625" style="1"/>
    <col min="7395" max="7395" width="11.85546875" style="1" customWidth="1"/>
    <col min="7396" max="7436" width="8.85546875" style="1" customWidth="1"/>
    <col min="7437" max="7650" width="9.140625" style="1"/>
    <col min="7651" max="7651" width="11.85546875" style="1" customWidth="1"/>
    <col min="7652" max="7692" width="8.85546875" style="1" customWidth="1"/>
    <col min="7693" max="7906" width="9.140625" style="1"/>
    <col min="7907" max="7907" width="11.85546875" style="1" customWidth="1"/>
    <col min="7908" max="7948" width="8.85546875" style="1" customWidth="1"/>
    <col min="7949" max="8162" width="9.140625" style="1"/>
    <col min="8163" max="8163" width="11.85546875" style="1" customWidth="1"/>
    <col min="8164" max="8204" width="8.85546875" style="1" customWidth="1"/>
    <col min="8205" max="8418" width="9.140625" style="1"/>
    <col min="8419" max="8419" width="11.85546875" style="1" customWidth="1"/>
    <col min="8420" max="8460" width="8.85546875" style="1" customWidth="1"/>
    <col min="8461" max="8674" width="9.140625" style="1"/>
    <col min="8675" max="8675" width="11.85546875" style="1" customWidth="1"/>
    <col min="8676" max="8716" width="8.85546875" style="1" customWidth="1"/>
    <col min="8717" max="8930" width="9.140625" style="1"/>
    <col min="8931" max="8931" width="11.85546875" style="1" customWidth="1"/>
    <col min="8932" max="8972" width="8.85546875" style="1" customWidth="1"/>
    <col min="8973" max="9186" width="9.140625" style="1"/>
    <col min="9187" max="9187" width="11.85546875" style="1" customWidth="1"/>
    <col min="9188" max="9228" width="8.85546875" style="1" customWidth="1"/>
    <col min="9229" max="9442" width="9.140625" style="1"/>
    <col min="9443" max="9443" width="11.85546875" style="1" customWidth="1"/>
    <col min="9444" max="9484" width="8.85546875" style="1" customWidth="1"/>
    <col min="9485" max="9698" width="9.140625" style="1"/>
    <col min="9699" max="9699" width="11.85546875" style="1" customWidth="1"/>
    <col min="9700" max="9740" width="8.85546875" style="1" customWidth="1"/>
    <col min="9741" max="9954" width="9.140625" style="1"/>
    <col min="9955" max="9955" width="11.85546875" style="1" customWidth="1"/>
    <col min="9956" max="9996" width="8.85546875" style="1" customWidth="1"/>
    <col min="9997" max="10210" width="9.140625" style="1"/>
    <col min="10211" max="10211" width="11.85546875" style="1" customWidth="1"/>
    <col min="10212" max="10252" width="8.85546875" style="1" customWidth="1"/>
    <col min="10253" max="10466" width="9.140625" style="1"/>
    <col min="10467" max="10467" width="11.85546875" style="1" customWidth="1"/>
    <col min="10468" max="10508" width="8.85546875" style="1" customWidth="1"/>
    <col min="10509" max="10722" width="9.140625" style="1"/>
    <col min="10723" max="10723" width="11.85546875" style="1" customWidth="1"/>
    <col min="10724" max="10764" width="8.85546875" style="1" customWidth="1"/>
    <col min="10765" max="10978" width="9.140625" style="1"/>
    <col min="10979" max="10979" width="11.85546875" style="1" customWidth="1"/>
    <col min="10980" max="11020" width="8.85546875" style="1" customWidth="1"/>
    <col min="11021" max="11234" width="9.140625" style="1"/>
    <col min="11235" max="11235" width="11.85546875" style="1" customWidth="1"/>
    <col min="11236" max="11276" width="8.85546875" style="1" customWidth="1"/>
    <col min="11277" max="11490" width="9.140625" style="1"/>
    <col min="11491" max="11491" width="11.85546875" style="1" customWidth="1"/>
    <col min="11492" max="11532" width="8.85546875" style="1" customWidth="1"/>
    <col min="11533" max="11746" width="9.140625" style="1"/>
    <col min="11747" max="11747" width="11.85546875" style="1" customWidth="1"/>
    <col min="11748" max="11788" width="8.85546875" style="1" customWidth="1"/>
    <col min="11789" max="12002" width="9.140625" style="1"/>
    <col min="12003" max="12003" width="11.85546875" style="1" customWidth="1"/>
    <col min="12004" max="12044" width="8.85546875" style="1" customWidth="1"/>
    <col min="12045" max="12258" width="9.140625" style="1"/>
    <col min="12259" max="12259" width="11.85546875" style="1" customWidth="1"/>
    <col min="12260" max="12300" width="8.85546875" style="1" customWidth="1"/>
    <col min="12301" max="12514" width="9.140625" style="1"/>
    <col min="12515" max="12515" width="11.85546875" style="1" customWidth="1"/>
    <col min="12516" max="12556" width="8.85546875" style="1" customWidth="1"/>
    <col min="12557" max="12770" width="9.140625" style="1"/>
    <col min="12771" max="12771" width="11.85546875" style="1" customWidth="1"/>
    <col min="12772" max="12812" width="8.85546875" style="1" customWidth="1"/>
    <col min="12813" max="13026" width="9.140625" style="1"/>
    <col min="13027" max="13027" width="11.85546875" style="1" customWidth="1"/>
    <col min="13028" max="13068" width="8.85546875" style="1" customWidth="1"/>
    <col min="13069" max="13282" width="9.140625" style="1"/>
    <col min="13283" max="13283" width="11.85546875" style="1" customWidth="1"/>
    <col min="13284" max="13324" width="8.85546875" style="1" customWidth="1"/>
    <col min="13325" max="13538" width="9.140625" style="1"/>
    <col min="13539" max="13539" width="11.85546875" style="1" customWidth="1"/>
    <col min="13540" max="13580" width="8.85546875" style="1" customWidth="1"/>
    <col min="13581" max="13794" width="9.140625" style="1"/>
    <col min="13795" max="13795" width="11.85546875" style="1" customWidth="1"/>
    <col min="13796" max="13836" width="8.85546875" style="1" customWidth="1"/>
    <col min="13837" max="14050" width="9.140625" style="1"/>
    <col min="14051" max="14051" width="11.85546875" style="1" customWidth="1"/>
    <col min="14052" max="14092" width="8.85546875" style="1" customWidth="1"/>
    <col min="14093" max="14306" width="9.140625" style="1"/>
    <col min="14307" max="14307" width="11.85546875" style="1" customWidth="1"/>
    <col min="14308" max="14348" width="8.85546875" style="1" customWidth="1"/>
    <col min="14349" max="14562" width="9.140625" style="1"/>
    <col min="14563" max="14563" width="11.85546875" style="1" customWidth="1"/>
    <col min="14564" max="14604" width="8.85546875" style="1" customWidth="1"/>
    <col min="14605" max="14818" width="9.140625" style="1"/>
    <col min="14819" max="14819" width="11.85546875" style="1" customWidth="1"/>
    <col min="14820" max="14860" width="8.85546875" style="1" customWidth="1"/>
    <col min="14861" max="15074" width="9.140625" style="1"/>
    <col min="15075" max="15075" width="11.85546875" style="1" customWidth="1"/>
    <col min="15076" max="15116" width="8.85546875" style="1" customWidth="1"/>
    <col min="15117" max="15330" width="9.140625" style="1"/>
    <col min="15331" max="15331" width="11.85546875" style="1" customWidth="1"/>
    <col min="15332" max="15372" width="8.85546875" style="1" customWidth="1"/>
    <col min="15373" max="15586" width="9.140625" style="1"/>
    <col min="15587" max="15587" width="11.85546875" style="1" customWidth="1"/>
    <col min="15588" max="15628" width="8.85546875" style="1" customWidth="1"/>
    <col min="15629" max="15842" width="9.140625" style="1"/>
    <col min="15843" max="15843" width="11.85546875" style="1" customWidth="1"/>
    <col min="15844" max="15884" width="8.85546875" style="1" customWidth="1"/>
    <col min="15885" max="16098" width="9.140625" style="1"/>
    <col min="16099" max="16099" width="11.85546875" style="1" customWidth="1"/>
    <col min="16100" max="16140" width="8.85546875" style="1" customWidth="1"/>
    <col min="16141" max="16371" width="9.140625" style="1"/>
    <col min="16372" max="16384" width="9.140625" style="1" customWidth="1"/>
  </cols>
  <sheetData>
    <row r="1" spans="1:49" ht="18.75" x14ac:dyDescent="0.25">
      <c r="A1" s="33" t="s">
        <v>52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49" ht="15.75" x14ac:dyDescent="0.25">
      <c r="A2" s="34" t="s">
        <v>51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49" ht="15.75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49" ht="18.75" x14ac:dyDescent="0.5">
      <c r="A4" s="18" t="s">
        <v>48</v>
      </c>
      <c r="B4" s="4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20" t="s">
        <v>53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P4" s="5"/>
    </row>
    <row r="5" spans="1:49" s="8" customFormat="1" x14ac:dyDescent="0.25">
      <c r="A5" s="6" t="s">
        <v>5</v>
      </c>
      <c r="B5" s="7">
        <v>2014</v>
      </c>
      <c r="C5" s="7">
        <v>2015</v>
      </c>
      <c r="D5" s="7">
        <v>2016</v>
      </c>
      <c r="E5" s="7">
        <v>2017</v>
      </c>
      <c r="F5" s="7">
        <v>2018</v>
      </c>
      <c r="G5" s="7">
        <v>2019</v>
      </c>
      <c r="H5" s="7">
        <v>2020</v>
      </c>
      <c r="I5" s="7">
        <v>2021</v>
      </c>
      <c r="J5" s="7">
        <v>2022</v>
      </c>
      <c r="K5" s="7">
        <v>2023</v>
      </c>
      <c r="L5" s="7">
        <v>2024</v>
      </c>
      <c r="M5" s="7">
        <v>2025</v>
      </c>
      <c r="N5" s="7">
        <v>2026</v>
      </c>
      <c r="O5" s="7">
        <v>2027</v>
      </c>
      <c r="P5" s="7">
        <v>2028</v>
      </c>
      <c r="Q5" s="7">
        <v>2029</v>
      </c>
      <c r="R5" s="7">
        <v>2030</v>
      </c>
      <c r="AA5" s="9"/>
      <c r="AB5" s="9"/>
      <c r="AC5" s="9"/>
      <c r="AD5" s="9"/>
      <c r="AE5" s="9"/>
      <c r="AF5" s="9"/>
      <c r="AG5" s="9"/>
      <c r="AH5" s="9"/>
      <c r="AI5" s="9"/>
      <c r="AK5" s="36" t="s">
        <v>54</v>
      </c>
      <c r="AL5" s="37"/>
      <c r="AM5" s="38" t="s">
        <v>55</v>
      </c>
      <c r="AN5" s="38"/>
      <c r="AO5" s="9"/>
      <c r="AP5" s="9"/>
    </row>
    <row r="6" spans="1:49" x14ac:dyDescent="0.25">
      <c r="A6" s="19" t="s">
        <v>0</v>
      </c>
      <c r="B6" s="19">
        <f>SUM(B7:B23)</f>
        <v>167507.41794725877</v>
      </c>
      <c r="C6" s="19">
        <f t="shared" ref="C6:R6" si="0">SUM(C7:C23)</f>
        <v>176012.20305051381</v>
      </c>
      <c r="D6" s="19">
        <f t="shared" si="0"/>
        <v>185066.71144970364</v>
      </c>
      <c r="E6" s="19">
        <f t="shared" si="0"/>
        <v>194707.03412001871</v>
      </c>
      <c r="F6" s="19">
        <f t="shared" si="0"/>
        <v>204964.79395407095</v>
      </c>
      <c r="G6" s="19">
        <f t="shared" si="0"/>
        <v>215878.62238780971</v>
      </c>
      <c r="H6" s="19">
        <f t="shared" si="0"/>
        <v>227485.68615362304</v>
      </c>
      <c r="I6" s="19">
        <f t="shared" si="0"/>
        <v>234454.34758348102</v>
      </c>
      <c r="J6" s="19">
        <f t="shared" si="0"/>
        <v>241524.26398337135</v>
      </c>
      <c r="K6" s="19">
        <f t="shared" si="0"/>
        <v>248670.53035807353</v>
      </c>
      <c r="L6" s="19">
        <f t="shared" si="0"/>
        <v>255885.26943254535</v>
      </c>
      <c r="M6" s="19">
        <f t="shared" si="0"/>
        <v>263149.63235366205</v>
      </c>
      <c r="N6" s="19">
        <f t="shared" si="0"/>
        <v>270447.79940972052</v>
      </c>
      <c r="O6" s="19">
        <f t="shared" si="0"/>
        <v>277798.98076815862</v>
      </c>
      <c r="P6" s="19">
        <f t="shared" si="0"/>
        <v>285190.41723194858</v>
      </c>
      <c r="Q6" s="19">
        <f t="shared" si="0"/>
        <v>292641.38101513882</v>
      </c>
      <c r="R6" s="19">
        <f t="shared" si="0"/>
        <v>300142.17653803091</v>
      </c>
      <c r="AA6" s="10"/>
      <c r="AB6" s="10"/>
      <c r="AC6" s="10"/>
      <c r="AD6" s="10"/>
      <c r="AE6" s="10"/>
      <c r="AF6" s="10"/>
      <c r="AG6" s="10"/>
      <c r="AH6" s="10"/>
      <c r="AI6" s="10"/>
      <c r="AJ6" s="8"/>
      <c r="AK6" s="8" t="s">
        <v>1</v>
      </c>
      <c r="AL6" s="8" t="s">
        <v>2</v>
      </c>
      <c r="AM6" s="8" t="s">
        <v>1</v>
      </c>
      <c r="AN6" s="8" t="s">
        <v>2</v>
      </c>
      <c r="AP6" s="10"/>
      <c r="AR6" s="31">
        <f>SUM(AR7:AR22)</f>
        <v>85183</v>
      </c>
      <c r="AS6" s="31">
        <f>SUM(AS7:AS22)</f>
        <v>85385</v>
      </c>
      <c r="AT6" s="19" t="s">
        <v>0</v>
      </c>
      <c r="AV6" s="31">
        <f>SUM(AV7:AV22)</f>
        <v>63445.752619819767</v>
      </c>
      <c r="AW6" s="31">
        <f>SUM(AW7:AW22)</f>
        <v>7510.5113635515972</v>
      </c>
    </row>
    <row r="7" spans="1:49" x14ac:dyDescent="0.25">
      <c r="A7" s="11" t="s">
        <v>6</v>
      </c>
      <c r="B7" s="11">
        <v>12793.742710219483</v>
      </c>
      <c r="C7" s="11">
        <v>13133.306367524567</v>
      </c>
      <c r="D7" s="11">
        <v>13533.767167417387</v>
      </c>
      <c r="E7" s="11">
        <v>14098.640146879839</v>
      </c>
      <c r="F7" s="11">
        <v>14922.494509806058</v>
      </c>
      <c r="G7" s="11">
        <v>15696.959323786286</v>
      </c>
      <c r="H7" s="11">
        <v>16259.729816026769</v>
      </c>
      <c r="I7" s="11">
        <v>16698.152278550137</v>
      </c>
      <c r="J7" s="11">
        <v>17065.091738173691</v>
      </c>
      <c r="K7" s="11">
        <v>17352.561282741328</v>
      </c>
      <c r="L7" s="11">
        <v>17553.574331417301</v>
      </c>
      <c r="M7" s="11">
        <v>17669.144643073618</v>
      </c>
      <c r="N7" s="11">
        <v>17709.286324889788</v>
      </c>
      <c r="O7" s="11">
        <v>17687.013841170272</v>
      </c>
      <c r="P7" s="11">
        <v>17624.342022385143</v>
      </c>
      <c r="Q7" s="11">
        <v>17549.286074439606</v>
      </c>
      <c r="R7" s="11">
        <v>17475.861588178195</v>
      </c>
      <c r="AA7" s="10"/>
      <c r="AB7" s="13"/>
      <c r="AC7" s="13"/>
      <c r="AD7" s="13"/>
      <c r="AE7" s="13"/>
      <c r="AF7" s="10"/>
      <c r="AH7" s="10"/>
      <c r="AI7" s="10"/>
      <c r="AJ7" s="8" t="s">
        <v>7</v>
      </c>
      <c r="AK7" s="21">
        <f>AR7*-1</f>
        <v>-8395</v>
      </c>
      <c r="AL7" s="21">
        <v>7822</v>
      </c>
      <c r="AM7" s="21">
        <f>AV7*-1</f>
        <v>-492.57716966090123</v>
      </c>
      <c r="AN7" s="13">
        <v>355.51456851278829</v>
      </c>
      <c r="AO7" s="13"/>
      <c r="AP7" s="13"/>
      <c r="AR7" s="29">
        <v>8395</v>
      </c>
      <c r="AS7" s="29">
        <v>7822</v>
      </c>
      <c r="AT7" s="11" t="s">
        <v>6</v>
      </c>
      <c r="AV7" s="29">
        <v>492.57716966090123</v>
      </c>
      <c r="AW7" s="29">
        <v>355.51456851278829</v>
      </c>
    </row>
    <row r="8" spans="1:49" x14ac:dyDescent="0.25">
      <c r="A8" s="11" t="s">
        <v>8</v>
      </c>
      <c r="B8" s="11">
        <v>10787.287884562995</v>
      </c>
      <c r="C8" s="11">
        <v>11663.557429428378</v>
      </c>
      <c r="D8" s="11">
        <v>12388.694937362759</v>
      </c>
      <c r="E8" s="11">
        <v>12814.00203467511</v>
      </c>
      <c r="F8" s="11">
        <v>12865.812069990236</v>
      </c>
      <c r="G8" s="11">
        <v>12996.49345051385</v>
      </c>
      <c r="H8" s="11">
        <v>13337.453329175718</v>
      </c>
      <c r="I8" s="11">
        <v>13701.413542145969</v>
      </c>
      <c r="J8" s="11">
        <v>14227.676529349061</v>
      </c>
      <c r="K8" s="11">
        <v>15004.249955551186</v>
      </c>
      <c r="L8" s="11">
        <v>15728.141679553026</v>
      </c>
      <c r="M8" s="11">
        <v>16234.359759101737</v>
      </c>
      <c r="N8" s="11">
        <v>16670.912455927326</v>
      </c>
      <c r="O8" s="11">
        <v>17036.808240906488</v>
      </c>
      <c r="P8" s="11">
        <v>17325.055799357178</v>
      </c>
      <c r="Q8" s="11">
        <v>17525.664036467224</v>
      </c>
      <c r="R8" s="11">
        <v>17642.642082860362</v>
      </c>
      <c r="AA8" s="8"/>
      <c r="AB8" s="13"/>
      <c r="AC8" s="13"/>
      <c r="AD8" s="13"/>
      <c r="AE8" s="13"/>
      <c r="AF8" s="10"/>
      <c r="AH8" s="10"/>
      <c r="AI8" s="10"/>
      <c r="AJ8" s="8" t="s">
        <v>9</v>
      </c>
      <c r="AK8" s="21">
        <f t="shared" ref="AK8:AK22" si="1">AR8*-1</f>
        <v>-7106</v>
      </c>
      <c r="AL8" s="21">
        <v>6625</v>
      </c>
      <c r="AM8" s="21">
        <f t="shared" ref="AM8:AM22" si="2">AV8*-1</f>
        <v>-326.37014922317366</v>
      </c>
      <c r="AN8" s="13">
        <v>170.30638012588659</v>
      </c>
      <c r="AO8" s="13"/>
      <c r="AP8" s="13"/>
      <c r="AR8" s="29">
        <v>7106</v>
      </c>
      <c r="AS8" s="29">
        <v>6625</v>
      </c>
      <c r="AT8" s="11" t="s">
        <v>8</v>
      </c>
      <c r="AV8" s="29">
        <v>326.37014922317366</v>
      </c>
      <c r="AW8" s="29">
        <v>170.30638012588659</v>
      </c>
    </row>
    <row r="9" spans="1:49" x14ac:dyDescent="0.25">
      <c r="A9" s="11" t="s">
        <v>10</v>
      </c>
      <c r="B9" s="11">
        <v>8149.8874965938785</v>
      </c>
      <c r="C9" s="11">
        <v>8198.3375420210523</v>
      </c>
      <c r="D9" s="11">
        <v>8598.2021410739617</v>
      </c>
      <c r="E9" s="11">
        <v>9343.6300636560936</v>
      </c>
      <c r="F9" s="11">
        <v>10249.785725938262</v>
      </c>
      <c r="G9" s="11">
        <v>11150.850835890918</v>
      </c>
      <c r="H9" s="11">
        <v>12030.026211878583</v>
      </c>
      <c r="I9" s="11">
        <v>12737.925298517641</v>
      </c>
      <c r="J9" s="11">
        <v>13142.973721245949</v>
      </c>
      <c r="K9" s="11">
        <v>13172.175260524609</v>
      </c>
      <c r="L9" s="11">
        <v>13276.533792517544</v>
      </c>
      <c r="M9" s="11">
        <v>13587.053291514239</v>
      </c>
      <c r="N9" s="11">
        <v>13954.737832413794</v>
      </c>
      <c r="O9" s="11">
        <v>14482.591593271873</v>
      </c>
      <c r="P9" s="11">
        <v>15263.618857912117</v>
      </c>
      <c r="Q9" s="11">
        <v>15987.824018603689</v>
      </c>
      <c r="R9" s="11">
        <v>16497.211578806564</v>
      </c>
      <c r="AA9" s="8"/>
      <c r="AB9" s="13"/>
      <c r="AC9" s="13"/>
      <c r="AD9" s="13"/>
      <c r="AE9" s="13"/>
      <c r="AF9" s="10"/>
      <c r="AH9" s="10"/>
      <c r="AI9" s="10"/>
      <c r="AJ9" s="8" t="s">
        <v>11</v>
      </c>
      <c r="AK9" s="21">
        <f t="shared" si="1"/>
        <v>-6673</v>
      </c>
      <c r="AL9" s="21">
        <v>6225</v>
      </c>
      <c r="AM9" s="21">
        <f t="shared" si="2"/>
        <v>-166.20702043772735</v>
      </c>
      <c r="AN9" s="13">
        <v>78.766700808222552</v>
      </c>
      <c r="AO9" s="13"/>
      <c r="AP9" s="13"/>
      <c r="AR9" s="29">
        <v>6673</v>
      </c>
      <c r="AS9" s="29">
        <v>6225</v>
      </c>
      <c r="AT9" s="11" t="s">
        <v>10</v>
      </c>
      <c r="AV9" s="29">
        <v>166.20702043772735</v>
      </c>
      <c r="AW9" s="29">
        <v>78.766700808222552</v>
      </c>
    </row>
    <row r="10" spans="1:49" x14ac:dyDescent="0.25">
      <c r="A10" s="11" t="s">
        <v>12</v>
      </c>
      <c r="B10" s="11">
        <v>13854.396288124255</v>
      </c>
      <c r="C10" s="11">
        <v>12662.419573028354</v>
      </c>
      <c r="D10" s="11">
        <v>11390.964151191321</v>
      </c>
      <c r="E10" s="11">
        <v>10214.926214848387</v>
      </c>
      <c r="F10" s="11">
        <v>9946.2962095949242</v>
      </c>
      <c r="G10" s="11">
        <v>10137.168747098884</v>
      </c>
      <c r="H10" s="11">
        <v>10320.753560342269</v>
      </c>
      <c r="I10" s="11">
        <v>10756.289750908929</v>
      </c>
      <c r="J10" s="11">
        <v>11536.725544422765</v>
      </c>
      <c r="K10" s="11">
        <v>12476.083714440805</v>
      </c>
      <c r="L10" s="11">
        <v>13410.387611035425</v>
      </c>
      <c r="M10" s="11">
        <v>14322.661175388892</v>
      </c>
      <c r="N10" s="11">
        <v>15080.928954757392</v>
      </c>
      <c r="O10" s="11">
        <v>15537.216117813856</v>
      </c>
      <c r="P10" s="11">
        <v>15619.548470379206</v>
      </c>
      <c r="Q10" s="11">
        <v>15777.952471551831</v>
      </c>
      <c r="R10" s="11">
        <v>16144.455250245383</v>
      </c>
      <c r="AA10" s="8"/>
      <c r="AB10" s="13"/>
      <c r="AC10" s="13"/>
      <c r="AD10" s="13"/>
      <c r="AE10" s="13"/>
      <c r="AF10" s="10"/>
      <c r="AH10" s="10"/>
      <c r="AI10" s="10"/>
      <c r="AJ10" s="8" t="s">
        <v>13</v>
      </c>
      <c r="AK10" s="21">
        <f t="shared" si="1"/>
        <v>-5081</v>
      </c>
      <c r="AL10" s="21">
        <v>4980</v>
      </c>
      <c r="AM10" s="21">
        <f t="shared" si="2"/>
        <v>-1362.8975675893646</v>
      </c>
      <c r="AN10" s="13">
        <v>112.82797683339987</v>
      </c>
      <c r="AO10" s="13"/>
      <c r="AP10" s="13"/>
      <c r="AR10" s="29">
        <v>5081</v>
      </c>
      <c r="AS10" s="29">
        <v>4980</v>
      </c>
      <c r="AT10" s="11" t="s">
        <v>12</v>
      </c>
      <c r="AV10" s="29">
        <v>1362.8975675893646</v>
      </c>
      <c r="AW10" s="29">
        <v>112.82797683339987</v>
      </c>
    </row>
    <row r="11" spans="1:49" x14ac:dyDescent="0.25">
      <c r="A11" s="11" t="s">
        <v>14</v>
      </c>
      <c r="B11" s="11">
        <v>23842.77680014036</v>
      </c>
      <c r="C11" s="11">
        <v>24945.285428452597</v>
      </c>
      <c r="D11" s="11">
        <v>26018.144669343863</v>
      </c>
      <c r="E11" s="11">
        <v>27017.910241425117</v>
      </c>
      <c r="F11" s="11">
        <v>27098.037676088425</v>
      </c>
      <c r="G11" s="11">
        <v>26802.976951643243</v>
      </c>
      <c r="H11" s="11">
        <v>26836.277080211705</v>
      </c>
      <c r="I11" s="11">
        <v>25843.53202467853</v>
      </c>
      <c r="J11" s="11">
        <v>24948.375248953045</v>
      </c>
      <c r="K11" s="11">
        <v>24957.024166373671</v>
      </c>
      <c r="L11" s="11">
        <v>25422.701694123709</v>
      </c>
      <c r="M11" s="11">
        <v>25877.636392561813</v>
      </c>
      <c r="N11" s="11">
        <v>26692.062608079665</v>
      </c>
      <c r="O11" s="11">
        <v>27861.220619576106</v>
      </c>
      <c r="P11" s="11">
        <v>29198.356788639248</v>
      </c>
      <c r="Q11" s="11">
        <v>30541.723713530504</v>
      </c>
      <c r="R11" s="11">
        <v>31869.580387066719</v>
      </c>
      <c r="AA11" s="8"/>
      <c r="AB11" s="13"/>
      <c r="AC11" s="13"/>
      <c r="AD11" s="13"/>
      <c r="AE11" s="13"/>
      <c r="AF11" s="10"/>
      <c r="AH11" s="10"/>
      <c r="AI11" s="10"/>
      <c r="AJ11" s="8" t="s">
        <v>15</v>
      </c>
      <c r="AK11" s="21">
        <f t="shared" si="1"/>
        <v>-5439</v>
      </c>
      <c r="AL11" s="21">
        <v>5421</v>
      </c>
      <c r="AM11" s="21">
        <f t="shared" si="2"/>
        <v>-13505.075897021881</v>
      </c>
      <c r="AN11" s="13">
        <v>583.29935193116148</v>
      </c>
      <c r="AO11" s="13"/>
      <c r="AP11" s="13"/>
      <c r="AR11" s="29">
        <v>5439</v>
      </c>
      <c r="AS11" s="29">
        <v>5421</v>
      </c>
      <c r="AT11" s="11" t="s">
        <v>14</v>
      </c>
      <c r="AV11" s="29">
        <v>13505.075897021881</v>
      </c>
      <c r="AW11" s="29">
        <v>583.29935193116148</v>
      </c>
    </row>
    <row r="12" spans="1:49" x14ac:dyDescent="0.25">
      <c r="A12" s="11" t="s">
        <v>16</v>
      </c>
      <c r="B12" s="11">
        <v>27167.104976097085</v>
      </c>
      <c r="C12" s="11">
        <v>28516.689365390303</v>
      </c>
      <c r="D12" s="11">
        <v>30135.861087556696</v>
      </c>
      <c r="E12" s="11">
        <v>31854.302423102825</v>
      </c>
      <c r="F12" s="11">
        <v>33987.029459619429</v>
      </c>
      <c r="G12" s="11">
        <v>36299.532369496985</v>
      </c>
      <c r="H12" s="11">
        <v>38550.930440777433</v>
      </c>
      <c r="I12" s="11">
        <v>39304.81354909511</v>
      </c>
      <c r="J12" s="11">
        <v>39908.427203909545</v>
      </c>
      <c r="K12" s="11">
        <v>39509.093680539649</v>
      </c>
      <c r="L12" s="11">
        <v>38640.14341274288</v>
      </c>
      <c r="M12" s="11">
        <v>37990.915199247058</v>
      </c>
      <c r="N12" s="11">
        <v>37267.756415510667</v>
      </c>
      <c r="O12" s="11">
        <v>36646.023230843784</v>
      </c>
      <c r="P12" s="11">
        <v>36936.08083102548</v>
      </c>
      <c r="Q12" s="11">
        <v>37686.303646556844</v>
      </c>
      <c r="R12" s="11">
        <v>38435.075586692248</v>
      </c>
      <c r="AA12" s="8"/>
      <c r="AB12" s="13"/>
      <c r="AC12" s="13"/>
      <c r="AD12" s="13"/>
      <c r="AE12" s="13"/>
      <c r="AF12" s="10"/>
      <c r="AH12" s="10"/>
      <c r="AI12" s="10"/>
      <c r="AJ12" s="8" t="s">
        <v>17</v>
      </c>
      <c r="AK12" s="21">
        <f t="shared" si="1"/>
        <v>-9069</v>
      </c>
      <c r="AL12" s="21">
        <v>9956</v>
      </c>
      <c r="AM12" s="21">
        <f t="shared" si="2"/>
        <v>-19216.553508427431</v>
      </c>
      <c r="AN12" s="13">
        <v>1666.873695482115</v>
      </c>
      <c r="AO12" s="13"/>
      <c r="AP12" s="13"/>
      <c r="AR12" s="29">
        <v>9069</v>
      </c>
      <c r="AS12" s="29">
        <v>9956</v>
      </c>
      <c r="AT12" s="11" t="s">
        <v>16</v>
      </c>
      <c r="AV12" s="29">
        <v>19216.553508427431</v>
      </c>
      <c r="AW12" s="29">
        <v>1666.873695482115</v>
      </c>
    </row>
    <row r="13" spans="1:49" x14ac:dyDescent="0.25">
      <c r="A13" s="4" t="s">
        <v>18</v>
      </c>
      <c r="B13" s="11">
        <v>20195.072930507929</v>
      </c>
      <c r="C13" s="11">
        <v>22216.497884381464</v>
      </c>
      <c r="D13" s="11">
        <v>24136.111275730789</v>
      </c>
      <c r="E13" s="11">
        <v>25676.925912471983</v>
      </c>
      <c r="F13" s="11">
        <v>27628.797316886012</v>
      </c>
      <c r="G13" s="11">
        <v>29211.512354662191</v>
      </c>
      <c r="H13" s="11">
        <v>30636.887185139451</v>
      </c>
      <c r="I13" s="11">
        <v>31336.614406919769</v>
      </c>
      <c r="J13" s="11">
        <v>32009.384931613342</v>
      </c>
      <c r="K13" s="11">
        <v>32957.402376402839</v>
      </c>
      <c r="L13" s="11">
        <v>33929.875513064449</v>
      </c>
      <c r="M13" s="11">
        <v>34673.018398457025</v>
      </c>
      <c r="N13" s="11">
        <v>35316.050508314613</v>
      </c>
      <c r="O13" s="11">
        <v>35806.196874425907</v>
      </c>
      <c r="P13" s="11">
        <v>35290.68822528646</v>
      </c>
      <c r="Q13" s="11">
        <v>34302.761130311505</v>
      </c>
      <c r="R13" s="11">
        <v>33531.65814769952</v>
      </c>
      <c r="AA13" s="8"/>
      <c r="AB13" s="13"/>
      <c r="AC13" s="13"/>
      <c r="AD13" s="13"/>
      <c r="AE13" s="13"/>
      <c r="AF13" s="10"/>
      <c r="AH13" s="10"/>
      <c r="AI13" s="10"/>
      <c r="AJ13" s="8" t="s">
        <v>19</v>
      </c>
      <c r="AK13" s="21">
        <f t="shared" si="1"/>
        <v>-9211</v>
      </c>
      <c r="AL13" s="21">
        <v>9604</v>
      </c>
      <c r="AM13" s="21">
        <f t="shared" si="2"/>
        <v>-11719.105913772852</v>
      </c>
      <c r="AN13" s="13">
        <v>1475.2790178404923</v>
      </c>
      <c r="AO13" s="13"/>
      <c r="AP13" s="13"/>
      <c r="AR13" s="29">
        <v>9211</v>
      </c>
      <c r="AS13" s="29">
        <v>9604</v>
      </c>
      <c r="AT13" s="4" t="s">
        <v>18</v>
      </c>
      <c r="AV13" s="29">
        <v>11719.105913772852</v>
      </c>
      <c r="AW13" s="29">
        <v>1475.2790178404923</v>
      </c>
    </row>
    <row r="14" spans="1:49" x14ac:dyDescent="0.25">
      <c r="A14" s="4" t="s">
        <v>20</v>
      </c>
      <c r="B14" s="11">
        <v>14242.772631814225</v>
      </c>
      <c r="C14" s="11">
        <v>15490.600672074623</v>
      </c>
      <c r="D14" s="11">
        <v>16641.735787748814</v>
      </c>
      <c r="E14" s="11">
        <v>18411.363649225692</v>
      </c>
      <c r="F14" s="11">
        <v>20002.21530860979</v>
      </c>
      <c r="G14" s="11">
        <v>21855.624558017007</v>
      </c>
      <c r="H14" s="11">
        <v>23943.591320294981</v>
      </c>
      <c r="I14" s="11">
        <v>25289.21569853893</v>
      </c>
      <c r="J14" s="11">
        <v>26176.045482700883</v>
      </c>
      <c r="K14" s="11">
        <v>27386.212448259037</v>
      </c>
      <c r="L14" s="11">
        <v>28133.851706603695</v>
      </c>
      <c r="M14" s="11">
        <v>28617.101789486289</v>
      </c>
      <c r="N14" s="11">
        <v>29254.104735606248</v>
      </c>
      <c r="O14" s="11">
        <v>29864.006179389777</v>
      </c>
      <c r="P14" s="11">
        <v>30747.955442016151</v>
      </c>
      <c r="Q14" s="11">
        <v>31654.105624748277</v>
      </c>
      <c r="R14" s="11">
        <v>32328.613704625997</v>
      </c>
      <c r="AA14" s="8"/>
      <c r="AB14" s="13"/>
      <c r="AC14" s="13"/>
      <c r="AD14" s="13"/>
      <c r="AE14" s="13"/>
      <c r="AF14" s="10"/>
      <c r="AH14" s="10"/>
      <c r="AI14" s="10"/>
      <c r="AJ14" s="8" t="s">
        <v>21</v>
      </c>
      <c r="AK14" s="21">
        <f t="shared" si="1"/>
        <v>-8689</v>
      </c>
      <c r="AL14" s="21">
        <v>8948</v>
      </c>
      <c r="AM14" s="21">
        <f t="shared" si="2"/>
        <v>-7355.4161408259715</v>
      </c>
      <c r="AN14" s="13">
        <v>1183.6293418749119</v>
      </c>
      <c r="AO14" s="13"/>
      <c r="AP14" s="13"/>
      <c r="AR14" s="29">
        <v>8689</v>
      </c>
      <c r="AS14" s="29">
        <v>8948</v>
      </c>
      <c r="AT14" s="4" t="s">
        <v>20</v>
      </c>
      <c r="AV14" s="29">
        <v>7355.4161408259715</v>
      </c>
      <c r="AW14" s="29">
        <v>1183.6293418749119</v>
      </c>
    </row>
    <row r="15" spans="1:49" x14ac:dyDescent="0.25">
      <c r="A15" s="4" t="s">
        <v>22</v>
      </c>
      <c r="B15" s="11">
        <v>10708.917001319096</v>
      </c>
      <c r="C15" s="11">
        <v>11494.233467897733</v>
      </c>
      <c r="D15" s="11">
        <v>12463.977612880848</v>
      </c>
      <c r="E15" s="11">
        <v>13186.34954314115</v>
      </c>
      <c r="F15" s="11">
        <v>14117.885923729093</v>
      </c>
      <c r="G15" s="11">
        <v>15219.495374005408</v>
      </c>
      <c r="H15" s="11">
        <v>16490.497586417412</v>
      </c>
      <c r="I15" s="11">
        <v>17264.389566945974</v>
      </c>
      <c r="J15" s="11">
        <v>18604.493833255205</v>
      </c>
      <c r="K15" s="11">
        <v>19709.891704746795</v>
      </c>
      <c r="L15" s="11">
        <v>21014.666559432899</v>
      </c>
      <c r="M15" s="11">
        <v>22483.903886050088</v>
      </c>
      <c r="N15" s="11">
        <v>23780.691337492619</v>
      </c>
      <c r="O15" s="11">
        <v>24622.118785598315</v>
      </c>
      <c r="P15" s="11">
        <v>25782.278377321421</v>
      </c>
      <c r="Q15" s="11">
        <v>26480.264592327418</v>
      </c>
      <c r="R15" s="11">
        <v>26916.174302045914</v>
      </c>
      <c r="AA15" s="8"/>
      <c r="AB15" s="13"/>
      <c r="AC15" s="13"/>
      <c r="AD15" s="13"/>
      <c r="AE15" s="13"/>
      <c r="AF15" s="10"/>
      <c r="AH15" s="10"/>
      <c r="AI15" s="10"/>
      <c r="AJ15" s="8" t="s">
        <v>23</v>
      </c>
      <c r="AK15" s="21">
        <f t="shared" si="1"/>
        <v>-6543</v>
      </c>
      <c r="AL15" s="21">
        <v>6792</v>
      </c>
      <c r="AM15" s="21">
        <f t="shared" si="2"/>
        <v>-4532.918739210746</v>
      </c>
      <c r="AN15" s="13">
        <v>736.57509404445943</v>
      </c>
      <c r="AO15" s="13"/>
      <c r="AP15" s="13"/>
      <c r="AR15" s="29">
        <v>6543</v>
      </c>
      <c r="AS15" s="29">
        <v>6792</v>
      </c>
      <c r="AT15" s="4" t="s">
        <v>22</v>
      </c>
      <c r="AV15" s="29">
        <v>4532.918739210746</v>
      </c>
      <c r="AW15" s="29">
        <v>736.57509404445943</v>
      </c>
    </row>
    <row r="16" spans="1:49" x14ac:dyDescent="0.25">
      <c r="A16" s="4" t="s">
        <v>24</v>
      </c>
      <c r="B16" s="11">
        <v>8426.0470578800596</v>
      </c>
      <c r="C16" s="11">
        <v>8823.1063713025796</v>
      </c>
      <c r="D16" s="11">
        <v>9481.8923461896666</v>
      </c>
      <c r="E16" s="11">
        <v>10346.374482720039</v>
      </c>
      <c r="F16" s="11">
        <v>10870.729415214362</v>
      </c>
      <c r="G16" s="11">
        <v>11446.362696623128</v>
      </c>
      <c r="H16" s="11">
        <v>12246.932874109098</v>
      </c>
      <c r="I16" s="11">
        <v>12986.028321626942</v>
      </c>
      <c r="J16" s="11">
        <v>13447.10076481111</v>
      </c>
      <c r="K16" s="11">
        <v>14080.200251545171</v>
      </c>
      <c r="L16" s="11">
        <v>14845.378096680897</v>
      </c>
      <c r="M16" s="11">
        <v>15736.686914111722</v>
      </c>
      <c r="N16" s="11">
        <v>16484.18064965813</v>
      </c>
      <c r="O16" s="11">
        <v>17793.91461478555</v>
      </c>
      <c r="P16" s="11">
        <v>18867.945521175832</v>
      </c>
      <c r="Q16" s="11">
        <v>20141.331516173879</v>
      </c>
      <c r="R16" s="11">
        <v>21577.132219131647</v>
      </c>
      <c r="AA16" s="8"/>
      <c r="AB16" s="13"/>
      <c r="AC16" s="13"/>
      <c r="AD16" s="13"/>
      <c r="AE16" s="13"/>
      <c r="AF16" s="10"/>
      <c r="AH16" s="10"/>
      <c r="AI16" s="10"/>
      <c r="AJ16" s="8" t="s">
        <v>25</v>
      </c>
      <c r="AK16" s="21">
        <f t="shared" si="1"/>
        <v>-5225</v>
      </c>
      <c r="AL16" s="21">
        <v>4979</v>
      </c>
      <c r="AM16" s="21">
        <f t="shared" si="2"/>
        <v>-2725.7951351787292</v>
      </c>
      <c r="AN16" s="13">
        <v>517.30562963238049</v>
      </c>
      <c r="AO16" s="13"/>
      <c r="AP16" s="13"/>
      <c r="AR16" s="29">
        <v>5225</v>
      </c>
      <c r="AS16" s="29">
        <v>4979</v>
      </c>
      <c r="AT16" s="4" t="s">
        <v>24</v>
      </c>
      <c r="AV16" s="29">
        <v>2725.7951351787292</v>
      </c>
      <c r="AW16" s="29">
        <v>517.30562963238049</v>
      </c>
    </row>
    <row r="17" spans="1:49" x14ac:dyDescent="0.25">
      <c r="A17" s="4" t="s">
        <v>26</v>
      </c>
      <c r="B17" s="11">
        <v>6196.8321444882804</v>
      </c>
      <c r="C17" s="11">
        <v>6783.4271233967111</v>
      </c>
      <c r="D17" s="11">
        <v>7081.6035211473045</v>
      </c>
      <c r="E17" s="11">
        <v>7390.2638534380831</v>
      </c>
      <c r="F17" s="11">
        <v>7868.4055543716067</v>
      </c>
      <c r="G17" s="11">
        <v>8509.1309591107238</v>
      </c>
      <c r="H17" s="11">
        <v>8871.6583364193812</v>
      </c>
      <c r="I17" s="11">
        <v>9376.4452675862012</v>
      </c>
      <c r="J17" s="11">
        <v>10064.138149228709</v>
      </c>
      <c r="K17" s="11">
        <v>10393.759915592385</v>
      </c>
      <c r="L17" s="11">
        <v>10752.3340815059</v>
      </c>
      <c r="M17" s="11">
        <v>11305.884757078646</v>
      </c>
      <c r="N17" s="11">
        <v>12012.436662770337</v>
      </c>
      <c r="O17" s="11">
        <v>12446.015144842107</v>
      </c>
      <c r="P17" s="11">
        <v>13045.64619119875</v>
      </c>
      <c r="Q17" s="11">
        <v>13777.356447631992</v>
      </c>
      <c r="R17" s="11">
        <v>14632.173234474996</v>
      </c>
      <c r="AA17" s="8"/>
      <c r="AB17" s="13"/>
      <c r="AC17" s="13"/>
      <c r="AD17" s="13"/>
      <c r="AE17" s="13"/>
      <c r="AF17" s="10"/>
      <c r="AH17" s="10"/>
      <c r="AI17" s="10"/>
      <c r="AJ17" s="8" t="s">
        <v>27</v>
      </c>
      <c r="AK17" s="21">
        <f t="shared" si="1"/>
        <v>-4322</v>
      </c>
      <c r="AL17" s="21">
        <v>4256</v>
      </c>
      <c r="AM17" s="21">
        <f t="shared" si="2"/>
        <v>-1160.4271972379513</v>
      </c>
      <c r="AN17" s="13">
        <v>325.71095199075813</v>
      </c>
      <c r="AO17" s="13"/>
      <c r="AP17" s="13"/>
      <c r="AR17" s="29">
        <v>4322</v>
      </c>
      <c r="AS17" s="29">
        <v>4256</v>
      </c>
      <c r="AT17" s="4" t="s">
        <v>26</v>
      </c>
      <c r="AV17" s="29">
        <v>1160.4271972379513</v>
      </c>
      <c r="AW17" s="29">
        <v>325.71095199075813</v>
      </c>
    </row>
    <row r="18" spans="1:49" x14ac:dyDescent="0.25">
      <c r="A18" s="4" t="s">
        <v>28</v>
      </c>
      <c r="B18" s="11">
        <v>4276.9706769578297</v>
      </c>
      <c r="C18" s="11">
        <v>4721.0412179265113</v>
      </c>
      <c r="D18" s="11">
        <v>5194.905330804354</v>
      </c>
      <c r="E18" s="11">
        <v>5636.9619890318309</v>
      </c>
      <c r="F18" s="11">
        <v>6018.6521264524363</v>
      </c>
      <c r="G18" s="11">
        <v>6289.4630503267963</v>
      </c>
      <c r="H18" s="11">
        <v>6850.9333184675224</v>
      </c>
      <c r="I18" s="11">
        <v>7081.7535807442591</v>
      </c>
      <c r="J18" s="11">
        <v>7311.9743348672591</v>
      </c>
      <c r="K18" s="11">
        <v>7698.6057193358802</v>
      </c>
      <c r="L18" s="11">
        <v>8232.658129306812</v>
      </c>
      <c r="M18" s="11">
        <v>8487.1422230913904</v>
      </c>
      <c r="N18" s="11">
        <v>8973.0689288173871</v>
      </c>
      <c r="O18" s="11">
        <v>9641.449451259441</v>
      </c>
      <c r="P18" s="11">
        <v>9955.2952788424191</v>
      </c>
      <c r="Q18" s="11">
        <v>10301.618190822042</v>
      </c>
      <c r="R18" s="11">
        <v>10838.430264647313</v>
      </c>
      <c r="AA18" s="8"/>
      <c r="AB18" s="13"/>
      <c r="AC18" s="13"/>
      <c r="AD18" s="13"/>
      <c r="AE18" s="13"/>
      <c r="AF18" s="10"/>
      <c r="AH18" s="10"/>
      <c r="AI18" s="10"/>
      <c r="AJ18" s="8" t="s">
        <v>29</v>
      </c>
      <c r="AK18" s="21">
        <f t="shared" si="1"/>
        <v>-3311</v>
      </c>
      <c r="AL18" s="21">
        <v>3344</v>
      </c>
      <c r="AM18" s="21">
        <f t="shared" si="2"/>
        <v>-465.37965722563666</v>
      </c>
      <c r="AN18" s="13">
        <v>191.59467764162241</v>
      </c>
      <c r="AO18" s="13"/>
      <c r="AP18" s="13"/>
      <c r="AR18" s="29">
        <v>3311</v>
      </c>
      <c r="AS18" s="29">
        <v>3344</v>
      </c>
      <c r="AT18" s="4" t="s">
        <v>28</v>
      </c>
      <c r="AV18" s="29">
        <v>465.37965722563666</v>
      </c>
      <c r="AW18" s="29">
        <v>191.59467764162241</v>
      </c>
    </row>
    <row r="19" spans="1:49" x14ac:dyDescent="0.25">
      <c r="A19" s="4" t="s">
        <v>30</v>
      </c>
      <c r="B19" s="11">
        <v>2290.1742092992199</v>
      </c>
      <c r="C19" s="11">
        <v>2478.6009468275197</v>
      </c>
      <c r="D19" s="11">
        <v>2843.5449575865073</v>
      </c>
      <c r="E19" s="11">
        <v>3290.1658145948259</v>
      </c>
      <c r="F19" s="11">
        <v>3702.639873311989</v>
      </c>
      <c r="G19" s="11">
        <v>4248.162036663095</v>
      </c>
      <c r="H19" s="11">
        <v>4667.9477056928108</v>
      </c>
      <c r="I19" s="11">
        <v>5097.2751619872288</v>
      </c>
      <c r="J19" s="11">
        <v>5493.7627986003536</v>
      </c>
      <c r="K19" s="11">
        <v>5823.4146705162575</v>
      </c>
      <c r="L19" s="11">
        <v>6047.2349353714253</v>
      </c>
      <c r="M19" s="11">
        <v>6546.2278560534114</v>
      </c>
      <c r="N19" s="11">
        <v>6770.3978033652784</v>
      </c>
      <c r="O19" s="11">
        <v>6993.7492587574998</v>
      </c>
      <c r="P19" s="11">
        <v>7364.2868171290056</v>
      </c>
      <c r="Q19" s="11">
        <v>7881.0151896991456</v>
      </c>
      <c r="R19" s="11">
        <v>8128.9392069523565</v>
      </c>
      <c r="AA19" s="8"/>
      <c r="AB19" s="13"/>
      <c r="AC19" s="13"/>
      <c r="AD19" s="13"/>
      <c r="AE19" s="13"/>
      <c r="AF19" s="10"/>
      <c r="AH19" s="10"/>
      <c r="AI19" s="10"/>
      <c r="AJ19" s="8" t="s">
        <v>31</v>
      </c>
      <c r="AK19" s="21">
        <f t="shared" si="1"/>
        <v>-2573</v>
      </c>
      <c r="AL19" s="21">
        <v>2658</v>
      </c>
      <c r="AM19" s="21">
        <f t="shared" si="2"/>
        <v>-190.38258704685134</v>
      </c>
      <c r="AN19" s="13">
        <v>72.380211553501795</v>
      </c>
      <c r="AO19" s="13"/>
      <c r="AP19" s="13"/>
      <c r="AR19" s="29">
        <v>2573</v>
      </c>
      <c r="AS19" s="29">
        <v>2658</v>
      </c>
      <c r="AT19" s="4" t="s">
        <v>30</v>
      </c>
      <c r="AV19" s="29">
        <v>190.38258704685134</v>
      </c>
      <c r="AW19" s="29">
        <v>72.380211553501795</v>
      </c>
    </row>
    <row r="20" spans="1:49" x14ac:dyDescent="0.25">
      <c r="A20" s="4" t="s">
        <v>32</v>
      </c>
      <c r="B20" s="11">
        <v>1687.9305153526698</v>
      </c>
      <c r="C20" s="11">
        <v>1854.7593172634349</v>
      </c>
      <c r="D20" s="11">
        <v>1978.306310540512</v>
      </c>
      <c r="E20" s="11">
        <v>2040.6470280292501</v>
      </c>
      <c r="F20" s="11">
        <v>2151.8649464336886</v>
      </c>
      <c r="G20" s="11">
        <v>2234.052321779468</v>
      </c>
      <c r="H20" s="11">
        <v>2414.3111127431439</v>
      </c>
      <c r="I20" s="11">
        <v>2747.3061728216162</v>
      </c>
      <c r="J20" s="11">
        <v>3155.3770532069525</v>
      </c>
      <c r="K20" s="11">
        <v>3527.5256732993598</v>
      </c>
      <c r="L20" s="11">
        <v>4024.754001088892</v>
      </c>
      <c r="M20" s="11">
        <v>4403.0640543855088</v>
      </c>
      <c r="N20" s="11">
        <v>4809.4579020802712</v>
      </c>
      <c r="O20" s="11">
        <v>5183.9376654384687</v>
      </c>
      <c r="P20" s="11">
        <v>5493.5055194254746</v>
      </c>
      <c r="Q20" s="11">
        <v>5710.1636940661765</v>
      </c>
      <c r="R20" s="11">
        <v>6184.9144758388056</v>
      </c>
      <c r="AA20" s="8"/>
      <c r="AB20" s="13"/>
      <c r="AC20" s="13"/>
      <c r="AD20" s="13"/>
      <c r="AE20" s="13"/>
      <c r="AF20" s="10"/>
      <c r="AH20" s="10"/>
      <c r="AI20" s="10"/>
      <c r="AJ20" s="8" t="s">
        <v>33</v>
      </c>
      <c r="AK20" s="21">
        <f t="shared" si="1"/>
        <v>-1517</v>
      </c>
      <c r="AL20" s="21">
        <v>1514</v>
      </c>
      <c r="AM20" s="21">
        <f t="shared" si="2"/>
        <v>-96.702266436495918</v>
      </c>
      <c r="AN20" s="13">
        <v>27.674786770456571</v>
      </c>
      <c r="AO20" s="13"/>
      <c r="AP20" s="13"/>
      <c r="AR20" s="29">
        <v>1517</v>
      </c>
      <c r="AS20" s="29">
        <v>1514</v>
      </c>
      <c r="AT20" s="4" t="s">
        <v>32</v>
      </c>
      <c r="AV20" s="29">
        <v>96.702266436495918</v>
      </c>
      <c r="AW20" s="29">
        <v>27.674786770456571</v>
      </c>
    </row>
    <row r="21" spans="1:49" x14ac:dyDescent="0.25">
      <c r="A21" s="4" t="s">
        <v>34</v>
      </c>
      <c r="B21" s="11">
        <v>1336.5310199728683</v>
      </c>
      <c r="C21" s="11">
        <v>1374.267849963579</v>
      </c>
      <c r="D21" s="11">
        <v>1375.3976857951054</v>
      </c>
      <c r="E21" s="11">
        <v>1427.9618602525352</v>
      </c>
      <c r="F21" s="11">
        <v>1466.00605312791</v>
      </c>
      <c r="G21" s="11">
        <v>1595.580748398939</v>
      </c>
      <c r="H21" s="11">
        <v>1746.741739489614</v>
      </c>
      <c r="I21" s="11">
        <v>1853.3806844277547</v>
      </c>
      <c r="J21" s="11">
        <v>1908.0611194545374</v>
      </c>
      <c r="K21" s="11">
        <v>2000.7840948965566</v>
      </c>
      <c r="L21" s="11">
        <v>2073.5506876695508</v>
      </c>
      <c r="M21" s="11">
        <v>2233.3620019515115</v>
      </c>
      <c r="N21" s="11">
        <v>2538.2191698728275</v>
      </c>
      <c r="O21" s="11">
        <v>2911.1233522239054</v>
      </c>
      <c r="P21" s="11">
        <v>3247.0757391807015</v>
      </c>
      <c r="Q21" s="11">
        <v>3698.0775510486196</v>
      </c>
      <c r="R21" s="11">
        <v>4043.1300390252409</v>
      </c>
      <c r="AA21" s="8"/>
      <c r="AB21" s="13"/>
      <c r="AC21" s="13"/>
      <c r="AD21" s="13"/>
      <c r="AE21" s="13"/>
      <c r="AF21" s="10"/>
      <c r="AH21" s="10"/>
      <c r="AI21" s="10"/>
      <c r="AJ21" s="8" t="s">
        <v>35</v>
      </c>
      <c r="AK21" s="21">
        <f t="shared" si="1"/>
        <v>-889</v>
      </c>
      <c r="AL21" s="21">
        <v>951</v>
      </c>
      <c r="AM21" s="21">
        <f t="shared" si="2"/>
        <v>-57.416970696669445</v>
      </c>
      <c r="AN21" s="13">
        <v>10.644148757867912</v>
      </c>
      <c r="AO21" s="13"/>
      <c r="AP21" s="13"/>
      <c r="AR21" s="29">
        <v>889</v>
      </c>
      <c r="AS21" s="29">
        <v>951</v>
      </c>
      <c r="AT21" s="4" t="s">
        <v>34</v>
      </c>
      <c r="AV21" s="29">
        <v>57.416970696669445</v>
      </c>
      <c r="AW21" s="29">
        <v>10.644148757867912</v>
      </c>
    </row>
    <row r="22" spans="1:49" x14ac:dyDescent="0.25">
      <c r="A22" s="4" t="s">
        <v>36</v>
      </c>
      <c r="B22" s="11">
        <v>887.62075244909784</v>
      </c>
      <c r="C22" s="11">
        <v>930.94808857097485</v>
      </c>
      <c r="D22" s="11">
        <v>1018.4150218513848</v>
      </c>
      <c r="E22" s="11">
        <v>1100.0362338516511</v>
      </c>
      <c r="F22" s="11">
        <v>1138.8279502063806</v>
      </c>
      <c r="G22" s="11">
        <v>1153.8081030150684</v>
      </c>
      <c r="H22" s="11">
        <v>1185.9965103125758</v>
      </c>
      <c r="I22" s="11">
        <v>1189.5786697427798</v>
      </c>
      <c r="J22" s="11">
        <v>1238.175566609124</v>
      </c>
      <c r="K22" s="11">
        <v>1269.7875739915803</v>
      </c>
      <c r="L22" s="11">
        <v>1378.4150744146855</v>
      </c>
      <c r="M22" s="11">
        <v>1504.0584600866305</v>
      </c>
      <c r="N22" s="11">
        <v>1593.7181331444044</v>
      </c>
      <c r="O22" s="11">
        <v>1644.3945059051428</v>
      </c>
      <c r="P22" s="11">
        <v>1724.0880011238387</v>
      </c>
      <c r="Q22" s="11">
        <v>1791.799052257579</v>
      </c>
      <c r="R22" s="11">
        <v>1934.5281037364689</v>
      </c>
      <c r="AA22" s="8"/>
      <c r="AB22" s="13"/>
      <c r="AC22" s="13"/>
      <c r="AD22" s="13"/>
      <c r="AE22" s="13"/>
      <c r="AF22" s="10"/>
      <c r="AH22" s="10"/>
      <c r="AI22" s="10"/>
      <c r="AJ22" s="8" t="s">
        <v>37</v>
      </c>
      <c r="AK22" s="21">
        <f t="shared" si="1"/>
        <v>-1140</v>
      </c>
      <c r="AL22" s="21">
        <v>1310</v>
      </c>
      <c r="AM22" s="21">
        <f t="shared" si="2"/>
        <v>-72.526699827371942</v>
      </c>
      <c r="AN22" s="13">
        <v>2.1288297515735826</v>
      </c>
      <c r="AO22" s="16"/>
      <c r="AP22" s="13"/>
      <c r="AR22" s="13">
        <f>SUM(AR25:AR26)</f>
        <v>1140</v>
      </c>
      <c r="AS22" s="13">
        <f>SUM(AS25:AS26)</f>
        <v>1310</v>
      </c>
      <c r="AT22" s="4" t="s">
        <v>36</v>
      </c>
      <c r="AV22" s="13">
        <f>SUM(AV25:AV26)</f>
        <v>72.526699827371942</v>
      </c>
      <c r="AW22" s="13">
        <f>SUM(AW25:AW26)</f>
        <v>2.1288297515735826</v>
      </c>
    </row>
    <row r="23" spans="1:49" x14ac:dyDescent="0.25">
      <c r="A23" s="12" t="s">
        <v>38</v>
      </c>
      <c r="B23" s="22">
        <v>663.35285147944785</v>
      </c>
      <c r="C23" s="22">
        <v>725.12440506345251</v>
      </c>
      <c r="D23" s="22">
        <v>785.18744548238283</v>
      </c>
      <c r="E23" s="22">
        <v>856.57262867427494</v>
      </c>
      <c r="F23" s="22">
        <v>929.31383469031255</v>
      </c>
      <c r="G23" s="22">
        <v>1031.4485067777669</v>
      </c>
      <c r="H23" s="22">
        <v>1095.0180261246007</v>
      </c>
      <c r="I23" s="22">
        <v>1190.2336082432901</v>
      </c>
      <c r="J23" s="22">
        <v>1286.4799629698216</v>
      </c>
      <c r="K23" s="22">
        <v>1351.7578693164712</v>
      </c>
      <c r="L23" s="22">
        <v>1421.0681260163053</v>
      </c>
      <c r="M23" s="22">
        <v>1477.4115520224136</v>
      </c>
      <c r="N23" s="22">
        <v>1539.7889870197823</v>
      </c>
      <c r="O23" s="22">
        <v>1641.201291950124</v>
      </c>
      <c r="P23" s="22">
        <v>1704.6493495499944</v>
      </c>
      <c r="Q23" s="22">
        <v>1834.1340649025319</v>
      </c>
      <c r="R23" s="22">
        <v>1961.6563660031634</v>
      </c>
      <c r="AA23" s="8"/>
      <c r="AB23" s="13"/>
      <c r="AC23" s="13"/>
      <c r="AD23" s="13"/>
      <c r="AE23" s="13"/>
      <c r="AF23" s="10"/>
      <c r="AH23" s="10"/>
      <c r="AI23" s="10"/>
      <c r="AJ23" s="1" t="s">
        <v>39</v>
      </c>
      <c r="AK23" s="13">
        <f t="shared" ref="AK23:AN23" si="3">SUM(AK7:AK22)</f>
        <v>-85183</v>
      </c>
      <c r="AL23" s="13">
        <f t="shared" si="3"/>
        <v>85385</v>
      </c>
      <c r="AM23" s="13">
        <f t="shared" si="3"/>
        <v>-63445.752619819767</v>
      </c>
      <c r="AN23" s="13">
        <f t="shared" si="3"/>
        <v>7510.5113635515972</v>
      </c>
      <c r="AO23" s="13"/>
      <c r="AP23" s="10"/>
      <c r="AT23" s="12"/>
    </row>
    <row r="24" spans="1:49" x14ac:dyDescent="0.25">
      <c r="A24" s="4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AA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9" x14ac:dyDescent="0.25">
      <c r="A25" s="18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AA25" s="10"/>
      <c r="AB25" s="13"/>
      <c r="AC25" s="13"/>
      <c r="AD25" s="13"/>
      <c r="AE25" s="13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R25" s="29">
        <v>543</v>
      </c>
      <c r="AS25" s="29">
        <v>671</v>
      </c>
      <c r="AV25" s="29">
        <v>24.17556660912398</v>
      </c>
      <c r="AW25" s="29">
        <v>0</v>
      </c>
    </row>
    <row r="26" spans="1:49" x14ac:dyDescent="0.25">
      <c r="A26" s="23" t="s">
        <v>40</v>
      </c>
      <c r="B26" s="24">
        <f>SUM(B27:B43)</f>
        <v>98105.587208601049</v>
      </c>
      <c r="C26" s="24">
        <f t="shared" ref="C26:R26" si="4">SUM(C27:C43)</f>
        <v>103909.01494345226</v>
      </c>
      <c r="D26" s="24">
        <f t="shared" si="4"/>
        <v>110146.79797122792</v>
      </c>
      <c r="E26" s="24">
        <f t="shared" si="4"/>
        <v>116857.46621442682</v>
      </c>
      <c r="F26" s="24">
        <f t="shared" si="4"/>
        <v>124079.60182287023</v>
      </c>
      <c r="G26" s="24">
        <f t="shared" si="4"/>
        <v>131846.26535016985</v>
      </c>
      <c r="H26" s="24">
        <f t="shared" si="4"/>
        <v>140204.46675156575</v>
      </c>
      <c r="I26" s="24">
        <f t="shared" si="4"/>
        <v>144383.27140620776</v>
      </c>
      <c r="J26" s="24">
        <f t="shared" si="4"/>
        <v>148628.75261981977</v>
      </c>
      <c r="K26" s="24">
        <f t="shared" si="4"/>
        <v>152930.88949415361</v>
      </c>
      <c r="L26" s="24">
        <f t="shared" si="4"/>
        <v>157283.6859170399</v>
      </c>
      <c r="M26" s="24">
        <f t="shared" si="4"/>
        <v>161678.17118985084</v>
      </c>
      <c r="N26" s="24">
        <f t="shared" si="4"/>
        <v>166108.40067084663</v>
      </c>
      <c r="O26" s="24">
        <f t="shared" si="4"/>
        <v>170579.45643480928</v>
      </c>
      <c r="P26" s="24">
        <f t="shared" si="4"/>
        <v>175090.44794937427</v>
      </c>
      <c r="Q26" s="24">
        <f t="shared" si="4"/>
        <v>179649.51276848392</v>
      </c>
      <c r="R26" s="24">
        <f t="shared" si="4"/>
        <v>184254.81724339569</v>
      </c>
      <c r="AA26" s="10"/>
      <c r="AB26" s="13"/>
      <c r="AC26" s="13"/>
      <c r="AD26" s="13"/>
      <c r="AE26" s="13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R26" s="30">
        <v>597</v>
      </c>
      <c r="AS26" s="30">
        <v>639</v>
      </c>
      <c r="AV26" s="30">
        <v>48.351133218247959</v>
      </c>
      <c r="AW26" s="30">
        <v>2.1288297515735826</v>
      </c>
    </row>
    <row r="27" spans="1:49" s="2" customFormat="1" x14ac:dyDescent="0.25">
      <c r="A27" s="25" t="s">
        <v>6</v>
      </c>
      <c r="B27" s="11">
        <v>6668.1478311503679</v>
      </c>
      <c r="C27" s="11">
        <v>6913.1923046336133</v>
      </c>
      <c r="D27" s="11">
        <v>7054.0810702219651</v>
      </c>
      <c r="E27" s="11">
        <v>7327.1132647273907</v>
      </c>
      <c r="F27" s="11">
        <v>7766.6194854550058</v>
      </c>
      <c r="G27" s="11">
        <v>8173.9650989320162</v>
      </c>
      <c r="H27" s="11">
        <v>8469.553897618729</v>
      </c>
      <c r="I27" s="11">
        <v>8697.4153960091389</v>
      </c>
      <c r="J27" s="11">
        <v>8887.5771696609008</v>
      </c>
      <c r="K27" s="11">
        <v>9037.0468200784489</v>
      </c>
      <c r="L27" s="11">
        <v>9140.8321411992147</v>
      </c>
      <c r="M27" s="11">
        <v>9199.9411242650949</v>
      </c>
      <c r="N27" s="11">
        <v>9220.3819628172423</v>
      </c>
      <c r="O27" s="11">
        <v>9208.1630578172862</v>
      </c>
      <c r="P27" s="11">
        <v>9175.293022898215</v>
      </c>
      <c r="Q27" s="11">
        <v>9135.7806897481714</v>
      </c>
      <c r="R27" s="11">
        <v>9097.6351136305548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9" x14ac:dyDescent="0.25">
      <c r="A28" s="11" t="s">
        <v>8</v>
      </c>
      <c r="B28" s="11">
        <v>5541.3801580628206</v>
      </c>
      <c r="C28" s="11">
        <v>5933.2991957081613</v>
      </c>
      <c r="D28" s="11">
        <v>6396.1027949936943</v>
      </c>
      <c r="E28" s="11">
        <v>6675.9891569972897</v>
      </c>
      <c r="F28" s="11">
        <v>6699.1773277861384</v>
      </c>
      <c r="G28" s="11">
        <v>6809.9093907034221</v>
      </c>
      <c r="H28" s="11">
        <v>7059.4528892197714</v>
      </c>
      <c r="I28" s="11">
        <v>7180.3120415275271</v>
      </c>
      <c r="J28" s="11">
        <v>7432.3701492231739</v>
      </c>
      <c r="K28" s="11">
        <v>7845.6322488863343</v>
      </c>
      <c r="L28" s="11">
        <v>8225.1035045982517</v>
      </c>
      <c r="M28" s="11">
        <v>8488.789211169511</v>
      </c>
      <c r="N28" s="11">
        <v>8716.6947974494615</v>
      </c>
      <c r="O28" s="11">
        <v>8906.8258297194279</v>
      </c>
      <c r="P28" s="11">
        <v>9057.1880151718233</v>
      </c>
      <c r="Q28" s="11">
        <v>9161.7872054773161</v>
      </c>
      <c r="R28" s="11">
        <v>9222.6294004423307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9" x14ac:dyDescent="0.25">
      <c r="A29" s="11" t="s">
        <v>10</v>
      </c>
      <c r="B29" s="11">
        <v>4167.7676730875473</v>
      </c>
      <c r="C29" s="11">
        <v>4198.893108925452</v>
      </c>
      <c r="D29" s="11">
        <v>4396.9782752282699</v>
      </c>
      <c r="E29" s="11">
        <v>4771.1241077301011</v>
      </c>
      <c r="F29" s="11">
        <v>5256.4421576688674</v>
      </c>
      <c r="G29" s="11">
        <v>5729.0557082285941</v>
      </c>
      <c r="H29" s="11">
        <v>6122.1010083989577</v>
      </c>
      <c r="I29" s="11">
        <v>6573.1033544816109</v>
      </c>
      <c r="J29" s="11">
        <v>6839.2070204377269</v>
      </c>
      <c r="K29" s="11">
        <v>6846.4145711921146</v>
      </c>
      <c r="L29" s="11">
        <v>6938.7286366009621</v>
      </c>
      <c r="M29" s="11">
        <v>7167.151913095584</v>
      </c>
      <c r="N29" s="11">
        <v>7289.6871653677808</v>
      </c>
      <c r="O29" s="11">
        <v>7542.3372280978574</v>
      </c>
      <c r="P29" s="11">
        <v>7957.1050077263917</v>
      </c>
      <c r="Q29" s="11">
        <v>8335.9934842708553</v>
      </c>
      <c r="R29" s="11">
        <v>8601.005713188224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9" x14ac:dyDescent="0.25">
      <c r="A30" s="11" t="s">
        <v>12</v>
      </c>
      <c r="B30" s="11">
        <v>6997.4949193178891</v>
      </c>
      <c r="C30" s="11">
        <v>6548.32349318871</v>
      </c>
      <c r="D30" s="11">
        <v>6040.0218568718165</v>
      </c>
      <c r="E30" s="11">
        <v>5600.4176833868296</v>
      </c>
      <c r="F30" s="11">
        <v>5524.4256928847099</v>
      </c>
      <c r="G30" s="11">
        <v>5659.0568074744751</v>
      </c>
      <c r="H30" s="11">
        <v>5811.4282688714538</v>
      </c>
      <c r="I30" s="11">
        <v>6040.2475067492114</v>
      </c>
      <c r="J30" s="11">
        <v>6443.8975675893644</v>
      </c>
      <c r="K30" s="11">
        <v>6958.3994837753398</v>
      </c>
      <c r="L30" s="11">
        <v>7459.7748201278882</v>
      </c>
      <c r="M30" s="11">
        <v>7882.045687383792</v>
      </c>
      <c r="N30" s="11">
        <v>8373.234756015805</v>
      </c>
      <c r="O30" s="11">
        <v>8681.3652704024298</v>
      </c>
      <c r="P30" s="11">
        <v>8731.461063356408</v>
      </c>
      <c r="Q30" s="11">
        <v>8867.5465710210174</v>
      </c>
      <c r="R30" s="11">
        <v>9141.6468481434367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9" x14ac:dyDescent="0.25">
      <c r="A31" s="11" t="s">
        <v>14</v>
      </c>
      <c r="B31" s="11">
        <v>15088.267836877261</v>
      </c>
      <c r="C31" s="11">
        <v>15889.750977960852</v>
      </c>
      <c r="D31" s="11">
        <v>16752.216581729823</v>
      </c>
      <c r="E31" s="11">
        <v>17651.866135378586</v>
      </c>
      <c r="F31" s="11">
        <v>18201.763684039393</v>
      </c>
      <c r="G31" s="11">
        <v>18664.926546792522</v>
      </c>
      <c r="H31" s="11">
        <v>19378.425573362587</v>
      </c>
      <c r="I31" s="11">
        <v>19126.634385060366</v>
      </c>
      <c r="J31" s="11">
        <v>18944.075897021881</v>
      </c>
      <c r="K31" s="11">
        <v>19122.958521046552</v>
      </c>
      <c r="L31" s="11">
        <v>19511.495944903611</v>
      </c>
      <c r="M31" s="11">
        <v>19913.907265893933</v>
      </c>
      <c r="N31" s="11">
        <v>20492.417127792974</v>
      </c>
      <c r="O31" s="11">
        <v>21255.255861260426</v>
      </c>
      <c r="P31" s="11">
        <v>22136.659627804409</v>
      </c>
      <c r="Q31" s="11">
        <v>23015.870567390069</v>
      </c>
      <c r="R31" s="11">
        <v>23823.136949784959</v>
      </c>
      <c r="AA31" s="10"/>
      <c r="AB31" s="10"/>
      <c r="AC31" s="10"/>
      <c r="AD31" s="10"/>
      <c r="AE31" s="10"/>
      <c r="AF31" s="10"/>
      <c r="AG31" s="10"/>
      <c r="AH31" s="10"/>
      <c r="AI31" s="10"/>
      <c r="AP31" s="10"/>
    </row>
    <row r="32" spans="1:49" x14ac:dyDescent="0.25">
      <c r="A32" s="11" t="s">
        <v>16</v>
      </c>
      <c r="B32" s="11">
        <v>18036.920602976617</v>
      </c>
      <c r="C32" s="11">
        <v>19231.986902853674</v>
      </c>
      <c r="D32" s="11">
        <v>20576.015494119478</v>
      </c>
      <c r="E32" s="11">
        <v>21938.67638283116</v>
      </c>
      <c r="F32" s="11">
        <v>23628.86692029683</v>
      </c>
      <c r="G32" s="11">
        <v>25463.840884102414</v>
      </c>
      <c r="H32" s="11">
        <v>27279.351134708599</v>
      </c>
      <c r="I32" s="11">
        <v>27801.095111792103</v>
      </c>
      <c r="J32" s="11">
        <v>28285.553508427431</v>
      </c>
      <c r="K32" s="11">
        <v>28338.022876557407</v>
      </c>
      <c r="L32" s="11">
        <v>28212.807275373038</v>
      </c>
      <c r="M32" s="11">
        <v>28233.218461360389</v>
      </c>
      <c r="N32" s="11">
        <v>28199.576083158554</v>
      </c>
      <c r="O32" s="11">
        <v>28239.207881350441</v>
      </c>
      <c r="P32" s="11">
        <v>28646.449893311321</v>
      </c>
      <c r="Q32" s="11">
        <v>29266.646663243118</v>
      </c>
      <c r="R32" s="11">
        <v>29908.151457525757</v>
      </c>
      <c r="AA32" s="10"/>
      <c r="AB32" s="10"/>
      <c r="AC32" s="10"/>
      <c r="AD32" s="10"/>
      <c r="AE32" s="10"/>
      <c r="AF32" s="10"/>
      <c r="AG32" s="10"/>
      <c r="AH32" s="10"/>
      <c r="AI32" s="10"/>
      <c r="AK32" s="35" t="s">
        <v>41</v>
      </c>
      <c r="AL32" s="35"/>
      <c r="AM32" s="39" t="s">
        <v>42</v>
      </c>
      <c r="AN32" s="39"/>
      <c r="AO32" s="3"/>
      <c r="AP32" s="10"/>
    </row>
    <row r="33" spans="1:42" x14ac:dyDescent="0.25">
      <c r="A33" s="11" t="s">
        <v>18</v>
      </c>
      <c r="B33" s="11">
        <v>12639.90974970016</v>
      </c>
      <c r="C33" s="11">
        <v>13901.335934780083</v>
      </c>
      <c r="D33" s="11">
        <v>15144.431842458773</v>
      </c>
      <c r="E33" s="11">
        <v>16334.314359587865</v>
      </c>
      <c r="F33" s="11">
        <v>17719.848862543025</v>
      </c>
      <c r="G33" s="11">
        <v>18862.727936554358</v>
      </c>
      <c r="H33" s="11">
        <v>20077.558374021064</v>
      </c>
      <c r="I33" s="11">
        <v>20552.76015781251</v>
      </c>
      <c r="J33" s="11">
        <v>20930.105913772852</v>
      </c>
      <c r="K33" s="11">
        <v>21506.776492418558</v>
      </c>
      <c r="L33" s="11">
        <v>22085.957322518734</v>
      </c>
      <c r="M33" s="11">
        <v>22488.838526994114</v>
      </c>
      <c r="N33" s="11">
        <v>22883.615041750094</v>
      </c>
      <c r="O33" s="11">
        <v>23237.486737518004</v>
      </c>
      <c r="P33" s="11">
        <v>23156.658544780825</v>
      </c>
      <c r="Q33" s="11">
        <v>22894.340581861423</v>
      </c>
      <c r="R33" s="11">
        <v>22773.748286253322</v>
      </c>
      <c r="AA33" s="10"/>
      <c r="AB33" s="10"/>
      <c r="AC33" s="10"/>
      <c r="AD33" s="10"/>
      <c r="AE33" s="10"/>
      <c r="AF33" s="10"/>
      <c r="AG33" s="10"/>
      <c r="AH33" s="10"/>
      <c r="AI33" s="10"/>
      <c r="AK33" s="1" t="s">
        <v>1</v>
      </c>
      <c r="AL33" s="1" t="s">
        <v>2</v>
      </c>
      <c r="AM33" s="1" t="s">
        <v>1</v>
      </c>
      <c r="AN33" s="1" t="s">
        <v>2</v>
      </c>
      <c r="AP33" s="10"/>
    </row>
    <row r="34" spans="1:42" x14ac:dyDescent="0.25">
      <c r="A34" s="4" t="s">
        <v>20</v>
      </c>
      <c r="B34" s="11">
        <v>8766.8639326380071</v>
      </c>
      <c r="C34" s="11">
        <v>9515.7059477191142</v>
      </c>
      <c r="D34" s="11">
        <v>10256.020398283819</v>
      </c>
      <c r="E34" s="11">
        <v>11258.274149364843</v>
      </c>
      <c r="F34" s="11">
        <v>12276.403850291317</v>
      </c>
      <c r="G34" s="11">
        <v>13436.865342334529</v>
      </c>
      <c r="H34" s="11">
        <v>14729.688262601152</v>
      </c>
      <c r="I34" s="11">
        <v>15448.810269240756</v>
      </c>
      <c r="J34" s="11">
        <v>16044.416140825972</v>
      </c>
      <c r="K34" s="11">
        <v>16757.61938693831</v>
      </c>
      <c r="L34" s="11">
        <v>17143.536390668021</v>
      </c>
      <c r="M34" s="11">
        <v>17505.286481357318</v>
      </c>
      <c r="N34" s="11">
        <v>17909.992009185076</v>
      </c>
      <c r="O34" s="11">
        <v>18215.778421639716</v>
      </c>
      <c r="P34" s="11">
        <v>18718.774341927936</v>
      </c>
      <c r="Q34" s="11">
        <v>19222.111649368409</v>
      </c>
      <c r="R34" s="11">
        <v>19547.925561820673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" t="s">
        <v>7</v>
      </c>
      <c r="AK34" s="21">
        <v>-8496</v>
      </c>
      <c r="AL34" s="21">
        <v>7944</v>
      </c>
      <c r="AM34" s="21">
        <v>-601.63511363055454</v>
      </c>
      <c r="AN34" s="21">
        <v>434.22647454764228</v>
      </c>
      <c r="AP34" s="10"/>
    </row>
    <row r="35" spans="1:42" x14ac:dyDescent="0.25">
      <c r="A35" s="4" t="s">
        <v>22</v>
      </c>
      <c r="B35" s="11">
        <v>6403.3910842058385</v>
      </c>
      <c r="C35" s="11">
        <v>6903.2666070577943</v>
      </c>
      <c r="D35" s="11">
        <v>7539.3165971346461</v>
      </c>
      <c r="E35" s="11">
        <v>8055.2938471845791</v>
      </c>
      <c r="F35" s="11">
        <v>8584.2406636963733</v>
      </c>
      <c r="G35" s="11">
        <v>9274.5193153253058</v>
      </c>
      <c r="H35" s="11">
        <v>10037.84568360794</v>
      </c>
      <c r="I35" s="11">
        <v>10448.000576771214</v>
      </c>
      <c r="J35" s="11">
        <v>11075.918739210745</v>
      </c>
      <c r="K35" s="11">
        <v>11670.670123421307</v>
      </c>
      <c r="L35" s="11">
        <v>12353.326452753507</v>
      </c>
      <c r="M35" s="11">
        <v>13107.96126624321</v>
      </c>
      <c r="N35" s="11">
        <v>13780.649964575849</v>
      </c>
      <c r="O35" s="11">
        <v>14329.469857214286</v>
      </c>
      <c r="P35" s="11">
        <v>14993.500210719762</v>
      </c>
      <c r="Q35" s="11">
        <v>15330.822298296061</v>
      </c>
      <c r="R35" s="11">
        <v>15644.519450587926</v>
      </c>
      <c r="AA35" s="10"/>
      <c r="AB35" s="10"/>
      <c r="AC35" s="10"/>
      <c r="AD35" s="10"/>
      <c r="AE35" s="10"/>
      <c r="AF35" s="10"/>
      <c r="AG35" s="10"/>
      <c r="AH35" s="10"/>
      <c r="AI35" s="10"/>
      <c r="AJ35" s="1" t="s">
        <v>9</v>
      </c>
      <c r="AK35" s="21">
        <v>-8824</v>
      </c>
      <c r="AL35" s="21">
        <v>8212</v>
      </c>
      <c r="AM35" s="21">
        <v>-398.62940044233051</v>
      </c>
      <c r="AN35" s="21">
        <v>208.01268241803223</v>
      </c>
      <c r="AP35" s="10"/>
    </row>
    <row r="36" spans="1:42" x14ac:dyDescent="0.25">
      <c r="A36" s="4" t="s">
        <v>24</v>
      </c>
      <c r="B36" s="11">
        <v>4830.9898386357772</v>
      </c>
      <c r="C36" s="11">
        <v>5104.64698637742</v>
      </c>
      <c r="D36" s="11">
        <v>5525.0437137436338</v>
      </c>
      <c r="E36" s="11">
        <v>5994.8353667736601</v>
      </c>
      <c r="F36" s="11">
        <v>6321.8513857694197</v>
      </c>
      <c r="G36" s="11">
        <v>6730.1136149489503</v>
      </c>
      <c r="H36" s="11">
        <v>7233.8565377429077</v>
      </c>
      <c r="I36" s="11">
        <v>7665.4950134984228</v>
      </c>
      <c r="J36" s="11">
        <v>7950.7951351787287</v>
      </c>
      <c r="K36" s="11">
        <v>8217.7989675506797</v>
      </c>
      <c r="L36" s="11">
        <v>8613.5496402557765</v>
      </c>
      <c r="M36" s="11">
        <v>9045.0913747675841</v>
      </c>
      <c r="N36" s="11">
        <v>9426.4695120316101</v>
      </c>
      <c r="O36" s="11">
        <v>10023.730540804858</v>
      </c>
      <c r="P36" s="11">
        <v>10585.922126712818</v>
      </c>
      <c r="Q36" s="11">
        <v>11236.093142042033</v>
      </c>
      <c r="R36" s="11">
        <v>11957.293696286873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" t="s">
        <v>11</v>
      </c>
      <c r="AK36" s="21">
        <v>-8398</v>
      </c>
      <c r="AL36" s="21">
        <v>7800</v>
      </c>
      <c r="AM36" s="21">
        <v>-203.00571318822398</v>
      </c>
      <c r="AN36" s="21">
        <v>96.205865618339914</v>
      </c>
      <c r="AP36" s="10"/>
    </row>
    <row r="37" spans="1:42" x14ac:dyDescent="0.25">
      <c r="A37" s="4" t="s">
        <v>26</v>
      </c>
      <c r="B37" s="11">
        <v>3328.7961175566948</v>
      </c>
      <c r="C37" s="11">
        <v>3649.5082514067954</v>
      </c>
      <c r="D37" s="11">
        <v>3768.9210488664694</v>
      </c>
      <c r="E37" s="11">
        <v>3987.7392248792521</v>
      </c>
      <c r="F37" s="11">
        <v>4274.7416099062721</v>
      </c>
      <c r="G37" s="11">
        <v>4645.7889447232783</v>
      </c>
      <c r="H37" s="11">
        <v>4878.8324950036331</v>
      </c>
      <c r="I37" s="11">
        <v>5164.7761476534306</v>
      </c>
      <c r="J37" s="11">
        <v>5482.4271972379511</v>
      </c>
      <c r="K37" s="11">
        <v>5640.8035515958554</v>
      </c>
      <c r="L37" s="11">
        <v>5860.9235719048975</v>
      </c>
      <c r="M37" s="11">
        <v>6151.8060841582619</v>
      </c>
      <c r="N37" s="11">
        <v>6551.4703909314176</v>
      </c>
      <c r="O37" s="11">
        <v>6806.9362834468575</v>
      </c>
      <c r="P37" s="11">
        <v>7042.2240539442591</v>
      </c>
      <c r="Q37" s="11">
        <v>7404.3545083637919</v>
      </c>
      <c r="R37" s="11">
        <v>7800.3489793505087</v>
      </c>
      <c r="AA37" s="10"/>
      <c r="AB37" s="10"/>
      <c r="AC37" s="10"/>
      <c r="AD37" s="10"/>
      <c r="AE37" s="10"/>
      <c r="AF37" s="10"/>
      <c r="AG37" s="10"/>
      <c r="AH37" s="10"/>
      <c r="AI37" s="10"/>
      <c r="AJ37" s="1" t="s">
        <v>13</v>
      </c>
      <c r="AK37" s="21">
        <v>-7477</v>
      </c>
      <c r="AL37" s="21">
        <v>6865</v>
      </c>
      <c r="AM37" s="21">
        <v>-1664.646848143437</v>
      </c>
      <c r="AN37" s="21">
        <v>137.80840210194634</v>
      </c>
      <c r="AP37" s="10"/>
    </row>
    <row r="38" spans="1:42" x14ac:dyDescent="0.25">
      <c r="A38" s="4" t="s">
        <v>28</v>
      </c>
      <c r="B38" s="11">
        <v>2165.9494846451325</v>
      </c>
      <c r="C38" s="11">
        <v>2375.500704991267</v>
      </c>
      <c r="D38" s="11">
        <v>2638.7391706391572</v>
      </c>
      <c r="E38" s="11">
        <v>2883.9475016442834</v>
      </c>
      <c r="F38" s="11">
        <v>3128.4380414728275</v>
      </c>
      <c r="G38" s="11">
        <v>3260.5559830400648</v>
      </c>
      <c r="H38" s="11">
        <v>3557.6828235170819</v>
      </c>
      <c r="I38" s="11">
        <v>3622.8893925485113</v>
      </c>
      <c r="J38" s="11">
        <v>3776.3796572256365</v>
      </c>
      <c r="K38" s="11">
        <v>3990.1607993379212</v>
      </c>
      <c r="L38" s="11">
        <v>4275.2401824826929</v>
      </c>
      <c r="M38" s="11">
        <v>4420.625356667636</v>
      </c>
      <c r="N38" s="11">
        <v>4689.3240630297869</v>
      </c>
      <c r="O38" s="11">
        <v>4990.3442386739998</v>
      </c>
      <c r="P38" s="11">
        <v>5134.6940216338953</v>
      </c>
      <c r="Q38" s="11">
        <v>5341.3817559583958</v>
      </c>
      <c r="R38" s="11">
        <v>5616.4159969270268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" t="s">
        <v>15</v>
      </c>
      <c r="AK38" s="21">
        <v>-7328</v>
      </c>
      <c r="AL38" s="21">
        <v>7334</v>
      </c>
      <c r="AM38" s="21">
        <v>-16495.136949784959</v>
      </c>
      <c r="AN38" s="21">
        <v>712.44343728176045</v>
      </c>
      <c r="AP38" s="10"/>
    </row>
    <row r="39" spans="1:42" x14ac:dyDescent="0.25">
      <c r="A39" s="4" t="s">
        <v>30</v>
      </c>
      <c r="B39" s="11">
        <v>1226.3884255366452</v>
      </c>
      <c r="C39" s="11">
        <v>1344.8411974964274</v>
      </c>
      <c r="D39" s="11">
        <v>1515.3932970796552</v>
      </c>
      <c r="E39" s="11">
        <v>1703.1603415817524</v>
      </c>
      <c r="F39" s="11">
        <v>1869.2701078752477</v>
      </c>
      <c r="G39" s="11">
        <v>2122.8638112436629</v>
      </c>
      <c r="H39" s="11">
        <v>2318.0975187115337</v>
      </c>
      <c r="I39" s="11">
        <v>2550.6820242243912</v>
      </c>
      <c r="J39" s="11">
        <v>2763.3825870468513</v>
      </c>
      <c r="K39" s="11">
        <v>2970.2021451836949</v>
      </c>
      <c r="L39" s="11">
        <v>3070.1437110156498</v>
      </c>
      <c r="M39" s="11">
        <v>3323.2103731822149</v>
      </c>
      <c r="N39" s="11">
        <v>3385.4052985121857</v>
      </c>
      <c r="O39" s="11">
        <v>3532.7317340029999</v>
      </c>
      <c r="P39" s="11">
        <v>3736.1930088502299</v>
      </c>
      <c r="Q39" s="11">
        <v>4008.7925365284345</v>
      </c>
      <c r="R39" s="11">
        <v>4148.5338169246925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" t="s">
        <v>17</v>
      </c>
      <c r="AK39" s="21">
        <v>-6437</v>
      </c>
      <c r="AL39" s="21">
        <v>6491</v>
      </c>
      <c r="AM39" s="21">
        <v>-23471.151457525757</v>
      </c>
      <c r="AN39" s="21">
        <v>2035.9241291664905</v>
      </c>
      <c r="AP39" s="10"/>
    </row>
    <row r="40" spans="1:42" x14ac:dyDescent="0.25">
      <c r="A40" s="4" t="s">
        <v>32</v>
      </c>
      <c r="B40" s="11">
        <v>810.48300979639123</v>
      </c>
      <c r="C40" s="11">
        <v>903.79235428389961</v>
      </c>
      <c r="D40" s="11">
        <v>988.66008740553912</v>
      </c>
      <c r="E40" s="11">
        <v>1027.1449354066044</v>
      </c>
      <c r="F40" s="11">
        <v>1122.3118008255226</v>
      </c>
      <c r="G40" s="11">
        <v>1185.2324120602732</v>
      </c>
      <c r="H40" s="11">
        <v>1296.9860412503026</v>
      </c>
      <c r="I40" s="11">
        <v>1448.3146789711193</v>
      </c>
      <c r="J40" s="11">
        <v>1613.7022664364958</v>
      </c>
      <c r="K40" s="11">
        <v>1758.1502959663212</v>
      </c>
      <c r="L40" s="11">
        <v>1983.6602976587415</v>
      </c>
      <c r="M40" s="11">
        <v>2154.2338403465219</v>
      </c>
      <c r="N40" s="11">
        <v>2372.8725325776181</v>
      </c>
      <c r="O40" s="11">
        <v>2570.5780236205715</v>
      </c>
      <c r="P40" s="11">
        <v>2763.3520044953548</v>
      </c>
      <c r="Q40" s="11">
        <v>2859.1962090303159</v>
      </c>
      <c r="R40" s="11">
        <v>3098.1124149458756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" t="s">
        <v>19</v>
      </c>
      <c r="AK40" s="21">
        <v>-8460</v>
      </c>
      <c r="AL40" s="21">
        <v>8956</v>
      </c>
      <c r="AM40" s="21">
        <v>-14313.74828625332</v>
      </c>
      <c r="AN40" s="21">
        <v>1801.9098614462039</v>
      </c>
      <c r="AP40" s="10"/>
    </row>
    <row r="41" spans="1:42" x14ac:dyDescent="0.25">
      <c r="A41" s="4" t="s">
        <v>34</v>
      </c>
      <c r="B41" s="11">
        <v>650.9742870666073</v>
      </c>
      <c r="C41" s="11">
        <v>672.12671035606536</v>
      </c>
      <c r="D41" s="11">
        <v>645.61067689703884</v>
      </c>
      <c r="E41" s="11">
        <v>669.46105539767132</v>
      </c>
      <c r="F41" s="11">
        <v>686.71638174015402</v>
      </c>
      <c r="G41" s="11">
        <v>758.41924466078717</v>
      </c>
      <c r="H41" s="11">
        <v>842.61671199236719</v>
      </c>
      <c r="I41" s="11">
        <v>913.999340639102</v>
      </c>
      <c r="J41" s="11">
        <v>946.41697069666941</v>
      </c>
      <c r="K41" s="11">
        <v>1024.8704882300033</v>
      </c>
      <c r="L41" s="11">
        <v>1078.3608017348777</v>
      </c>
      <c r="M41" s="11">
        <v>1174.8888427057473</v>
      </c>
      <c r="N41" s="11">
        <v>1311.4555662179607</v>
      </c>
      <c r="O41" s="11">
        <v>1460.0619515247142</v>
      </c>
      <c r="P41" s="11">
        <v>1588.7090026691169</v>
      </c>
      <c r="Q41" s="11">
        <v>1791.39774911175</v>
      </c>
      <c r="R41" s="11">
        <v>1947.1292463741138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" t="s">
        <v>21</v>
      </c>
      <c r="AK41" s="21">
        <v>-10564</v>
      </c>
      <c r="AL41" s="21">
        <v>11335</v>
      </c>
      <c r="AM41" s="21">
        <v>-8983.9255618206753</v>
      </c>
      <c r="AN41" s="21">
        <v>1445.6881428053243</v>
      </c>
      <c r="AP41" s="10"/>
    </row>
    <row r="42" spans="1:42" x14ac:dyDescent="0.25">
      <c r="A42" s="4" t="s">
        <v>36</v>
      </c>
      <c r="B42" s="11">
        <v>419.62075244909778</v>
      </c>
      <c r="C42" s="11">
        <v>429.9480885709749</v>
      </c>
      <c r="D42" s="11">
        <v>485.41502185138478</v>
      </c>
      <c r="E42" s="11">
        <v>532.0362338516511</v>
      </c>
      <c r="F42" s="11">
        <v>545.82795020638071</v>
      </c>
      <c r="G42" s="11">
        <v>548.80810301506824</v>
      </c>
      <c r="H42" s="11">
        <v>565.99651031257565</v>
      </c>
      <c r="I42" s="11">
        <v>545.57866974277977</v>
      </c>
      <c r="J42" s="11">
        <v>567.17556660912396</v>
      </c>
      <c r="K42" s="11">
        <v>579.7875739915803</v>
      </c>
      <c r="L42" s="11">
        <v>637.41507441468536</v>
      </c>
      <c r="M42" s="11">
        <v>705.05846008663048</v>
      </c>
      <c r="N42" s="11">
        <v>764.71813314440453</v>
      </c>
      <c r="O42" s="11">
        <v>793.39450590514286</v>
      </c>
      <c r="P42" s="11">
        <v>859.08800112383869</v>
      </c>
      <c r="Q42" s="11">
        <v>906.79905225757898</v>
      </c>
      <c r="R42" s="11">
        <v>990.52810373646889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" t="s">
        <v>23</v>
      </c>
      <c r="AK42" s="21">
        <v>-10108</v>
      </c>
      <c r="AL42" s="21">
        <v>10372</v>
      </c>
      <c r="AM42" s="21">
        <v>-5536.5194505879253</v>
      </c>
      <c r="AN42" s="21">
        <v>899.65485145798948</v>
      </c>
      <c r="AP42" s="10"/>
    </row>
    <row r="43" spans="1:42" x14ac:dyDescent="0.25">
      <c r="A43" s="12" t="s">
        <v>38</v>
      </c>
      <c r="B43" s="22">
        <v>362.24150489819561</v>
      </c>
      <c r="C43" s="22">
        <v>392.89617714194981</v>
      </c>
      <c r="D43" s="22">
        <v>423.83004370276956</v>
      </c>
      <c r="E43" s="22">
        <v>446.07246770330215</v>
      </c>
      <c r="F43" s="22">
        <v>472.6559004127613</v>
      </c>
      <c r="G43" s="22">
        <v>519.6162060301366</v>
      </c>
      <c r="H43" s="22">
        <v>544.9930206251513</v>
      </c>
      <c r="I43" s="22">
        <v>603.15733948555965</v>
      </c>
      <c r="J43" s="22">
        <v>645.35113321824792</v>
      </c>
      <c r="K43" s="22">
        <v>665.5751479831606</v>
      </c>
      <c r="L43" s="22">
        <v>692.83014882937073</v>
      </c>
      <c r="M43" s="22">
        <v>716.11692017326095</v>
      </c>
      <c r="N43" s="22">
        <v>740.43626628880907</v>
      </c>
      <c r="O43" s="22">
        <v>785.78901181028573</v>
      </c>
      <c r="P43" s="22">
        <v>807.1760022476775</v>
      </c>
      <c r="Q43" s="22">
        <v>870.59810451515796</v>
      </c>
      <c r="R43" s="22">
        <v>936.0562074729379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" t="s">
        <v>25</v>
      </c>
      <c r="AK43" s="21">
        <v>-8628</v>
      </c>
      <c r="AL43" s="21">
        <v>8988</v>
      </c>
      <c r="AM43" s="21">
        <v>-3329.2936962868739</v>
      </c>
      <c r="AN43" s="21">
        <v>631.83852284477291</v>
      </c>
      <c r="AP43" s="10"/>
    </row>
    <row r="44" spans="1:42" x14ac:dyDescent="0.25">
      <c r="A44" s="4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AA44" s="10"/>
      <c r="AB44" s="10"/>
      <c r="AC44" s="10"/>
      <c r="AD44" s="10"/>
      <c r="AE44" s="10"/>
      <c r="AF44" s="10"/>
      <c r="AG44" s="10"/>
      <c r="AH44" s="10"/>
      <c r="AI44" s="10"/>
      <c r="AJ44" s="1" t="s">
        <v>27</v>
      </c>
      <c r="AK44" s="21">
        <v>-6383</v>
      </c>
      <c r="AL44" s="21">
        <v>6434</v>
      </c>
      <c r="AM44" s="21">
        <v>-1417.3489793505089</v>
      </c>
      <c r="AN44" s="21">
        <v>397.82425512448663</v>
      </c>
      <c r="AP44" s="10"/>
    </row>
    <row r="45" spans="1:42" x14ac:dyDescent="0.25">
      <c r="A45" s="18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AA45" s="10"/>
      <c r="AB45" s="10"/>
      <c r="AC45" s="10"/>
      <c r="AD45" s="10"/>
      <c r="AE45" s="10"/>
      <c r="AF45" s="10"/>
      <c r="AG45" s="10"/>
      <c r="AH45" s="10"/>
      <c r="AI45" s="10"/>
      <c r="AJ45" s="1" t="s">
        <v>29</v>
      </c>
      <c r="AK45" s="21">
        <v>-5048</v>
      </c>
      <c r="AL45" s="21">
        <v>4988</v>
      </c>
      <c r="AM45" s="21">
        <v>-568.41599692702709</v>
      </c>
      <c r="AN45" s="21">
        <v>234.01426772028626</v>
      </c>
      <c r="AP45" s="10"/>
    </row>
    <row r="46" spans="1:42" x14ac:dyDescent="0.25">
      <c r="A46" s="23" t="s">
        <v>2</v>
      </c>
      <c r="B46" s="24">
        <f>SUM(B47:B63)</f>
        <v>69401.830738657722</v>
      </c>
      <c r="C46" s="24">
        <f t="shared" ref="C46:R46" si="5">SUM(C47:C63)</f>
        <v>72103.188107061578</v>
      </c>
      <c r="D46" s="24">
        <f t="shared" si="5"/>
        <v>74919.913478475733</v>
      </c>
      <c r="E46" s="24">
        <f t="shared" si="5"/>
        <v>77849.567905591888</v>
      </c>
      <c r="F46" s="24">
        <f t="shared" si="5"/>
        <v>80885.192131200674</v>
      </c>
      <c r="G46" s="24">
        <f t="shared" si="5"/>
        <v>84032.3570376399</v>
      </c>
      <c r="H46" s="24">
        <f t="shared" si="5"/>
        <v>87281.21940205725</v>
      </c>
      <c r="I46" s="24">
        <f t="shared" si="5"/>
        <v>90071.076177273324</v>
      </c>
      <c r="J46" s="24">
        <f t="shared" si="5"/>
        <v>92895.511363551588</v>
      </c>
      <c r="K46" s="24">
        <f t="shared" si="5"/>
        <v>95739.640863920009</v>
      </c>
      <c r="L46" s="24">
        <f t="shared" si="5"/>
        <v>98601.583515505466</v>
      </c>
      <c r="M46" s="24">
        <f t="shared" si="5"/>
        <v>101471.4611638112</v>
      </c>
      <c r="N46" s="24">
        <f t="shared" si="5"/>
        <v>104339.39873887392</v>
      </c>
      <c r="O46" s="24">
        <f t="shared" si="5"/>
        <v>107219.52433334931</v>
      </c>
      <c r="P46" s="24">
        <f t="shared" si="5"/>
        <v>110099.96928257414</v>
      </c>
      <c r="Q46" s="24">
        <f t="shared" si="5"/>
        <v>112991.86824665498</v>
      </c>
      <c r="R46" s="24">
        <f t="shared" si="5"/>
        <v>115887.35929463524</v>
      </c>
      <c r="AA46" s="10"/>
      <c r="AB46" s="10"/>
      <c r="AC46" s="10"/>
      <c r="AD46" s="10"/>
      <c r="AE46" s="10"/>
      <c r="AF46" s="10"/>
      <c r="AG46" s="10"/>
      <c r="AH46" s="10"/>
      <c r="AI46" s="10"/>
      <c r="AJ46" s="1" t="s">
        <v>31</v>
      </c>
      <c r="AK46" s="21">
        <v>-3916</v>
      </c>
      <c r="AL46" s="21">
        <v>3892</v>
      </c>
      <c r="AM46" s="21">
        <v>-232.53381692469284</v>
      </c>
      <c r="AN46" s="21">
        <v>88.405390027663685</v>
      </c>
      <c r="AP46" s="10"/>
    </row>
    <row r="47" spans="1:42" x14ac:dyDescent="0.25">
      <c r="A47" s="25" t="s">
        <v>6</v>
      </c>
      <c r="B47" s="11">
        <v>6125.5948790691164</v>
      </c>
      <c r="C47" s="11">
        <v>6220.1140628909534</v>
      </c>
      <c r="D47" s="11">
        <v>6479.6860971954211</v>
      </c>
      <c r="E47" s="11">
        <v>6771.5268821524496</v>
      </c>
      <c r="F47" s="11">
        <v>7155.8750243510522</v>
      </c>
      <c r="G47" s="11">
        <v>7522.9942248542693</v>
      </c>
      <c r="H47" s="11">
        <v>7790.1759184080393</v>
      </c>
      <c r="I47" s="11">
        <v>8000.7368825409985</v>
      </c>
      <c r="J47" s="11">
        <v>8177.5145685127882</v>
      </c>
      <c r="K47" s="11">
        <v>8315.5144626628789</v>
      </c>
      <c r="L47" s="11">
        <v>8412.7421902180886</v>
      </c>
      <c r="M47" s="11">
        <v>8469.2035188085229</v>
      </c>
      <c r="N47" s="11">
        <v>8488.9043620725461</v>
      </c>
      <c r="O47" s="11">
        <v>8478.8507833529857</v>
      </c>
      <c r="P47" s="11">
        <v>8449.0489994869276</v>
      </c>
      <c r="Q47" s="11">
        <v>8413.5053846914343</v>
      </c>
      <c r="R47" s="11">
        <v>8378.2264745476423</v>
      </c>
      <c r="AA47" s="10"/>
      <c r="AB47" s="10"/>
      <c r="AC47" s="10"/>
      <c r="AD47" s="10"/>
      <c r="AE47" s="10"/>
      <c r="AF47" s="10"/>
      <c r="AG47" s="10"/>
      <c r="AH47" s="10"/>
      <c r="AI47" s="10"/>
      <c r="AJ47" s="1" t="s">
        <v>33</v>
      </c>
      <c r="AK47" s="21">
        <v>-2980</v>
      </c>
      <c r="AL47" s="21">
        <v>3053</v>
      </c>
      <c r="AM47" s="21">
        <v>-118.11241494587573</v>
      </c>
      <c r="AN47" s="21">
        <v>33.802060892930243</v>
      </c>
      <c r="AP47" s="10"/>
    </row>
    <row r="48" spans="1:42" x14ac:dyDescent="0.25">
      <c r="A48" s="11" t="s">
        <v>8</v>
      </c>
      <c r="B48" s="11">
        <v>5245.9077265001752</v>
      </c>
      <c r="C48" s="11">
        <v>5730.2582337202175</v>
      </c>
      <c r="D48" s="11">
        <v>5992.5921423690643</v>
      </c>
      <c r="E48" s="11">
        <v>6138.0128776778201</v>
      </c>
      <c r="F48" s="11">
        <v>6166.6347422040972</v>
      </c>
      <c r="G48" s="11">
        <v>6186.5840598104287</v>
      </c>
      <c r="H48" s="11">
        <v>6278.0004399559466</v>
      </c>
      <c r="I48" s="11">
        <v>6521.1015006184425</v>
      </c>
      <c r="J48" s="11">
        <v>6795.3063801258868</v>
      </c>
      <c r="K48" s="11">
        <v>7158.6177066648524</v>
      </c>
      <c r="L48" s="11">
        <v>7503.0381749547723</v>
      </c>
      <c r="M48" s="11">
        <v>7745.5705479322269</v>
      </c>
      <c r="N48" s="11">
        <v>7954.2176584778663</v>
      </c>
      <c r="O48" s="11">
        <v>8129.9824111870594</v>
      </c>
      <c r="P48" s="11">
        <v>8267.867784185355</v>
      </c>
      <c r="Q48" s="11">
        <v>8363.8768309899078</v>
      </c>
      <c r="R48" s="11">
        <v>8420.0126824180315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" t="s">
        <v>35</v>
      </c>
      <c r="AK48" s="21">
        <v>-1877</v>
      </c>
      <c r="AL48" s="21">
        <v>2083</v>
      </c>
      <c r="AM48" s="21">
        <v>-70.129246374113734</v>
      </c>
      <c r="AN48" s="21">
        <v>13.000792651127014</v>
      </c>
      <c r="AP48" s="10"/>
    </row>
    <row r="49" spans="1:42" x14ac:dyDescent="0.25">
      <c r="A49" s="11" t="s">
        <v>10</v>
      </c>
      <c r="B49" s="11">
        <v>3982.1198235063312</v>
      </c>
      <c r="C49" s="11">
        <v>3999.4444330956003</v>
      </c>
      <c r="D49" s="11">
        <v>4201.2238658456918</v>
      </c>
      <c r="E49" s="11">
        <v>4572.5059559259917</v>
      </c>
      <c r="F49" s="11">
        <v>4993.3435682693944</v>
      </c>
      <c r="G49" s="11">
        <v>5421.7951276623235</v>
      </c>
      <c r="H49" s="11">
        <v>5907.9252034796255</v>
      </c>
      <c r="I49" s="11">
        <v>6164.8219440360299</v>
      </c>
      <c r="J49" s="11">
        <v>6303.7667008082226</v>
      </c>
      <c r="K49" s="11">
        <v>6325.7606893324946</v>
      </c>
      <c r="L49" s="11">
        <v>6337.8051559165824</v>
      </c>
      <c r="M49" s="11">
        <v>6419.9013784186545</v>
      </c>
      <c r="N49" s="11">
        <v>6665.0506670460136</v>
      </c>
      <c r="O49" s="11">
        <v>6940.2543651740152</v>
      </c>
      <c r="P49" s="11">
        <v>7306.5138501857264</v>
      </c>
      <c r="Q49" s="11">
        <v>7651.8305343328329</v>
      </c>
      <c r="R49" s="11">
        <v>7896.2058656183399</v>
      </c>
      <c r="AA49" s="10"/>
      <c r="AB49" s="10"/>
      <c r="AC49" s="10"/>
      <c r="AD49" s="10"/>
      <c r="AE49" s="10"/>
      <c r="AF49" s="10"/>
      <c r="AG49" s="10"/>
      <c r="AH49" s="10"/>
      <c r="AI49" s="10"/>
      <c r="AJ49" s="1" t="s">
        <v>37</v>
      </c>
      <c r="AK49" s="21">
        <v>-1838</v>
      </c>
      <c r="AL49" s="21">
        <v>1967</v>
      </c>
      <c r="AM49" s="21">
        <v>-88.584311209406792</v>
      </c>
      <c r="AN49" s="21">
        <v>2.6001585302254036</v>
      </c>
      <c r="AP49" s="10"/>
    </row>
    <row r="50" spans="1:42" x14ac:dyDescent="0.25">
      <c r="A50" s="11" t="s">
        <v>12</v>
      </c>
      <c r="B50" s="11">
        <v>6856.901368806366</v>
      </c>
      <c r="C50" s="11">
        <v>6114.0960798396436</v>
      </c>
      <c r="D50" s="11">
        <v>5350.942294319505</v>
      </c>
      <c r="E50" s="11">
        <v>4614.5085314615562</v>
      </c>
      <c r="F50" s="11">
        <v>4421.8705167102144</v>
      </c>
      <c r="G50" s="11">
        <v>4478.1119396244085</v>
      </c>
      <c r="H50" s="11">
        <v>4509.3252914708146</v>
      </c>
      <c r="I50" s="11">
        <v>4716.0422441597184</v>
      </c>
      <c r="J50" s="11">
        <v>5092.8279768333996</v>
      </c>
      <c r="K50" s="11">
        <v>5517.6842306654653</v>
      </c>
      <c r="L50" s="11">
        <v>5950.6127909075367</v>
      </c>
      <c r="M50" s="11">
        <v>6440.6154880050999</v>
      </c>
      <c r="N50" s="11">
        <v>6707.6941987415867</v>
      </c>
      <c r="O50" s="11">
        <v>6855.8508474114269</v>
      </c>
      <c r="P50" s="11">
        <v>6888.0874070227974</v>
      </c>
      <c r="Q50" s="11">
        <v>6910.4059005308145</v>
      </c>
      <c r="R50" s="11">
        <v>7002.8084021019467</v>
      </c>
      <c r="AA50" s="10"/>
      <c r="AB50" s="10"/>
      <c r="AC50" s="10"/>
      <c r="AD50" s="10"/>
      <c r="AE50" s="10"/>
      <c r="AF50" s="10"/>
      <c r="AG50" s="10"/>
      <c r="AH50" s="10"/>
      <c r="AI50" s="10"/>
      <c r="AJ50" s="1" t="s">
        <v>39</v>
      </c>
      <c r="AK50" s="13">
        <f>SUM(AK34:AK49)</f>
        <v>-106762</v>
      </c>
      <c r="AL50" s="13">
        <f>SUM(AL34:AL49)</f>
        <v>106714</v>
      </c>
      <c r="AM50" s="13">
        <f>SUM(AM34:AM49)</f>
        <v>-77492.817243395679</v>
      </c>
      <c r="AN50" s="13">
        <f>SUM(AN34:AN49)</f>
        <v>9173.3592946352219</v>
      </c>
      <c r="AO50" s="10"/>
      <c r="AP50" s="10"/>
    </row>
    <row r="51" spans="1:42" x14ac:dyDescent="0.25">
      <c r="A51" s="11" t="s">
        <v>14</v>
      </c>
      <c r="B51" s="11">
        <v>8754.5089632631007</v>
      </c>
      <c r="C51" s="11">
        <v>9055.5344504917448</v>
      </c>
      <c r="D51" s="11">
        <v>9265.9280876140438</v>
      </c>
      <c r="E51" s="11">
        <v>9366.0441060465328</v>
      </c>
      <c r="F51" s="11">
        <v>8896.2739920490312</v>
      </c>
      <c r="G51" s="11">
        <v>8138.0504048507173</v>
      </c>
      <c r="H51" s="11">
        <v>7457.8515068491179</v>
      </c>
      <c r="I51" s="11">
        <v>6716.8976396181642</v>
      </c>
      <c r="J51" s="11">
        <v>6004.2993519311613</v>
      </c>
      <c r="K51" s="11">
        <v>5834.0656453271204</v>
      </c>
      <c r="L51" s="11">
        <v>5911.2057492200965</v>
      </c>
      <c r="M51" s="11">
        <v>5963.7291266678758</v>
      </c>
      <c r="N51" s="11">
        <v>6199.645480286692</v>
      </c>
      <c r="O51" s="11">
        <v>6605.9647583156784</v>
      </c>
      <c r="P51" s="11">
        <v>7061.6971608348395</v>
      </c>
      <c r="Q51" s="11">
        <v>7525.8531461404364</v>
      </c>
      <c r="R51" s="11">
        <v>8046.4434372817605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x14ac:dyDescent="0.25">
      <c r="A52" s="11" t="s">
        <v>16</v>
      </c>
      <c r="B52" s="11">
        <v>9130.1843731204663</v>
      </c>
      <c r="C52" s="11">
        <v>9284.7024625366266</v>
      </c>
      <c r="D52" s="11">
        <v>9559.8455934372159</v>
      </c>
      <c r="E52" s="11">
        <v>9915.6260402716634</v>
      </c>
      <c r="F52" s="11">
        <v>10358.162539322597</v>
      </c>
      <c r="G52" s="11">
        <v>10835.691485394569</v>
      </c>
      <c r="H52" s="11">
        <v>11271.57930606883</v>
      </c>
      <c r="I52" s="11">
        <v>11503.718437303003</v>
      </c>
      <c r="J52" s="11">
        <v>11622.873695482114</v>
      </c>
      <c r="K52" s="11">
        <v>11171.070803982246</v>
      </c>
      <c r="L52" s="11">
        <v>10427.336137369837</v>
      </c>
      <c r="M52" s="11">
        <v>9757.6967378866684</v>
      </c>
      <c r="N52" s="11">
        <v>9068.1803323521162</v>
      </c>
      <c r="O52" s="11">
        <v>8406.8153494933431</v>
      </c>
      <c r="P52" s="11">
        <v>8289.6309377141588</v>
      </c>
      <c r="Q52" s="11">
        <v>8419.6569833137291</v>
      </c>
      <c r="R52" s="11">
        <v>8526.9241291664912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x14ac:dyDescent="0.25">
      <c r="A53" s="11" t="s">
        <v>18</v>
      </c>
      <c r="B53" s="11">
        <v>7555.1631808077682</v>
      </c>
      <c r="C53" s="11">
        <v>8315.1619496013827</v>
      </c>
      <c r="D53" s="11">
        <v>8991.6794332720183</v>
      </c>
      <c r="E53" s="11">
        <v>9342.6115528841165</v>
      </c>
      <c r="F53" s="11">
        <v>9908.948454342988</v>
      </c>
      <c r="G53" s="11">
        <v>10348.784418107836</v>
      </c>
      <c r="H53" s="11">
        <v>10559.32881111839</v>
      </c>
      <c r="I53" s="11">
        <v>10783.854249107255</v>
      </c>
      <c r="J53" s="11">
        <v>11079.279017840492</v>
      </c>
      <c r="K53" s="11">
        <v>11450.625883984285</v>
      </c>
      <c r="L53" s="11">
        <v>11843.918190545719</v>
      </c>
      <c r="M53" s="11">
        <v>12184.179871462911</v>
      </c>
      <c r="N53" s="11">
        <v>12432.435466564517</v>
      </c>
      <c r="O53" s="11">
        <v>12568.710136907901</v>
      </c>
      <c r="P53" s="11">
        <v>12134.029680505633</v>
      </c>
      <c r="Q53" s="11">
        <v>11408.420548450082</v>
      </c>
      <c r="R53" s="11">
        <v>10757.909861446204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x14ac:dyDescent="0.25">
      <c r="A54" s="4" t="s">
        <v>20</v>
      </c>
      <c r="B54" s="11">
        <v>5475.9086991762179</v>
      </c>
      <c r="C54" s="11">
        <v>5974.8947243555103</v>
      </c>
      <c r="D54" s="11">
        <v>6385.7153894649955</v>
      </c>
      <c r="E54" s="11">
        <v>7153.0894998608492</v>
      </c>
      <c r="F54" s="11">
        <v>7725.8114583184724</v>
      </c>
      <c r="G54" s="11">
        <v>8418.7592156824776</v>
      </c>
      <c r="H54" s="11">
        <v>9213.9030576938312</v>
      </c>
      <c r="I54" s="11">
        <v>9840.4054292981746</v>
      </c>
      <c r="J54" s="11">
        <v>10131.629341874912</v>
      </c>
      <c r="K54" s="11">
        <v>10628.593061320726</v>
      </c>
      <c r="L54" s="11">
        <v>10990.31531593567</v>
      </c>
      <c r="M54" s="11">
        <v>11111.815308128975</v>
      </c>
      <c r="N54" s="11">
        <v>11344.112726421172</v>
      </c>
      <c r="O54" s="11">
        <v>11648.227757750063</v>
      </c>
      <c r="P54" s="11">
        <v>12029.181100088215</v>
      </c>
      <c r="Q54" s="11">
        <v>12431.993975379864</v>
      </c>
      <c r="R54" s="11">
        <v>12780.688142805324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x14ac:dyDescent="0.25">
      <c r="A55" s="4" t="s">
        <v>22</v>
      </c>
      <c r="B55" s="11">
        <v>4305.5259171132584</v>
      </c>
      <c r="C55" s="11">
        <v>4590.9668608399397</v>
      </c>
      <c r="D55" s="11">
        <v>4924.6610157462028</v>
      </c>
      <c r="E55" s="11">
        <v>5131.055695956572</v>
      </c>
      <c r="F55" s="11">
        <v>5533.6452600327184</v>
      </c>
      <c r="G55" s="11">
        <v>5944.9760586801031</v>
      </c>
      <c r="H55" s="11">
        <v>6452.6519028094708</v>
      </c>
      <c r="I55" s="11">
        <v>6816.3889901747625</v>
      </c>
      <c r="J55" s="11">
        <v>7528.5750940444595</v>
      </c>
      <c r="K55" s="11">
        <v>8039.2215813254879</v>
      </c>
      <c r="L55" s="11">
        <v>8661.3401066793922</v>
      </c>
      <c r="M55" s="11">
        <v>9375.9426198068795</v>
      </c>
      <c r="N55" s="11">
        <v>10000.041372916772</v>
      </c>
      <c r="O55" s="11">
        <v>10292.648928384031</v>
      </c>
      <c r="P55" s="11">
        <v>10788.778166601658</v>
      </c>
      <c r="Q55" s="11">
        <v>11149.442294031354</v>
      </c>
      <c r="R55" s="11">
        <v>11271.65485145799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x14ac:dyDescent="0.25">
      <c r="A56" s="4" t="s">
        <v>24</v>
      </c>
      <c r="B56" s="11">
        <v>3595.0572192442824</v>
      </c>
      <c r="C56" s="11">
        <v>3718.4593849251601</v>
      </c>
      <c r="D56" s="11">
        <v>3956.8486324460323</v>
      </c>
      <c r="E56" s="11">
        <v>4351.5391159463779</v>
      </c>
      <c r="F56" s="11">
        <v>4548.8780294449443</v>
      </c>
      <c r="G56" s="11">
        <v>4716.2490816741765</v>
      </c>
      <c r="H56" s="11">
        <v>5013.076336366189</v>
      </c>
      <c r="I56" s="11">
        <v>5320.533308128518</v>
      </c>
      <c r="J56" s="11">
        <v>5496.3056296323803</v>
      </c>
      <c r="K56" s="11">
        <v>5862.4012839944899</v>
      </c>
      <c r="L56" s="11">
        <v>6231.8284564251226</v>
      </c>
      <c r="M56" s="11">
        <v>6691.5955393441382</v>
      </c>
      <c r="N56" s="11">
        <v>7057.7111376265193</v>
      </c>
      <c r="O56" s="11">
        <v>7770.1840739806921</v>
      </c>
      <c r="P56" s="11">
        <v>8282.0233944630145</v>
      </c>
      <c r="Q56" s="11">
        <v>8905.2383741318463</v>
      </c>
      <c r="R56" s="11">
        <v>9619.8385228447733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x14ac:dyDescent="0.25">
      <c r="A57" s="4" t="s">
        <v>26</v>
      </c>
      <c r="B57" s="11">
        <v>2868.0360269315852</v>
      </c>
      <c r="C57" s="11">
        <v>3133.9188719899157</v>
      </c>
      <c r="D57" s="11">
        <v>3312.6824722808351</v>
      </c>
      <c r="E57" s="11">
        <v>3402.524628558831</v>
      </c>
      <c r="F57" s="11">
        <v>3593.6639444653351</v>
      </c>
      <c r="G57" s="11">
        <v>3863.3420143874446</v>
      </c>
      <c r="H57" s="11">
        <v>3992.8258414157485</v>
      </c>
      <c r="I57" s="11">
        <v>4211.6691199327706</v>
      </c>
      <c r="J57" s="11">
        <v>4581.7109519907581</v>
      </c>
      <c r="K57" s="11">
        <v>4752.9563639965309</v>
      </c>
      <c r="L57" s="11">
        <v>4891.4105096010026</v>
      </c>
      <c r="M57" s="11">
        <v>5154.0786729203837</v>
      </c>
      <c r="N57" s="11">
        <v>5460.9662718389191</v>
      </c>
      <c r="O57" s="11">
        <v>5639.0788613952509</v>
      </c>
      <c r="P57" s="11">
        <v>6003.4221372544907</v>
      </c>
      <c r="Q57" s="11">
        <v>6373.0019392681997</v>
      </c>
      <c r="R57" s="11">
        <v>6831.8242551244866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x14ac:dyDescent="0.25">
      <c r="A58" s="4" t="s">
        <v>28</v>
      </c>
      <c r="B58" s="11">
        <v>2111.0211923126972</v>
      </c>
      <c r="C58" s="11">
        <v>2345.5405129352444</v>
      </c>
      <c r="D58" s="11">
        <v>2556.1661601651972</v>
      </c>
      <c r="E58" s="11">
        <v>2753.0144873875474</v>
      </c>
      <c r="F58" s="11">
        <v>2890.2140849796087</v>
      </c>
      <c r="G58" s="11">
        <v>3028.9070672867319</v>
      </c>
      <c r="H58" s="11">
        <v>3293.2504949504405</v>
      </c>
      <c r="I58" s="11">
        <v>3458.8641881957474</v>
      </c>
      <c r="J58" s="11">
        <v>3535.5946776416222</v>
      </c>
      <c r="K58" s="11">
        <v>3708.444919997959</v>
      </c>
      <c r="L58" s="11">
        <v>3957.4179468241191</v>
      </c>
      <c r="M58" s="11">
        <v>4066.5168664237549</v>
      </c>
      <c r="N58" s="11">
        <v>4283.7448657875993</v>
      </c>
      <c r="O58" s="11">
        <v>4651.1052125854421</v>
      </c>
      <c r="P58" s="11">
        <v>4820.6012572085237</v>
      </c>
      <c r="Q58" s="11">
        <v>4960.2364348636474</v>
      </c>
      <c r="R58" s="11">
        <v>5222.0142677202866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x14ac:dyDescent="0.25">
      <c r="A59" s="4" t="s">
        <v>30</v>
      </c>
      <c r="B59" s="11">
        <v>1063.7857837625745</v>
      </c>
      <c r="C59" s="11">
        <v>1133.7597493310923</v>
      </c>
      <c r="D59" s="11">
        <v>1328.1516605068523</v>
      </c>
      <c r="E59" s="11">
        <v>1587.0054730130735</v>
      </c>
      <c r="F59" s="11">
        <v>1833.3697654367411</v>
      </c>
      <c r="G59" s="11">
        <v>2125.2982254194321</v>
      </c>
      <c r="H59" s="11">
        <v>2349.8501869812776</v>
      </c>
      <c r="I59" s="11">
        <v>2546.5931377628381</v>
      </c>
      <c r="J59" s="11">
        <v>2730.3802115535018</v>
      </c>
      <c r="K59" s="11">
        <v>2853.2125253325626</v>
      </c>
      <c r="L59" s="11">
        <v>2977.0912243557782</v>
      </c>
      <c r="M59" s="11">
        <v>3223.0174828711961</v>
      </c>
      <c r="N59" s="11">
        <v>3384.9925048530931</v>
      </c>
      <c r="O59" s="11">
        <v>3461.0175247545003</v>
      </c>
      <c r="P59" s="11">
        <v>3628.0938082787757</v>
      </c>
      <c r="Q59" s="11">
        <v>3872.2226531707111</v>
      </c>
      <c r="R59" s="11">
        <v>3980.4053900276635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x14ac:dyDescent="0.25">
      <c r="A60" s="4" t="s">
        <v>32</v>
      </c>
      <c r="B60" s="11">
        <v>877.44750555627843</v>
      </c>
      <c r="C60" s="11">
        <v>950.96696297953531</v>
      </c>
      <c r="D60" s="11">
        <v>989.64622313497296</v>
      </c>
      <c r="E60" s="11">
        <v>1013.5020926226457</v>
      </c>
      <c r="F60" s="11">
        <v>1029.5531456081658</v>
      </c>
      <c r="G60" s="11">
        <v>1048.8199097191946</v>
      </c>
      <c r="H60" s="11">
        <v>1117.3250714928413</v>
      </c>
      <c r="I60" s="11">
        <v>1298.9914938504969</v>
      </c>
      <c r="J60" s="11">
        <v>1541.6747867704566</v>
      </c>
      <c r="K60" s="11">
        <v>1769.3753773330386</v>
      </c>
      <c r="L60" s="11">
        <v>2041.0937034301505</v>
      </c>
      <c r="M60" s="11">
        <v>2248.8302140389869</v>
      </c>
      <c r="N60" s="11">
        <v>2436.5853695026531</v>
      </c>
      <c r="O60" s="11">
        <v>2613.3596418178972</v>
      </c>
      <c r="P60" s="11">
        <v>2730.1535149301203</v>
      </c>
      <c r="Q60" s="11">
        <v>2850.9674850358601</v>
      </c>
      <c r="R60" s="11">
        <v>3086.8020608929301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x14ac:dyDescent="0.25">
      <c r="A61" s="4" t="s">
        <v>34</v>
      </c>
      <c r="B61" s="11">
        <v>685.556732906261</v>
      </c>
      <c r="C61" s="11">
        <v>702.14113960751354</v>
      </c>
      <c r="D61" s="11">
        <v>729.78700889806646</v>
      </c>
      <c r="E61" s="11">
        <v>758.50080485486376</v>
      </c>
      <c r="F61" s="11">
        <v>779.28967138775602</v>
      </c>
      <c r="G61" s="11">
        <v>837.16150373815174</v>
      </c>
      <c r="H61" s="11">
        <v>904.12502749724672</v>
      </c>
      <c r="I61" s="11">
        <v>939.38134378865266</v>
      </c>
      <c r="J61" s="11">
        <v>961.64414875786792</v>
      </c>
      <c r="K61" s="11">
        <v>975.91360666655328</v>
      </c>
      <c r="L61" s="11">
        <v>995.18988593467327</v>
      </c>
      <c r="M61" s="11">
        <v>1058.4731592457642</v>
      </c>
      <c r="N61" s="11">
        <v>1226.7636036548668</v>
      </c>
      <c r="O61" s="11">
        <v>1451.0614006991912</v>
      </c>
      <c r="P61" s="11">
        <v>1658.3667365115846</v>
      </c>
      <c r="Q61" s="11">
        <v>1906.6798019368694</v>
      </c>
      <c r="R61" s="11">
        <v>2096.0007926511271</v>
      </c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x14ac:dyDescent="0.25">
      <c r="A62" s="4" t="s">
        <v>36</v>
      </c>
      <c r="B62" s="11">
        <v>468</v>
      </c>
      <c r="C62" s="11">
        <v>501</v>
      </c>
      <c r="D62" s="11">
        <v>533</v>
      </c>
      <c r="E62" s="11">
        <v>568</v>
      </c>
      <c r="F62" s="11">
        <v>593</v>
      </c>
      <c r="G62" s="11">
        <v>605</v>
      </c>
      <c r="H62" s="11">
        <v>620</v>
      </c>
      <c r="I62" s="11">
        <v>644</v>
      </c>
      <c r="J62" s="11">
        <v>671</v>
      </c>
      <c r="K62" s="11">
        <v>690</v>
      </c>
      <c r="L62" s="11">
        <v>741</v>
      </c>
      <c r="M62" s="11">
        <v>799</v>
      </c>
      <c r="N62" s="11">
        <v>829</v>
      </c>
      <c r="O62" s="11">
        <v>851</v>
      </c>
      <c r="P62" s="11">
        <v>865</v>
      </c>
      <c r="Q62" s="11">
        <v>885</v>
      </c>
      <c r="R62" s="11">
        <v>944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x14ac:dyDescent="0.25">
      <c r="A63" s="12" t="s">
        <v>38</v>
      </c>
      <c r="B63" s="22">
        <v>301.11134658125218</v>
      </c>
      <c r="C63" s="22">
        <v>332.22822792150271</v>
      </c>
      <c r="D63" s="22">
        <v>361.35740177961333</v>
      </c>
      <c r="E63" s="22">
        <v>410.50016097097273</v>
      </c>
      <c r="F63" s="22">
        <v>456.65793427755119</v>
      </c>
      <c r="G63" s="22">
        <v>511.83230074763037</v>
      </c>
      <c r="H63" s="22">
        <v>550.02500549944932</v>
      </c>
      <c r="I63" s="22">
        <v>587.07626875773053</v>
      </c>
      <c r="J63" s="22">
        <v>641.12882975157356</v>
      </c>
      <c r="K63" s="22">
        <v>686.18272133331061</v>
      </c>
      <c r="L63" s="22">
        <v>728.2379771869347</v>
      </c>
      <c r="M63" s="22">
        <v>761.29463184915278</v>
      </c>
      <c r="N63" s="22">
        <v>799.35272073097337</v>
      </c>
      <c r="O63" s="22">
        <v>855.41228013983823</v>
      </c>
      <c r="P63" s="22">
        <v>897.47334730231694</v>
      </c>
      <c r="Q63" s="22">
        <v>963.53596038737385</v>
      </c>
      <c r="R63" s="22">
        <v>1025.6001585302254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x14ac:dyDescent="0.25">
      <c r="A64" s="4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ht="18.75" x14ac:dyDescent="0.5">
      <c r="A65" s="32" t="s">
        <v>43</v>
      </c>
      <c r="B65" s="32"/>
      <c r="C65" s="32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27" t="s">
        <v>49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x14ac:dyDescent="0.25">
      <c r="A66" s="6" t="s">
        <v>5</v>
      </c>
      <c r="B66" s="7">
        <v>2014</v>
      </c>
      <c r="C66" s="7">
        <v>2015</v>
      </c>
      <c r="D66" s="7">
        <v>2016</v>
      </c>
      <c r="E66" s="7">
        <v>2017</v>
      </c>
      <c r="F66" s="7">
        <v>2018</v>
      </c>
      <c r="G66" s="7">
        <v>2019</v>
      </c>
      <c r="H66" s="7">
        <v>2020</v>
      </c>
      <c r="I66" s="7">
        <v>2021</v>
      </c>
      <c r="J66" s="7">
        <v>2022</v>
      </c>
      <c r="K66" s="7">
        <v>2023</v>
      </c>
      <c r="L66" s="7">
        <v>2024</v>
      </c>
      <c r="M66" s="7">
        <v>2025</v>
      </c>
      <c r="N66" s="7">
        <v>2026</v>
      </c>
      <c r="O66" s="7">
        <v>2027</v>
      </c>
      <c r="P66" s="7">
        <v>2028</v>
      </c>
      <c r="Q66" s="7">
        <v>2029</v>
      </c>
      <c r="R66" s="7">
        <v>2030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x14ac:dyDescent="0.25">
      <c r="A67" s="19" t="s">
        <v>0</v>
      </c>
      <c r="B67" s="19">
        <f>SUM(B68:B84)</f>
        <v>130465</v>
      </c>
      <c r="C67" s="19">
        <f t="shared" ref="C67:R67" si="6">SUM(C68:C84)</f>
        <v>135074</v>
      </c>
      <c r="D67" s="19">
        <f t="shared" si="6"/>
        <v>139823</v>
      </c>
      <c r="E67" s="19">
        <f t="shared" si="6"/>
        <v>144705</v>
      </c>
      <c r="F67" s="19">
        <f t="shared" si="6"/>
        <v>149704</v>
      </c>
      <c r="G67" s="19">
        <f t="shared" si="6"/>
        <v>154806</v>
      </c>
      <c r="H67" s="19">
        <f t="shared" si="6"/>
        <v>159990</v>
      </c>
      <c r="I67" s="19">
        <f t="shared" si="6"/>
        <v>165250</v>
      </c>
      <c r="J67" s="19">
        <f t="shared" si="6"/>
        <v>170568</v>
      </c>
      <c r="K67" s="19">
        <f t="shared" si="6"/>
        <v>175918</v>
      </c>
      <c r="L67" s="19">
        <f t="shared" si="6"/>
        <v>181291</v>
      </c>
      <c r="M67" s="19">
        <f t="shared" si="6"/>
        <v>186667</v>
      </c>
      <c r="N67" s="19">
        <f t="shared" si="6"/>
        <v>192029</v>
      </c>
      <c r="O67" s="19">
        <f t="shared" si="6"/>
        <v>197395</v>
      </c>
      <c r="P67" s="19">
        <f t="shared" si="6"/>
        <v>202751</v>
      </c>
      <c r="Q67" s="19">
        <f t="shared" si="6"/>
        <v>208115</v>
      </c>
      <c r="R67" s="19">
        <f t="shared" si="6"/>
        <v>213476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x14ac:dyDescent="0.25">
      <c r="A68" s="11" t="s">
        <v>6</v>
      </c>
      <c r="B68" s="11">
        <v>12351</v>
      </c>
      <c r="C68" s="11">
        <v>12644</v>
      </c>
      <c r="D68" s="11">
        <v>12993</v>
      </c>
      <c r="E68" s="11">
        <v>13501</v>
      </c>
      <c r="F68" s="11">
        <v>14262</v>
      </c>
      <c r="G68" s="11">
        <v>14967</v>
      </c>
      <c r="H68" s="11">
        <v>15453</v>
      </c>
      <c r="I68" s="11">
        <v>15871</v>
      </c>
      <c r="J68" s="11">
        <v>16217</v>
      </c>
      <c r="K68" s="11">
        <v>16483</v>
      </c>
      <c r="L68" s="11">
        <v>16662</v>
      </c>
      <c r="M68" s="11">
        <v>16755</v>
      </c>
      <c r="N68" s="11">
        <v>16772</v>
      </c>
      <c r="O68" s="11">
        <v>16726</v>
      </c>
      <c r="P68" s="11">
        <v>16639</v>
      </c>
      <c r="Q68" s="11">
        <v>16539</v>
      </c>
      <c r="R68" s="11">
        <v>16440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x14ac:dyDescent="0.25">
      <c r="A69" s="11" t="s">
        <v>8</v>
      </c>
      <c r="B69" s="11">
        <v>10528</v>
      </c>
      <c r="C69" s="11">
        <v>11377</v>
      </c>
      <c r="D69" s="11">
        <v>12072</v>
      </c>
      <c r="E69" s="11">
        <v>12464</v>
      </c>
      <c r="F69" s="11">
        <v>12479</v>
      </c>
      <c r="G69" s="11">
        <v>12569</v>
      </c>
      <c r="H69" s="11">
        <v>12865</v>
      </c>
      <c r="I69" s="11">
        <v>13217</v>
      </c>
      <c r="J69" s="11">
        <v>13731</v>
      </c>
      <c r="K69" s="11">
        <v>14495</v>
      </c>
      <c r="L69" s="11">
        <v>15206</v>
      </c>
      <c r="M69" s="11">
        <v>15699</v>
      </c>
      <c r="N69" s="11">
        <v>16122</v>
      </c>
      <c r="O69" s="11">
        <v>16474</v>
      </c>
      <c r="P69" s="11">
        <v>16748</v>
      </c>
      <c r="Q69" s="11">
        <v>16934</v>
      </c>
      <c r="R69" s="11">
        <v>17036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x14ac:dyDescent="0.25">
      <c r="A70" s="11" t="s">
        <v>10</v>
      </c>
      <c r="B70" s="11">
        <v>8022</v>
      </c>
      <c r="C70" s="11">
        <v>8057</v>
      </c>
      <c r="D70" s="11">
        <v>8442</v>
      </c>
      <c r="E70" s="11">
        <v>9171</v>
      </c>
      <c r="F70" s="11">
        <v>10059</v>
      </c>
      <c r="G70" s="11">
        <v>10940</v>
      </c>
      <c r="H70" s="11">
        <v>11797</v>
      </c>
      <c r="I70" s="11">
        <v>12499</v>
      </c>
      <c r="J70" s="11">
        <v>12898</v>
      </c>
      <c r="K70" s="11">
        <v>12921</v>
      </c>
      <c r="L70" s="11">
        <v>13019</v>
      </c>
      <c r="M70" s="11">
        <v>13323</v>
      </c>
      <c r="N70" s="11">
        <v>13684</v>
      </c>
      <c r="O70" s="11">
        <v>14205</v>
      </c>
      <c r="P70" s="11">
        <v>14979</v>
      </c>
      <c r="Q70" s="11">
        <v>15696</v>
      </c>
      <c r="R70" s="11">
        <v>16198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x14ac:dyDescent="0.25">
      <c r="A71" s="11" t="s">
        <v>12</v>
      </c>
      <c r="B71" s="11">
        <v>13084</v>
      </c>
      <c r="C71" s="11">
        <v>11811</v>
      </c>
      <c r="D71" s="11">
        <v>10450</v>
      </c>
      <c r="E71" s="11">
        <v>9175</v>
      </c>
      <c r="F71" s="11">
        <v>8797</v>
      </c>
      <c r="G71" s="11">
        <v>8867</v>
      </c>
      <c r="H71" s="11">
        <v>8917</v>
      </c>
      <c r="I71" s="11">
        <v>9317</v>
      </c>
      <c r="J71" s="11">
        <v>10061</v>
      </c>
      <c r="K71" s="11">
        <v>10963</v>
      </c>
      <c r="L71" s="11">
        <v>11859</v>
      </c>
      <c r="M71" s="11">
        <v>12732</v>
      </c>
      <c r="N71" s="11">
        <v>13450</v>
      </c>
      <c r="O71" s="11">
        <v>13865</v>
      </c>
      <c r="P71" s="11">
        <v>13905</v>
      </c>
      <c r="Q71" s="11">
        <v>14020</v>
      </c>
      <c r="R71" s="11">
        <v>14342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x14ac:dyDescent="0.25">
      <c r="A72" s="11" t="s">
        <v>14</v>
      </c>
      <c r="B72" s="11">
        <v>16488</v>
      </c>
      <c r="C72" s="11">
        <v>16817</v>
      </c>
      <c r="D72" s="11">
        <v>17035</v>
      </c>
      <c r="E72" s="11">
        <v>17090</v>
      </c>
      <c r="F72" s="11">
        <v>16126</v>
      </c>
      <c r="G72" s="11">
        <v>14677</v>
      </c>
      <c r="H72" s="11">
        <v>13435</v>
      </c>
      <c r="I72" s="11">
        <v>12103</v>
      </c>
      <c r="J72" s="11">
        <v>10860</v>
      </c>
      <c r="K72" s="11">
        <v>10512</v>
      </c>
      <c r="L72" s="11">
        <v>10612</v>
      </c>
      <c r="M72" s="11">
        <v>10692</v>
      </c>
      <c r="N72" s="11">
        <v>11122</v>
      </c>
      <c r="O72" s="11">
        <v>11897</v>
      </c>
      <c r="P72" s="11">
        <v>12830</v>
      </c>
      <c r="Q72" s="11">
        <v>13759</v>
      </c>
      <c r="R72" s="11">
        <v>14662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x14ac:dyDescent="0.25">
      <c r="A73" s="11" t="s">
        <v>16</v>
      </c>
      <c r="B73" s="11">
        <v>16265</v>
      </c>
      <c r="C73" s="11">
        <v>16468</v>
      </c>
      <c r="D73" s="11">
        <v>16820</v>
      </c>
      <c r="E73" s="11">
        <v>17138</v>
      </c>
      <c r="F73" s="11">
        <v>17723</v>
      </c>
      <c r="G73" s="11">
        <v>18325</v>
      </c>
      <c r="H73" s="11">
        <v>18686</v>
      </c>
      <c r="I73" s="11">
        <v>18937</v>
      </c>
      <c r="J73" s="11">
        <v>19025</v>
      </c>
      <c r="K73" s="11">
        <v>18097</v>
      </c>
      <c r="L73" s="11">
        <v>16686</v>
      </c>
      <c r="M73" s="11">
        <v>15481</v>
      </c>
      <c r="N73" s="11">
        <v>14188</v>
      </c>
      <c r="O73" s="11">
        <v>12982</v>
      </c>
      <c r="P73" s="11">
        <v>12673</v>
      </c>
      <c r="Q73" s="11">
        <v>12809</v>
      </c>
      <c r="R73" s="11">
        <v>12928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x14ac:dyDescent="0.25">
      <c r="A74" s="4" t="s">
        <v>18</v>
      </c>
      <c r="B74" s="11">
        <v>13307</v>
      </c>
      <c r="C74" s="11">
        <v>14604</v>
      </c>
      <c r="D74" s="11">
        <v>15723</v>
      </c>
      <c r="E74" s="11">
        <v>16379</v>
      </c>
      <c r="F74" s="11">
        <v>17353</v>
      </c>
      <c r="G74" s="11">
        <v>17855</v>
      </c>
      <c r="H74" s="11">
        <v>18086</v>
      </c>
      <c r="I74" s="11">
        <v>18468</v>
      </c>
      <c r="J74" s="11">
        <v>18815</v>
      </c>
      <c r="K74" s="11">
        <v>19429</v>
      </c>
      <c r="L74" s="11">
        <v>20059</v>
      </c>
      <c r="M74" s="11">
        <v>20451</v>
      </c>
      <c r="N74" s="11">
        <v>20734</v>
      </c>
      <c r="O74" s="11">
        <v>20855</v>
      </c>
      <c r="P74" s="11">
        <v>19961</v>
      </c>
      <c r="Q74" s="11">
        <v>18585</v>
      </c>
      <c r="R74" s="11">
        <v>17416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x14ac:dyDescent="0.25">
      <c r="A75" s="4" t="s">
        <v>20</v>
      </c>
      <c r="B75" s="11">
        <v>9785</v>
      </c>
      <c r="C75" s="11">
        <v>10564</v>
      </c>
      <c r="D75" s="11">
        <v>11197</v>
      </c>
      <c r="E75" s="11">
        <v>12394</v>
      </c>
      <c r="F75" s="11">
        <v>13352</v>
      </c>
      <c r="G75" s="11">
        <v>14506</v>
      </c>
      <c r="H75" s="11">
        <v>15821</v>
      </c>
      <c r="I75" s="11">
        <v>16961</v>
      </c>
      <c r="J75" s="11">
        <v>17637</v>
      </c>
      <c r="K75" s="11">
        <v>18631</v>
      </c>
      <c r="L75" s="11">
        <v>19157</v>
      </c>
      <c r="M75" s="11">
        <v>19413</v>
      </c>
      <c r="N75" s="11">
        <v>19817</v>
      </c>
      <c r="O75" s="11">
        <v>20188</v>
      </c>
      <c r="P75" s="11">
        <v>20827</v>
      </c>
      <c r="Q75" s="11">
        <v>21482</v>
      </c>
      <c r="R75" s="11">
        <v>21899</v>
      </c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x14ac:dyDescent="0.25">
      <c r="A76" s="4" t="s">
        <v>22</v>
      </c>
      <c r="B76" s="11">
        <v>7958</v>
      </c>
      <c r="C76" s="11">
        <v>8454</v>
      </c>
      <c r="D76" s="11">
        <v>9104</v>
      </c>
      <c r="E76" s="11">
        <v>9473</v>
      </c>
      <c r="F76" s="11">
        <v>10014</v>
      </c>
      <c r="G76" s="11">
        <v>10684</v>
      </c>
      <c r="H76" s="11">
        <v>11478</v>
      </c>
      <c r="I76" s="11">
        <v>12125</v>
      </c>
      <c r="J76" s="11">
        <v>13335</v>
      </c>
      <c r="K76" s="11">
        <v>14307</v>
      </c>
      <c r="L76" s="11">
        <v>15475</v>
      </c>
      <c r="M76" s="11">
        <v>16804</v>
      </c>
      <c r="N76" s="11">
        <v>17957</v>
      </c>
      <c r="O76" s="11">
        <v>18651</v>
      </c>
      <c r="P76" s="11">
        <v>19660</v>
      </c>
      <c r="Q76" s="11">
        <v>20203</v>
      </c>
      <c r="R76" s="11">
        <v>20480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x14ac:dyDescent="0.25">
      <c r="A77" s="4" t="s">
        <v>24</v>
      </c>
      <c r="B77" s="11">
        <v>6733</v>
      </c>
      <c r="C77" s="11">
        <v>6952</v>
      </c>
      <c r="D77" s="11">
        <v>7414</v>
      </c>
      <c r="E77" s="11">
        <v>8061</v>
      </c>
      <c r="F77" s="11">
        <v>8345</v>
      </c>
      <c r="G77" s="11">
        <v>8655</v>
      </c>
      <c r="H77" s="11">
        <v>9162</v>
      </c>
      <c r="I77" s="11">
        <v>9823</v>
      </c>
      <c r="J77" s="11">
        <v>10204</v>
      </c>
      <c r="K77" s="11">
        <v>10755</v>
      </c>
      <c r="L77" s="11">
        <v>11436</v>
      </c>
      <c r="M77" s="11">
        <v>12241</v>
      </c>
      <c r="N77" s="11">
        <v>12900</v>
      </c>
      <c r="O77" s="11">
        <v>14119</v>
      </c>
      <c r="P77" s="11">
        <v>15100</v>
      </c>
      <c r="Q77" s="11">
        <v>16278</v>
      </c>
      <c r="R77" s="11">
        <v>17616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spans="1:42" x14ac:dyDescent="0.25">
      <c r="A78" s="4" t="s">
        <v>26</v>
      </c>
      <c r="B78" s="11">
        <v>5421</v>
      </c>
      <c r="C78" s="11">
        <v>5926</v>
      </c>
      <c r="D78" s="11">
        <v>6134</v>
      </c>
      <c r="E78" s="11">
        <v>6343</v>
      </c>
      <c r="F78" s="11">
        <v>6711</v>
      </c>
      <c r="G78" s="11">
        <v>7230</v>
      </c>
      <c r="H78" s="11">
        <v>7458</v>
      </c>
      <c r="I78" s="11">
        <v>7927</v>
      </c>
      <c r="J78" s="11">
        <v>8578</v>
      </c>
      <c r="K78" s="11">
        <v>8870</v>
      </c>
      <c r="L78" s="11">
        <v>9190</v>
      </c>
      <c r="M78" s="11">
        <v>9704</v>
      </c>
      <c r="N78" s="11">
        <v>10370</v>
      </c>
      <c r="O78" s="11">
        <v>10762</v>
      </c>
      <c r="P78" s="11">
        <v>11319</v>
      </c>
      <c r="Q78" s="11">
        <v>12007</v>
      </c>
      <c r="R78" s="11">
        <v>12817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spans="1:42" x14ac:dyDescent="0.25">
      <c r="A79" s="4" t="s">
        <v>28</v>
      </c>
      <c r="B79" s="11">
        <v>3934</v>
      </c>
      <c r="C79" s="11">
        <v>4342</v>
      </c>
      <c r="D79" s="11">
        <v>4776</v>
      </c>
      <c r="E79" s="11">
        <v>5174</v>
      </c>
      <c r="F79" s="11">
        <v>5507</v>
      </c>
      <c r="G79" s="11">
        <v>5724</v>
      </c>
      <c r="H79" s="11">
        <v>6226</v>
      </c>
      <c r="I79" s="11">
        <v>6441</v>
      </c>
      <c r="J79" s="11">
        <v>6655</v>
      </c>
      <c r="K79" s="11">
        <v>7025</v>
      </c>
      <c r="L79" s="11">
        <v>7542</v>
      </c>
      <c r="M79" s="11">
        <v>7779</v>
      </c>
      <c r="N79" s="11">
        <v>8247</v>
      </c>
      <c r="O79" s="11">
        <v>8897</v>
      </c>
      <c r="P79" s="11">
        <v>9192</v>
      </c>
      <c r="Q79" s="11">
        <v>9519</v>
      </c>
      <c r="R79" s="11">
        <v>10036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spans="1:42" x14ac:dyDescent="0.25">
      <c r="A80" s="4" t="s">
        <v>30</v>
      </c>
      <c r="B80" s="11">
        <v>2153</v>
      </c>
      <c r="C80" s="11">
        <v>2327</v>
      </c>
      <c r="D80" s="11">
        <v>2676</v>
      </c>
      <c r="E80" s="11">
        <v>3105</v>
      </c>
      <c r="F80" s="11">
        <v>3498</v>
      </c>
      <c r="G80" s="11">
        <v>4022</v>
      </c>
      <c r="H80" s="11">
        <v>4418</v>
      </c>
      <c r="I80" s="11">
        <v>4841</v>
      </c>
      <c r="J80" s="11">
        <v>5231</v>
      </c>
      <c r="K80" s="11">
        <v>5554</v>
      </c>
      <c r="L80" s="11">
        <v>5771</v>
      </c>
      <c r="M80" s="11">
        <v>6263</v>
      </c>
      <c r="N80" s="11">
        <v>6480</v>
      </c>
      <c r="O80" s="11">
        <v>6696</v>
      </c>
      <c r="P80" s="11">
        <v>7059</v>
      </c>
      <c r="Q80" s="11">
        <v>7568</v>
      </c>
      <c r="R80" s="11">
        <v>7808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spans="1:42" x14ac:dyDescent="0.25">
      <c r="A81" s="4" t="s">
        <v>32</v>
      </c>
      <c r="B81" s="11">
        <v>1623</v>
      </c>
      <c r="C81" s="11">
        <v>1783</v>
      </c>
      <c r="D81" s="11">
        <v>1899</v>
      </c>
      <c r="E81" s="11">
        <v>1953</v>
      </c>
      <c r="F81" s="11">
        <v>2055</v>
      </c>
      <c r="G81" s="11">
        <v>2127</v>
      </c>
      <c r="H81" s="11">
        <v>2296</v>
      </c>
      <c r="I81" s="11">
        <v>2626</v>
      </c>
      <c r="J81" s="11">
        <v>3031</v>
      </c>
      <c r="K81" s="11">
        <v>3400</v>
      </c>
      <c r="L81" s="11">
        <v>3894</v>
      </c>
      <c r="M81" s="11">
        <v>4269</v>
      </c>
      <c r="N81" s="11">
        <v>4672</v>
      </c>
      <c r="O81" s="11">
        <v>5043</v>
      </c>
      <c r="P81" s="11">
        <v>5349</v>
      </c>
      <c r="Q81" s="11">
        <v>5562</v>
      </c>
      <c r="R81" s="11">
        <v>6033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</row>
    <row r="82" spans="1:42" x14ac:dyDescent="0.25">
      <c r="A82" s="4" t="s">
        <v>34</v>
      </c>
      <c r="B82" s="11">
        <v>1301</v>
      </c>
      <c r="C82" s="11">
        <v>1335</v>
      </c>
      <c r="D82" s="11">
        <v>1332</v>
      </c>
      <c r="E82" s="11">
        <v>1380</v>
      </c>
      <c r="F82" s="11">
        <v>1413</v>
      </c>
      <c r="G82" s="11">
        <v>1537</v>
      </c>
      <c r="H82" s="11">
        <v>1682</v>
      </c>
      <c r="I82" s="11">
        <v>1787</v>
      </c>
      <c r="J82" s="11">
        <v>1840</v>
      </c>
      <c r="K82" s="11">
        <v>1931</v>
      </c>
      <c r="L82" s="11">
        <v>2002</v>
      </c>
      <c r="M82" s="11">
        <v>2160</v>
      </c>
      <c r="N82" s="11">
        <v>2463</v>
      </c>
      <c r="O82" s="11">
        <v>2834</v>
      </c>
      <c r="P82" s="11">
        <v>3168</v>
      </c>
      <c r="Q82" s="11">
        <v>3617</v>
      </c>
      <c r="R82" s="11">
        <v>3960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</row>
    <row r="83" spans="1:42" x14ac:dyDescent="0.25">
      <c r="A83" s="4" t="s">
        <v>36</v>
      </c>
      <c r="B83" s="11">
        <v>875</v>
      </c>
      <c r="C83" s="11">
        <v>917</v>
      </c>
      <c r="D83" s="11">
        <v>1003</v>
      </c>
      <c r="E83" s="11">
        <v>1083</v>
      </c>
      <c r="F83" s="11">
        <v>1120</v>
      </c>
      <c r="G83" s="11">
        <v>1133</v>
      </c>
      <c r="H83" s="11">
        <v>1163</v>
      </c>
      <c r="I83" s="11">
        <v>1166</v>
      </c>
      <c r="J83" s="11">
        <v>1214</v>
      </c>
      <c r="K83" s="11">
        <v>1245</v>
      </c>
      <c r="L83" s="11">
        <v>1353</v>
      </c>
      <c r="M83" s="11">
        <v>1478</v>
      </c>
      <c r="N83" s="11">
        <v>1567</v>
      </c>
      <c r="O83" s="11">
        <v>1617</v>
      </c>
      <c r="P83" s="11">
        <v>1696</v>
      </c>
      <c r="Q83" s="11">
        <v>1763</v>
      </c>
      <c r="R83" s="11">
        <v>1905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</row>
    <row r="84" spans="1:42" x14ac:dyDescent="0.25">
      <c r="A84" s="12" t="s">
        <v>38</v>
      </c>
      <c r="B84" s="22">
        <v>637</v>
      </c>
      <c r="C84" s="22">
        <v>696</v>
      </c>
      <c r="D84" s="22">
        <v>753</v>
      </c>
      <c r="E84" s="22">
        <v>821</v>
      </c>
      <c r="F84" s="22">
        <v>890</v>
      </c>
      <c r="G84" s="22">
        <v>988</v>
      </c>
      <c r="H84" s="22">
        <v>1047</v>
      </c>
      <c r="I84" s="22">
        <v>1141</v>
      </c>
      <c r="J84" s="22">
        <v>1236</v>
      </c>
      <c r="K84" s="22">
        <v>1300</v>
      </c>
      <c r="L84" s="22">
        <v>1368</v>
      </c>
      <c r="M84" s="22">
        <v>1423</v>
      </c>
      <c r="N84" s="22">
        <v>1484</v>
      </c>
      <c r="O84" s="22">
        <v>1584</v>
      </c>
      <c r="P84" s="22">
        <v>1646</v>
      </c>
      <c r="Q84" s="22">
        <v>1774</v>
      </c>
      <c r="R84" s="22">
        <v>1900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</row>
    <row r="85" spans="1:42" x14ac:dyDescent="0.25">
      <c r="A85" s="4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</row>
    <row r="86" spans="1:42" x14ac:dyDescent="0.25">
      <c r="A86" s="18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</row>
    <row r="87" spans="1:42" x14ac:dyDescent="0.25">
      <c r="A87" s="23" t="s">
        <v>40</v>
      </c>
      <c r="B87" s="24">
        <f>SUM(B88:B104)</f>
        <v>64984</v>
      </c>
      <c r="C87" s="24">
        <f t="shared" ref="C87:R87" si="7">SUM(C88:C104)</f>
        <v>67304</v>
      </c>
      <c r="D87" s="24">
        <f t="shared" si="7"/>
        <v>69692</v>
      </c>
      <c r="E87" s="24">
        <f t="shared" si="7"/>
        <v>72148</v>
      </c>
      <c r="F87" s="24">
        <f t="shared" si="7"/>
        <v>74668</v>
      </c>
      <c r="G87" s="24">
        <f t="shared" si="7"/>
        <v>77238</v>
      </c>
      <c r="H87" s="24">
        <f t="shared" si="7"/>
        <v>79853</v>
      </c>
      <c r="I87" s="24">
        <f t="shared" si="7"/>
        <v>82504</v>
      </c>
      <c r="J87" s="24">
        <f t="shared" si="7"/>
        <v>85183</v>
      </c>
      <c r="K87" s="24">
        <f t="shared" si="7"/>
        <v>87879</v>
      </c>
      <c r="L87" s="24">
        <f t="shared" si="7"/>
        <v>90585</v>
      </c>
      <c r="M87" s="24">
        <f t="shared" si="7"/>
        <v>93291</v>
      </c>
      <c r="N87" s="24">
        <f t="shared" si="7"/>
        <v>95990</v>
      </c>
      <c r="O87" s="24">
        <f t="shared" si="7"/>
        <v>98686</v>
      </c>
      <c r="P87" s="24">
        <f t="shared" si="7"/>
        <v>101377</v>
      </c>
      <c r="Q87" s="24">
        <f t="shared" si="7"/>
        <v>104070</v>
      </c>
      <c r="R87" s="24">
        <f t="shared" si="7"/>
        <v>106762</v>
      </c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</row>
    <row r="88" spans="1:42" x14ac:dyDescent="0.25">
      <c r="A88" s="25" t="s">
        <v>6</v>
      </c>
      <c r="B88" s="11">
        <v>6411</v>
      </c>
      <c r="C88" s="11">
        <v>6629</v>
      </c>
      <c r="D88" s="11">
        <v>6740</v>
      </c>
      <c r="E88" s="11">
        <v>6980</v>
      </c>
      <c r="F88" s="11">
        <v>7383</v>
      </c>
      <c r="G88" s="11">
        <v>7750</v>
      </c>
      <c r="H88" s="11">
        <v>8001</v>
      </c>
      <c r="I88" s="11">
        <v>8217</v>
      </c>
      <c r="J88" s="11">
        <v>8395</v>
      </c>
      <c r="K88" s="11">
        <v>8532</v>
      </c>
      <c r="L88" s="11">
        <v>8623</v>
      </c>
      <c r="M88" s="11">
        <v>8669</v>
      </c>
      <c r="N88" s="11">
        <v>8676</v>
      </c>
      <c r="O88" s="11">
        <v>8650</v>
      </c>
      <c r="P88" s="11">
        <v>8603</v>
      </c>
      <c r="Q88" s="11">
        <v>8549</v>
      </c>
      <c r="R88" s="11">
        <v>8496</v>
      </c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</row>
    <row r="89" spans="1:42" x14ac:dyDescent="0.25">
      <c r="A89" s="11" t="s">
        <v>8</v>
      </c>
      <c r="B89" s="11">
        <v>5371</v>
      </c>
      <c r="C89" s="11">
        <v>5745</v>
      </c>
      <c r="D89" s="11">
        <v>6188</v>
      </c>
      <c r="E89" s="11">
        <v>6446</v>
      </c>
      <c r="F89" s="11">
        <v>6445</v>
      </c>
      <c r="G89" s="11">
        <v>6529</v>
      </c>
      <c r="H89" s="11">
        <v>6749</v>
      </c>
      <c r="I89" s="11">
        <v>6862</v>
      </c>
      <c r="J89" s="11">
        <v>7106</v>
      </c>
      <c r="K89" s="11">
        <v>7511</v>
      </c>
      <c r="L89" s="11">
        <v>7882</v>
      </c>
      <c r="M89" s="11">
        <v>8137</v>
      </c>
      <c r="N89" s="11">
        <v>8356</v>
      </c>
      <c r="O89" s="11">
        <v>8537</v>
      </c>
      <c r="P89" s="11">
        <v>8678</v>
      </c>
      <c r="Q89" s="11">
        <v>8773</v>
      </c>
      <c r="R89" s="11">
        <v>8824</v>
      </c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</row>
    <row r="90" spans="1:42" x14ac:dyDescent="0.25">
      <c r="A90" s="11" t="s">
        <v>10</v>
      </c>
      <c r="B90" s="11">
        <v>4081</v>
      </c>
      <c r="C90" s="11">
        <v>4103</v>
      </c>
      <c r="D90" s="11">
        <v>4291</v>
      </c>
      <c r="E90" s="11">
        <v>4654</v>
      </c>
      <c r="F90" s="11">
        <v>5127</v>
      </c>
      <c r="G90" s="11">
        <v>5586</v>
      </c>
      <c r="H90" s="11">
        <v>5964</v>
      </c>
      <c r="I90" s="11">
        <v>6411</v>
      </c>
      <c r="J90" s="11">
        <v>6673</v>
      </c>
      <c r="K90" s="11">
        <v>6676</v>
      </c>
      <c r="L90" s="11">
        <v>6764</v>
      </c>
      <c r="M90" s="11">
        <v>6988</v>
      </c>
      <c r="N90" s="11">
        <v>7106</v>
      </c>
      <c r="O90" s="11">
        <v>7354</v>
      </c>
      <c r="P90" s="11">
        <v>7764</v>
      </c>
      <c r="Q90" s="11">
        <v>8138</v>
      </c>
      <c r="R90" s="11">
        <v>8398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</row>
    <row r="91" spans="1:42" x14ac:dyDescent="0.25">
      <c r="A91" s="11" t="s">
        <v>12</v>
      </c>
      <c r="B91" s="11">
        <v>6286</v>
      </c>
      <c r="C91" s="11">
        <v>5762</v>
      </c>
      <c r="D91" s="11">
        <v>5171</v>
      </c>
      <c r="E91" s="11">
        <v>4640</v>
      </c>
      <c r="F91" s="11">
        <v>4463</v>
      </c>
      <c r="G91" s="11">
        <v>4486</v>
      </c>
      <c r="H91" s="11">
        <v>4515</v>
      </c>
      <c r="I91" s="11">
        <v>4711</v>
      </c>
      <c r="J91" s="11">
        <v>5081</v>
      </c>
      <c r="K91" s="11">
        <v>5561</v>
      </c>
      <c r="L91" s="11">
        <v>6027</v>
      </c>
      <c r="M91" s="11">
        <v>6413</v>
      </c>
      <c r="N91" s="11">
        <v>6867</v>
      </c>
      <c r="O91" s="11">
        <v>7137</v>
      </c>
      <c r="P91" s="11">
        <v>7148</v>
      </c>
      <c r="Q91" s="11">
        <v>7244</v>
      </c>
      <c r="R91" s="11">
        <v>7477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</row>
    <row r="92" spans="1:42" x14ac:dyDescent="0.25">
      <c r="A92" s="11" t="s">
        <v>14</v>
      </c>
      <c r="B92" s="11">
        <v>8038</v>
      </c>
      <c r="C92" s="11">
        <v>8098</v>
      </c>
      <c r="D92" s="11">
        <v>8141</v>
      </c>
      <c r="E92" s="11">
        <v>8135</v>
      </c>
      <c r="F92" s="11">
        <v>7684</v>
      </c>
      <c r="G92" s="11">
        <v>7041</v>
      </c>
      <c r="H92" s="11">
        <v>6532</v>
      </c>
      <c r="I92" s="11">
        <v>5955</v>
      </c>
      <c r="J92" s="11">
        <v>5439</v>
      </c>
      <c r="K92" s="11">
        <v>5276</v>
      </c>
      <c r="L92" s="11">
        <v>5314</v>
      </c>
      <c r="M92" s="11">
        <v>5357</v>
      </c>
      <c r="N92" s="11">
        <v>5567</v>
      </c>
      <c r="O92" s="11">
        <v>5952</v>
      </c>
      <c r="P92" s="11">
        <v>6446</v>
      </c>
      <c r="Q92" s="11">
        <v>6928</v>
      </c>
      <c r="R92" s="11">
        <v>7328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</row>
    <row r="93" spans="1:42" x14ac:dyDescent="0.25">
      <c r="A93" s="11" t="s">
        <v>16</v>
      </c>
      <c r="B93" s="11">
        <v>8005</v>
      </c>
      <c r="C93" s="11">
        <v>8145</v>
      </c>
      <c r="D93" s="11">
        <v>8323</v>
      </c>
      <c r="E93" s="11">
        <v>8397</v>
      </c>
      <c r="F93" s="11">
        <v>8663</v>
      </c>
      <c r="G93" s="11">
        <v>8924</v>
      </c>
      <c r="H93" s="11">
        <v>9000</v>
      </c>
      <c r="I93" s="11">
        <v>9059</v>
      </c>
      <c r="J93" s="11">
        <v>9069</v>
      </c>
      <c r="K93" s="11">
        <v>8635</v>
      </c>
      <c r="L93" s="11">
        <v>8011</v>
      </c>
      <c r="M93" s="11">
        <v>7520</v>
      </c>
      <c r="N93" s="11">
        <v>6962</v>
      </c>
      <c r="O93" s="11">
        <v>6464</v>
      </c>
      <c r="P93" s="11">
        <v>6320</v>
      </c>
      <c r="Q93" s="11">
        <v>6375</v>
      </c>
      <c r="R93" s="11">
        <v>6437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</row>
    <row r="94" spans="1:42" x14ac:dyDescent="0.25">
      <c r="A94" s="11" t="s">
        <v>18</v>
      </c>
      <c r="B94" s="11">
        <v>6522</v>
      </c>
      <c r="C94" s="11">
        <v>7140</v>
      </c>
      <c r="D94" s="11">
        <v>7672</v>
      </c>
      <c r="E94" s="11">
        <v>8076</v>
      </c>
      <c r="F94" s="11">
        <v>8593</v>
      </c>
      <c r="G94" s="11">
        <v>8776</v>
      </c>
      <c r="H94" s="11">
        <v>8930</v>
      </c>
      <c r="I94" s="11">
        <v>9123</v>
      </c>
      <c r="J94" s="11">
        <v>9211</v>
      </c>
      <c r="K94" s="11">
        <v>9491</v>
      </c>
      <c r="L94" s="11">
        <v>9766</v>
      </c>
      <c r="M94" s="11">
        <v>9857</v>
      </c>
      <c r="N94" s="11">
        <v>9932</v>
      </c>
      <c r="O94" s="11">
        <v>9958</v>
      </c>
      <c r="P94" s="11">
        <v>9541</v>
      </c>
      <c r="Q94" s="11">
        <v>8934</v>
      </c>
      <c r="R94" s="11">
        <v>8460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</row>
    <row r="95" spans="1:42" x14ac:dyDescent="0.25">
      <c r="A95" s="4" t="s">
        <v>20</v>
      </c>
      <c r="B95" s="11">
        <v>4927</v>
      </c>
      <c r="C95" s="11">
        <v>5272</v>
      </c>
      <c r="D95" s="11">
        <v>5566</v>
      </c>
      <c r="E95" s="11">
        <v>6075</v>
      </c>
      <c r="F95" s="11">
        <v>6548</v>
      </c>
      <c r="G95" s="11">
        <v>7106</v>
      </c>
      <c r="H95" s="11">
        <v>7733</v>
      </c>
      <c r="I95" s="11">
        <v>8275</v>
      </c>
      <c r="J95" s="11">
        <v>8689</v>
      </c>
      <c r="K95" s="11">
        <v>9216</v>
      </c>
      <c r="L95" s="11">
        <v>9411</v>
      </c>
      <c r="M95" s="11">
        <v>9577</v>
      </c>
      <c r="N95" s="11">
        <v>9781</v>
      </c>
      <c r="O95" s="11">
        <v>9881</v>
      </c>
      <c r="P95" s="11">
        <v>10173</v>
      </c>
      <c r="Q95" s="11">
        <v>10460</v>
      </c>
      <c r="R95" s="11">
        <v>10564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</row>
    <row r="96" spans="1:42" x14ac:dyDescent="0.25">
      <c r="A96" s="4" t="s">
        <v>22</v>
      </c>
      <c r="B96" s="11">
        <v>4037</v>
      </c>
      <c r="C96" s="11">
        <v>4288</v>
      </c>
      <c r="D96" s="11">
        <v>4649</v>
      </c>
      <c r="E96" s="11">
        <v>4861</v>
      </c>
      <c r="F96" s="11">
        <v>5054</v>
      </c>
      <c r="G96" s="11">
        <v>5373</v>
      </c>
      <c r="H96" s="11">
        <v>5726</v>
      </c>
      <c r="I96" s="11">
        <v>6027</v>
      </c>
      <c r="J96" s="11">
        <v>6543</v>
      </c>
      <c r="K96" s="11">
        <v>7023</v>
      </c>
      <c r="L96" s="11">
        <v>7588</v>
      </c>
      <c r="M96" s="11">
        <v>8222</v>
      </c>
      <c r="N96" s="11">
        <v>8771</v>
      </c>
      <c r="O96" s="11">
        <v>9193</v>
      </c>
      <c r="P96" s="11">
        <v>9727</v>
      </c>
      <c r="Q96" s="11">
        <v>9931</v>
      </c>
      <c r="R96" s="11">
        <v>10108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</row>
    <row r="97" spans="1:42" x14ac:dyDescent="0.25">
      <c r="A97" s="4" t="s">
        <v>24</v>
      </c>
      <c r="B97" s="11">
        <v>3408</v>
      </c>
      <c r="C97" s="11">
        <v>3532</v>
      </c>
      <c r="D97" s="11">
        <v>3787</v>
      </c>
      <c r="E97" s="11">
        <v>4074</v>
      </c>
      <c r="F97" s="11">
        <v>4199</v>
      </c>
      <c r="G97" s="11">
        <v>4384</v>
      </c>
      <c r="H97" s="11">
        <v>4641</v>
      </c>
      <c r="I97" s="11">
        <v>5007</v>
      </c>
      <c r="J97" s="11">
        <v>5225</v>
      </c>
      <c r="K97" s="11">
        <v>5423</v>
      </c>
      <c r="L97" s="11">
        <v>5748</v>
      </c>
      <c r="M97" s="11">
        <v>6107</v>
      </c>
      <c r="N97" s="11">
        <v>6414</v>
      </c>
      <c r="O97" s="11">
        <v>6935</v>
      </c>
      <c r="P97" s="11">
        <v>7419</v>
      </c>
      <c r="Q97" s="11">
        <v>7989</v>
      </c>
      <c r="R97" s="11">
        <v>8628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</row>
    <row r="98" spans="1:42" x14ac:dyDescent="0.25">
      <c r="A98" s="4" t="s">
        <v>26</v>
      </c>
      <c r="B98" s="11">
        <v>2723</v>
      </c>
      <c r="C98" s="11">
        <v>2980</v>
      </c>
      <c r="D98" s="11">
        <v>3029</v>
      </c>
      <c r="E98" s="11">
        <v>3170</v>
      </c>
      <c r="F98" s="11">
        <v>3371</v>
      </c>
      <c r="G98" s="11">
        <v>3647</v>
      </c>
      <c r="H98" s="11">
        <v>3775</v>
      </c>
      <c r="I98" s="11">
        <v>4033</v>
      </c>
      <c r="J98" s="11">
        <v>4322</v>
      </c>
      <c r="K98" s="11">
        <v>4451</v>
      </c>
      <c r="L98" s="11">
        <v>4641</v>
      </c>
      <c r="M98" s="11">
        <v>4901</v>
      </c>
      <c r="N98" s="11">
        <v>5269</v>
      </c>
      <c r="O98" s="11">
        <v>5492</v>
      </c>
      <c r="P98" s="11">
        <v>5694</v>
      </c>
      <c r="Q98" s="11">
        <v>6022</v>
      </c>
      <c r="R98" s="11">
        <v>6383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</row>
    <row r="99" spans="1:42" x14ac:dyDescent="0.25">
      <c r="A99" s="4" t="s">
        <v>28</v>
      </c>
      <c r="B99" s="11">
        <v>1923</v>
      </c>
      <c r="C99" s="11">
        <v>2107</v>
      </c>
      <c r="D99" s="11">
        <v>2342</v>
      </c>
      <c r="E99" s="11">
        <v>2556</v>
      </c>
      <c r="F99" s="11">
        <v>2766</v>
      </c>
      <c r="G99" s="11">
        <v>2860</v>
      </c>
      <c r="H99" s="11">
        <v>3115</v>
      </c>
      <c r="I99" s="11">
        <v>3169</v>
      </c>
      <c r="J99" s="11">
        <v>3311</v>
      </c>
      <c r="K99" s="11">
        <v>3513</v>
      </c>
      <c r="L99" s="11">
        <v>3786</v>
      </c>
      <c r="M99" s="11">
        <v>3919</v>
      </c>
      <c r="N99" s="11">
        <v>4175</v>
      </c>
      <c r="O99" s="11">
        <v>4463</v>
      </c>
      <c r="P99" s="11">
        <v>4594</v>
      </c>
      <c r="Q99" s="11">
        <v>4787</v>
      </c>
      <c r="R99" s="11">
        <v>5048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</row>
    <row r="100" spans="1:42" x14ac:dyDescent="0.25">
      <c r="A100" s="4" t="s">
        <v>30</v>
      </c>
      <c r="B100" s="11">
        <v>1127</v>
      </c>
      <c r="C100" s="11">
        <v>1235</v>
      </c>
      <c r="D100" s="11">
        <v>1394</v>
      </c>
      <c r="E100" s="11">
        <v>1569</v>
      </c>
      <c r="F100" s="11">
        <v>1721</v>
      </c>
      <c r="G100" s="11">
        <v>1959</v>
      </c>
      <c r="H100" s="11">
        <v>2137</v>
      </c>
      <c r="I100" s="11">
        <v>2365</v>
      </c>
      <c r="J100" s="11">
        <v>2573</v>
      </c>
      <c r="K100" s="11">
        <v>2775</v>
      </c>
      <c r="L100" s="11">
        <v>2870</v>
      </c>
      <c r="M100" s="11">
        <v>3118</v>
      </c>
      <c r="N100" s="11">
        <v>3175</v>
      </c>
      <c r="O100" s="11">
        <v>3317</v>
      </c>
      <c r="P100" s="11">
        <v>3515</v>
      </c>
      <c r="Q100" s="11">
        <v>3782</v>
      </c>
      <c r="R100" s="11">
        <v>3916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</row>
    <row r="101" spans="1:42" x14ac:dyDescent="0.25">
      <c r="A101" s="4" t="s">
        <v>32</v>
      </c>
      <c r="B101" s="11">
        <v>760</v>
      </c>
      <c r="C101" s="11">
        <v>848</v>
      </c>
      <c r="D101" s="11">
        <v>927</v>
      </c>
      <c r="E101" s="11">
        <v>959</v>
      </c>
      <c r="F101" s="11">
        <v>1047</v>
      </c>
      <c r="G101" s="11">
        <v>1102</v>
      </c>
      <c r="H101" s="11">
        <v>1205</v>
      </c>
      <c r="I101" s="11">
        <v>1354</v>
      </c>
      <c r="J101" s="11">
        <v>1517</v>
      </c>
      <c r="K101" s="11">
        <v>1659</v>
      </c>
      <c r="L101" s="11">
        <v>1882</v>
      </c>
      <c r="M101" s="11">
        <v>2050</v>
      </c>
      <c r="N101" s="11">
        <v>2266</v>
      </c>
      <c r="O101" s="11">
        <v>2461</v>
      </c>
      <c r="P101" s="11">
        <v>2651</v>
      </c>
      <c r="Q101" s="11">
        <v>2744</v>
      </c>
      <c r="R101" s="11">
        <v>2980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</row>
    <row r="102" spans="1:42" x14ac:dyDescent="0.25">
      <c r="A102" s="4" t="s">
        <v>34</v>
      </c>
      <c r="B102" s="11">
        <v>621</v>
      </c>
      <c r="C102" s="11">
        <v>639</v>
      </c>
      <c r="D102" s="11">
        <v>609</v>
      </c>
      <c r="E102" s="11">
        <v>629</v>
      </c>
      <c r="F102" s="11">
        <v>642</v>
      </c>
      <c r="G102" s="11">
        <v>709</v>
      </c>
      <c r="H102" s="11">
        <v>788</v>
      </c>
      <c r="I102" s="11">
        <v>858</v>
      </c>
      <c r="J102" s="11">
        <v>889</v>
      </c>
      <c r="K102" s="11">
        <v>966</v>
      </c>
      <c r="L102" s="11">
        <v>1018</v>
      </c>
      <c r="M102" s="11">
        <v>1113</v>
      </c>
      <c r="N102" s="11">
        <v>1248</v>
      </c>
      <c r="O102" s="11">
        <v>1395</v>
      </c>
      <c r="P102" s="11">
        <v>1522</v>
      </c>
      <c r="Q102" s="11">
        <v>1723</v>
      </c>
      <c r="R102" s="11">
        <v>1877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</row>
    <row r="103" spans="1:42" x14ac:dyDescent="0.25">
      <c r="A103" s="4" t="s">
        <v>36</v>
      </c>
      <c r="B103" s="11">
        <v>407</v>
      </c>
      <c r="C103" s="11">
        <v>416</v>
      </c>
      <c r="D103" s="11">
        <v>470</v>
      </c>
      <c r="E103" s="11">
        <v>515</v>
      </c>
      <c r="F103" s="11">
        <v>527</v>
      </c>
      <c r="G103" s="11">
        <v>528</v>
      </c>
      <c r="H103" s="11">
        <v>543</v>
      </c>
      <c r="I103" s="11">
        <v>522</v>
      </c>
      <c r="J103" s="11">
        <v>543</v>
      </c>
      <c r="K103" s="11">
        <v>555</v>
      </c>
      <c r="L103" s="11">
        <v>612</v>
      </c>
      <c r="M103" s="11">
        <v>679</v>
      </c>
      <c r="N103" s="11">
        <v>738</v>
      </c>
      <c r="O103" s="11">
        <v>766</v>
      </c>
      <c r="P103" s="11">
        <v>831</v>
      </c>
      <c r="Q103" s="11">
        <v>878</v>
      </c>
      <c r="R103" s="11">
        <v>961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</row>
    <row r="104" spans="1:42" x14ac:dyDescent="0.25">
      <c r="A104" s="12" t="s">
        <v>38</v>
      </c>
      <c r="B104" s="22">
        <v>337</v>
      </c>
      <c r="C104" s="22">
        <v>365</v>
      </c>
      <c r="D104" s="22">
        <v>393</v>
      </c>
      <c r="E104" s="22">
        <v>412</v>
      </c>
      <c r="F104" s="22">
        <v>435</v>
      </c>
      <c r="G104" s="22">
        <v>478</v>
      </c>
      <c r="H104" s="22">
        <v>499</v>
      </c>
      <c r="I104" s="22">
        <v>556</v>
      </c>
      <c r="J104" s="22">
        <v>597</v>
      </c>
      <c r="K104" s="22">
        <v>616</v>
      </c>
      <c r="L104" s="22">
        <v>642</v>
      </c>
      <c r="M104" s="22">
        <v>664</v>
      </c>
      <c r="N104" s="22">
        <v>687</v>
      </c>
      <c r="O104" s="22">
        <v>731</v>
      </c>
      <c r="P104" s="22">
        <v>751</v>
      </c>
      <c r="Q104" s="22">
        <v>813</v>
      </c>
      <c r="R104" s="22">
        <v>877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</row>
    <row r="105" spans="1:42" x14ac:dyDescent="0.25">
      <c r="A105" s="4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</row>
    <row r="106" spans="1:42" x14ac:dyDescent="0.25">
      <c r="A106" s="18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</row>
    <row r="107" spans="1:42" x14ac:dyDescent="0.25">
      <c r="A107" s="23" t="s">
        <v>2</v>
      </c>
      <c r="B107" s="24">
        <f>SUM(B108:B124)</f>
        <v>65481</v>
      </c>
      <c r="C107" s="24">
        <f t="shared" ref="C107:R107" si="8">SUM(C108:C124)</f>
        <v>67770</v>
      </c>
      <c r="D107" s="24">
        <f t="shared" si="8"/>
        <v>70131</v>
      </c>
      <c r="E107" s="24">
        <f t="shared" si="8"/>
        <v>72557</v>
      </c>
      <c r="F107" s="24">
        <f t="shared" si="8"/>
        <v>75036</v>
      </c>
      <c r="G107" s="24">
        <f t="shared" si="8"/>
        <v>77568</v>
      </c>
      <c r="H107" s="24">
        <f t="shared" si="8"/>
        <v>80137</v>
      </c>
      <c r="I107" s="24">
        <f t="shared" si="8"/>
        <v>82746</v>
      </c>
      <c r="J107" s="24">
        <f t="shared" si="8"/>
        <v>85385</v>
      </c>
      <c r="K107" s="24">
        <f t="shared" si="8"/>
        <v>88039</v>
      </c>
      <c r="L107" s="24">
        <f t="shared" si="8"/>
        <v>90706</v>
      </c>
      <c r="M107" s="24">
        <f t="shared" si="8"/>
        <v>93376</v>
      </c>
      <c r="N107" s="24">
        <f t="shared" si="8"/>
        <v>96039</v>
      </c>
      <c r="O107" s="24">
        <f t="shared" si="8"/>
        <v>98709</v>
      </c>
      <c r="P107" s="24">
        <f t="shared" si="8"/>
        <v>101374</v>
      </c>
      <c r="Q107" s="24">
        <f t="shared" si="8"/>
        <v>104045</v>
      </c>
      <c r="R107" s="24">
        <f t="shared" si="8"/>
        <v>106714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</row>
    <row r="108" spans="1:42" x14ac:dyDescent="0.25">
      <c r="A108" s="25" t="s">
        <v>6</v>
      </c>
      <c r="B108" s="11">
        <v>5940</v>
      </c>
      <c r="C108" s="11">
        <v>6015</v>
      </c>
      <c r="D108" s="11">
        <v>6253</v>
      </c>
      <c r="E108" s="11">
        <v>6521</v>
      </c>
      <c r="F108" s="11">
        <v>6879</v>
      </c>
      <c r="G108" s="11">
        <v>7217</v>
      </c>
      <c r="H108" s="11">
        <v>7452</v>
      </c>
      <c r="I108" s="11">
        <v>7654</v>
      </c>
      <c r="J108" s="11">
        <v>7822</v>
      </c>
      <c r="K108" s="11">
        <v>7951</v>
      </c>
      <c r="L108" s="11">
        <v>8039</v>
      </c>
      <c r="M108" s="11">
        <v>8086</v>
      </c>
      <c r="N108" s="11">
        <v>8096</v>
      </c>
      <c r="O108" s="11">
        <v>8076</v>
      </c>
      <c r="P108" s="11">
        <v>8036</v>
      </c>
      <c r="Q108" s="11">
        <v>7990</v>
      </c>
      <c r="R108" s="11">
        <v>7944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</row>
    <row r="109" spans="1:42" x14ac:dyDescent="0.25">
      <c r="A109" s="11" t="s">
        <v>8</v>
      </c>
      <c r="B109" s="11">
        <v>5157</v>
      </c>
      <c r="C109" s="11">
        <v>5632</v>
      </c>
      <c r="D109" s="11">
        <v>5884</v>
      </c>
      <c r="E109" s="11">
        <v>6018</v>
      </c>
      <c r="F109" s="11">
        <v>6034</v>
      </c>
      <c r="G109" s="11">
        <v>6040</v>
      </c>
      <c r="H109" s="11">
        <v>6116</v>
      </c>
      <c r="I109" s="11">
        <v>6355</v>
      </c>
      <c r="J109" s="11">
        <v>6625</v>
      </c>
      <c r="K109" s="11">
        <v>6984</v>
      </c>
      <c r="L109" s="11">
        <v>7324</v>
      </c>
      <c r="M109" s="11">
        <v>7562</v>
      </c>
      <c r="N109" s="11">
        <v>7766</v>
      </c>
      <c r="O109" s="11">
        <v>7937</v>
      </c>
      <c r="P109" s="11">
        <v>8070</v>
      </c>
      <c r="Q109" s="11">
        <v>8161</v>
      </c>
      <c r="R109" s="11">
        <v>8212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</row>
    <row r="110" spans="1:42" x14ac:dyDescent="0.25">
      <c r="A110" s="11" t="s">
        <v>10</v>
      </c>
      <c r="B110" s="11">
        <v>3941</v>
      </c>
      <c r="C110" s="11">
        <v>3954</v>
      </c>
      <c r="D110" s="11">
        <v>4151</v>
      </c>
      <c r="E110" s="11">
        <v>4517</v>
      </c>
      <c r="F110" s="11">
        <v>4932</v>
      </c>
      <c r="G110" s="11">
        <v>5354</v>
      </c>
      <c r="H110" s="11">
        <v>5833</v>
      </c>
      <c r="I110" s="11">
        <v>6088</v>
      </c>
      <c r="J110" s="11">
        <v>6225</v>
      </c>
      <c r="K110" s="11">
        <v>6245</v>
      </c>
      <c r="L110" s="11">
        <v>6255</v>
      </c>
      <c r="M110" s="11">
        <v>6335</v>
      </c>
      <c r="N110" s="11">
        <v>6578</v>
      </c>
      <c r="O110" s="11">
        <v>6851</v>
      </c>
      <c r="P110" s="11">
        <v>7215</v>
      </c>
      <c r="Q110" s="11">
        <v>7558</v>
      </c>
      <c r="R110" s="11">
        <v>7800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</row>
    <row r="111" spans="1:42" x14ac:dyDescent="0.25">
      <c r="A111" s="11" t="s">
        <v>12</v>
      </c>
      <c r="B111" s="11">
        <v>6798</v>
      </c>
      <c r="C111" s="11">
        <v>6049</v>
      </c>
      <c r="D111" s="11">
        <v>5279</v>
      </c>
      <c r="E111" s="11">
        <v>4535</v>
      </c>
      <c r="F111" s="11">
        <v>4334</v>
      </c>
      <c r="G111" s="11">
        <v>4381</v>
      </c>
      <c r="H111" s="11">
        <v>4402</v>
      </c>
      <c r="I111" s="11">
        <v>4606</v>
      </c>
      <c r="J111" s="11">
        <v>4980</v>
      </c>
      <c r="K111" s="11">
        <v>5402</v>
      </c>
      <c r="L111" s="11">
        <v>5832</v>
      </c>
      <c r="M111" s="11">
        <v>6319</v>
      </c>
      <c r="N111" s="11">
        <v>6583</v>
      </c>
      <c r="O111" s="11">
        <v>6728</v>
      </c>
      <c r="P111" s="11">
        <v>6757</v>
      </c>
      <c r="Q111" s="11">
        <v>6776</v>
      </c>
      <c r="R111" s="11">
        <v>6865</v>
      </c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</row>
    <row r="112" spans="1:42" x14ac:dyDescent="0.25">
      <c r="A112" s="11" t="s">
        <v>14</v>
      </c>
      <c r="B112" s="11">
        <v>8450</v>
      </c>
      <c r="C112" s="11">
        <v>8719</v>
      </c>
      <c r="D112" s="11">
        <v>8894</v>
      </c>
      <c r="E112" s="11">
        <v>8955</v>
      </c>
      <c r="F112" s="11">
        <v>8442</v>
      </c>
      <c r="G112" s="11">
        <v>7636</v>
      </c>
      <c r="H112" s="11">
        <v>6903</v>
      </c>
      <c r="I112" s="11">
        <v>6148</v>
      </c>
      <c r="J112" s="11">
        <v>5421</v>
      </c>
      <c r="K112" s="11">
        <v>5236</v>
      </c>
      <c r="L112" s="11">
        <v>5298</v>
      </c>
      <c r="M112" s="11">
        <v>5335</v>
      </c>
      <c r="N112" s="11">
        <v>5555</v>
      </c>
      <c r="O112" s="11">
        <v>5945</v>
      </c>
      <c r="P112" s="11">
        <v>6384</v>
      </c>
      <c r="Q112" s="11">
        <v>6831</v>
      </c>
      <c r="R112" s="11">
        <v>7334</v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</row>
    <row r="113" spans="1:42" x14ac:dyDescent="0.25">
      <c r="A113" s="11" t="s">
        <v>16</v>
      </c>
      <c r="B113" s="11">
        <v>8260</v>
      </c>
      <c r="C113" s="11">
        <v>8323</v>
      </c>
      <c r="D113" s="11">
        <v>8497</v>
      </c>
      <c r="E113" s="11">
        <v>8741</v>
      </c>
      <c r="F113" s="11">
        <v>9060</v>
      </c>
      <c r="G113" s="11">
        <v>9401</v>
      </c>
      <c r="H113" s="11">
        <v>9686</v>
      </c>
      <c r="I113" s="11">
        <v>9878</v>
      </c>
      <c r="J113" s="11">
        <v>9956</v>
      </c>
      <c r="K113" s="11">
        <v>9462</v>
      </c>
      <c r="L113" s="11">
        <v>8675</v>
      </c>
      <c r="M113" s="11">
        <v>7961</v>
      </c>
      <c r="N113" s="11">
        <v>7226</v>
      </c>
      <c r="O113" s="11">
        <v>6518</v>
      </c>
      <c r="P113" s="11">
        <v>6353</v>
      </c>
      <c r="Q113" s="11">
        <v>6434</v>
      </c>
      <c r="R113" s="11">
        <v>6491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</row>
    <row r="114" spans="1:42" x14ac:dyDescent="0.25">
      <c r="A114" s="11" t="s">
        <v>18</v>
      </c>
      <c r="B114" s="11">
        <v>6785</v>
      </c>
      <c r="C114" s="11">
        <v>7464</v>
      </c>
      <c r="D114" s="11">
        <v>8051</v>
      </c>
      <c r="E114" s="11">
        <v>8303</v>
      </c>
      <c r="F114" s="11">
        <v>8760</v>
      </c>
      <c r="G114" s="11">
        <v>9079</v>
      </c>
      <c r="H114" s="11">
        <v>9156</v>
      </c>
      <c r="I114" s="11">
        <v>9345</v>
      </c>
      <c r="J114" s="11">
        <v>9604</v>
      </c>
      <c r="K114" s="11">
        <v>9938</v>
      </c>
      <c r="L114" s="11">
        <v>10293</v>
      </c>
      <c r="M114" s="11">
        <v>10594</v>
      </c>
      <c r="N114" s="11">
        <v>10802</v>
      </c>
      <c r="O114" s="11">
        <v>10897</v>
      </c>
      <c r="P114" s="11">
        <v>10420</v>
      </c>
      <c r="Q114" s="11">
        <v>9651</v>
      </c>
      <c r="R114" s="11">
        <v>8956</v>
      </c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</row>
    <row r="115" spans="1:42" x14ac:dyDescent="0.25">
      <c r="A115" s="4" t="s">
        <v>20</v>
      </c>
      <c r="B115" s="11">
        <v>4858</v>
      </c>
      <c r="C115" s="11">
        <v>5292</v>
      </c>
      <c r="D115" s="11">
        <v>5631</v>
      </c>
      <c r="E115" s="11">
        <v>6319</v>
      </c>
      <c r="F115" s="11">
        <v>6804</v>
      </c>
      <c r="G115" s="11">
        <v>7400</v>
      </c>
      <c r="H115" s="11">
        <v>8088</v>
      </c>
      <c r="I115" s="11">
        <v>8686</v>
      </c>
      <c r="J115" s="11">
        <v>8948</v>
      </c>
      <c r="K115" s="11">
        <v>9415</v>
      </c>
      <c r="L115" s="11">
        <v>9746</v>
      </c>
      <c r="M115" s="11">
        <v>9836</v>
      </c>
      <c r="N115" s="11">
        <v>10036</v>
      </c>
      <c r="O115" s="11">
        <v>10307</v>
      </c>
      <c r="P115" s="11">
        <v>10654</v>
      </c>
      <c r="Q115" s="11">
        <v>11022</v>
      </c>
      <c r="R115" s="11">
        <v>11335</v>
      </c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</row>
    <row r="116" spans="1:42" x14ac:dyDescent="0.25">
      <c r="A116" s="4" t="s">
        <v>22</v>
      </c>
      <c r="B116" s="11">
        <v>3921</v>
      </c>
      <c r="C116" s="11">
        <v>4166</v>
      </c>
      <c r="D116" s="11">
        <v>4455</v>
      </c>
      <c r="E116" s="11">
        <v>4612</v>
      </c>
      <c r="F116" s="11">
        <v>4960</v>
      </c>
      <c r="G116" s="11">
        <v>5311</v>
      </c>
      <c r="H116" s="11">
        <v>5752</v>
      </c>
      <c r="I116" s="11">
        <v>6098</v>
      </c>
      <c r="J116" s="11">
        <v>6792</v>
      </c>
      <c r="K116" s="11">
        <v>7284</v>
      </c>
      <c r="L116" s="11">
        <v>7887</v>
      </c>
      <c r="M116" s="11">
        <v>8582</v>
      </c>
      <c r="N116" s="11">
        <v>9186</v>
      </c>
      <c r="O116" s="11">
        <v>9458</v>
      </c>
      <c r="P116" s="11">
        <v>9933</v>
      </c>
      <c r="Q116" s="11">
        <v>10272</v>
      </c>
      <c r="R116" s="11">
        <v>10372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</row>
    <row r="117" spans="1:42" x14ac:dyDescent="0.25">
      <c r="A117" s="4" t="s">
        <v>24</v>
      </c>
      <c r="B117" s="11">
        <v>3325</v>
      </c>
      <c r="C117" s="11">
        <v>3420</v>
      </c>
      <c r="D117" s="11">
        <v>3627</v>
      </c>
      <c r="E117" s="11">
        <v>3987</v>
      </c>
      <c r="F117" s="11">
        <v>4146</v>
      </c>
      <c r="G117" s="11">
        <v>4271</v>
      </c>
      <c r="H117" s="11">
        <v>4521</v>
      </c>
      <c r="I117" s="11">
        <v>4816</v>
      </c>
      <c r="J117" s="11">
        <v>4979</v>
      </c>
      <c r="K117" s="11">
        <v>5332</v>
      </c>
      <c r="L117" s="11">
        <v>5688</v>
      </c>
      <c r="M117" s="11">
        <v>6134</v>
      </c>
      <c r="N117" s="11">
        <v>6486</v>
      </c>
      <c r="O117" s="11">
        <v>7184</v>
      </c>
      <c r="P117" s="11">
        <v>7681</v>
      </c>
      <c r="Q117" s="11">
        <v>8289</v>
      </c>
      <c r="R117" s="11">
        <v>8988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</row>
    <row r="118" spans="1:42" x14ac:dyDescent="0.25">
      <c r="A118" s="4" t="s">
        <v>26</v>
      </c>
      <c r="B118" s="11">
        <v>2698</v>
      </c>
      <c r="C118" s="11">
        <v>2946</v>
      </c>
      <c r="D118" s="11">
        <v>3105</v>
      </c>
      <c r="E118" s="11">
        <v>3173</v>
      </c>
      <c r="F118" s="11">
        <v>3340</v>
      </c>
      <c r="G118" s="11">
        <v>3583</v>
      </c>
      <c r="H118" s="11">
        <v>3683</v>
      </c>
      <c r="I118" s="11">
        <v>3894</v>
      </c>
      <c r="J118" s="11">
        <v>4256</v>
      </c>
      <c r="K118" s="11">
        <v>4419</v>
      </c>
      <c r="L118" s="11">
        <v>4549</v>
      </c>
      <c r="M118" s="11">
        <v>4803</v>
      </c>
      <c r="N118" s="11">
        <v>5101</v>
      </c>
      <c r="O118" s="11">
        <v>5270</v>
      </c>
      <c r="P118" s="11">
        <v>5625</v>
      </c>
      <c r="Q118" s="11">
        <v>5985</v>
      </c>
      <c r="R118" s="11">
        <v>6434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</row>
    <row r="119" spans="1:42" x14ac:dyDescent="0.25">
      <c r="A119" s="4" t="s">
        <v>28</v>
      </c>
      <c r="B119" s="11">
        <v>2011</v>
      </c>
      <c r="C119" s="11">
        <v>2235</v>
      </c>
      <c r="D119" s="11">
        <v>2434</v>
      </c>
      <c r="E119" s="11">
        <v>2618</v>
      </c>
      <c r="F119" s="11">
        <v>2741</v>
      </c>
      <c r="G119" s="11">
        <v>2864</v>
      </c>
      <c r="H119" s="11">
        <v>3111</v>
      </c>
      <c r="I119" s="11">
        <v>3272</v>
      </c>
      <c r="J119" s="11">
        <v>3344</v>
      </c>
      <c r="K119" s="11">
        <v>3512</v>
      </c>
      <c r="L119" s="11">
        <v>3756</v>
      </c>
      <c r="M119" s="11">
        <v>3860</v>
      </c>
      <c r="N119" s="11">
        <v>4072</v>
      </c>
      <c r="O119" s="11">
        <v>4434</v>
      </c>
      <c r="P119" s="11">
        <v>4598</v>
      </c>
      <c r="Q119" s="11">
        <v>4732</v>
      </c>
      <c r="R119" s="11">
        <v>4988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</row>
    <row r="120" spans="1:42" x14ac:dyDescent="0.25">
      <c r="A120" s="4" t="s">
        <v>30</v>
      </c>
      <c r="B120" s="11">
        <v>1026</v>
      </c>
      <c r="C120" s="11">
        <v>1092</v>
      </c>
      <c r="D120" s="11">
        <v>1282</v>
      </c>
      <c r="E120" s="11">
        <v>1536</v>
      </c>
      <c r="F120" s="11">
        <v>1777</v>
      </c>
      <c r="G120" s="11">
        <v>2063</v>
      </c>
      <c r="H120" s="11">
        <v>2281</v>
      </c>
      <c r="I120" s="11">
        <v>2476</v>
      </c>
      <c r="J120" s="11">
        <v>2658</v>
      </c>
      <c r="K120" s="11">
        <v>2779</v>
      </c>
      <c r="L120" s="11">
        <v>2901</v>
      </c>
      <c r="M120" s="11">
        <v>3145</v>
      </c>
      <c r="N120" s="11">
        <v>3305</v>
      </c>
      <c r="O120" s="11">
        <v>3379</v>
      </c>
      <c r="P120" s="11">
        <v>3544</v>
      </c>
      <c r="Q120" s="11">
        <v>3786</v>
      </c>
      <c r="R120" s="11">
        <v>3892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</row>
    <row r="121" spans="1:42" x14ac:dyDescent="0.25">
      <c r="A121" s="4" t="s">
        <v>32</v>
      </c>
      <c r="B121" s="11">
        <v>863</v>
      </c>
      <c r="C121" s="11">
        <v>935</v>
      </c>
      <c r="D121" s="11">
        <v>972</v>
      </c>
      <c r="E121" s="11">
        <v>994</v>
      </c>
      <c r="F121" s="11">
        <v>1008</v>
      </c>
      <c r="G121" s="11">
        <v>1025</v>
      </c>
      <c r="H121" s="11">
        <v>1091</v>
      </c>
      <c r="I121" s="11">
        <v>1272</v>
      </c>
      <c r="J121" s="11">
        <v>1514</v>
      </c>
      <c r="K121" s="11">
        <v>1741</v>
      </c>
      <c r="L121" s="11">
        <v>2012</v>
      </c>
      <c r="M121" s="11">
        <v>2219</v>
      </c>
      <c r="N121" s="11">
        <v>2406</v>
      </c>
      <c r="O121" s="11">
        <v>2582</v>
      </c>
      <c r="P121" s="11">
        <v>2698</v>
      </c>
      <c r="Q121" s="11">
        <v>2818</v>
      </c>
      <c r="R121" s="11">
        <v>3053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</row>
    <row r="122" spans="1:42" x14ac:dyDescent="0.25">
      <c r="A122" s="4" t="s">
        <v>34</v>
      </c>
      <c r="B122" s="11">
        <v>680</v>
      </c>
      <c r="C122" s="11">
        <v>696</v>
      </c>
      <c r="D122" s="11">
        <v>723</v>
      </c>
      <c r="E122" s="11">
        <v>751</v>
      </c>
      <c r="F122" s="11">
        <v>771</v>
      </c>
      <c r="G122" s="11">
        <v>828</v>
      </c>
      <c r="H122" s="11">
        <v>894</v>
      </c>
      <c r="I122" s="11">
        <v>929</v>
      </c>
      <c r="J122" s="11">
        <v>951</v>
      </c>
      <c r="K122" s="11">
        <v>965</v>
      </c>
      <c r="L122" s="11">
        <v>984</v>
      </c>
      <c r="M122" s="11">
        <v>1047</v>
      </c>
      <c r="N122" s="11">
        <v>1215</v>
      </c>
      <c r="O122" s="11">
        <v>1439</v>
      </c>
      <c r="P122" s="11">
        <v>1646</v>
      </c>
      <c r="Q122" s="11">
        <v>1894</v>
      </c>
      <c r="R122" s="11">
        <v>2083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</row>
    <row r="123" spans="1:42" x14ac:dyDescent="0.25">
      <c r="A123" s="4" t="s">
        <v>36</v>
      </c>
      <c r="B123" s="11">
        <v>468</v>
      </c>
      <c r="C123" s="11">
        <v>501</v>
      </c>
      <c r="D123" s="11">
        <v>533</v>
      </c>
      <c r="E123" s="11">
        <v>568</v>
      </c>
      <c r="F123" s="11">
        <v>593</v>
      </c>
      <c r="G123" s="11">
        <v>605</v>
      </c>
      <c r="H123" s="11">
        <v>620</v>
      </c>
      <c r="I123" s="11">
        <v>644</v>
      </c>
      <c r="J123" s="11">
        <v>671</v>
      </c>
      <c r="K123" s="11">
        <v>690</v>
      </c>
      <c r="L123" s="11">
        <v>741</v>
      </c>
      <c r="M123" s="11">
        <v>799</v>
      </c>
      <c r="N123" s="11">
        <v>829</v>
      </c>
      <c r="O123" s="11">
        <v>851</v>
      </c>
      <c r="P123" s="11">
        <v>865</v>
      </c>
      <c r="Q123" s="11">
        <v>885</v>
      </c>
      <c r="R123" s="11">
        <v>944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</row>
    <row r="124" spans="1:42" x14ac:dyDescent="0.25">
      <c r="A124" s="12" t="s">
        <v>38</v>
      </c>
      <c r="B124" s="22">
        <v>300</v>
      </c>
      <c r="C124" s="22">
        <v>331</v>
      </c>
      <c r="D124" s="22">
        <v>360</v>
      </c>
      <c r="E124" s="22">
        <v>409</v>
      </c>
      <c r="F124" s="22">
        <v>455</v>
      </c>
      <c r="G124" s="22">
        <v>510</v>
      </c>
      <c r="H124" s="22">
        <v>548</v>
      </c>
      <c r="I124" s="22">
        <v>585</v>
      </c>
      <c r="J124" s="22">
        <v>639</v>
      </c>
      <c r="K124" s="22">
        <v>684</v>
      </c>
      <c r="L124" s="22">
        <v>726</v>
      </c>
      <c r="M124" s="22">
        <v>759</v>
      </c>
      <c r="N124" s="22">
        <v>797</v>
      </c>
      <c r="O124" s="22">
        <v>853</v>
      </c>
      <c r="P124" s="22">
        <v>895</v>
      </c>
      <c r="Q124" s="22">
        <v>961</v>
      </c>
      <c r="R124" s="22">
        <v>1023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</row>
    <row r="125" spans="1:42" x14ac:dyDescent="0.25">
      <c r="A125" s="4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</row>
    <row r="126" spans="1:42" ht="18.75" x14ac:dyDescent="0.5">
      <c r="A126" s="32" t="s">
        <v>44</v>
      </c>
      <c r="B126" s="32"/>
      <c r="C126" s="32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20" t="s">
        <v>50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</row>
    <row r="127" spans="1:42" x14ac:dyDescent="0.25">
      <c r="A127" s="6" t="s">
        <v>5</v>
      </c>
      <c r="B127" s="7">
        <v>2014</v>
      </c>
      <c r="C127" s="7">
        <v>2015</v>
      </c>
      <c r="D127" s="7">
        <v>2016</v>
      </c>
      <c r="E127" s="7">
        <v>2017</v>
      </c>
      <c r="F127" s="7">
        <v>2018</v>
      </c>
      <c r="G127" s="7">
        <v>2019</v>
      </c>
      <c r="H127" s="7">
        <v>2020</v>
      </c>
      <c r="I127" s="7">
        <v>2021</v>
      </c>
      <c r="J127" s="7">
        <v>2022</v>
      </c>
      <c r="K127" s="7">
        <v>2023</v>
      </c>
      <c r="L127" s="7">
        <v>2024</v>
      </c>
      <c r="M127" s="7">
        <v>2025</v>
      </c>
      <c r="N127" s="7">
        <v>2026</v>
      </c>
      <c r="O127" s="7">
        <v>2027</v>
      </c>
      <c r="P127" s="7">
        <v>2028</v>
      </c>
      <c r="Q127" s="7">
        <v>2029</v>
      </c>
      <c r="R127" s="7">
        <v>2030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</row>
    <row r="128" spans="1:42" x14ac:dyDescent="0.25">
      <c r="A128" s="19" t="s">
        <v>0</v>
      </c>
      <c r="B128" s="19">
        <f>SUM(B129:B145)</f>
        <v>37042.417947258786</v>
      </c>
      <c r="C128" s="19">
        <f t="shared" ref="C128:R128" si="9">SUM(C129:C145)</f>
        <v>40938.203050513846</v>
      </c>
      <c r="D128" s="19">
        <f t="shared" si="9"/>
        <v>45243.711449703653</v>
      </c>
      <c r="E128" s="19">
        <f t="shared" si="9"/>
        <v>50002.034120018674</v>
      </c>
      <c r="F128" s="19">
        <f t="shared" si="9"/>
        <v>55260.793954070912</v>
      </c>
      <c r="G128" s="19">
        <f t="shared" si="9"/>
        <v>61072.622387809759</v>
      </c>
      <c r="H128" s="19">
        <f t="shared" si="9"/>
        <v>67495.686153623072</v>
      </c>
      <c r="I128" s="19">
        <f t="shared" si="9"/>
        <v>69204.347583481052</v>
      </c>
      <c r="J128" s="19">
        <f t="shared" si="9"/>
        <v>70956.263983371333</v>
      </c>
      <c r="K128" s="19">
        <f t="shared" si="9"/>
        <v>72752.530358073578</v>
      </c>
      <c r="L128" s="19">
        <f t="shared" si="9"/>
        <v>74594.269432545421</v>
      </c>
      <c r="M128" s="19">
        <f t="shared" si="9"/>
        <v>76482.632353662004</v>
      </c>
      <c r="N128" s="19">
        <f t="shared" si="9"/>
        <v>78418.799409720552</v>
      </c>
      <c r="O128" s="19">
        <f t="shared" si="9"/>
        <v>80403.980768158624</v>
      </c>
      <c r="P128" s="19">
        <f t="shared" si="9"/>
        <v>82439.417231948391</v>
      </c>
      <c r="Q128" s="19">
        <f t="shared" si="9"/>
        <v>84526.381015138861</v>
      </c>
      <c r="R128" s="19">
        <f t="shared" si="9"/>
        <v>86666.176538030879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</row>
    <row r="129" spans="1:42" x14ac:dyDescent="0.25">
      <c r="A129" s="11" t="s">
        <v>6</v>
      </c>
      <c r="B129" s="11">
        <v>442.74271021948368</v>
      </c>
      <c r="C129" s="11">
        <v>489.30636752456724</v>
      </c>
      <c r="D129" s="11">
        <v>540.7671674173863</v>
      </c>
      <c r="E129" s="11">
        <v>597.64014687984036</v>
      </c>
      <c r="F129" s="11">
        <v>660.49450980605809</v>
      </c>
      <c r="G129" s="11">
        <v>729.95932378628618</v>
      </c>
      <c r="H129" s="11">
        <v>806.72981602676884</v>
      </c>
      <c r="I129" s="11">
        <v>827.15227855013677</v>
      </c>
      <c r="J129" s="11">
        <v>848.09173817368946</v>
      </c>
      <c r="K129" s="11">
        <v>869.5612827413288</v>
      </c>
      <c r="L129" s="11">
        <v>891.57433141730257</v>
      </c>
      <c r="M129" s="11">
        <v>914.14464307361857</v>
      </c>
      <c r="N129" s="11">
        <v>937.28632488978815</v>
      </c>
      <c r="O129" s="11">
        <v>961.01384117027214</v>
      </c>
      <c r="P129" s="11">
        <v>985.34202238514172</v>
      </c>
      <c r="Q129" s="11">
        <v>1010.2860744396062</v>
      </c>
      <c r="R129" s="11">
        <v>1035.8615881781968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</row>
    <row r="130" spans="1:42" x14ac:dyDescent="0.25">
      <c r="A130" s="11" t="s">
        <v>8</v>
      </c>
      <c r="B130" s="11">
        <v>259.2878845629956</v>
      </c>
      <c r="C130" s="11">
        <v>286.55742942837844</v>
      </c>
      <c r="D130" s="11">
        <v>316.69493736275865</v>
      </c>
      <c r="E130" s="11">
        <v>350.00203467510971</v>
      </c>
      <c r="F130" s="11">
        <v>386.81206999023567</v>
      </c>
      <c r="G130" s="11">
        <v>427.49345051385046</v>
      </c>
      <c r="H130" s="11">
        <v>472.45332917571858</v>
      </c>
      <c r="I130" s="11">
        <v>484.41354214596953</v>
      </c>
      <c r="J130" s="11">
        <v>496.67652934906027</v>
      </c>
      <c r="K130" s="11">
        <v>509.24995555118676</v>
      </c>
      <c r="L130" s="11">
        <v>522.14167955302514</v>
      </c>
      <c r="M130" s="11">
        <v>535.35975910173761</v>
      </c>
      <c r="N130" s="11">
        <v>548.9124559273273</v>
      </c>
      <c r="O130" s="11">
        <v>562.80824090648775</v>
      </c>
      <c r="P130" s="11">
        <v>577.05579935717731</v>
      </c>
      <c r="Q130" s="11">
        <v>591.66403646722483</v>
      </c>
      <c r="R130" s="11">
        <v>606.64208286036273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</row>
    <row r="131" spans="1:42" x14ac:dyDescent="0.25">
      <c r="A131" s="11" t="s">
        <v>10</v>
      </c>
      <c r="B131" s="11">
        <v>127.88749659387847</v>
      </c>
      <c r="C131" s="11">
        <v>141.33754202105294</v>
      </c>
      <c r="D131" s="11">
        <v>156.20214107396251</v>
      </c>
      <c r="E131" s="11">
        <v>172.630063656093</v>
      </c>
      <c r="F131" s="11">
        <v>190.78572593826181</v>
      </c>
      <c r="G131" s="11">
        <v>210.85083589091772</v>
      </c>
      <c r="H131" s="11">
        <v>233.02621187858324</v>
      </c>
      <c r="I131" s="11">
        <v>238.92529851764067</v>
      </c>
      <c r="J131" s="11">
        <v>244.97372124594989</v>
      </c>
      <c r="K131" s="11">
        <v>251.17526052460897</v>
      </c>
      <c r="L131" s="11">
        <v>257.53379251754427</v>
      </c>
      <c r="M131" s="11">
        <v>264.05329151423916</v>
      </c>
      <c r="N131" s="11">
        <v>270.73783241379431</v>
      </c>
      <c r="O131" s="11">
        <v>277.59159327187211</v>
      </c>
      <c r="P131" s="11">
        <v>284.61885791211779</v>
      </c>
      <c r="Q131" s="11">
        <v>291.82401860368833</v>
      </c>
      <c r="R131" s="11">
        <v>299.21157880656392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</row>
    <row r="132" spans="1:42" x14ac:dyDescent="0.25">
      <c r="A132" s="11" t="s">
        <v>12</v>
      </c>
      <c r="B132" s="11">
        <v>770.39628812425474</v>
      </c>
      <c r="C132" s="11">
        <v>851.41957302835385</v>
      </c>
      <c r="D132" s="11">
        <v>940.96415119132178</v>
      </c>
      <c r="E132" s="11">
        <v>1039.9262148483858</v>
      </c>
      <c r="F132" s="11">
        <v>1149.2962095949238</v>
      </c>
      <c r="G132" s="11">
        <v>1270.1687470988841</v>
      </c>
      <c r="H132" s="11">
        <v>1403.7535603422689</v>
      </c>
      <c r="I132" s="11">
        <v>1439.2897509089296</v>
      </c>
      <c r="J132" s="11">
        <v>1475.7255444227644</v>
      </c>
      <c r="K132" s="11">
        <v>1513.0837144408051</v>
      </c>
      <c r="L132" s="11">
        <v>1551.3876110354247</v>
      </c>
      <c r="M132" s="11">
        <v>1590.6611753888922</v>
      </c>
      <c r="N132" s="11">
        <v>1630.9289547573917</v>
      </c>
      <c r="O132" s="11">
        <v>1672.2161178138558</v>
      </c>
      <c r="P132" s="11">
        <v>1714.5484703792063</v>
      </c>
      <c r="Q132" s="11">
        <v>1757.952471551831</v>
      </c>
      <c r="R132" s="11">
        <v>1802.4552502453832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</row>
    <row r="133" spans="1:42" x14ac:dyDescent="0.25">
      <c r="A133" s="11" t="s">
        <v>14</v>
      </c>
      <c r="B133" s="11">
        <v>7354.776800140361</v>
      </c>
      <c r="C133" s="11">
        <v>8128.2854284525965</v>
      </c>
      <c r="D133" s="11">
        <v>8983.1446693438647</v>
      </c>
      <c r="E133" s="11">
        <v>9927.9102414251192</v>
      </c>
      <c r="F133" s="11">
        <v>10972.037676088425</v>
      </c>
      <c r="G133" s="11">
        <v>12125.976951643241</v>
      </c>
      <c r="H133" s="11">
        <v>13401.277080211705</v>
      </c>
      <c r="I133" s="11">
        <v>13740.53202467853</v>
      </c>
      <c r="J133" s="11">
        <v>14088.375248953043</v>
      </c>
      <c r="K133" s="11">
        <v>14445.024166373671</v>
      </c>
      <c r="L133" s="11">
        <v>14810.701694123707</v>
      </c>
      <c r="M133" s="11">
        <v>15185.636392561812</v>
      </c>
      <c r="N133" s="11">
        <v>15570.062608079666</v>
      </c>
      <c r="O133" s="11">
        <v>15964.220619576106</v>
      </c>
      <c r="P133" s="11">
        <v>16368.356788639248</v>
      </c>
      <c r="Q133" s="11">
        <v>16782.723713530504</v>
      </c>
      <c r="R133" s="11">
        <v>17207.580387066719</v>
      </c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</row>
    <row r="134" spans="1:42" x14ac:dyDescent="0.25">
      <c r="A134" s="11" t="s">
        <v>16</v>
      </c>
      <c r="B134" s="11">
        <v>10902.104976097084</v>
      </c>
      <c r="C134" s="11">
        <v>12048.689365390301</v>
      </c>
      <c r="D134" s="11">
        <v>13315.861087556694</v>
      </c>
      <c r="E134" s="11">
        <v>14716.302423102823</v>
      </c>
      <c r="F134" s="11">
        <v>16264.029459619425</v>
      </c>
      <c r="G134" s="11">
        <v>17974.532369496985</v>
      </c>
      <c r="H134" s="11">
        <v>19864.930440777429</v>
      </c>
      <c r="I134" s="11">
        <v>20367.813549095106</v>
      </c>
      <c r="J134" s="11">
        <v>20883.427203909545</v>
      </c>
      <c r="K134" s="11">
        <v>21412.093680539652</v>
      </c>
      <c r="L134" s="11">
        <v>21954.143412742877</v>
      </c>
      <c r="M134" s="11">
        <v>22509.915199247058</v>
      </c>
      <c r="N134" s="11">
        <v>23079.75641551067</v>
      </c>
      <c r="O134" s="11">
        <v>23664.023230843784</v>
      </c>
      <c r="P134" s="11">
        <v>24263.08083102548</v>
      </c>
      <c r="Q134" s="11">
        <v>24877.303646556848</v>
      </c>
      <c r="R134" s="11">
        <v>25507.075586692248</v>
      </c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</row>
    <row r="135" spans="1:42" x14ac:dyDescent="0.25">
      <c r="A135" s="4" t="s">
        <v>18</v>
      </c>
      <c r="B135" s="11">
        <v>6888.0729305079285</v>
      </c>
      <c r="C135" s="11">
        <v>7612.4978843814652</v>
      </c>
      <c r="D135" s="11">
        <v>8413.1112757307892</v>
      </c>
      <c r="E135" s="11">
        <v>9297.9259124719811</v>
      </c>
      <c r="F135" s="11">
        <v>10275.797316886014</v>
      </c>
      <c r="G135" s="11">
        <v>11356.512354662193</v>
      </c>
      <c r="H135" s="11">
        <v>12550.887185139452</v>
      </c>
      <c r="I135" s="11">
        <v>12868.614406919767</v>
      </c>
      <c r="J135" s="11">
        <v>13194.384931613344</v>
      </c>
      <c r="K135" s="11">
        <v>13528.402376402842</v>
      </c>
      <c r="L135" s="11">
        <v>13870.875513064451</v>
      </c>
      <c r="M135" s="11">
        <v>14222.018398457025</v>
      </c>
      <c r="N135" s="11">
        <v>14582.050508314611</v>
      </c>
      <c r="O135" s="11">
        <v>14951.196874425905</v>
      </c>
      <c r="P135" s="11">
        <v>15329.68822528646</v>
      </c>
      <c r="Q135" s="11">
        <v>15717.761130311505</v>
      </c>
      <c r="R135" s="11">
        <v>16115.658147699523</v>
      </c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</row>
    <row r="136" spans="1:42" x14ac:dyDescent="0.25">
      <c r="A136" s="4" t="s">
        <v>20</v>
      </c>
      <c r="B136" s="11">
        <v>4457.772631814225</v>
      </c>
      <c r="C136" s="11">
        <v>4926.6006720746236</v>
      </c>
      <c r="D136" s="11">
        <v>5444.7357877488148</v>
      </c>
      <c r="E136" s="11">
        <v>6017.3636492256928</v>
      </c>
      <c r="F136" s="11">
        <v>6650.2153086097896</v>
      </c>
      <c r="G136" s="11">
        <v>7349.624558017008</v>
      </c>
      <c r="H136" s="11">
        <v>8122.5913202949832</v>
      </c>
      <c r="I136" s="11">
        <v>8328.2156985389302</v>
      </c>
      <c r="J136" s="11">
        <v>8539.0454827008834</v>
      </c>
      <c r="K136" s="11">
        <v>8755.212448259037</v>
      </c>
      <c r="L136" s="11">
        <v>8976.8517066036929</v>
      </c>
      <c r="M136" s="11">
        <v>9204.1017894862907</v>
      </c>
      <c r="N136" s="11">
        <v>9437.1047356062481</v>
      </c>
      <c r="O136" s="11">
        <v>9676.0061793897785</v>
      </c>
      <c r="P136" s="11">
        <v>9920.9554420161494</v>
      </c>
      <c r="Q136" s="11">
        <v>10172.105624748276</v>
      </c>
      <c r="R136" s="11">
        <v>10429.613704625999</v>
      </c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</row>
    <row r="137" spans="1:42" x14ac:dyDescent="0.25">
      <c r="A137" s="4" t="s">
        <v>22</v>
      </c>
      <c r="B137" s="11">
        <v>2750.9170013190965</v>
      </c>
      <c r="C137" s="11">
        <v>3040.2334678977336</v>
      </c>
      <c r="D137" s="11">
        <v>3359.9776128808485</v>
      </c>
      <c r="E137" s="11">
        <v>3713.3495431411502</v>
      </c>
      <c r="F137" s="11">
        <v>4103.8859237290926</v>
      </c>
      <c r="G137" s="11">
        <v>4535.4953740054088</v>
      </c>
      <c r="H137" s="11">
        <v>5012.4975864174112</v>
      </c>
      <c r="I137" s="11">
        <v>5139.3895669459762</v>
      </c>
      <c r="J137" s="11">
        <v>5269.4938332552056</v>
      </c>
      <c r="K137" s="11">
        <v>5402.8917047467949</v>
      </c>
      <c r="L137" s="11">
        <v>5539.6665594328979</v>
      </c>
      <c r="M137" s="11">
        <v>5679.9038860500896</v>
      </c>
      <c r="N137" s="11">
        <v>5823.6913374926198</v>
      </c>
      <c r="O137" s="11">
        <v>5971.1187855983171</v>
      </c>
      <c r="P137" s="11">
        <v>6122.2783773214205</v>
      </c>
      <c r="Q137" s="11">
        <v>6277.2645923274167</v>
      </c>
      <c r="R137" s="11">
        <v>6436.1743020459144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</row>
    <row r="138" spans="1:42" x14ac:dyDescent="0.25">
      <c r="A138" s="4" t="s">
        <v>24</v>
      </c>
      <c r="B138" s="11">
        <v>1693.0470578800596</v>
      </c>
      <c r="C138" s="11">
        <v>1871.1063713025799</v>
      </c>
      <c r="D138" s="11">
        <v>2067.8923461896657</v>
      </c>
      <c r="E138" s="11">
        <v>2285.374482720038</v>
      </c>
      <c r="F138" s="11">
        <v>2525.7294152143631</v>
      </c>
      <c r="G138" s="11">
        <v>2791.3626966231268</v>
      </c>
      <c r="H138" s="11">
        <v>3084.9328741090967</v>
      </c>
      <c r="I138" s="11">
        <v>3163.0283216269418</v>
      </c>
      <c r="J138" s="11">
        <v>3243.1007648111099</v>
      </c>
      <c r="K138" s="11">
        <v>3325.2002515451704</v>
      </c>
      <c r="L138" s="11">
        <v>3409.3780966808977</v>
      </c>
      <c r="M138" s="11">
        <v>3495.6869141117222</v>
      </c>
      <c r="N138" s="11">
        <v>3584.1806496581294</v>
      </c>
      <c r="O138" s="11">
        <v>3674.9146147855508</v>
      </c>
      <c r="P138" s="11">
        <v>3767.9455211758323</v>
      </c>
      <c r="Q138" s="11">
        <v>3863.3315161738806</v>
      </c>
      <c r="R138" s="11">
        <v>3961.1322191316467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</row>
    <row r="139" spans="1:42" x14ac:dyDescent="0.25">
      <c r="A139" s="4" t="s">
        <v>26</v>
      </c>
      <c r="B139" s="11">
        <v>775.83214448827994</v>
      </c>
      <c r="C139" s="11">
        <v>857.42712339671084</v>
      </c>
      <c r="D139" s="11">
        <v>947.60352114730472</v>
      </c>
      <c r="E139" s="11">
        <v>1047.2638534380833</v>
      </c>
      <c r="F139" s="11">
        <v>1157.405554371607</v>
      </c>
      <c r="G139" s="11">
        <v>1279.1309591107229</v>
      </c>
      <c r="H139" s="11">
        <v>1413.6583364193814</v>
      </c>
      <c r="I139" s="11">
        <v>1449.4452675862017</v>
      </c>
      <c r="J139" s="11">
        <v>1486.1381492287094</v>
      </c>
      <c r="K139" s="11">
        <v>1523.7599155923858</v>
      </c>
      <c r="L139" s="11">
        <v>1562.3340815059005</v>
      </c>
      <c r="M139" s="11">
        <v>1601.8847570786452</v>
      </c>
      <c r="N139" s="11">
        <v>1642.4366627703364</v>
      </c>
      <c r="O139" s="11">
        <v>1684.0151448421082</v>
      </c>
      <c r="P139" s="11">
        <v>1726.6461911987494</v>
      </c>
      <c r="Q139" s="11">
        <v>1770.3564476319918</v>
      </c>
      <c r="R139" s="11">
        <v>1815.1732344749955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</row>
    <row r="140" spans="1:42" x14ac:dyDescent="0.25">
      <c r="A140" s="4" t="s">
        <v>28</v>
      </c>
      <c r="B140" s="11">
        <v>342.97067695782994</v>
      </c>
      <c r="C140" s="11">
        <v>379.04121792651131</v>
      </c>
      <c r="D140" s="11">
        <v>418.90533080435421</v>
      </c>
      <c r="E140" s="11">
        <v>462.96198903183097</v>
      </c>
      <c r="F140" s="11">
        <v>511.65212645243662</v>
      </c>
      <c r="G140" s="11">
        <v>565.46305032679675</v>
      </c>
      <c r="H140" s="11">
        <v>624.93331846752221</v>
      </c>
      <c r="I140" s="11">
        <v>640.75358074425878</v>
      </c>
      <c r="J140" s="11">
        <v>656.97433486725913</v>
      </c>
      <c r="K140" s="11">
        <v>673.60571933588017</v>
      </c>
      <c r="L140" s="11">
        <v>690.65812930681261</v>
      </c>
      <c r="M140" s="11">
        <v>708.1422230913912</v>
      </c>
      <c r="N140" s="11">
        <v>726.06892881738668</v>
      </c>
      <c r="O140" s="11">
        <v>744.44945125944184</v>
      </c>
      <c r="P140" s="11">
        <v>763.29527884241952</v>
      </c>
      <c r="Q140" s="11">
        <v>782.61819082204295</v>
      </c>
      <c r="R140" s="11">
        <v>802.43026464731338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</row>
    <row r="141" spans="1:42" x14ac:dyDescent="0.25">
      <c r="A141" s="4" t="s">
        <v>30</v>
      </c>
      <c r="B141" s="11">
        <v>137.17420929921971</v>
      </c>
      <c r="C141" s="11">
        <v>151.60094682751969</v>
      </c>
      <c r="D141" s="11">
        <v>167.54495758650739</v>
      </c>
      <c r="E141" s="11">
        <v>185.16581459482583</v>
      </c>
      <c r="F141" s="11">
        <v>204.63987331198885</v>
      </c>
      <c r="G141" s="11">
        <v>226.16203666309497</v>
      </c>
      <c r="H141" s="11">
        <v>249.94770569281093</v>
      </c>
      <c r="I141" s="11">
        <v>256.2751619872289</v>
      </c>
      <c r="J141" s="11">
        <v>262.76279860035311</v>
      </c>
      <c r="K141" s="11">
        <v>269.41467051625727</v>
      </c>
      <c r="L141" s="11">
        <v>276.23493537142565</v>
      </c>
      <c r="M141" s="11">
        <v>283.22785605341107</v>
      </c>
      <c r="N141" s="11">
        <v>290.39780336527878</v>
      </c>
      <c r="O141" s="11">
        <v>297.74925875750023</v>
      </c>
      <c r="P141" s="11">
        <v>305.28681712900567</v>
      </c>
      <c r="Q141" s="11">
        <v>313.01518969914571</v>
      </c>
      <c r="R141" s="11">
        <v>320.93920695235653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</row>
    <row r="142" spans="1:42" x14ac:dyDescent="0.25">
      <c r="A142" s="4" t="s">
        <v>32</v>
      </c>
      <c r="B142" s="11">
        <v>64.930515352669701</v>
      </c>
      <c r="C142" s="11">
        <v>71.759317263434909</v>
      </c>
      <c r="D142" s="11">
        <v>79.306310540512044</v>
      </c>
      <c r="E142" s="11">
        <v>87.647028029250109</v>
      </c>
      <c r="F142" s="11">
        <v>96.864946433688374</v>
      </c>
      <c r="G142" s="11">
        <v>107.0523217794678</v>
      </c>
      <c r="H142" s="11">
        <v>118.31111274314409</v>
      </c>
      <c r="I142" s="11">
        <v>121.30617282161609</v>
      </c>
      <c r="J142" s="11">
        <v>124.3770532069525</v>
      </c>
      <c r="K142" s="11">
        <v>127.52567329935978</v>
      </c>
      <c r="L142" s="11">
        <v>130.75400108889201</v>
      </c>
      <c r="M142" s="11">
        <v>134.06405438550863</v>
      </c>
      <c r="N142" s="11">
        <v>137.45790208027137</v>
      </c>
      <c r="O142" s="11">
        <v>140.93766543846857</v>
      </c>
      <c r="P142" s="11">
        <v>144.50551942547503</v>
      </c>
      <c r="Q142" s="11">
        <v>148.16369406617611</v>
      </c>
      <c r="R142" s="11">
        <v>151.91447583880597</v>
      </c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</row>
    <row r="143" spans="1:42" x14ac:dyDescent="0.25">
      <c r="A143" s="4" t="s">
        <v>34</v>
      </c>
      <c r="B143" s="11">
        <v>35.531019972868243</v>
      </c>
      <c r="C143" s="11">
        <v>39.267849963578968</v>
      </c>
      <c r="D143" s="11">
        <v>43.39768579510536</v>
      </c>
      <c r="E143" s="11">
        <v>47.961860252535082</v>
      </c>
      <c r="F143" s="11">
        <v>53.006053127910114</v>
      </c>
      <c r="G143" s="11">
        <v>58.580748398938979</v>
      </c>
      <c r="H143" s="11">
        <v>64.74173948961392</v>
      </c>
      <c r="I143" s="11">
        <v>66.380684427754673</v>
      </c>
      <c r="J143" s="11">
        <v>68.061119454537362</v>
      </c>
      <c r="K143" s="11">
        <v>69.784094896556525</v>
      </c>
      <c r="L143" s="11">
        <v>71.550687669551024</v>
      </c>
      <c r="M143" s="11">
        <v>73.362001951511473</v>
      </c>
      <c r="N143" s="11">
        <v>75.219169872827379</v>
      </c>
      <c r="O143" s="11">
        <v>77.123352223905499</v>
      </c>
      <c r="P143" s="11">
        <v>79.075739180701646</v>
      </c>
      <c r="Q143" s="11">
        <v>81.077551048619412</v>
      </c>
      <c r="R143" s="11">
        <v>83.130039025240748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</row>
    <row r="144" spans="1:42" x14ac:dyDescent="0.25">
      <c r="A144" s="4" t="s">
        <v>36</v>
      </c>
      <c r="B144" s="11">
        <v>12.620752449097804</v>
      </c>
      <c r="C144" s="11">
        <v>13.9480885709749</v>
      </c>
      <c r="D144" s="11">
        <v>15.415021851384779</v>
      </c>
      <c r="E144" s="11">
        <v>17.036233851651087</v>
      </c>
      <c r="F144" s="11">
        <v>18.82795020638066</v>
      </c>
      <c r="G144" s="11">
        <v>20.808103015068294</v>
      </c>
      <c r="H144" s="11">
        <v>22.99651031257568</v>
      </c>
      <c r="I144" s="11">
        <v>23.578669742779805</v>
      </c>
      <c r="J144" s="11">
        <v>24.17556660912398</v>
      </c>
      <c r="K144" s="11">
        <v>24.787573991580309</v>
      </c>
      <c r="L144" s="11">
        <v>25.415074414685364</v>
      </c>
      <c r="M144" s="11">
        <v>26.058460086630451</v>
      </c>
      <c r="N144" s="11">
        <v>26.718133144404518</v>
      </c>
      <c r="O144" s="11">
        <v>27.394505905142857</v>
      </c>
      <c r="P144" s="11">
        <v>28.088001123838726</v>
      </c>
      <c r="Q144" s="11">
        <v>28.799052257578996</v>
      </c>
      <c r="R144" s="11">
        <v>29.528103736468932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</row>
    <row r="145" spans="1:42" x14ac:dyDescent="0.25">
      <c r="A145" s="12" t="s">
        <v>38</v>
      </c>
      <c r="B145" s="22">
        <v>26.3528514794478</v>
      </c>
      <c r="C145" s="22">
        <v>29.124405063452517</v>
      </c>
      <c r="D145" s="22">
        <v>32.187445482382863</v>
      </c>
      <c r="E145" s="22">
        <v>35.572628674274924</v>
      </c>
      <c r="F145" s="22">
        <v>39.313834690312532</v>
      </c>
      <c r="G145" s="22">
        <v>43.448506777766944</v>
      </c>
      <c r="H145" s="22">
        <v>48.018026124600695</v>
      </c>
      <c r="I145" s="22">
        <v>49.233608243290135</v>
      </c>
      <c r="J145" s="22">
        <v>50.479962969821543</v>
      </c>
      <c r="K145" s="22">
        <v>51.757869316471279</v>
      </c>
      <c r="L145" s="22">
        <v>53.068126016305385</v>
      </c>
      <c r="M145" s="22">
        <v>54.41155202241373</v>
      </c>
      <c r="N145" s="22">
        <v>55.788987019782368</v>
      </c>
      <c r="O145" s="22">
        <v>57.201291950123959</v>
      </c>
      <c r="P145" s="22">
        <v>58.649349549994383</v>
      </c>
      <c r="Q145" s="22">
        <v>60.134064902531847</v>
      </c>
      <c r="R145" s="22">
        <v>61.656366003163271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</row>
    <row r="146" spans="1:42" x14ac:dyDescent="0.25">
      <c r="A146" s="4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</row>
    <row r="147" spans="1:42" x14ac:dyDescent="0.25">
      <c r="A147" s="18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</row>
    <row r="148" spans="1:42" x14ac:dyDescent="0.25">
      <c r="A148" s="23" t="s">
        <v>40</v>
      </c>
      <c r="B148" s="24">
        <f>SUM(B149:B165)</f>
        <v>33121.587208601049</v>
      </c>
      <c r="C148" s="24">
        <f t="shared" ref="C148:R148" si="10">SUM(C149:C165)</f>
        <v>36605.014943452254</v>
      </c>
      <c r="D148" s="24">
        <f t="shared" si="10"/>
        <v>40454.797971227927</v>
      </c>
      <c r="E148" s="24">
        <f t="shared" si="10"/>
        <v>44709.466214426815</v>
      </c>
      <c r="F148" s="24">
        <f t="shared" si="10"/>
        <v>49411.601822870252</v>
      </c>
      <c r="G148" s="24">
        <f t="shared" si="10"/>
        <v>54608.265350169859</v>
      </c>
      <c r="H148" s="24">
        <f t="shared" si="10"/>
        <v>60351.466751565815</v>
      </c>
      <c r="I148" s="24">
        <f t="shared" si="10"/>
        <v>61879.27140620775</v>
      </c>
      <c r="J148" s="24">
        <f t="shared" si="10"/>
        <v>63445.752619819767</v>
      </c>
      <c r="K148" s="24">
        <f t="shared" si="10"/>
        <v>65051.889494153591</v>
      </c>
      <c r="L148" s="24">
        <f t="shared" si="10"/>
        <v>66698.685917039911</v>
      </c>
      <c r="M148" s="24">
        <f t="shared" si="10"/>
        <v>68387.171189850807</v>
      </c>
      <c r="N148" s="24">
        <f t="shared" si="10"/>
        <v>70118.400670846619</v>
      </c>
      <c r="O148" s="24">
        <f t="shared" si="10"/>
        <v>71893.456434809312</v>
      </c>
      <c r="P148" s="24">
        <f t="shared" si="10"/>
        <v>73713.447949374284</v>
      </c>
      <c r="Q148" s="24">
        <f t="shared" si="10"/>
        <v>75579.51276848391</v>
      </c>
      <c r="R148" s="24">
        <f t="shared" si="10"/>
        <v>77492.817243395679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</row>
    <row r="149" spans="1:42" x14ac:dyDescent="0.25">
      <c r="A149" s="25" t="s">
        <v>6</v>
      </c>
      <c r="B149" s="11">
        <v>257.14783115036778</v>
      </c>
      <c r="C149" s="11">
        <v>284.19230463361362</v>
      </c>
      <c r="D149" s="11">
        <v>314.08107022196492</v>
      </c>
      <c r="E149" s="11">
        <v>347.11326472739097</v>
      </c>
      <c r="F149" s="11">
        <v>383.61948545500604</v>
      </c>
      <c r="G149" s="11">
        <v>423.96509893201659</v>
      </c>
      <c r="H149" s="11">
        <v>468.55389761872959</v>
      </c>
      <c r="I149" s="11">
        <v>480.41539600913865</v>
      </c>
      <c r="J149" s="11">
        <v>492.57716966090123</v>
      </c>
      <c r="K149" s="11">
        <v>505.046820078449</v>
      </c>
      <c r="L149" s="11">
        <v>517.83214119921445</v>
      </c>
      <c r="M149" s="11">
        <v>530.9411242650956</v>
      </c>
      <c r="N149" s="11">
        <v>544.3819628172422</v>
      </c>
      <c r="O149" s="11">
        <v>558.16305781728579</v>
      </c>
      <c r="P149" s="11">
        <v>572.29302289821408</v>
      </c>
      <c r="Q149" s="11">
        <v>586.78068974817211</v>
      </c>
      <c r="R149" s="11">
        <v>601.63511363055454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</row>
    <row r="150" spans="1:42" x14ac:dyDescent="0.25">
      <c r="A150" s="11" t="s">
        <v>8</v>
      </c>
      <c r="B150" s="11">
        <v>170.38015806282033</v>
      </c>
      <c r="C150" s="11">
        <v>188.29919570816111</v>
      </c>
      <c r="D150" s="11">
        <v>208.10279499369449</v>
      </c>
      <c r="E150" s="11">
        <v>229.98915699728965</v>
      </c>
      <c r="F150" s="11">
        <v>254.17732778613887</v>
      </c>
      <c r="G150" s="11">
        <v>280.90939070342193</v>
      </c>
      <c r="H150" s="11">
        <v>310.45288921977163</v>
      </c>
      <c r="I150" s="11">
        <v>318.3120415275273</v>
      </c>
      <c r="J150" s="11">
        <v>326.37014922317366</v>
      </c>
      <c r="K150" s="11">
        <v>334.63224888633414</v>
      </c>
      <c r="L150" s="11">
        <v>343.10350459825236</v>
      </c>
      <c r="M150" s="11">
        <v>351.78921116951102</v>
      </c>
      <c r="N150" s="11">
        <v>360.69479744946096</v>
      </c>
      <c r="O150" s="11">
        <v>369.8258297194285</v>
      </c>
      <c r="P150" s="11">
        <v>379.18801517182271</v>
      </c>
      <c r="Q150" s="11">
        <v>388.78720547731638</v>
      </c>
      <c r="R150" s="11">
        <v>398.62940044233051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</row>
    <row r="151" spans="1:42" x14ac:dyDescent="0.25">
      <c r="A151" s="11" t="s">
        <v>10</v>
      </c>
      <c r="B151" s="11">
        <v>86.767673087547394</v>
      </c>
      <c r="C151" s="11">
        <v>95.893108925452424</v>
      </c>
      <c r="D151" s="11">
        <v>105.97827522827035</v>
      </c>
      <c r="E151" s="11">
        <v>117.12410773010122</v>
      </c>
      <c r="F151" s="11">
        <v>129.44215766886703</v>
      </c>
      <c r="G151" s="11">
        <v>143.05570822859451</v>
      </c>
      <c r="H151" s="11">
        <v>158.10100839895779</v>
      </c>
      <c r="I151" s="11">
        <v>162.10335448161115</v>
      </c>
      <c r="J151" s="11">
        <v>166.20702043772735</v>
      </c>
      <c r="K151" s="11">
        <v>170.41457119211464</v>
      </c>
      <c r="L151" s="11">
        <v>174.72863660096189</v>
      </c>
      <c r="M151" s="11">
        <v>179.15191309558438</v>
      </c>
      <c r="N151" s="11">
        <v>183.68716536778109</v>
      </c>
      <c r="O151" s="11">
        <v>188.33722809785718</v>
      </c>
      <c r="P151" s="11">
        <v>193.10500772639128</v>
      </c>
      <c r="Q151" s="11">
        <v>197.99348427085565</v>
      </c>
      <c r="R151" s="11">
        <v>203.00571318822398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</row>
    <row r="152" spans="1:42" x14ac:dyDescent="0.25">
      <c r="A152" s="11" t="s">
        <v>12</v>
      </c>
      <c r="B152" s="11">
        <v>711.49491931788862</v>
      </c>
      <c r="C152" s="11">
        <v>786.3234931887099</v>
      </c>
      <c r="D152" s="11">
        <v>869.02185687181679</v>
      </c>
      <c r="E152" s="11">
        <v>960.41768338682994</v>
      </c>
      <c r="F152" s="11">
        <v>1061.4256928847096</v>
      </c>
      <c r="G152" s="11">
        <v>1173.0568074744751</v>
      </c>
      <c r="H152" s="11">
        <v>1296.4282688714541</v>
      </c>
      <c r="I152" s="11">
        <v>1329.2475067492117</v>
      </c>
      <c r="J152" s="11">
        <v>1362.8975675893646</v>
      </c>
      <c r="K152" s="11">
        <v>1397.3994837753403</v>
      </c>
      <c r="L152" s="11">
        <v>1432.7748201278878</v>
      </c>
      <c r="M152" s="11">
        <v>1469.045687383792</v>
      </c>
      <c r="N152" s="11">
        <v>1506.2347560158053</v>
      </c>
      <c r="O152" s="11">
        <v>1544.3652704024291</v>
      </c>
      <c r="P152" s="11">
        <v>1583.4610633564089</v>
      </c>
      <c r="Q152" s="11">
        <v>1623.5465710210167</v>
      </c>
      <c r="R152" s="11">
        <v>1664.646848143437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</row>
    <row r="153" spans="1:42" x14ac:dyDescent="0.25">
      <c r="A153" s="11" t="s">
        <v>14</v>
      </c>
      <c r="B153" s="11">
        <v>7050.2678368772604</v>
      </c>
      <c r="C153" s="11">
        <v>7791.7509779608527</v>
      </c>
      <c r="D153" s="11">
        <v>8611.216581729821</v>
      </c>
      <c r="E153" s="11">
        <v>9516.8661353785865</v>
      </c>
      <c r="F153" s="11">
        <v>10517.763684039393</v>
      </c>
      <c r="G153" s="11">
        <v>11623.926546792523</v>
      </c>
      <c r="H153" s="11">
        <v>12846.425573362587</v>
      </c>
      <c r="I153" s="11">
        <v>13171.634385060366</v>
      </c>
      <c r="J153" s="11">
        <v>13505.075897021881</v>
      </c>
      <c r="K153" s="11">
        <v>13846.95852104655</v>
      </c>
      <c r="L153" s="11">
        <v>14197.495944903611</v>
      </c>
      <c r="M153" s="11">
        <v>14556.907265893935</v>
      </c>
      <c r="N153" s="11">
        <v>14925.417127792974</v>
      </c>
      <c r="O153" s="11">
        <v>15303.255861260428</v>
      </c>
      <c r="P153" s="11">
        <v>15690.659627804409</v>
      </c>
      <c r="Q153" s="11">
        <v>16087.870567390068</v>
      </c>
      <c r="R153" s="11">
        <v>16495.136949784959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</row>
    <row r="154" spans="1:42" x14ac:dyDescent="0.25">
      <c r="A154" s="11" t="s">
        <v>16</v>
      </c>
      <c r="B154" s="11">
        <v>10031.920602976617</v>
      </c>
      <c r="C154" s="11">
        <v>11086.986902853674</v>
      </c>
      <c r="D154" s="11">
        <v>12253.015494119478</v>
      </c>
      <c r="E154" s="11">
        <v>13541.67638283116</v>
      </c>
      <c r="F154" s="11">
        <v>14965.866920296829</v>
      </c>
      <c r="G154" s="11">
        <v>16539.840884102414</v>
      </c>
      <c r="H154" s="11">
        <v>18279.351134708599</v>
      </c>
      <c r="I154" s="11">
        <v>18742.095111792103</v>
      </c>
      <c r="J154" s="11">
        <v>19216.553508427431</v>
      </c>
      <c r="K154" s="11">
        <v>19703.022876557407</v>
      </c>
      <c r="L154" s="11">
        <v>20201.807275373038</v>
      </c>
      <c r="M154" s="11">
        <v>20713.218461360389</v>
      </c>
      <c r="N154" s="11">
        <v>21237.576083158554</v>
      </c>
      <c r="O154" s="11">
        <v>21775.207881350441</v>
      </c>
      <c r="P154" s="11">
        <v>22326.449893311321</v>
      </c>
      <c r="Q154" s="11">
        <v>22891.646663243118</v>
      </c>
      <c r="R154" s="11">
        <v>23471.151457525757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</row>
    <row r="155" spans="1:42" x14ac:dyDescent="0.25">
      <c r="A155" s="11" t="s">
        <v>18</v>
      </c>
      <c r="B155" s="11">
        <v>6117.9097497001603</v>
      </c>
      <c r="C155" s="11">
        <v>6761.3359347800824</v>
      </c>
      <c r="D155" s="11">
        <v>7472.4318424587718</v>
      </c>
      <c r="E155" s="11">
        <v>8258.3143595878646</v>
      </c>
      <c r="F155" s="11">
        <v>9126.8488625430255</v>
      </c>
      <c r="G155" s="11">
        <v>10086.727936554356</v>
      </c>
      <c r="H155" s="11">
        <v>11147.558374021062</v>
      </c>
      <c r="I155" s="11">
        <v>11429.760157812512</v>
      </c>
      <c r="J155" s="11">
        <v>11719.105913772852</v>
      </c>
      <c r="K155" s="11">
        <v>12015.776492418558</v>
      </c>
      <c r="L155" s="11">
        <v>12319.957322518732</v>
      </c>
      <c r="M155" s="11">
        <v>12631.838526994114</v>
      </c>
      <c r="N155" s="11">
        <v>12951.615041750094</v>
      </c>
      <c r="O155" s="11">
        <v>13279.486737518004</v>
      </c>
      <c r="P155" s="11">
        <v>13615.658544780827</v>
      </c>
      <c r="Q155" s="11">
        <v>13960.340581861423</v>
      </c>
      <c r="R155" s="11">
        <v>14313.74828625332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</row>
    <row r="156" spans="1:42" x14ac:dyDescent="0.25">
      <c r="A156" s="4" t="s">
        <v>20</v>
      </c>
      <c r="B156" s="11">
        <v>3839.8639326380071</v>
      </c>
      <c r="C156" s="11">
        <v>4243.7059477191133</v>
      </c>
      <c r="D156" s="11">
        <v>4690.0203982838193</v>
      </c>
      <c r="E156" s="11">
        <v>5183.2741493648437</v>
      </c>
      <c r="F156" s="11">
        <v>5728.4038502913163</v>
      </c>
      <c r="G156" s="11">
        <v>6330.8653423345295</v>
      </c>
      <c r="H156" s="11">
        <v>6996.688262601152</v>
      </c>
      <c r="I156" s="11">
        <v>7173.8102692407565</v>
      </c>
      <c r="J156" s="11">
        <v>7355.4161408259715</v>
      </c>
      <c r="K156" s="11">
        <v>7541.6193869383105</v>
      </c>
      <c r="L156" s="11">
        <v>7732.5363906680232</v>
      </c>
      <c r="M156" s="11">
        <v>7928.286481357316</v>
      </c>
      <c r="N156" s="11">
        <v>8128.9920091850763</v>
      </c>
      <c r="O156" s="11">
        <v>8334.7784216397158</v>
      </c>
      <c r="P156" s="11">
        <v>8545.7743419279341</v>
      </c>
      <c r="Q156" s="11">
        <v>8762.1116493684112</v>
      </c>
      <c r="R156" s="11">
        <v>8983.9255618206753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</row>
    <row r="157" spans="1:42" x14ac:dyDescent="0.25">
      <c r="A157" s="4" t="s">
        <v>22</v>
      </c>
      <c r="B157" s="11">
        <v>2366.3910842058385</v>
      </c>
      <c r="C157" s="11">
        <v>2615.2666070577939</v>
      </c>
      <c r="D157" s="11">
        <v>2890.3165971346461</v>
      </c>
      <c r="E157" s="11">
        <v>3194.2938471845787</v>
      </c>
      <c r="F157" s="11">
        <v>3530.2406636963738</v>
      </c>
      <c r="G157" s="11">
        <v>3901.5193153253053</v>
      </c>
      <c r="H157" s="11">
        <v>4311.8456836079404</v>
      </c>
      <c r="I157" s="11">
        <v>4421.0005767712137</v>
      </c>
      <c r="J157" s="11">
        <v>4532.918739210746</v>
      </c>
      <c r="K157" s="11">
        <v>4647.6701234213078</v>
      </c>
      <c r="L157" s="11">
        <v>4765.3264527535057</v>
      </c>
      <c r="M157" s="11">
        <v>4885.96126624321</v>
      </c>
      <c r="N157" s="11">
        <v>5009.6499645758477</v>
      </c>
      <c r="O157" s="11">
        <v>5136.4698572142861</v>
      </c>
      <c r="P157" s="11">
        <v>5266.5002107197615</v>
      </c>
      <c r="Q157" s="11">
        <v>5399.8222982960624</v>
      </c>
      <c r="R157" s="11">
        <v>5536.5194505879253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</row>
    <row r="158" spans="1:42" x14ac:dyDescent="0.25">
      <c r="A158" s="4" t="s">
        <v>24</v>
      </c>
      <c r="B158" s="11">
        <v>1422.9898386357772</v>
      </c>
      <c r="C158" s="11">
        <v>1572.6469863774198</v>
      </c>
      <c r="D158" s="11">
        <v>1738.0437137436336</v>
      </c>
      <c r="E158" s="11">
        <v>1920.8353667736599</v>
      </c>
      <c r="F158" s="11">
        <v>2122.8513857694193</v>
      </c>
      <c r="G158" s="11">
        <v>2346.1136149489503</v>
      </c>
      <c r="H158" s="11">
        <v>2592.8565377429081</v>
      </c>
      <c r="I158" s="11">
        <v>2658.4950134984233</v>
      </c>
      <c r="J158" s="11">
        <v>2725.7951351787292</v>
      </c>
      <c r="K158" s="11">
        <v>2794.7989675506806</v>
      </c>
      <c r="L158" s="11">
        <v>2865.5496402557756</v>
      </c>
      <c r="M158" s="11">
        <v>2938.0913747675841</v>
      </c>
      <c r="N158" s="11">
        <v>3012.4695120316105</v>
      </c>
      <c r="O158" s="11">
        <v>3088.7305408048583</v>
      </c>
      <c r="P158" s="11">
        <v>3166.9221267128178</v>
      </c>
      <c r="Q158" s="11">
        <v>3247.0931420420334</v>
      </c>
      <c r="R158" s="11">
        <v>3329.2936962868739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</row>
    <row r="159" spans="1:42" x14ac:dyDescent="0.25">
      <c r="A159" s="4" t="s">
        <v>26</v>
      </c>
      <c r="B159" s="11">
        <v>605.79611755669464</v>
      </c>
      <c r="C159" s="11">
        <v>669.50825140679524</v>
      </c>
      <c r="D159" s="11">
        <v>739.9210488664695</v>
      </c>
      <c r="E159" s="11">
        <v>817.73922487925233</v>
      </c>
      <c r="F159" s="11">
        <v>903.74160990627183</v>
      </c>
      <c r="G159" s="11">
        <v>998.78894472327829</v>
      </c>
      <c r="H159" s="11">
        <v>1103.8324950036329</v>
      </c>
      <c r="I159" s="11">
        <v>1131.7761476534308</v>
      </c>
      <c r="J159" s="11">
        <v>1160.4271972379513</v>
      </c>
      <c r="K159" s="11">
        <v>1189.8035515958552</v>
      </c>
      <c r="L159" s="11">
        <v>1219.9235719048977</v>
      </c>
      <c r="M159" s="11">
        <v>1250.8060841582619</v>
      </c>
      <c r="N159" s="11">
        <v>1282.4703909314171</v>
      </c>
      <c r="O159" s="11">
        <v>1314.9362834468573</v>
      </c>
      <c r="P159" s="11">
        <v>1348.2240539442589</v>
      </c>
      <c r="Q159" s="11">
        <v>1382.3545083637919</v>
      </c>
      <c r="R159" s="11">
        <v>1417.3489793505089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</row>
    <row r="160" spans="1:42" x14ac:dyDescent="0.25">
      <c r="A160" s="4" t="s">
        <v>28</v>
      </c>
      <c r="B160" s="11">
        <v>242.94948464513274</v>
      </c>
      <c r="C160" s="11">
        <v>268.50070499126684</v>
      </c>
      <c r="D160" s="11">
        <v>296.73917063915701</v>
      </c>
      <c r="E160" s="11">
        <v>327.94750164428342</v>
      </c>
      <c r="F160" s="11">
        <v>362.43804147282771</v>
      </c>
      <c r="G160" s="11">
        <v>400.55598304006469</v>
      </c>
      <c r="H160" s="11">
        <v>442.68282351708189</v>
      </c>
      <c r="I160" s="11">
        <v>453.8893925485113</v>
      </c>
      <c r="J160" s="11">
        <v>465.37965722563666</v>
      </c>
      <c r="K160" s="11">
        <v>477.16079933792105</v>
      </c>
      <c r="L160" s="11">
        <v>489.24018248269334</v>
      </c>
      <c r="M160" s="11">
        <v>501.62535666763631</v>
      </c>
      <c r="N160" s="11">
        <v>514.32406302978711</v>
      </c>
      <c r="O160" s="11">
        <v>527.34423867400017</v>
      </c>
      <c r="P160" s="11">
        <v>540.69402163389566</v>
      </c>
      <c r="Q160" s="11">
        <v>554.38175595839584</v>
      </c>
      <c r="R160" s="11">
        <v>568.41599692702709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</row>
    <row r="161" spans="1:42" x14ac:dyDescent="0.25">
      <c r="A161" s="4" t="s">
        <v>30</v>
      </c>
      <c r="B161" s="11">
        <v>99.388425536645215</v>
      </c>
      <c r="C161" s="11">
        <v>109.84119749642734</v>
      </c>
      <c r="D161" s="11">
        <v>121.39329707965514</v>
      </c>
      <c r="E161" s="11">
        <v>134.16034158175231</v>
      </c>
      <c r="F161" s="11">
        <v>148.2701078752477</v>
      </c>
      <c r="G161" s="11">
        <v>163.86381124366284</v>
      </c>
      <c r="H161" s="11">
        <v>181.0975187115335</v>
      </c>
      <c r="I161" s="11">
        <v>185.68202422439097</v>
      </c>
      <c r="J161" s="11">
        <v>190.38258704685134</v>
      </c>
      <c r="K161" s="11">
        <v>195.20214518369494</v>
      </c>
      <c r="L161" s="11">
        <v>200.14371101564723</v>
      </c>
      <c r="M161" s="11">
        <v>205.21037318221479</v>
      </c>
      <c r="N161" s="11">
        <v>210.4052985121856</v>
      </c>
      <c r="O161" s="11">
        <v>215.73173400300001</v>
      </c>
      <c r="P161" s="11">
        <v>221.19300885022997</v>
      </c>
      <c r="Q161" s="11">
        <v>226.7925365284346</v>
      </c>
      <c r="R161" s="11">
        <v>232.53381692469284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</row>
    <row r="162" spans="1:42" x14ac:dyDescent="0.25">
      <c r="A162" s="4" t="s">
        <v>32</v>
      </c>
      <c r="B162" s="11">
        <v>50.483009796391215</v>
      </c>
      <c r="C162" s="11">
        <v>55.792354283899598</v>
      </c>
      <c r="D162" s="11">
        <v>61.660087405539116</v>
      </c>
      <c r="E162" s="11">
        <v>68.144935406604347</v>
      </c>
      <c r="F162" s="11">
        <v>75.311800825522639</v>
      </c>
      <c r="G162" s="11">
        <v>83.232412060273177</v>
      </c>
      <c r="H162" s="11">
        <v>91.986041250302719</v>
      </c>
      <c r="I162" s="11">
        <v>94.314678971119221</v>
      </c>
      <c r="J162" s="11">
        <v>96.702266436495918</v>
      </c>
      <c r="K162" s="11">
        <v>99.150295966321238</v>
      </c>
      <c r="L162" s="11">
        <v>101.66029765874146</v>
      </c>
      <c r="M162" s="11">
        <v>104.2338403465218</v>
      </c>
      <c r="N162" s="11">
        <v>106.87253257761807</v>
      </c>
      <c r="O162" s="11">
        <v>109.57802362057143</v>
      </c>
      <c r="P162" s="11">
        <v>112.3520044953549</v>
      </c>
      <c r="Q162" s="11">
        <v>115.19620903031598</v>
      </c>
      <c r="R162" s="11">
        <v>118.11241494587573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</row>
    <row r="163" spans="1:42" x14ac:dyDescent="0.25">
      <c r="A163" s="4" t="s">
        <v>34</v>
      </c>
      <c r="B163" s="11">
        <v>29.974287066607285</v>
      </c>
      <c r="C163" s="11">
        <v>33.126710356065388</v>
      </c>
      <c r="D163" s="11">
        <v>36.61067689703885</v>
      </c>
      <c r="E163" s="11">
        <v>40.461055397671331</v>
      </c>
      <c r="F163" s="11">
        <v>44.716381740154063</v>
      </c>
      <c r="G163" s="11">
        <v>49.419244660787193</v>
      </c>
      <c r="H163" s="11">
        <v>54.616711992367236</v>
      </c>
      <c r="I163" s="11">
        <v>55.99934063910203</v>
      </c>
      <c r="J163" s="11">
        <v>57.416970696669445</v>
      </c>
      <c r="K163" s="11">
        <v>58.870488230003232</v>
      </c>
      <c r="L163" s="11">
        <v>60.360801734877732</v>
      </c>
      <c r="M163" s="11">
        <v>61.888842705747315</v>
      </c>
      <c r="N163" s="11">
        <v>63.45556621796073</v>
      </c>
      <c r="O163" s="11">
        <v>65.061951524714289</v>
      </c>
      <c r="P163" s="11">
        <v>66.709002669116984</v>
      </c>
      <c r="Q163" s="11">
        <v>68.39774911175013</v>
      </c>
      <c r="R163" s="11">
        <v>70.129246374113734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</row>
    <row r="164" spans="1:42" x14ac:dyDescent="0.25">
      <c r="A164" s="4" t="s">
        <v>36</v>
      </c>
      <c r="B164" s="11">
        <v>12.620752449097804</v>
      </c>
      <c r="C164" s="11">
        <v>13.9480885709749</v>
      </c>
      <c r="D164" s="11">
        <v>15.415021851384779</v>
      </c>
      <c r="E164" s="11">
        <v>17.036233851651087</v>
      </c>
      <c r="F164" s="11">
        <v>18.82795020638066</v>
      </c>
      <c r="G164" s="11">
        <v>20.808103015068294</v>
      </c>
      <c r="H164" s="11">
        <v>22.99651031257568</v>
      </c>
      <c r="I164" s="11">
        <v>23.578669742779805</v>
      </c>
      <c r="J164" s="11">
        <v>24.17556660912398</v>
      </c>
      <c r="K164" s="11">
        <v>24.787573991580309</v>
      </c>
      <c r="L164" s="11">
        <v>25.415074414685364</v>
      </c>
      <c r="M164" s="11">
        <v>26.058460086630451</v>
      </c>
      <c r="N164" s="11">
        <v>26.718133144404518</v>
      </c>
      <c r="O164" s="11">
        <v>27.394505905142857</v>
      </c>
      <c r="P164" s="11">
        <v>28.088001123838726</v>
      </c>
      <c r="Q164" s="11">
        <v>28.799052257578996</v>
      </c>
      <c r="R164" s="11">
        <v>29.528103736468932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</row>
    <row r="165" spans="1:42" x14ac:dyDescent="0.25">
      <c r="A165" s="12" t="s">
        <v>38</v>
      </c>
      <c r="B165" s="22">
        <v>25.241504898195608</v>
      </c>
      <c r="C165" s="22">
        <v>27.896177141949799</v>
      </c>
      <c r="D165" s="22">
        <v>30.830043702769558</v>
      </c>
      <c r="E165" s="22">
        <v>34.072467703302173</v>
      </c>
      <c r="F165" s="22">
        <v>37.655900412761319</v>
      </c>
      <c r="G165" s="22">
        <v>41.616206030136588</v>
      </c>
      <c r="H165" s="22">
        <v>45.99302062515136</v>
      </c>
      <c r="I165" s="22">
        <v>47.157339485559611</v>
      </c>
      <c r="J165" s="22">
        <v>48.351133218247959</v>
      </c>
      <c r="K165" s="22">
        <v>49.575147983160619</v>
      </c>
      <c r="L165" s="22">
        <v>50.830148829370728</v>
      </c>
      <c r="M165" s="22">
        <v>52.116920173260901</v>
      </c>
      <c r="N165" s="22">
        <v>53.436266288809037</v>
      </c>
      <c r="O165" s="22">
        <v>54.789011810285714</v>
      </c>
      <c r="P165" s="22">
        <v>56.176002247677452</v>
      </c>
      <c r="Q165" s="22">
        <v>57.598104515157992</v>
      </c>
      <c r="R165" s="22">
        <v>59.056207472937864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</row>
    <row r="166" spans="1:42" x14ac:dyDescent="0.25">
      <c r="A166" s="4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</row>
    <row r="167" spans="1:42" x14ac:dyDescent="0.25">
      <c r="A167" s="18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</row>
    <row r="168" spans="1:42" x14ac:dyDescent="0.25">
      <c r="A168" s="23" t="s">
        <v>2</v>
      </c>
      <c r="B168" s="24">
        <f>SUM(B169:B185)</f>
        <v>3920.8307386577299</v>
      </c>
      <c r="C168" s="24">
        <f t="shared" ref="C168:R168" si="11">SUM(C169:C185)</f>
        <v>4333.1881070615837</v>
      </c>
      <c r="D168" s="24">
        <f t="shared" si="11"/>
        <v>4788.913478475728</v>
      </c>
      <c r="E168" s="24">
        <f t="shared" si="11"/>
        <v>5292.5679055918654</v>
      </c>
      <c r="F168" s="24">
        <f t="shared" si="11"/>
        <v>5849.1921312006689</v>
      </c>
      <c r="G168" s="24">
        <f t="shared" si="11"/>
        <v>6464.3570376398966</v>
      </c>
      <c r="H168" s="24">
        <f t="shared" si="11"/>
        <v>7144.2194020572597</v>
      </c>
      <c r="I168" s="24">
        <f t="shared" si="11"/>
        <v>7325.0761772733022</v>
      </c>
      <c r="J168" s="24">
        <f t="shared" si="11"/>
        <v>7510.5113635515972</v>
      </c>
      <c r="K168" s="24">
        <f t="shared" si="11"/>
        <v>7700.640863919999</v>
      </c>
      <c r="L168" s="24">
        <f t="shared" si="11"/>
        <v>7895.5835155054765</v>
      </c>
      <c r="M168" s="24">
        <f t="shared" si="11"/>
        <v>8095.461163811191</v>
      </c>
      <c r="N168" s="24">
        <f t="shared" si="11"/>
        <v>8300.3987388739042</v>
      </c>
      <c r="O168" s="24">
        <f t="shared" si="11"/>
        <v>8510.5243333493127</v>
      </c>
      <c r="P168" s="24">
        <f t="shared" si="11"/>
        <v>8725.9692825741386</v>
      </c>
      <c r="Q168" s="24">
        <f t="shared" si="11"/>
        <v>8946.8682466549653</v>
      </c>
      <c r="R168" s="24">
        <f t="shared" si="11"/>
        <v>9173.3592946352219</v>
      </c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</row>
    <row r="169" spans="1:42" x14ac:dyDescent="0.25">
      <c r="A169" s="25" t="s">
        <v>6</v>
      </c>
      <c r="B169" s="11">
        <v>185.5948790691159</v>
      </c>
      <c r="C169" s="11">
        <v>205.11406289095365</v>
      </c>
      <c r="D169" s="11">
        <v>226.68609719542138</v>
      </c>
      <c r="E169" s="11">
        <v>250.52688215244936</v>
      </c>
      <c r="F169" s="11">
        <v>276.87502435105205</v>
      </c>
      <c r="G169" s="11">
        <v>305.99422485426953</v>
      </c>
      <c r="H169" s="11">
        <v>338.17591840803925</v>
      </c>
      <c r="I169" s="11">
        <v>346.73688254099818</v>
      </c>
      <c r="J169" s="11">
        <v>355.51456851278829</v>
      </c>
      <c r="K169" s="11">
        <v>364.51446266287985</v>
      </c>
      <c r="L169" s="11">
        <v>373.74219021808807</v>
      </c>
      <c r="M169" s="11">
        <v>383.20351880852297</v>
      </c>
      <c r="N169" s="11">
        <v>392.90436207254595</v>
      </c>
      <c r="O169" s="11">
        <v>402.8507833529863</v>
      </c>
      <c r="P169" s="11">
        <v>413.0489994869277</v>
      </c>
      <c r="Q169" s="11">
        <v>423.50538469143402</v>
      </c>
      <c r="R169" s="11">
        <v>434.22647454764228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</row>
    <row r="170" spans="1:42" x14ac:dyDescent="0.25">
      <c r="A170" s="11" t="s">
        <v>8</v>
      </c>
      <c r="B170" s="11">
        <v>88.907726500175286</v>
      </c>
      <c r="C170" s="11">
        <v>98.258233720217319</v>
      </c>
      <c r="D170" s="11">
        <v>108.59214236906413</v>
      </c>
      <c r="E170" s="11">
        <v>120.01287767782006</v>
      </c>
      <c r="F170" s="11">
        <v>132.6347422040968</v>
      </c>
      <c r="G170" s="11">
        <v>146.58405981042853</v>
      </c>
      <c r="H170" s="11">
        <v>162.00043995594694</v>
      </c>
      <c r="I170" s="11">
        <v>166.10150061844223</v>
      </c>
      <c r="J170" s="11">
        <v>170.30638012588659</v>
      </c>
      <c r="K170" s="11">
        <v>174.61770666485262</v>
      </c>
      <c r="L170" s="11">
        <v>179.03817495477273</v>
      </c>
      <c r="M170" s="11">
        <v>183.57054793222659</v>
      </c>
      <c r="N170" s="11">
        <v>188.21765847786634</v>
      </c>
      <c r="O170" s="11">
        <v>192.98241118705931</v>
      </c>
      <c r="P170" s="11">
        <v>197.86778418535459</v>
      </c>
      <c r="Q170" s="11">
        <v>202.87683098990851</v>
      </c>
      <c r="R170" s="11">
        <v>208.01268241803223</v>
      </c>
    </row>
    <row r="171" spans="1:42" x14ac:dyDescent="0.25">
      <c r="A171" s="11" t="s">
        <v>10</v>
      </c>
      <c r="B171" s="11">
        <v>41.119823506331073</v>
      </c>
      <c r="C171" s="11">
        <v>45.444433095600509</v>
      </c>
      <c r="D171" s="11">
        <v>50.223865845692167</v>
      </c>
      <c r="E171" s="11">
        <v>55.505955925991778</v>
      </c>
      <c r="F171" s="11">
        <v>61.343568269394773</v>
      </c>
      <c r="G171" s="11">
        <v>67.795127662323196</v>
      </c>
      <c r="H171" s="11">
        <v>74.925203479625466</v>
      </c>
      <c r="I171" s="11">
        <v>76.821944036029535</v>
      </c>
      <c r="J171" s="11">
        <v>78.766700808222552</v>
      </c>
      <c r="K171" s="11">
        <v>80.760689332494337</v>
      </c>
      <c r="L171" s="11">
        <v>82.805155916582393</v>
      </c>
      <c r="M171" s="11">
        <v>84.901378418654801</v>
      </c>
      <c r="N171" s="11">
        <v>87.050667046013189</v>
      </c>
      <c r="O171" s="11">
        <v>89.254365174014936</v>
      </c>
      <c r="P171" s="11">
        <v>91.513850185726511</v>
      </c>
      <c r="Q171" s="11">
        <v>93.830534332832698</v>
      </c>
      <c r="R171" s="11">
        <v>96.205865618339914</v>
      </c>
    </row>
    <row r="172" spans="1:42" x14ac:dyDescent="0.25">
      <c r="A172" s="11" t="s">
        <v>12</v>
      </c>
      <c r="B172" s="11">
        <v>58.901368806366129</v>
      </c>
      <c r="C172" s="11">
        <v>65.096079839643977</v>
      </c>
      <c r="D172" s="11">
        <v>71.942294319504995</v>
      </c>
      <c r="E172" s="11">
        <v>79.508531461555791</v>
      </c>
      <c r="F172" s="11">
        <v>87.870516710214133</v>
      </c>
      <c r="G172" s="11">
        <v>97.11193962440889</v>
      </c>
      <c r="H172" s="11">
        <v>107.32529147081485</v>
      </c>
      <c r="I172" s="11">
        <v>110.04224415971798</v>
      </c>
      <c r="J172" s="11">
        <v>112.82797683339987</v>
      </c>
      <c r="K172" s="11">
        <v>115.68423066546485</v>
      </c>
      <c r="L172" s="11">
        <v>118.61279090753692</v>
      </c>
      <c r="M172" s="11">
        <v>121.61548800510009</v>
      </c>
      <c r="N172" s="11">
        <v>124.69419874158643</v>
      </c>
      <c r="O172" s="11">
        <v>127.85084741142678</v>
      </c>
      <c r="P172" s="11">
        <v>131.08740702279741</v>
      </c>
      <c r="Q172" s="11">
        <v>134.40590053081439</v>
      </c>
      <c r="R172" s="11">
        <v>137.80840210194634</v>
      </c>
    </row>
    <row r="173" spans="1:42" x14ac:dyDescent="0.25">
      <c r="A173" s="11" t="s">
        <v>14</v>
      </c>
      <c r="B173" s="11">
        <v>304.50896326310033</v>
      </c>
      <c r="C173" s="11">
        <v>336.53445049174428</v>
      </c>
      <c r="D173" s="11">
        <v>371.92808761404461</v>
      </c>
      <c r="E173" s="11">
        <v>411.04410604653361</v>
      </c>
      <c r="F173" s="11">
        <v>454.27399204903145</v>
      </c>
      <c r="G173" s="11">
        <v>502.0504048507176</v>
      </c>
      <c r="H173" s="11">
        <v>554.85150684911821</v>
      </c>
      <c r="I173" s="11">
        <v>568.89763961816459</v>
      </c>
      <c r="J173" s="11">
        <v>583.29935193116148</v>
      </c>
      <c r="K173" s="11">
        <v>598.06564532712002</v>
      </c>
      <c r="L173" s="11">
        <v>613.20574922009644</v>
      </c>
      <c r="M173" s="11">
        <v>628.7291266678759</v>
      </c>
      <c r="N173" s="11">
        <v>644.64548028669208</v>
      </c>
      <c r="O173" s="11">
        <v>660.96475831567807</v>
      </c>
      <c r="P173" s="11">
        <v>677.69716083483945</v>
      </c>
      <c r="Q173" s="11">
        <v>694.85314614043671</v>
      </c>
      <c r="R173" s="11">
        <v>712.44343728176045</v>
      </c>
    </row>
    <row r="174" spans="1:42" x14ac:dyDescent="0.25">
      <c r="A174" s="11" t="s">
        <v>16</v>
      </c>
      <c r="B174" s="11">
        <v>870.18437312046569</v>
      </c>
      <c r="C174" s="11">
        <v>961.70246253662708</v>
      </c>
      <c r="D174" s="11">
        <v>1062.8455934372153</v>
      </c>
      <c r="E174" s="11">
        <v>1174.6260402716639</v>
      </c>
      <c r="F174" s="11">
        <v>1298.1625393225975</v>
      </c>
      <c r="G174" s="11">
        <v>1434.6914853945691</v>
      </c>
      <c r="H174" s="11">
        <v>1585.5793060688306</v>
      </c>
      <c r="I174" s="11">
        <v>1625.7184373030034</v>
      </c>
      <c r="J174" s="11">
        <v>1666.873695482115</v>
      </c>
      <c r="K174" s="11">
        <v>1709.0708039822448</v>
      </c>
      <c r="L174" s="11">
        <v>1752.3361373698378</v>
      </c>
      <c r="M174" s="11">
        <v>1796.6967378866675</v>
      </c>
      <c r="N174" s="11">
        <v>1842.1803323521167</v>
      </c>
      <c r="O174" s="11">
        <v>1888.8153494933429</v>
      </c>
      <c r="P174" s="11">
        <v>1936.6309377141581</v>
      </c>
      <c r="Q174" s="11">
        <v>1985.6569833137296</v>
      </c>
      <c r="R174" s="11">
        <v>2035.9241291664905</v>
      </c>
    </row>
    <row r="175" spans="1:42" x14ac:dyDescent="0.25">
      <c r="A175" s="11" t="s">
        <v>18</v>
      </c>
      <c r="B175" s="11">
        <v>770.16318080776841</v>
      </c>
      <c r="C175" s="11">
        <v>851.1619496013825</v>
      </c>
      <c r="D175" s="11">
        <v>940.67943327201806</v>
      </c>
      <c r="E175" s="11">
        <v>1039.6115528841162</v>
      </c>
      <c r="F175" s="11">
        <v>1148.9484543429885</v>
      </c>
      <c r="G175" s="11">
        <v>1269.7844181078369</v>
      </c>
      <c r="H175" s="11">
        <v>1403.3288111183901</v>
      </c>
      <c r="I175" s="11">
        <v>1438.8542491072556</v>
      </c>
      <c r="J175" s="11">
        <v>1475.2790178404923</v>
      </c>
      <c r="K175" s="11">
        <v>1512.6258839842853</v>
      </c>
      <c r="L175" s="11">
        <v>1550.9181905457183</v>
      </c>
      <c r="M175" s="11">
        <v>1590.1798714629122</v>
      </c>
      <c r="N175" s="11">
        <v>1630.4354665645167</v>
      </c>
      <c r="O175" s="11">
        <v>1671.7101369079007</v>
      </c>
      <c r="P175" s="11">
        <v>1714.0296805056337</v>
      </c>
      <c r="Q175" s="11">
        <v>1757.4205484500822</v>
      </c>
      <c r="R175" s="11">
        <v>1801.9098614462039</v>
      </c>
    </row>
    <row r="176" spans="1:42" x14ac:dyDescent="0.25">
      <c r="A176" s="4" t="s">
        <v>20</v>
      </c>
      <c r="B176" s="11">
        <v>617.90869917621831</v>
      </c>
      <c r="C176" s="11">
        <v>682.89472435551045</v>
      </c>
      <c r="D176" s="11">
        <v>754.71538946499584</v>
      </c>
      <c r="E176" s="11">
        <v>834.08949986084951</v>
      </c>
      <c r="F176" s="11">
        <v>921.81145831847289</v>
      </c>
      <c r="G176" s="11">
        <v>1018.7592156824784</v>
      </c>
      <c r="H176" s="11">
        <v>1125.9030576938314</v>
      </c>
      <c r="I176" s="11">
        <v>1154.4054292981737</v>
      </c>
      <c r="J176" s="11">
        <v>1183.6293418749119</v>
      </c>
      <c r="K176" s="11">
        <v>1213.5930613207256</v>
      </c>
      <c r="L176" s="11">
        <v>1244.3153159356705</v>
      </c>
      <c r="M176" s="11">
        <v>1275.8153081289747</v>
      </c>
      <c r="N176" s="11">
        <v>1308.1127264211711</v>
      </c>
      <c r="O176" s="11">
        <v>1341.2277577500624</v>
      </c>
      <c r="P176" s="11">
        <v>1375.1811000882146</v>
      </c>
      <c r="Q176" s="11">
        <v>1409.9939753798644</v>
      </c>
      <c r="R176" s="11">
        <v>1445.6881428053243</v>
      </c>
    </row>
    <row r="177" spans="1:18" x14ac:dyDescent="0.25">
      <c r="A177" s="4" t="s">
        <v>22</v>
      </c>
      <c r="B177" s="11">
        <v>384.52591711325812</v>
      </c>
      <c r="C177" s="11">
        <v>424.9668608399399</v>
      </c>
      <c r="D177" s="11">
        <v>469.66101574620239</v>
      </c>
      <c r="E177" s="11">
        <v>519.05569595657175</v>
      </c>
      <c r="F177" s="11">
        <v>573.64526003271862</v>
      </c>
      <c r="G177" s="11">
        <v>633.97605868010328</v>
      </c>
      <c r="H177" s="11">
        <v>700.65190280947047</v>
      </c>
      <c r="I177" s="11">
        <v>718.38899017476263</v>
      </c>
      <c r="J177" s="11">
        <v>736.57509404445943</v>
      </c>
      <c r="K177" s="11">
        <v>755.22158132548748</v>
      </c>
      <c r="L177" s="11">
        <v>774.34010667939197</v>
      </c>
      <c r="M177" s="11">
        <v>793.94261980687986</v>
      </c>
      <c r="N177" s="11">
        <v>814.04137291677182</v>
      </c>
      <c r="O177" s="11">
        <v>834.64892838403148</v>
      </c>
      <c r="P177" s="11">
        <v>855.77816660165865</v>
      </c>
      <c r="Q177" s="11">
        <v>877.44229403135444</v>
      </c>
      <c r="R177" s="11">
        <v>899.65485145798948</v>
      </c>
    </row>
    <row r="178" spans="1:18" x14ac:dyDescent="0.25">
      <c r="A178" s="4" t="s">
        <v>24</v>
      </c>
      <c r="B178" s="11">
        <v>270.05721924428241</v>
      </c>
      <c r="C178" s="11">
        <v>298.45938492516007</v>
      </c>
      <c r="D178" s="11">
        <v>329.8486324460323</v>
      </c>
      <c r="E178" s="11">
        <v>364.53911594637839</v>
      </c>
      <c r="F178" s="11">
        <v>402.87802944494399</v>
      </c>
      <c r="G178" s="11">
        <v>445.24908167417658</v>
      </c>
      <c r="H178" s="11">
        <v>492.0763363661888</v>
      </c>
      <c r="I178" s="11">
        <v>504.53330812851829</v>
      </c>
      <c r="J178" s="11">
        <v>517.30562963238049</v>
      </c>
      <c r="K178" s="11">
        <v>530.40128399448975</v>
      </c>
      <c r="L178" s="11">
        <v>543.82845642512211</v>
      </c>
      <c r="M178" s="11">
        <v>557.59553934413816</v>
      </c>
      <c r="N178" s="11">
        <v>571.71113762651896</v>
      </c>
      <c r="O178" s="11">
        <v>586.18407398069257</v>
      </c>
      <c r="P178" s="11">
        <v>601.02339446301448</v>
      </c>
      <c r="Q178" s="11">
        <v>616.23837413184708</v>
      </c>
      <c r="R178" s="11">
        <v>631.83852284477291</v>
      </c>
    </row>
    <row r="179" spans="1:18" x14ac:dyDescent="0.25">
      <c r="A179" s="4" t="s">
        <v>26</v>
      </c>
      <c r="B179" s="11">
        <v>170.03602693158524</v>
      </c>
      <c r="C179" s="11">
        <v>187.91887198991563</v>
      </c>
      <c r="D179" s="11">
        <v>207.68247228083519</v>
      </c>
      <c r="E179" s="11">
        <v>229.52462855883087</v>
      </c>
      <c r="F179" s="11">
        <v>253.66394446533513</v>
      </c>
      <c r="G179" s="11">
        <v>280.34201438744452</v>
      </c>
      <c r="H179" s="11">
        <v>309.82584141574853</v>
      </c>
      <c r="I179" s="11">
        <v>317.6691199327708</v>
      </c>
      <c r="J179" s="11">
        <v>325.71095199075813</v>
      </c>
      <c r="K179" s="11">
        <v>333.95636399653063</v>
      </c>
      <c r="L179" s="11">
        <v>342.41050960100284</v>
      </c>
      <c r="M179" s="11">
        <v>351.07867292038333</v>
      </c>
      <c r="N179" s="11">
        <v>359.96627183891934</v>
      </c>
      <c r="O179" s="11">
        <v>369.0788613952509</v>
      </c>
      <c r="P179" s="11">
        <v>378.42213725449062</v>
      </c>
      <c r="Q179" s="11">
        <v>388.00193926820003</v>
      </c>
      <c r="R179" s="11">
        <v>397.82425512448663</v>
      </c>
    </row>
    <row r="180" spans="1:18" x14ac:dyDescent="0.25">
      <c r="A180" s="4" t="s">
        <v>28</v>
      </c>
      <c r="B180" s="11">
        <v>100.02119231269721</v>
      </c>
      <c r="C180" s="11">
        <v>110.54051293524449</v>
      </c>
      <c r="D180" s="11">
        <v>122.16616016519717</v>
      </c>
      <c r="E180" s="11">
        <v>135.01448738754758</v>
      </c>
      <c r="F180" s="11">
        <v>149.21408497960891</v>
      </c>
      <c r="G180" s="11">
        <v>164.90706728673209</v>
      </c>
      <c r="H180" s="11">
        <v>182.2504949504403</v>
      </c>
      <c r="I180" s="11">
        <v>186.86418819574752</v>
      </c>
      <c r="J180" s="11">
        <v>191.59467764162241</v>
      </c>
      <c r="K180" s="11">
        <v>196.44491999795918</v>
      </c>
      <c r="L180" s="11">
        <v>201.4179468241193</v>
      </c>
      <c r="M180" s="11">
        <v>206.51686642375489</v>
      </c>
      <c r="N180" s="11">
        <v>211.74486578759962</v>
      </c>
      <c r="O180" s="11">
        <v>217.10521258544171</v>
      </c>
      <c r="P180" s="11">
        <v>222.60125720852392</v>
      </c>
      <c r="Q180" s="11">
        <v>228.23643486364708</v>
      </c>
      <c r="R180" s="11">
        <v>234.01426772028626</v>
      </c>
    </row>
    <row r="181" spans="1:18" x14ac:dyDescent="0.25">
      <c r="A181" s="4" t="s">
        <v>30</v>
      </c>
      <c r="B181" s="11">
        <v>37.785783762574496</v>
      </c>
      <c r="C181" s="11">
        <v>41.759749331092358</v>
      </c>
      <c r="D181" s="11">
        <v>46.151660506852259</v>
      </c>
      <c r="E181" s="11">
        <v>51.005473013073527</v>
      </c>
      <c r="F181" s="11">
        <v>56.36976543674114</v>
      </c>
      <c r="G181" s="11">
        <v>62.298225419432121</v>
      </c>
      <c r="H181" s="11">
        <v>68.850186981277446</v>
      </c>
      <c r="I181" s="11">
        <v>70.593137762837941</v>
      </c>
      <c r="J181" s="11">
        <v>72.380211553501795</v>
      </c>
      <c r="K181" s="11">
        <v>74.21252533256235</v>
      </c>
      <c r="L181" s="11">
        <v>76.091224355778394</v>
      </c>
      <c r="M181" s="11">
        <v>78.017482871196279</v>
      </c>
      <c r="N181" s="11">
        <v>79.99250485309318</v>
      </c>
      <c r="O181" s="11">
        <v>82.017524754500201</v>
      </c>
      <c r="P181" s="11">
        <v>84.093808278775697</v>
      </c>
      <c r="Q181" s="11">
        <v>86.222653170711112</v>
      </c>
      <c r="R181" s="11">
        <v>88.405390027663685</v>
      </c>
    </row>
    <row r="182" spans="1:18" x14ac:dyDescent="0.25">
      <c r="A182" s="4" t="s">
        <v>32</v>
      </c>
      <c r="B182" s="11">
        <v>14.447505556278484</v>
      </c>
      <c r="C182" s="11">
        <v>15.966962979535314</v>
      </c>
      <c r="D182" s="11">
        <v>17.646223134972921</v>
      </c>
      <c r="E182" s="11">
        <v>19.502092622645758</v>
      </c>
      <c r="F182" s="11">
        <v>21.553145608165728</v>
      </c>
      <c r="G182" s="11">
        <v>23.819909719194634</v>
      </c>
      <c r="H182" s="11">
        <v>26.325071492841378</v>
      </c>
      <c r="I182" s="11">
        <v>26.991493850496862</v>
      </c>
      <c r="J182" s="11">
        <v>27.674786770456571</v>
      </c>
      <c r="K182" s="11">
        <v>28.375377333038546</v>
      </c>
      <c r="L182" s="11">
        <v>29.093703430150565</v>
      </c>
      <c r="M182" s="11">
        <v>29.830214038986817</v>
      </c>
      <c r="N182" s="11">
        <v>30.585369502653279</v>
      </c>
      <c r="O182" s="11">
        <v>31.359641817897138</v>
      </c>
      <c r="P182" s="11">
        <v>32.153514930120124</v>
      </c>
      <c r="Q182" s="11">
        <v>32.967485035860136</v>
      </c>
      <c r="R182" s="11">
        <v>33.802060892930243</v>
      </c>
    </row>
    <row r="183" spans="1:18" x14ac:dyDescent="0.25">
      <c r="A183" s="4" t="s">
        <v>34</v>
      </c>
      <c r="B183" s="11">
        <v>5.5567329062609554</v>
      </c>
      <c r="C183" s="11">
        <v>6.1411396075135825</v>
      </c>
      <c r="D183" s="11">
        <v>6.7870088980665084</v>
      </c>
      <c r="E183" s="11">
        <v>7.5008048548637536</v>
      </c>
      <c r="F183" s="11">
        <v>8.2896713877560497</v>
      </c>
      <c r="G183" s="11">
        <v>9.161503738151783</v>
      </c>
      <c r="H183" s="11">
        <v>10.125027497246684</v>
      </c>
      <c r="I183" s="11">
        <v>10.381343788652639</v>
      </c>
      <c r="J183" s="11">
        <v>10.644148757867912</v>
      </c>
      <c r="K183" s="11">
        <v>10.913606666553289</v>
      </c>
      <c r="L183" s="11">
        <v>11.189885934673296</v>
      </c>
      <c r="M183" s="11">
        <v>11.473159245764162</v>
      </c>
      <c r="N183" s="11">
        <v>11.763603654866646</v>
      </c>
      <c r="O183" s="11">
        <v>12.061400699191207</v>
      </c>
      <c r="P183" s="11">
        <v>12.366736511584662</v>
      </c>
      <c r="Q183" s="11">
        <v>12.679801936869282</v>
      </c>
      <c r="R183" s="11">
        <v>13.000792651127014</v>
      </c>
    </row>
    <row r="184" spans="1:18" x14ac:dyDescent="0.25">
      <c r="A184" s="4" t="s">
        <v>36</v>
      </c>
      <c r="B184" s="11">
        <v>0</v>
      </c>
      <c r="C184" s="11">
        <v>0</v>
      </c>
      <c r="D184" s="11">
        <v>0</v>
      </c>
      <c r="E184" s="11">
        <v>0</v>
      </c>
      <c r="F184" s="11">
        <v>0</v>
      </c>
      <c r="G184" s="11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</row>
    <row r="185" spans="1:18" x14ac:dyDescent="0.25">
      <c r="A185" s="12" t="s">
        <v>38</v>
      </c>
      <c r="B185" s="22">
        <v>1.1113465812521912</v>
      </c>
      <c r="C185" s="22">
        <v>1.2282279215027165</v>
      </c>
      <c r="D185" s="22">
        <v>1.3574017796133018</v>
      </c>
      <c r="E185" s="22">
        <v>1.5001609709727508</v>
      </c>
      <c r="F185" s="22">
        <v>1.65793427755121</v>
      </c>
      <c r="G185" s="22">
        <v>1.8323007476303566</v>
      </c>
      <c r="H185" s="22">
        <v>2.0250054994493367</v>
      </c>
      <c r="I185" s="22">
        <v>2.0762687577305279</v>
      </c>
      <c r="J185" s="22">
        <v>2.1288297515735826</v>
      </c>
      <c r="K185" s="22">
        <v>2.1827213333106577</v>
      </c>
      <c r="L185" s="22">
        <v>2.2379771869346592</v>
      </c>
      <c r="M185" s="22">
        <v>2.2946318491528324</v>
      </c>
      <c r="N185" s="22">
        <v>2.3527207309733296</v>
      </c>
      <c r="O185" s="22">
        <v>2.4122801398382419</v>
      </c>
      <c r="P185" s="22">
        <v>2.4733473023169332</v>
      </c>
      <c r="Q185" s="22">
        <v>2.5359603873738572</v>
      </c>
      <c r="R185" s="22">
        <v>2.6001585302254036</v>
      </c>
    </row>
    <row r="186" spans="1:18" x14ac:dyDescent="0.25">
      <c r="A186" s="14" t="s">
        <v>4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</row>
    <row r="187" spans="1:18" x14ac:dyDescent="0.25">
      <c r="A187" s="14" t="s">
        <v>45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</row>
    <row r="188" spans="1:18" x14ac:dyDescent="0.25">
      <c r="A188" s="15" t="s">
        <v>46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 x14ac:dyDescent="0.25">
      <c r="A189" s="15" t="s">
        <v>47</v>
      </c>
      <c r="G189" s="17"/>
    </row>
    <row r="190" spans="1:18" x14ac:dyDescent="0.25">
      <c r="A190" s="15" t="s">
        <v>3</v>
      </c>
      <c r="G190" s="17"/>
    </row>
    <row r="191" spans="1:18" ht="3" customHeight="1" x14ac:dyDescent="0.25">
      <c r="G191" s="17"/>
    </row>
    <row r="192" spans="1:18" x14ac:dyDescent="0.25">
      <c r="G192" s="17"/>
    </row>
    <row r="193" spans="7:7" x14ac:dyDescent="0.25">
      <c r="G193" s="17"/>
    </row>
    <row r="194" spans="7:7" x14ac:dyDescent="0.25">
      <c r="G194" s="17"/>
    </row>
    <row r="195" spans="7:7" x14ac:dyDescent="0.25">
      <c r="G195" s="17"/>
    </row>
    <row r="221" spans="16:16" x14ac:dyDescent="0.25">
      <c r="P221" s="26"/>
    </row>
  </sheetData>
  <mergeCells count="8">
    <mergeCell ref="AM5:AN5"/>
    <mergeCell ref="AK32:AL32"/>
    <mergeCell ref="AM32:AN32"/>
    <mergeCell ref="A65:C65"/>
    <mergeCell ref="A126:C126"/>
    <mergeCell ref="A1:R1"/>
    <mergeCell ref="A2:R2"/>
    <mergeCell ref="AK5:AL5"/>
  </mergeCells>
  <pageMargins left="0.7" right="0.7" top="0.75" bottom="0.75" header="0.3" footer="0.3"/>
  <pageSetup paperSize="9" scale="53" orientation="portrait" horizontalDpi="4294967295" verticalDpi="4294967295" r:id="rId1"/>
  <rowBreaks count="2" manualBreakCount="2">
    <brk id="63" max="18" man="1"/>
    <brk id="124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3.14</vt:lpstr>
      <vt:lpstr>'3.14'!Print_Area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2023-01-24T05:23:52Z</cp:lastPrinted>
  <dcterms:created xsi:type="dcterms:W3CDTF">2019-07-22T06:02:33Z</dcterms:created>
  <dcterms:modified xsi:type="dcterms:W3CDTF">2023-01-24T05:24:07Z</dcterms:modified>
</cp:coreProperties>
</file>