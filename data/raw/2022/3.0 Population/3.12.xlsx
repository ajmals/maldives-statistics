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opulation\"/>
    </mc:Choice>
  </mc:AlternateContent>
  <xr:revisionPtr revIDLastSave="0" documentId="13_ncr:1_{A1ABBBCC-9ED2-4CB4-9FD2-84F411715D23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2" sheetId="1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2" l="1"/>
  <c r="I29" i="12" s="1"/>
  <c r="M28" i="12"/>
  <c r="I28" i="12" s="1"/>
  <c r="M27" i="12"/>
  <c r="I27" i="12" s="1"/>
  <c r="M26" i="12"/>
  <c r="I26" i="12" s="1"/>
  <c r="M25" i="12"/>
  <c r="I25" i="12" s="1"/>
  <c r="M24" i="12"/>
  <c r="I24" i="12" s="1"/>
  <c r="M23" i="12"/>
  <c r="I23" i="12" s="1"/>
  <c r="M22" i="12"/>
  <c r="I22" i="12" s="1"/>
  <c r="M21" i="12"/>
  <c r="I21" i="12" s="1"/>
  <c r="M20" i="12"/>
  <c r="M19" i="12"/>
  <c r="I19" i="12" s="1"/>
  <c r="M18" i="12"/>
  <c r="I18" i="12" s="1"/>
  <c r="M17" i="12"/>
  <c r="I17" i="12" s="1"/>
  <c r="M16" i="12"/>
  <c r="I16" i="12" s="1"/>
  <c r="M15" i="12"/>
  <c r="I15" i="12" s="1"/>
  <c r="M14" i="12"/>
  <c r="I14" i="12" s="1"/>
  <c r="I20" i="12"/>
  <c r="I12" i="12"/>
  <c r="I11" i="12"/>
  <c r="I10" i="12"/>
  <c r="I9" i="12"/>
  <c r="N29" i="12" l="1"/>
  <c r="J29" i="12"/>
  <c r="F29" i="12"/>
  <c r="D29" i="12"/>
  <c r="C29" i="12"/>
  <c r="N28" i="12"/>
  <c r="J28" i="12"/>
  <c r="F28" i="12"/>
  <c r="E28" i="12"/>
  <c r="D28" i="12"/>
  <c r="C28" i="12"/>
  <c r="N27" i="12"/>
  <c r="J27" i="12"/>
  <c r="F27" i="12"/>
  <c r="E27" i="12"/>
  <c r="D27" i="12"/>
  <c r="C27" i="12"/>
  <c r="N26" i="12"/>
  <c r="J26" i="12"/>
  <c r="F26" i="12"/>
  <c r="E26" i="12"/>
  <c r="D26" i="12"/>
  <c r="C26" i="12"/>
  <c r="N25" i="12"/>
  <c r="J25" i="12"/>
  <c r="F25" i="12"/>
  <c r="E25" i="12"/>
  <c r="D25" i="12"/>
  <c r="C25" i="12"/>
  <c r="N24" i="12"/>
  <c r="J24" i="12"/>
  <c r="F24" i="12"/>
  <c r="E24" i="12"/>
  <c r="D24" i="12"/>
  <c r="C24" i="12"/>
  <c r="N23" i="12"/>
  <c r="J23" i="12"/>
  <c r="F23" i="12"/>
  <c r="E23" i="12"/>
  <c r="D23" i="12"/>
  <c r="C23" i="12"/>
  <c r="N22" i="12"/>
  <c r="J22" i="12"/>
  <c r="F22" i="12"/>
  <c r="E22" i="12"/>
  <c r="D22" i="12"/>
  <c r="C22" i="12"/>
  <c r="N21" i="12"/>
  <c r="J21" i="12"/>
  <c r="F21" i="12"/>
  <c r="E21" i="12"/>
  <c r="D21" i="12"/>
  <c r="C21" i="12"/>
  <c r="N20" i="12"/>
  <c r="J20" i="12"/>
  <c r="F20" i="12"/>
  <c r="E20" i="12"/>
  <c r="D20" i="12"/>
  <c r="C20" i="12"/>
  <c r="N19" i="12"/>
  <c r="J19" i="12"/>
  <c r="F19" i="12"/>
  <c r="E19" i="12"/>
  <c r="D19" i="12"/>
  <c r="C19" i="12"/>
  <c r="N18" i="12"/>
  <c r="J18" i="12"/>
  <c r="F18" i="12"/>
  <c r="E18" i="12"/>
  <c r="D18" i="12"/>
  <c r="C18" i="12"/>
  <c r="N17" i="12"/>
  <c r="J17" i="12"/>
  <c r="F17" i="12"/>
  <c r="E17" i="12"/>
  <c r="D17" i="12"/>
  <c r="C17" i="12"/>
  <c r="N16" i="12"/>
  <c r="J16" i="12"/>
  <c r="F16" i="12"/>
  <c r="E16" i="12"/>
  <c r="D16" i="12"/>
  <c r="C16" i="12"/>
  <c r="N15" i="12"/>
  <c r="J15" i="12"/>
  <c r="F15" i="12"/>
  <c r="E15" i="12"/>
  <c r="D15" i="12"/>
  <c r="C15" i="12"/>
  <c r="N14" i="12"/>
  <c r="J14" i="12"/>
  <c r="F14" i="12"/>
  <c r="E14" i="12"/>
  <c r="D14" i="12"/>
  <c r="C14" i="12"/>
  <c r="P13" i="12"/>
  <c r="O13" i="12"/>
  <c r="O8" i="12" s="1"/>
  <c r="M13" i="12"/>
  <c r="M8" i="12" s="1"/>
  <c r="L13" i="12"/>
  <c r="K13" i="12"/>
  <c r="K8" i="12" s="1"/>
  <c r="I13" i="12"/>
  <c r="I8" i="12" s="1"/>
  <c r="H13" i="12"/>
  <c r="G13" i="12"/>
  <c r="G8" i="12" s="1"/>
  <c r="N12" i="12"/>
  <c r="J12" i="12"/>
  <c r="F12" i="12"/>
  <c r="E12" i="12"/>
  <c r="D12" i="12"/>
  <c r="C12" i="12"/>
  <c r="N11" i="12"/>
  <c r="J11" i="12"/>
  <c r="F11" i="12"/>
  <c r="E11" i="12"/>
  <c r="D11" i="12"/>
  <c r="C11" i="12"/>
  <c r="N10" i="12"/>
  <c r="J10" i="12"/>
  <c r="F10" i="12"/>
  <c r="E10" i="12"/>
  <c r="D10" i="12"/>
  <c r="C10" i="12"/>
  <c r="N9" i="12"/>
  <c r="J9" i="12"/>
  <c r="F9" i="12"/>
  <c r="E9" i="12"/>
  <c r="D9" i="12"/>
  <c r="C9" i="12"/>
  <c r="B22" i="12" l="1"/>
  <c r="B26" i="12"/>
  <c r="B25" i="12"/>
  <c r="B20" i="12"/>
  <c r="B28" i="12"/>
  <c r="B11" i="12"/>
  <c r="B24" i="12"/>
  <c r="B15" i="12"/>
  <c r="B19" i="12"/>
  <c r="E13" i="12"/>
  <c r="E8" i="12" s="1"/>
  <c r="C13" i="12"/>
  <c r="C8" i="12" s="1"/>
  <c r="B23" i="12"/>
  <c r="B27" i="12"/>
  <c r="B10" i="12"/>
  <c r="J13" i="12"/>
  <c r="J8" i="12" s="1"/>
  <c r="B14" i="12"/>
  <c r="B17" i="12"/>
  <c r="B9" i="12"/>
  <c r="N13" i="12"/>
  <c r="N8" i="12" s="1"/>
  <c r="B12" i="12"/>
  <c r="F13" i="12"/>
  <c r="F8" i="12" s="1"/>
  <c r="B16" i="12"/>
  <c r="B18" i="12"/>
  <c r="B21" i="12"/>
  <c r="B29" i="12"/>
  <c r="D13" i="12"/>
  <c r="D8" i="12" s="1"/>
  <c r="H8" i="12"/>
  <c r="L8" i="12"/>
  <c r="P8" i="12"/>
  <c r="B13" i="12" l="1"/>
  <c r="B8" i="12" s="1"/>
</calcChain>
</file>

<file path=xl/sharedStrings.xml><?xml version="1.0" encoding="utf-8"?>
<sst xmlns="http://schemas.openxmlformats.org/spreadsheetml/2006/main" count="48" uniqueCount="37">
  <si>
    <t>Both Sexes</t>
  </si>
  <si>
    <t>Male</t>
  </si>
  <si>
    <t>Female</t>
  </si>
  <si>
    <t>5 - 9</t>
  </si>
  <si>
    <t>Less than 1 year</t>
  </si>
  <si>
    <t>10 - 14</t>
  </si>
  <si>
    <t>1 - 4</t>
  </si>
  <si>
    <t>15 - 19</t>
  </si>
  <si>
    <t>20 - 24</t>
  </si>
  <si>
    <t>30 - 34</t>
  </si>
  <si>
    <t>35 - 39</t>
  </si>
  <si>
    <t>45 - 49</t>
  </si>
  <si>
    <t>50 - 54</t>
  </si>
  <si>
    <t>55 - 59</t>
  </si>
  <si>
    <t>60 - 64</t>
  </si>
  <si>
    <t>65 - 69</t>
  </si>
  <si>
    <t>Republic</t>
  </si>
  <si>
    <t>Male'</t>
  </si>
  <si>
    <t>Atolls</t>
  </si>
  <si>
    <t>Abroad</t>
  </si>
  <si>
    <t>Not stated</t>
  </si>
  <si>
    <t xml:space="preserve">Source: Ministry of Health </t>
  </si>
  <si>
    <t>Less than 7 days</t>
  </si>
  <si>
    <t>7 - 27 days</t>
  </si>
  <si>
    <t>Age Groups</t>
  </si>
  <si>
    <t>Both  Sexes</t>
  </si>
  <si>
    <t>All Ages</t>
  </si>
  <si>
    <t xml:space="preserve">28 - 364 days </t>
  </si>
  <si>
    <t xml:space="preserve">25 - 29 </t>
  </si>
  <si>
    <t xml:space="preserve">40 - 44 </t>
  </si>
  <si>
    <t xml:space="preserve">70 &amp; Over </t>
  </si>
  <si>
    <r>
      <t xml:space="preserve"> </t>
    </r>
    <r>
      <rPr>
        <i/>
        <sz val="10"/>
        <rFont val="Calibri"/>
        <family val="2"/>
      </rPr>
      <t>Health Information Management &amp; Research Division / Health Statistics &amp; Publication Section</t>
    </r>
  </si>
  <si>
    <t>Not Stated</t>
  </si>
  <si>
    <t>Table 3.12 :   DEATHS BY AGE AND SEX, BY MAJOR ADMINISTRATIVE UNITS, 2021</t>
  </si>
  <si>
    <t>ތާވަލު 3.12: މާލެއާއި، ރާއްޖެ އަދި ރާއްޖޭންބޭރުގައި މަރުވި މީހުންގެ ޢަދަދު، ޖިންސާއި ޢުމުރުގެ ގޮތުން، 2021</t>
  </si>
  <si>
    <t>2021 figures are tentative and is expected to change</t>
  </si>
  <si>
    <t>Note: Data includes Maldivians and foreigners, but excluded deaths occurred abroad in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</si>
</sst>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5">
    <xf numFmtId="0" fontId="0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2">
    <xf numFmtId="0" fontId="0" fillId="0" borderId="0" xfId="0"/>
    <xf numFmtId="167" fontId="8" fillId="3" borderId="0" xfId="0" applyNumberFormat="1" applyFont="1" applyFill="1"/>
    <xf numFmtId="167" fontId="15" fillId="3" borderId="0" xfId="0" applyNumberFormat="1" applyFont="1" applyFill="1" applyAlignment="1">
      <alignment horizontal="left" vertical="center"/>
    </xf>
    <xf numFmtId="167" fontId="15" fillId="3" borderId="0" xfId="0" applyNumberFormat="1" applyFont="1" applyFill="1" applyAlignment="1">
      <alignment horizontal="right" vertical="center"/>
    </xf>
    <xf numFmtId="167" fontId="15" fillId="3" borderId="0" xfId="0" applyNumberFormat="1" applyFont="1" applyFill="1" applyAlignment="1">
      <alignment horizontal="right" vertical="center" wrapText="1"/>
    </xf>
    <xf numFmtId="167" fontId="15" fillId="3" borderId="0" xfId="0" applyNumberFormat="1" applyFont="1" applyFill="1" applyAlignment="1">
      <alignment horizontal="center" vertical="center" wrapText="1"/>
    </xf>
    <xf numFmtId="167" fontId="15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/>
    <xf numFmtId="167" fontId="5" fillId="3" borderId="0" xfId="0" applyNumberFormat="1" applyFont="1" applyFill="1" applyAlignment="1">
      <alignment vertical="center"/>
    </xf>
    <xf numFmtId="167" fontId="3" fillId="3" borderId="0" xfId="0" applyNumberFormat="1" applyFont="1" applyFill="1"/>
    <xf numFmtId="167" fontId="16" fillId="3" borderId="0" xfId="0" applyNumberFormat="1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3" fontId="11" fillId="3" borderId="3" xfId="0" applyNumberFormat="1" applyFont="1" applyFill="1" applyBorder="1" applyAlignment="1">
      <alignment horizontal="right" vertical="center"/>
    </xf>
    <xf numFmtId="167" fontId="12" fillId="3" borderId="0" xfId="0" applyNumberFormat="1" applyFont="1" applyFill="1" applyAlignment="1">
      <alignment wrapText="1"/>
    </xf>
    <xf numFmtId="3" fontId="10" fillId="3" borderId="0" xfId="0" applyNumberFormat="1" applyFont="1" applyFill="1" applyAlignment="1">
      <alignment horizontal="right" vertical="center"/>
    </xf>
    <xf numFmtId="3" fontId="10" fillId="3" borderId="6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167" fontId="14" fillId="3" borderId="10" xfId="0" applyNumberFormat="1" applyFont="1" applyFill="1" applyBorder="1" applyAlignment="1">
      <alignment horizontal="right" vertical="center" wrapText="1"/>
    </xf>
    <xf numFmtId="167" fontId="14" fillId="3" borderId="11" xfId="0" applyNumberFormat="1" applyFont="1" applyFill="1" applyBorder="1" applyAlignment="1">
      <alignment horizontal="right" vertical="center" wrapText="1"/>
    </xf>
    <xf numFmtId="167" fontId="14" fillId="3" borderId="12" xfId="0" applyNumberFormat="1" applyFont="1" applyFill="1" applyBorder="1" applyAlignment="1">
      <alignment horizontal="right" vertical="center" wrapText="1"/>
    </xf>
    <xf numFmtId="3" fontId="11" fillId="3" borderId="1" xfId="0" applyNumberFormat="1" applyFont="1" applyFill="1" applyBorder="1" applyAlignment="1">
      <alignment horizontal="right" vertical="center"/>
    </xf>
    <xf numFmtId="3" fontId="11" fillId="3" borderId="4" xfId="0" applyNumberFormat="1" applyFont="1" applyFill="1" applyBorder="1" applyAlignment="1">
      <alignment horizontal="right" vertical="center"/>
    </xf>
    <xf numFmtId="167" fontId="7" fillId="2" borderId="0" xfId="0" applyNumberFormat="1" applyFont="1" applyFill="1" applyAlignment="1">
      <alignment horizontal="left" vertical="center"/>
    </xf>
    <xf numFmtId="167" fontId="17" fillId="3" borderId="0" xfId="0" applyNumberFormat="1" applyFont="1" applyFill="1" applyAlignment="1">
      <alignment horizontal="left"/>
    </xf>
    <xf numFmtId="3" fontId="11" fillId="3" borderId="6" xfId="0" applyNumberFormat="1" applyFont="1" applyFill="1" applyBorder="1" applyAlignment="1">
      <alignment horizontal="right" vertical="center"/>
    </xf>
    <xf numFmtId="3" fontId="11" fillId="3" borderId="0" xfId="0" applyNumberFormat="1" applyFont="1" applyFill="1" applyAlignment="1" applyProtection="1">
      <alignment horizontal="right" vertical="center"/>
      <protection locked="0"/>
    </xf>
    <xf numFmtId="3" fontId="11" fillId="3" borderId="6" xfId="0" applyNumberFormat="1" applyFont="1" applyFill="1" applyBorder="1" applyAlignment="1" applyProtection="1">
      <alignment horizontal="right" vertical="center"/>
      <protection locked="0"/>
    </xf>
    <xf numFmtId="3" fontId="10" fillId="3" borderId="0" xfId="0" applyNumberFormat="1" applyFont="1" applyFill="1" applyAlignment="1" applyProtection="1">
      <alignment horizontal="right" vertical="center"/>
      <protection locked="0"/>
    </xf>
    <xf numFmtId="3" fontId="10" fillId="3" borderId="6" xfId="0" applyNumberFormat="1" applyFont="1" applyFill="1" applyBorder="1" applyAlignment="1" applyProtection="1">
      <alignment horizontal="right" vertical="center"/>
      <protection locked="0"/>
    </xf>
    <xf numFmtId="3" fontId="11" fillId="3" borderId="9" xfId="0" applyNumberFormat="1" applyFont="1" applyFill="1" applyBorder="1" applyAlignment="1">
      <alignment horizontal="right" vertical="center"/>
    </xf>
    <xf numFmtId="3" fontId="11" fillId="3" borderId="1" xfId="0" applyNumberFormat="1" applyFont="1" applyFill="1" applyBorder="1" applyAlignment="1" applyProtection="1">
      <alignment horizontal="right" vertical="center"/>
      <protection locked="0"/>
    </xf>
    <xf numFmtId="167" fontId="8" fillId="3" borderId="0" xfId="0" applyNumberFormat="1" applyFont="1" applyFill="1" applyAlignment="1">
      <alignment vertical="center"/>
    </xf>
    <xf numFmtId="167" fontId="16" fillId="3" borderId="0" xfId="0" quotePrefix="1" applyNumberFormat="1" applyFont="1" applyFill="1" applyAlignment="1">
      <alignment horizontal="left" vertical="center"/>
    </xf>
    <xf numFmtId="167" fontId="6" fillId="3" borderId="0" xfId="0" applyNumberFormat="1" applyFont="1" applyFill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10" fillId="3" borderId="2" xfId="0" applyNumberFormat="1" applyFont="1" applyFill="1" applyBorder="1" applyAlignment="1">
      <alignment horizontal="center" vertical="center"/>
    </xf>
    <xf numFmtId="167" fontId="10" fillId="3" borderId="1" xfId="0" applyNumberFormat="1" applyFont="1" applyFill="1" applyBorder="1" applyAlignment="1">
      <alignment horizontal="center" vertical="center"/>
    </xf>
    <xf numFmtId="167" fontId="9" fillId="2" borderId="0" xfId="11" applyFont="1" applyFill="1" applyAlignment="1" applyProtection="1">
      <alignment horizontal="left" vertical="center"/>
      <protection hidden="1"/>
    </xf>
    <xf numFmtId="167" fontId="10" fillId="3" borderId="5" xfId="0" applyNumberFormat="1" applyFont="1" applyFill="1" applyBorder="1" applyAlignment="1">
      <alignment horizontal="center" vertical="center"/>
    </xf>
    <xf numFmtId="167" fontId="10" fillId="3" borderId="8" xfId="0" applyNumberFormat="1" applyFont="1" applyFill="1" applyBorder="1" applyAlignment="1">
      <alignment horizontal="center" vertical="center"/>
    </xf>
    <xf numFmtId="167" fontId="10" fillId="3" borderId="7" xfId="0" applyNumberFormat="1" applyFont="1" applyFill="1" applyBorder="1" applyAlignment="1">
      <alignment horizontal="center" vertical="center"/>
    </xf>
    <xf numFmtId="167" fontId="9" fillId="2" borderId="2" xfId="11" applyFont="1" applyFill="1" applyBorder="1" applyAlignment="1" applyProtection="1">
      <alignment horizontal="left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3:P34"/>
  <sheetViews>
    <sheetView tabSelected="1" zoomScaleNormal="100" workbookViewId="0">
      <selection activeCell="G39" sqref="G39"/>
    </sheetView>
  </sheetViews>
  <sheetFormatPr defaultColWidth="11.140625" defaultRowHeight="12.75" x14ac:dyDescent="0.2"/>
  <cols>
    <col min="1" max="1" width="19.42578125" style="1" customWidth="1"/>
    <col min="2" max="4" width="9.28515625" style="1" customWidth="1"/>
    <col min="5" max="5" width="8.7109375" style="1" customWidth="1"/>
    <col min="6" max="8" width="9.28515625" style="1" customWidth="1"/>
    <col min="9" max="9" width="8.7109375" style="1" customWidth="1"/>
    <col min="10" max="12" width="9.28515625" style="1" customWidth="1"/>
    <col min="13" max="13" width="8.5703125" style="1" customWidth="1"/>
    <col min="14" max="16" width="9.28515625" style="1" customWidth="1"/>
    <col min="17" max="251" width="11.140625" style="1"/>
    <col min="252" max="252" width="19.42578125" style="1" customWidth="1"/>
    <col min="253" max="253" width="8.7109375" style="1" customWidth="1"/>
    <col min="254" max="255" width="8" style="1" customWidth="1"/>
    <col min="256" max="256" width="2.42578125" style="1" customWidth="1"/>
    <col min="257" max="257" width="8" style="1" customWidth="1"/>
    <col min="258" max="258" width="8.5703125" style="1" customWidth="1"/>
    <col min="259" max="259" width="8" style="1" customWidth="1"/>
    <col min="260" max="260" width="2.42578125" style="1" customWidth="1"/>
    <col min="261" max="261" width="9" style="1" customWidth="1"/>
    <col min="262" max="263" width="8" style="1" customWidth="1"/>
    <col min="264" max="264" width="2.42578125" style="1" customWidth="1"/>
    <col min="265" max="265" width="9.28515625" style="1" customWidth="1"/>
    <col min="266" max="267" width="8" style="1" customWidth="1"/>
    <col min="268" max="268" width="1.28515625" style="1" customWidth="1"/>
    <col min="269" max="269" width="8" style="1" customWidth="1"/>
    <col min="270" max="507" width="11.140625" style="1"/>
    <col min="508" max="508" width="19.42578125" style="1" customWidth="1"/>
    <col min="509" max="509" width="8.7109375" style="1" customWidth="1"/>
    <col min="510" max="511" width="8" style="1" customWidth="1"/>
    <col min="512" max="512" width="2.42578125" style="1" customWidth="1"/>
    <col min="513" max="513" width="8" style="1" customWidth="1"/>
    <col min="514" max="514" width="8.5703125" style="1" customWidth="1"/>
    <col min="515" max="515" width="8" style="1" customWidth="1"/>
    <col min="516" max="516" width="2.42578125" style="1" customWidth="1"/>
    <col min="517" max="517" width="9" style="1" customWidth="1"/>
    <col min="518" max="519" width="8" style="1" customWidth="1"/>
    <col min="520" max="520" width="2.42578125" style="1" customWidth="1"/>
    <col min="521" max="521" width="9.28515625" style="1" customWidth="1"/>
    <col min="522" max="523" width="8" style="1" customWidth="1"/>
    <col min="524" max="524" width="1.28515625" style="1" customWidth="1"/>
    <col min="525" max="525" width="8" style="1" customWidth="1"/>
    <col min="526" max="763" width="11.140625" style="1"/>
    <col min="764" max="764" width="19.42578125" style="1" customWidth="1"/>
    <col min="765" max="765" width="8.7109375" style="1" customWidth="1"/>
    <col min="766" max="767" width="8" style="1" customWidth="1"/>
    <col min="768" max="768" width="2.42578125" style="1" customWidth="1"/>
    <col min="769" max="769" width="8" style="1" customWidth="1"/>
    <col min="770" max="770" width="8.5703125" style="1" customWidth="1"/>
    <col min="771" max="771" width="8" style="1" customWidth="1"/>
    <col min="772" max="772" width="2.42578125" style="1" customWidth="1"/>
    <col min="773" max="773" width="9" style="1" customWidth="1"/>
    <col min="774" max="775" width="8" style="1" customWidth="1"/>
    <col min="776" max="776" width="2.42578125" style="1" customWidth="1"/>
    <col min="777" max="777" width="9.28515625" style="1" customWidth="1"/>
    <col min="778" max="779" width="8" style="1" customWidth="1"/>
    <col min="780" max="780" width="1.28515625" style="1" customWidth="1"/>
    <col min="781" max="781" width="8" style="1" customWidth="1"/>
    <col min="782" max="1019" width="11.140625" style="1"/>
    <col min="1020" max="1020" width="19.42578125" style="1" customWidth="1"/>
    <col min="1021" max="1021" width="8.7109375" style="1" customWidth="1"/>
    <col min="1022" max="1023" width="8" style="1" customWidth="1"/>
    <col min="1024" max="1024" width="2.42578125" style="1" customWidth="1"/>
    <col min="1025" max="1025" width="8" style="1" customWidth="1"/>
    <col min="1026" max="1026" width="8.5703125" style="1" customWidth="1"/>
    <col min="1027" max="1027" width="8" style="1" customWidth="1"/>
    <col min="1028" max="1028" width="2.42578125" style="1" customWidth="1"/>
    <col min="1029" max="1029" width="9" style="1" customWidth="1"/>
    <col min="1030" max="1031" width="8" style="1" customWidth="1"/>
    <col min="1032" max="1032" width="2.42578125" style="1" customWidth="1"/>
    <col min="1033" max="1033" width="9.28515625" style="1" customWidth="1"/>
    <col min="1034" max="1035" width="8" style="1" customWidth="1"/>
    <col min="1036" max="1036" width="1.28515625" style="1" customWidth="1"/>
    <col min="1037" max="1037" width="8" style="1" customWidth="1"/>
    <col min="1038" max="1275" width="11.140625" style="1"/>
    <col min="1276" max="1276" width="19.42578125" style="1" customWidth="1"/>
    <col min="1277" max="1277" width="8.7109375" style="1" customWidth="1"/>
    <col min="1278" max="1279" width="8" style="1" customWidth="1"/>
    <col min="1280" max="1280" width="2.42578125" style="1" customWidth="1"/>
    <col min="1281" max="1281" width="8" style="1" customWidth="1"/>
    <col min="1282" max="1282" width="8.5703125" style="1" customWidth="1"/>
    <col min="1283" max="1283" width="8" style="1" customWidth="1"/>
    <col min="1284" max="1284" width="2.42578125" style="1" customWidth="1"/>
    <col min="1285" max="1285" width="9" style="1" customWidth="1"/>
    <col min="1286" max="1287" width="8" style="1" customWidth="1"/>
    <col min="1288" max="1288" width="2.42578125" style="1" customWidth="1"/>
    <col min="1289" max="1289" width="9.28515625" style="1" customWidth="1"/>
    <col min="1290" max="1291" width="8" style="1" customWidth="1"/>
    <col min="1292" max="1292" width="1.28515625" style="1" customWidth="1"/>
    <col min="1293" max="1293" width="8" style="1" customWidth="1"/>
    <col min="1294" max="1531" width="11.140625" style="1"/>
    <col min="1532" max="1532" width="19.42578125" style="1" customWidth="1"/>
    <col min="1533" max="1533" width="8.7109375" style="1" customWidth="1"/>
    <col min="1534" max="1535" width="8" style="1" customWidth="1"/>
    <col min="1536" max="1536" width="2.42578125" style="1" customWidth="1"/>
    <col min="1537" max="1537" width="8" style="1" customWidth="1"/>
    <col min="1538" max="1538" width="8.5703125" style="1" customWidth="1"/>
    <col min="1539" max="1539" width="8" style="1" customWidth="1"/>
    <col min="1540" max="1540" width="2.42578125" style="1" customWidth="1"/>
    <col min="1541" max="1541" width="9" style="1" customWidth="1"/>
    <col min="1542" max="1543" width="8" style="1" customWidth="1"/>
    <col min="1544" max="1544" width="2.42578125" style="1" customWidth="1"/>
    <col min="1545" max="1545" width="9.28515625" style="1" customWidth="1"/>
    <col min="1546" max="1547" width="8" style="1" customWidth="1"/>
    <col min="1548" max="1548" width="1.28515625" style="1" customWidth="1"/>
    <col min="1549" max="1549" width="8" style="1" customWidth="1"/>
    <col min="1550" max="1787" width="11.140625" style="1"/>
    <col min="1788" max="1788" width="19.42578125" style="1" customWidth="1"/>
    <col min="1789" max="1789" width="8.7109375" style="1" customWidth="1"/>
    <col min="1790" max="1791" width="8" style="1" customWidth="1"/>
    <col min="1792" max="1792" width="2.42578125" style="1" customWidth="1"/>
    <col min="1793" max="1793" width="8" style="1" customWidth="1"/>
    <col min="1794" max="1794" width="8.5703125" style="1" customWidth="1"/>
    <col min="1795" max="1795" width="8" style="1" customWidth="1"/>
    <col min="1796" max="1796" width="2.42578125" style="1" customWidth="1"/>
    <col min="1797" max="1797" width="9" style="1" customWidth="1"/>
    <col min="1798" max="1799" width="8" style="1" customWidth="1"/>
    <col min="1800" max="1800" width="2.42578125" style="1" customWidth="1"/>
    <col min="1801" max="1801" width="9.28515625" style="1" customWidth="1"/>
    <col min="1802" max="1803" width="8" style="1" customWidth="1"/>
    <col min="1804" max="1804" width="1.28515625" style="1" customWidth="1"/>
    <col min="1805" max="1805" width="8" style="1" customWidth="1"/>
    <col min="1806" max="2043" width="11.140625" style="1"/>
    <col min="2044" max="2044" width="19.42578125" style="1" customWidth="1"/>
    <col min="2045" max="2045" width="8.7109375" style="1" customWidth="1"/>
    <col min="2046" max="2047" width="8" style="1" customWidth="1"/>
    <col min="2048" max="2048" width="2.42578125" style="1" customWidth="1"/>
    <col min="2049" max="2049" width="8" style="1" customWidth="1"/>
    <col min="2050" max="2050" width="8.5703125" style="1" customWidth="1"/>
    <col min="2051" max="2051" width="8" style="1" customWidth="1"/>
    <col min="2052" max="2052" width="2.42578125" style="1" customWidth="1"/>
    <col min="2053" max="2053" width="9" style="1" customWidth="1"/>
    <col min="2054" max="2055" width="8" style="1" customWidth="1"/>
    <col min="2056" max="2056" width="2.42578125" style="1" customWidth="1"/>
    <col min="2057" max="2057" width="9.28515625" style="1" customWidth="1"/>
    <col min="2058" max="2059" width="8" style="1" customWidth="1"/>
    <col min="2060" max="2060" width="1.28515625" style="1" customWidth="1"/>
    <col min="2061" max="2061" width="8" style="1" customWidth="1"/>
    <col min="2062" max="2299" width="11.140625" style="1"/>
    <col min="2300" max="2300" width="19.42578125" style="1" customWidth="1"/>
    <col min="2301" max="2301" width="8.7109375" style="1" customWidth="1"/>
    <col min="2302" max="2303" width="8" style="1" customWidth="1"/>
    <col min="2304" max="2304" width="2.42578125" style="1" customWidth="1"/>
    <col min="2305" max="2305" width="8" style="1" customWidth="1"/>
    <col min="2306" max="2306" width="8.5703125" style="1" customWidth="1"/>
    <col min="2307" max="2307" width="8" style="1" customWidth="1"/>
    <col min="2308" max="2308" width="2.42578125" style="1" customWidth="1"/>
    <col min="2309" max="2309" width="9" style="1" customWidth="1"/>
    <col min="2310" max="2311" width="8" style="1" customWidth="1"/>
    <col min="2312" max="2312" width="2.42578125" style="1" customWidth="1"/>
    <col min="2313" max="2313" width="9.28515625" style="1" customWidth="1"/>
    <col min="2314" max="2315" width="8" style="1" customWidth="1"/>
    <col min="2316" max="2316" width="1.28515625" style="1" customWidth="1"/>
    <col min="2317" max="2317" width="8" style="1" customWidth="1"/>
    <col min="2318" max="2555" width="11.140625" style="1"/>
    <col min="2556" max="2556" width="19.42578125" style="1" customWidth="1"/>
    <col min="2557" max="2557" width="8.7109375" style="1" customWidth="1"/>
    <col min="2558" max="2559" width="8" style="1" customWidth="1"/>
    <col min="2560" max="2560" width="2.42578125" style="1" customWidth="1"/>
    <col min="2561" max="2561" width="8" style="1" customWidth="1"/>
    <col min="2562" max="2562" width="8.5703125" style="1" customWidth="1"/>
    <col min="2563" max="2563" width="8" style="1" customWidth="1"/>
    <col min="2564" max="2564" width="2.42578125" style="1" customWidth="1"/>
    <col min="2565" max="2565" width="9" style="1" customWidth="1"/>
    <col min="2566" max="2567" width="8" style="1" customWidth="1"/>
    <col min="2568" max="2568" width="2.42578125" style="1" customWidth="1"/>
    <col min="2569" max="2569" width="9.28515625" style="1" customWidth="1"/>
    <col min="2570" max="2571" width="8" style="1" customWidth="1"/>
    <col min="2572" max="2572" width="1.28515625" style="1" customWidth="1"/>
    <col min="2573" max="2573" width="8" style="1" customWidth="1"/>
    <col min="2574" max="2811" width="11.140625" style="1"/>
    <col min="2812" max="2812" width="19.42578125" style="1" customWidth="1"/>
    <col min="2813" max="2813" width="8.7109375" style="1" customWidth="1"/>
    <col min="2814" max="2815" width="8" style="1" customWidth="1"/>
    <col min="2816" max="2816" width="2.42578125" style="1" customWidth="1"/>
    <col min="2817" max="2817" width="8" style="1" customWidth="1"/>
    <col min="2818" max="2818" width="8.5703125" style="1" customWidth="1"/>
    <col min="2819" max="2819" width="8" style="1" customWidth="1"/>
    <col min="2820" max="2820" width="2.42578125" style="1" customWidth="1"/>
    <col min="2821" max="2821" width="9" style="1" customWidth="1"/>
    <col min="2822" max="2823" width="8" style="1" customWidth="1"/>
    <col min="2824" max="2824" width="2.42578125" style="1" customWidth="1"/>
    <col min="2825" max="2825" width="9.28515625" style="1" customWidth="1"/>
    <col min="2826" max="2827" width="8" style="1" customWidth="1"/>
    <col min="2828" max="2828" width="1.28515625" style="1" customWidth="1"/>
    <col min="2829" max="2829" width="8" style="1" customWidth="1"/>
    <col min="2830" max="3067" width="11.140625" style="1"/>
    <col min="3068" max="3068" width="19.42578125" style="1" customWidth="1"/>
    <col min="3069" max="3069" width="8.7109375" style="1" customWidth="1"/>
    <col min="3070" max="3071" width="8" style="1" customWidth="1"/>
    <col min="3072" max="3072" width="2.42578125" style="1" customWidth="1"/>
    <col min="3073" max="3073" width="8" style="1" customWidth="1"/>
    <col min="3074" max="3074" width="8.5703125" style="1" customWidth="1"/>
    <col min="3075" max="3075" width="8" style="1" customWidth="1"/>
    <col min="3076" max="3076" width="2.42578125" style="1" customWidth="1"/>
    <col min="3077" max="3077" width="9" style="1" customWidth="1"/>
    <col min="3078" max="3079" width="8" style="1" customWidth="1"/>
    <col min="3080" max="3080" width="2.42578125" style="1" customWidth="1"/>
    <col min="3081" max="3081" width="9.28515625" style="1" customWidth="1"/>
    <col min="3082" max="3083" width="8" style="1" customWidth="1"/>
    <col min="3084" max="3084" width="1.28515625" style="1" customWidth="1"/>
    <col min="3085" max="3085" width="8" style="1" customWidth="1"/>
    <col min="3086" max="3323" width="11.140625" style="1"/>
    <col min="3324" max="3324" width="19.42578125" style="1" customWidth="1"/>
    <col min="3325" max="3325" width="8.7109375" style="1" customWidth="1"/>
    <col min="3326" max="3327" width="8" style="1" customWidth="1"/>
    <col min="3328" max="3328" width="2.42578125" style="1" customWidth="1"/>
    <col min="3329" max="3329" width="8" style="1" customWidth="1"/>
    <col min="3330" max="3330" width="8.5703125" style="1" customWidth="1"/>
    <col min="3331" max="3331" width="8" style="1" customWidth="1"/>
    <col min="3332" max="3332" width="2.42578125" style="1" customWidth="1"/>
    <col min="3333" max="3333" width="9" style="1" customWidth="1"/>
    <col min="3334" max="3335" width="8" style="1" customWidth="1"/>
    <col min="3336" max="3336" width="2.42578125" style="1" customWidth="1"/>
    <col min="3337" max="3337" width="9.28515625" style="1" customWidth="1"/>
    <col min="3338" max="3339" width="8" style="1" customWidth="1"/>
    <col min="3340" max="3340" width="1.28515625" style="1" customWidth="1"/>
    <col min="3341" max="3341" width="8" style="1" customWidth="1"/>
    <col min="3342" max="3579" width="11.140625" style="1"/>
    <col min="3580" max="3580" width="19.42578125" style="1" customWidth="1"/>
    <col min="3581" max="3581" width="8.7109375" style="1" customWidth="1"/>
    <col min="3582" max="3583" width="8" style="1" customWidth="1"/>
    <col min="3584" max="3584" width="2.42578125" style="1" customWidth="1"/>
    <col min="3585" max="3585" width="8" style="1" customWidth="1"/>
    <col min="3586" max="3586" width="8.5703125" style="1" customWidth="1"/>
    <col min="3587" max="3587" width="8" style="1" customWidth="1"/>
    <col min="3588" max="3588" width="2.42578125" style="1" customWidth="1"/>
    <col min="3589" max="3589" width="9" style="1" customWidth="1"/>
    <col min="3590" max="3591" width="8" style="1" customWidth="1"/>
    <col min="3592" max="3592" width="2.42578125" style="1" customWidth="1"/>
    <col min="3593" max="3593" width="9.28515625" style="1" customWidth="1"/>
    <col min="3594" max="3595" width="8" style="1" customWidth="1"/>
    <col min="3596" max="3596" width="1.28515625" style="1" customWidth="1"/>
    <col min="3597" max="3597" width="8" style="1" customWidth="1"/>
    <col min="3598" max="3835" width="11.140625" style="1"/>
    <col min="3836" max="3836" width="19.42578125" style="1" customWidth="1"/>
    <col min="3837" max="3837" width="8.7109375" style="1" customWidth="1"/>
    <col min="3838" max="3839" width="8" style="1" customWidth="1"/>
    <col min="3840" max="3840" width="2.42578125" style="1" customWidth="1"/>
    <col min="3841" max="3841" width="8" style="1" customWidth="1"/>
    <col min="3842" max="3842" width="8.5703125" style="1" customWidth="1"/>
    <col min="3843" max="3843" width="8" style="1" customWidth="1"/>
    <col min="3844" max="3844" width="2.42578125" style="1" customWidth="1"/>
    <col min="3845" max="3845" width="9" style="1" customWidth="1"/>
    <col min="3846" max="3847" width="8" style="1" customWidth="1"/>
    <col min="3848" max="3848" width="2.42578125" style="1" customWidth="1"/>
    <col min="3849" max="3849" width="9.28515625" style="1" customWidth="1"/>
    <col min="3850" max="3851" width="8" style="1" customWidth="1"/>
    <col min="3852" max="3852" width="1.28515625" style="1" customWidth="1"/>
    <col min="3853" max="3853" width="8" style="1" customWidth="1"/>
    <col min="3854" max="4091" width="11.140625" style="1"/>
    <col min="4092" max="4092" width="19.42578125" style="1" customWidth="1"/>
    <col min="4093" max="4093" width="8.7109375" style="1" customWidth="1"/>
    <col min="4094" max="4095" width="8" style="1" customWidth="1"/>
    <col min="4096" max="4096" width="2.42578125" style="1" customWidth="1"/>
    <col min="4097" max="4097" width="8" style="1" customWidth="1"/>
    <col min="4098" max="4098" width="8.5703125" style="1" customWidth="1"/>
    <col min="4099" max="4099" width="8" style="1" customWidth="1"/>
    <col min="4100" max="4100" width="2.42578125" style="1" customWidth="1"/>
    <col min="4101" max="4101" width="9" style="1" customWidth="1"/>
    <col min="4102" max="4103" width="8" style="1" customWidth="1"/>
    <col min="4104" max="4104" width="2.42578125" style="1" customWidth="1"/>
    <col min="4105" max="4105" width="9.28515625" style="1" customWidth="1"/>
    <col min="4106" max="4107" width="8" style="1" customWidth="1"/>
    <col min="4108" max="4108" width="1.28515625" style="1" customWidth="1"/>
    <col min="4109" max="4109" width="8" style="1" customWidth="1"/>
    <col min="4110" max="4347" width="11.140625" style="1"/>
    <col min="4348" max="4348" width="19.42578125" style="1" customWidth="1"/>
    <col min="4349" max="4349" width="8.7109375" style="1" customWidth="1"/>
    <col min="4350" max="4351" width="8" style="1" customWidth="1"/>
    <col min="4352" max="4352" width="2.42578125" style="1" customWidth="1"/>
    <col min="4353" max="4353" width="8" style="1" customWidth="1"/>
    <col min="4354" max="4354" width="8.5703125" style="1" customWidth="1"/>
    <col min="4355" max="4355" width="8" style="1" customWidth="1"/>
    <col min="4356" max="4356" width="2.42578125" style="1" customWidth="1"/>
    <col min="4357" max="4357" width="9" style="1" customWidth="1"/>
    <col min="4358" max="4359" width="8" style="1" customWidth="1"/>
    <col min="4360" max="4360" width="2.42578125" style="1" customWidth="1"/>
    <col min="4361" max="4361" width="9.28515625" style="1" customWidth="1"/>
    <col min="4362" max="4363" width="8" style="1" customWidth="1"/>
    <col min="4364" max="4364" width="1.28515625" style="1" customWidth="1"/>
    <col min="4365" max="4365" width="8" style="1" customWidth="1"/>
    <col min="4366" max="4603" width="11.140625" style="1"/>
    <col min="4604" max="4604" width="19.42578125" style="1" customWidth="1"/>
    <col min="4605" max="4605" width="8.7109375" style="1" customWidth="1"/>
    <col min="4606" max="4607" width="8" style="1" customWidth="1"/>
    <col min="4608" max="4608" width="2.42578125" style="1" customWidth="1"/>
    <col min="4609" max="4609" width="8" style="1" customWidth="1"/>
    <col min="4610" max="4610" width="8.5703125" style="1" customWidth="1"/>
    <col min="4611" max="4611" width="8" style="1" customWidth="1"/>
    <col min="4612" max="4612" width="2.42578125" style="1" customWidth="1"/>
    <col min="4613" max="4613" width="9" style="1" customWidth="1"/>
    <col min="4614" max="4615" width="8" style="1" customWidth="1"/>
    <col min="4616" max="4616" width="2.42578125" style="1" customWidth="1"/>
    <col min="4617" max="4617" width="9.28515625" style="1" customWidth="1"/>
    <col min="4618" max="4619" width="8" style="1" customWidth="1"/>
    <col min="4620" max="4620" width="1.28515625" style="1" customWidth="1"/>
    <col min="4621" max="4621" width="8" style="1" customWidth="1"/>
    <col min="4622" max="4859" width="11.140625" style="1"/>
    <col min="4860" max="4860" width="19.42578125" style="1" customWidth="1"/>
    <col min="4861" max="4861" width="8.7109375" style="1" customWidth="1"/>
    <col min="4862" max="4863" width="8" style="1" customWidth="1"/>
    <col min="4864" max="4864" width="2.42578125" style="1" customWidth="1"/>
    <col min="4865" max="4865" width="8" style="1" customWidth="1"/>
    <col min="4866" max="4866" width="8.5703125" style="1" customWidth="1"/>
    <col min="4867" max="4867" width="8" style="1" customWidth="1"/>
    <col min="4868" max="4868" width="2.42578125" style="1" customWidth="1"/>
    <col min="4869" max="4869" width="9" style="1" customWidth="1"/>
    <col min="4870" max="4871" width="8" style="1" customWidth="1"/>
    <col min="4872" max="4872" width="2.42578125" style="1" customWidth="1"/>
    <col min="4873" max="4873" width="9.28515625" style="1" customWidth="1"/>
    <col min="4874" max="4875" width="8" style="1" customWidth="1"/>
    <col min="4876" max="4876" width="1.28515625" style="1" customWidth="1"/>
    <col min="4877" max="4877" width="8" style="1" customWidth="1"/>
    <col min="4878" max="5115" width="11.140625" style="1"/>
    <col min="5116" max="5116" width="19.42578125" style="1" customWidth="1"/>
    <col min="5117" max="5117" width="8.7109375" style="1" customWidth="1"/>
    <col min="5118" max="5119" width="8" style="1" customWidth="1"/>
    <col min="5120" max="5120" width="2.42578125" style="1" customWidth="1"/>
    <col min="5121" max="5121" width="8" style="1" customWidth="1"/>
    <col min="5122" max="5122" width="8.5703125" style="1" customWidth="1"/>
    <col min="5123" max="5123" width="8" style="1" customWidth="1"/>
    <col min="5124" max="5124" width="2.42578125" style="1" customWidth="1"/>
    <col min="5125" max="5125" width="9" style="1" customWidth="1"/>
    <col min="5126" max="5127" width="8" style="1" customWidth="1"/>
    <col min="5128" max="5128" width="2.42578125" style="1" customWidth="1"/>
    <col min="5129" max="5129" width="9.28515625" style="1" customWidth="1"/>
    <col min="5130" max="5131" width="8" style="1" customWidth="1"/>
    <col min="5132" max="5132" width="1.28515625" style="1" customWidth="1"/>
    <col min="5133" max="5133" width="8" style="1" customWidth="1"/>
    <col min="5134" max="5371" width="11.140625" style="1"/>
    <col min="5372" max="5372" width="19.42578125" style="1" customWidth="1"/>
    <col min="5373" max="5373" width="8.7109375" style="1" customWidth="1"/>
    <col min="5374" max="5375" width="8" style="1" customWidth="1"/>
    <col min="5376" max="5376" width="2.42578125" style="1" customWidth="1"/>
    <col min="5377" max="5377" width="8" style="1" customWidth="1"/>
    <col min="5378" max="5378" width="8.5703125" style="1" customWidth="1"/>
    <col min="5379" max="5379" width="8" style="1" customWidth="1"/>
    <col min="5380" max="5380" width="2.42578125" style="1" customWidth="1"/>
    <col min="5381" max="5381" width="9" style="1" customWidth="1"/>
    <col min="5382" max="5383" width="8" style="1" customWidth="1"/>
    <col min="5384" max="5384" width="2.42578125" style="1" customWidth="1"/>
    <col min="5385" max="5385" width="9.28515625" style="1" customWidth="1"/>
    <col min="5386" max="5387" width="8" style="1" customWidth="1"/>
    <col min="5388" max="5388" width="1.28515625" style="1" customWidth="1"/>
    <col min="5389" max="5389" width="8" style="1" customWidth="1"/>
    <col min="5390" max="5627" width="11.140625" style="1"/>
    <col min="5628" max="5628" width="19.42578125" style="1" customWidth="1"/>
    <col min="5629" max="5629" width="8.7109375" style="1" customWidth="1"/>
    <col min="5630" max="5631" width="8" style="1" customWidth="1"/>
    <col min="5632" max="5632" width="2.42578125" style="1" customWidth="1"/>
    <col min="5633" max="5633" width="8" style="1" customWidth="1"/>
    <col min="5634" max="5634" width="8.5703125" style="1" customWidth="1"/>
    <col min="5635" max="5635" width="8" style="1" customWidth="1"/>
    <col min="5636" max="5636" width="2.42578125" style="1" customWidth="1"/>
    <col min="5637" max="5637" width="9" style="1" customWidth="1"/>
    <col min="5638" max="5639" width="8" style="1" customWidth="1"/>
    <col min="5640" max="5640" width="2.42578125" style="1" customWidth="1"/>
    <col min="5641" max="5641" width="9.28515625" style="1" customWidth="1"/>
    <col min="5642" max="5643" width="8" style="1" customWidth="1"/>
    <col min="5644" max="5644" width="1.28515625" style="1" customWidth="1"/>
    <col min="5645" max="5645" width="8" style="1" customWidth="1"/>
    <col min="5646" max="5883" width="11.140625" style="1"/>
    <col min="5884" max="5884" width="19.42578125" style="1" customWidth="1"/>
    <col min="5885" max="5885" width="8.7109375" style="1" customWidth="1"/>
    <col min="5886" max="5887" width="8" style="1" customWidth="1"/>
    <col min="5888" max="5888" width="2.42578125" style="1" customWidth="1"/>
    <col min="5889" max="5889" width="8" style="1" customWidth="1"/>
    <col min="5890" max="5890" width="8.5703125" style="1" customWidth="1"/>
    <col min="5891" max="5891" width="8" style="1" customWidth="1"/>
    <col min="5892" max="5892" width="2.42578125" style="1" customWidth="1"/>
    <col min="5893" max="5893" width="9" style="1" customWidth="1"/>
    <col min="5894" max="5895" width="8" style="1" customWidth="1"/>
    <col min="5896" max="5896" width="2.42578125" style="1" customWidth="1"/>
    <col min="5897" max="5897" width="9.28515625" style="1" customWidth="1"/>
    <col min="5898" max="5899" width="8" style="1" customWidth="1"/>
    <col min="5900" max="5900" width="1.28515625" style="1" customWidth="1"/>
    <col min="5901" max="5901" width="8" style="1" customWidth="1"/>
    <col min="5902" max="6139" width="11.140625" style="1"/>
    <col min="6140" max="6140" width="19.42578125" style="1" customWidth="1"/>
    <col min="6141" max="6141" width="8.7109375" style="1" customWidth="1"/>
    <col min="6142" max="6143" width="8" style="1" customWidth="1"/>
    <col min="6144" max="6144" width="2.42578125" style="1" customWidth="1"/>
    <col min="6145" max="6145" width="8" style="1" customWidth="1"/>
    <col min="6146" max="6146" width="8.5703125" style="1" customWidth="1"/>
    <col min="6147" max="6147" width="8" style="1" customWidth="1"/>
    <col min="6148" max="6148" width="2.42578125" style="1" customWidth="1"/>
    <col min="6149" max="6149" width="9" style="1" customWidth="1"/>
    <col min="6150" max="6151" width="8" style="1" customWidth="1"/>
    <col min="6152" max="6152" width="2.42578125" style="1" customWidth="1"/>
    <col min="6153" max="6153" width="9.28515625" style="1" customWidth="1"/>
    <col min="6154" max="6155" width="8" style="1" customWidth="1"/>
    <col min="6156" max="6156" width="1.28515625" style="1" customWidth="1"/>
    <col min="6157" max="6157" width="8" style="1" customWidth="1"/>
    <col min="6158" max="6395" width="11.140625" style="1"/>
    <col min="6396" max="6396" width="19.42578125" style="1" customWidth="1"/>
    <col min="6397" max="6397" width="8.7109375" style="1" customWidth="1"/>
    <col min="6398" max="6399" width="8" style="1" customWidth="1"/>
    <col min="6400" max="6400" width="2.42578125" style="1" customWidth="1"/>
    <col min="6401" max="6401" width="8" style="1" customWidth="1"/>
    <col min="6402" max="6402" width="8.5703125" style="1" customWidth="1"/>
    <col min="6403" max="6403" width="8" style="1" customWidth="1"/>
    <col min="6404" max="6404" width="2.42578125" style="1" customWidth="1"/>
    <col min="6405" max="6405" width="9" style="1" customWidth="1"/>
    <col min="6406" max="6407" width="8" style="1" customWidth="1"/>
    <col min="6408" max="6408" width="2.42578125" style="1" customWidth="1"/>
    <col min="6409" max="6409" width="9.28515625" style="1" customWidth="1"/>
    <col min="6410" max="6411" width="8" style="1" customWidth="1"/>
    <col min="6412" max="6412" width="1.28515625" style="1" customWidth="1"/>
    <col min="6413" max="6413" width="8" style="1" customWidth="1"/>
    <col min="6414" max="6651" width="11.140625" style="1"/>
    <col min="6652" max="6652" width="19.42578125" style="1" customWidth="1"/>
    <col min="6653" max="6653" width="8.7109375" style="1" customWidth="1"/>
    <col min="6654" max="6655" width="8" style="1" customWidth="1"/>
    <col min="6656" max="6656" width="2.42578125" style="1" customWidth="1"/>
    <col min="6657" max="6657" width="8" style="1" customWidth="1"/>
    <col min="6658" max="6658" width="8.5703125" style="1" customWidth="1"/>
    <col min="6659" max="6659" width="8" style="1" customWidth="1"/>
    <col min="6660" max="6660" width="2.42578125" style="1" customWidth="1"/>
    <col min="6661" max="6661" width="9" style="1" customWidth="1"/>
    <col min="6662" max="6663" width="8" style="1" customWidth="1"/>
    <col min="6664" max="6664" width="2.42578125" style="1" customWidth="1"/>
    <col min="6665" max="6665" width="9.28515625" style="1" customWidth="1"/>
    <col min="6666" max="6667" width="8" style="1" customWidth="1"/>
    <col min="6668" max="6668" width="1.28515625" style="1" customWidth="1"/>
    <col min="6669" max="6669" width="8" style="1" customWidth="1"/>
    <col min="6670" max="6907" width="11.140625" style="1"/>
    <col min="6908" max="6908" width="19.42578125" style="1" customWidth="1"/>
    <col min="6909" max="6909" width="8.7109375" style="1" customWidth="1"/>
    <col min="6910" max="6911" width="8" style="1" customWidth="1"/>
    <col min="6912" max="6912" width="2.42578125" style="1" customWidth="1"/>
    <col min="6913" max="6913" width="8" style="1" customWidth="1"/>
    <col min="6914" max="6914" width="8.5703125" style="1" customWidth="1"/>
    <col min="6915" max="6915" width="8" style="1" customWidth="1"/>
    <col min="6916" max="6916" width="2.42578125" style="1" customWidth="1"/>
    <col min="6917" max="6917" width="9" style="1" customWidth="1"/>
    <col min="6918" max="6919" width="8" style="1" customWidth="1"/>
    <col min="6920" max="6920" width="2.42578125" style="1" customWidth="1"/>
    <col min="6921" max="6921" width="9.28515625" style="1" customWidth="1"/>
    <col min="6922" max="6923" width="8" style="1" customWidth="1"/>
    <col min="6924" max="6924" width="1.28515625" style="1" customWidth="1"/>
    <col min="6925" max="6925" width="8" style="1" customWidth="1"/>
    <col min="6926" max="7163" width="11.140625" style="1"/>
    <col min="7164" max="7164" width="19.42578125" style="1" customWidth="1"/>
    <col min="7165" max="7165" width="8.7109375" style="1" customWidth="1"/>
    <col min="7166" max="7167" width="8" style="1" customWidth="1"/>
    <col min="7168" max="7168" width="2.42578125" style="1" customWidth="1"/>
    <col min="7169" max="7169" width="8" style="1" customWidth="1"/>
    <col min="7170" max="7170" width="8.5703125" style="1" customWidth="1"/>
    <col min="7171" max="7171" width="8" style="1" customWidth="1"/>
    <col min="7172" max="7172" width="2.42578125" style="1" customWidth="1"/>
    <col min="7173" max="7173" width="9" style="1" customWidth="1"/>
    <col min="7174" max="7175" width="8" style="1" customWidth="1"/>
    <col min="7176" max="7176" width="2.42578125" style="1" customWidth="1"/>
    <col min="7177" max="7177" width="9.28515625" style="1" customWidth="1"/>
    <col min="7178" max="7179" width="8" style="1" customWidth="1"/>
    <col min="7180" max="7180" width="1.28515625" style="1" customWidth="1"/>
    <col min="7181" max="7181" width="8" style="1" customWidth="1"/>
    <col min="7182" max="7419" width="11.140625" style="1"/>
    <col min="7420" max="7420" width="19.42578125" style="1" customWidth="1"/>
    <col min="7421" max="7421" width="8.7109375" style="1" customWidth="1"/>
    <col min="7422" max="7423" width="8" style="1" customWidth="1"/>
    <col min="7424" max="7424" width="2.42578125" style="1" customWidth="1"/>
    <col min="7425" max="7425" width="8" style="1" customWidth="1"/>
    <col min="7426" max="7426" width="8.5703125" style="1" customWidth="1"/>
    <col min="7427" max="7427" width="8" style="1" customWidth="1"/>
    <col min="7428" max="7428" width="2.42578125" style="1" customWidth="1"/>
    <col min="7429" max="7429" width="9" style="1" customWidth="1"/>
    <col min="7430" max="7431" width="8" style="1" customWidth="1"/>
    <col min="7432" max="7432" width="2.42578125" style="1" customWidth="1"/>
    <col min="7433" max="7433" width="9.28515625" style="1" customWidth="1"/>
    <col min="7434" max="7435" width="8" style="1" customWidth="1"/>
    <col min="7436" max="7436" width="1.28515625" style="1" customWidth="1"/>
    <col min="7437" max="7437" width="8" style="1" customWidth="1"/>
    <col min="7438" max="7675" width="11.140625" style="1"/>
    <col min="7676" max="7676" width="19.42578125" style="1" customWidth="1"/>
    <col min="7677" max="7677" width="8.7109375" style="1" customWidth="1"/>
    <col min="7678" max="7679" width="8" style="1" customWidth="1"/>
    <col min="7680" max="7680" width="2.42578125" style="1" customWidth="1"/>
    <col min="7681" max="7681" width="8" style="1" customWidth="1"/>
    <col min="7682" max="7682" width="8.5703125" style="1" customWidth="1"/>
    <col min="7683" max="7683" width="8" style="1" customWidth="1"/>
    <col min="7684" max="7684" width="2.42578125" style="1" customWidth="1"/>
    <col min="7685" max="7685" width="9" style="1" customWidth="1"/>
    <col min="7686" max="7687" width="8" style="1" customWidth="1"/>
    <col min="7688" max="7688" width="2.42578125" style="1" customWidth="1"/>
    <col min="7689" max="7689" width="9.28515625" style="1" customWidth="1"/>
    <col min="7690" max="7691" width="8" style="1" customWidth="1"/>
    <col min="7692" max="7692" width="1.28515625" style="1" customWidth="1"/>
    <col min="7693" max="7693" width="8" style="1" customWidth="1"/>
    <col min="7694" max="7931" width="11.140625" style="1"/>
    <col min="7932" max="7932" width="19.42578125" style="1" customWidth="1"/>
    <col min="7933" max="7933" width="8.7109375" style="1" customWidth="1"/>
    <col min="7934" max="7935" width="8" style="1" customWidth="1"/>
    <col min="7936" max="7936" width="2.42578125" style="1" customWidth="1"/>
    <col min="7937" max="7937" width="8" style="1" customWidth="1"/>
    <col min="7938" max="7938" width="8.5703125" style="1" customWidth="1"/>
    <col min="7939" max="7939" width="8" style="1" customWidth="1"/>
    <col min="7940" max="7940" width="2.42578125" style="1" customWidth="1"/>
    <col min="7941" max="7941" width="9" style="1" customWidth="1"/>
    <col min="7942" max="7943" width="8" style="1" customWidth="1"/>
    <col min="7944" max="7944" width="2.42578125" style="1" customWidth="1"/>
    <col min="7945" max="7945" width="9.28515625" style="1" customWidth="1"/>
    <col min="7946" max="7947" width="8" style="1" customWidth="1"/>
    <col min="7948" max="7948" width="1.28515625" style="1" customWidth="1"/>
    <col min="7949" max="7949" width="8" style="1" customWidth="1"/>
    <col min="7950" max="8187" width="11.140625" style="1"/>
    <col min="8188" max="8188" width="19.42578125" style="1" customWidth="1"/>
    <col min="8189" max="8189" width="8.7109375" style="1" customWidth="1"/>
    <col min="8190" max="8191" width="8" style="1" customWidth="1"/>
    <col min="8192" max="8192" width="2.42578125" style="1" customWidth="1"/>
    <col min="8193" max="8193" width="8" style="1" customWidth="1"/>
    <col min="8194" max="8194" width="8.5703125" style="1" customWidth="1"/>
    <col min="8195" max="8195" width="8" style="1" customWidth="1"/>
    <col min="8196" max="8196" width="2.42578125" style="1" customWidth="1"/>
    <col min="8197" max="8197" width="9" style="1" customWidth="1"/>
    <col min="8198" max="8199" width="8" style="1" customWidth="1"/>
    <col min="8200" max="8200" width="2.42578125" style="1" customWidth="1"/>
    <col min="8201" max="8201" width="9.28515625" style="1" customWidth="1"/>
    <col min="8202" max="8203" width="8" style="1" customWidth="1"/>
    <col min="8204" max="8204" width="1.28515625" style="1" customWidth="1"/>
    <col min="8205" max="8205" width="8" style="1" customWidth="1"/>
    <col min="8206" max="8443" width="11.140625" style="1"/>
    <col min="8444" max="8444" width="19.42578125" style="1" customWidth="1"/>
    <col min="8445" max="8445" width="8.7109375" style="1" customWidth="1"/>
    <col min="8446" max="8447" width="8" style="1" customWidth="1"/>
    <col min="8448" max="8448" width="2.42578125" style="1" customWidth="1"/>
    <col min="8449" max="8449" width="8" style="1" customWidth="1"/>
    <col min="8450" max="8450" width="8.5703125" style="1" customWidth="1"/>
    <col min="8451" max="8451" width="8" style="1" customWidth="1"/>
    <col min="8452" max="8452" width="2.42578125" style="1" customWidth="1"/>
    <col min="8453" max="8453" width="9" style="1" customWidth="1"/>
    <col min="8454" max="8455" width="8" style="1" customWidth="1"/>
    <col min="8456" max="8456" width="2.42578125" style="1" customWidth="1"/>
    <col min="8457" max="8457" width="9.28515625" style="1" customWidth="1"/>
    <col min="8458" max="8459" width="8" style="1" customWidth="1"/>
    <col min="8460" max="8460" width="1.28515625" style="1" customWidth="1"/>
    <col min="8461" max="8461" width="8" style="1" customWidth="1"/>
    <col min="8462" max="8699" width="11.140625" style="1"/>
    <col min="8700" max="8700" width="19.42578125" style="1" customWidth="1"/>
    <col min="8701" max="8701" width="8.7109375" style="1" customWidth="1"/>
    <col min="8702" max="8703" width="8" style="1" customWidth="1"/>
    <col min="8704" max="8704" width="2.42578125" style="1" customWidth="1"/>
    <col min="8705" max="8705" width="8" style="1" customWidth="1"/>
    <col min="8706" max="8706" width="8.5703125" style="1" customWidth="1"/>
    <col min="8707" max="8707" width="8" style="1" customWidth="1"/>
    <col min="8708" max="8708" width="2.42578125" style="1" customWidth="1"/>
    <col min="8709" max="8709" width="9" style="1" customWidth="1"/>
    <col min="8710" max="8711" width="8" style="1" customWidth="1"/>
    <col min="8712" max="8712" width="2.42578125" style="1" customWidth="1"/>
    <col min="8713" max="8713" width="9.28515625" style="1" customWidth="1"/>
    <col min="8714" max="8715" width="8" style="1" customWidth="1"/>
    <col min="8716" max="8716" width="1.28515625" style="1" customWidth="1"/>
    <col min="8717" max="8717" width="8" style="1" customWidth="1"/>
    <col min="8718" max="8955" width="11.140625" style="1"/>
    <col min="8956" max="8956" width="19.42578125" style="1" customWidth="1"/>
    <col min="8957" max="8957" width="8.7109375" style="1" customWidth="1"/>
    <col min="8958" max="8959" width="8" style="1" customWidth="1"/>
    <col min="8960" max="8960" width="2.42578125" style="1" customWidth="1"/>
    <col min="8961" max="8961" width="8" style="1" customWidth="1"/>
    <col min="8962" max="8962" width="8.5703125" style="1" customWidth="1"/>
    <col min="8963" max="8963" width="8" style="1" customWidth="1"/>
    <col min="8964" max="8964" width="2.42578125" style="1" customWidth="1"/>
    <col min="8965" max="8965" width="9" style="1" customWidth="1"/>
    <col min="8966" max="8967" width="8" style="1" customWidth="1"/>
    <col min="8968" max="8968" width="2.42578125" style="1" customWidth="1"/>
    <col min="8969" max="8969" width="9.28515625" style="1" customWidth="1"/>
    <col min="8970" max="8971" width="8" style="1" customWidth="1"/>
    <col min="8972" max="8972" width="1.28515625" style="1" customWidth="1"/>
    <col min="8973" max="8973" width="8" style="1" customWidth="1"/>
    <col min="8974" max="9211" width="11.140625" style="1"/>
    <col min="9212" max="9212" width="19.42578125" style="1" customWidth="1"/>
    <col min="9213" max="9213" width="8.7109375" style="1" customWidth="1"/>
    <col min="9214" max="9215" width="8" style="1" customWidth="1"/>
    <col min="9216" max="9216" width="2.42578125" style="1" customWidth="1"/>
    <col min="9217" max="9217" width="8" style="1" customWidth="1"/>
    <col min="9218" max="9218" width="8.5703125" style="1" customWidth="1"/>
    <col min="9219" max="9219" width="8" style="1" customWidth="1"/>
    <col min="9220" max="9220" width="2.42578125" style="1" customWidth="1"/>
    <col min="9221" max="9221" width="9" style="1" customWidth="1"/>
    <col min="9222" max="9223" width="8" style="1" customWidth="1"/>
    <col min="9224" max="9224" width="2.42578125" style="1" customWidth="1"/>
    <col min="9225" max="9225" width="9.28515625" style="1" customWidth="1"/>
    <col min="9226" max="9227" width="8" style="1" customWidth="1"/>
    <col min="9228" max="9228" width="1.28515625" style="1" customWidth="1"/>
    <col min="9229" max="9229" width="8" style="1" customWidth="1"/>
    <col min="9230" max="9467" width="11.140625" style="1"/>
    <col min="9468" max="9468" width="19.42578125" style="1" customWidth="1"/>
    <col min="9469" max="9469" width="8.7109375" style="1" customWidth="1"/>
    <col min="9470" max="9471" width="8" style="1" customWidth="1"/>
    <col min="9472" max="9472" width="2.42578125" style="1" customWidth="1"/>
    <col min="9473" max="9473" width="8" style="1" customWidth="1"/>
    <col min="9474" max="9474" width="8.5703125" style="1" customWidth="1"/>
    <col min="9475" max="9475" width="8" style="1" customWidth="1"/>
    <col min="9476" max="9476" width="2.42578125" style="1" customWidth="1"/>
    <col min="9477" max="9477" width="9" style="1" customWidth="1"/>
    <col min="9478" max="9479" width="8" style="1" customWidth="1"/>
    <col min="9480" max="9480" width="2.42578125" style="1" customWidth="1"/>
    <col min="9481" max="9481" width="9.28515625" style="1" customWidth="1"/>
    <col min="9482" max="9483" width="8" style="1" customWidth="1"/>
    <col min="9484" max="9484" width="1.28515625" style="1" customWidth="1"/>
    <col min="9485" max="9485" width="8" style="1" customWidth="1"/>
    <col min="9486" max="9723" width="11.140625" style="1"/>
    <col min="9724" max="9724" width="19.42578125" style="1" customWidth="1"/>
    <col min="9725" max="9725" width="8.7109375" style="1" customWidth="1"/>
    <col min="9726" max="9727" width="8" style="1" customWidth="1"/>
    <col min="9728" max="9728" width="2.42578125" style="1" customWidth="1"/>
    <col min="9729" max="9729" width="8" style="1" customWidth="1"/>
    <col min="9730" max="9730" width="8.5703125" style="1" customWidth="1"/>
    <col min="9731" max="9731" width="8" style="1" customWidth="1"/>
    <col min="9732" max="9732" width="2.42578125" style="1" customWidth="1"/>
    <col min="9733" max="9733" width="9" style="1" customWidth="1"/>
    <col min="9734" max="9735" width="8" style="1" customWidth="1"/>
    <col min="9736" max="9736" width="2.42578125" style="1" customWidth="1"/>
    <col min="9737" max="9737" width="9.28515625" style="1" customWidth="1"/>
    <col min="9738" max="9739" width="8" style="1" customWidth="1"/>
    <col min="9740" max="9740" width="1.28515625" style="1" customWidth="1"/>
    <col min="9741" max="9741" width="8" style="1" customWidth="1"/>
    <col min="9742" max="9979" width="11.140625" style="1"/>
    <col min="9980" max="9980" width="19.42578125" style="1" customWidth="1"/>
    <col min="9981" max="9981" width="8.7109375" style="1" customWidth="1"/>
    <col min="9982" max="9983" width="8" style="1" customWidth="1"/>
    <col min="9984" max="9984" width="2.42578125" style="1" customWidth="1"/>
    <col min="9985" max="9985" width="8" style="1" customWidth="1"/>
    <col min="9986" max="9986" width="8.5703125" style="1" customWidth="1"/>
    <col min="9987" max="9987" width="8" style="1" customWidth="1"/>
    <col min="9988" max="9988" width="2.42578125" style="1" customWidth="1"/>
    <col min="9989" max="9989" width="9" style="1" customWidth="1"/>
    <col min="9990" max="9991" width="8" style="1" customWidth="1"/>
    <col min="9992" max="9992" width="2.42578125" style="1" customWidth="1"/>
    <col min="9993" max="9993" width="9.28515625" style="1" customWidth="1"/>
    <col min="9994" max="9995" width="8" style="1" customWidth="1"/>
    <col min="9996" max="9996" width="1.28515625" style="1" customWidth="1"/>
    <col min="9997" max="9997" width="8" style="1" customWidth="1"/>
    <col min="9998" max="10235" width="11.140625" style="1"/>
    <col min="10236" max="10236" width="19.42578125" style="1" customWidth="1"/>
    <col min="10237" max="10237" width="8.7109375" style="1" customWidth="1"/>
    <col min="10238" max="10239" width="8" style="1" customWidth="1"/>
    <col min="10240" max="10240" width="2.42578125" style="1" customWidth="1"/>
    <col min="10241" max="10241" width="8" style="1" customWidth="1"/>
    <col min="10242" max="10242" width="8.5703125" style="1" customWidth="1"/>
    <col min="10243" max="10243" width="8" style="1" customWidth="1"/>
    <col min="10244" max="10244" width="2.42578125" style="1" customWidth="1"/>
    <col min="10245" max="10245" width="9" style="1" customWidth="1"/>
    <col min="10246" max="10247" width="8" style="1" customWidth="1"/>
    <col min="10248" max="10248" width="2.42578125" style="1" customWidth="1"/>
    <col min="10249" max="10249" width="9.28515625" style="1" customWidth="1"/>
    <col min="10250" max="10251" width="8" style="1" customWidth="1"/>
    <col min="10252" max="10252" width="1.28515625" style="1" customWidth="1"/>
    <col min="10253" max="10253" width="8" style="1" customWidth="1"/>
    <col min="10254" max="10491" width="11.140625" style="1"/>
    <col min="10492" max="10492" width="19.42578125" style="1" customWidth="1"/>
    <col min="10493" max="10493" width="8.7109375" style="1" customWidth="1"/>
    <col min="10494" max="10495" width="8" style="1" customWidth="1"/>
    <col min="10496" max="10496" width="2.42578125" style="1" customWidth="1"/>
    <col min="10497" max="10497" width="8" style="1" customWidth="1"/>
    <col min="10498" max="10498" width="8.5703125" style="1" customWidth="1"/>
    <col min="10499" max="10499" width="8" style="1" customWidth="1"/>
    <col min="10500" max="10500" width="2.42578125" style="1" customWidth="1"/>
    <col min="10501" max="10501" width="9" style="1" customWidth="1"/>
    <col min="10502" max="10503" width="8" style="1" customWidth="1"/>
    <col min="10504" max="10504" width="2.42578125" style="1" customWidth="1"/>
    <col min="10505" max="10505" width="9.28515625" style="1" customWidth="1"/>
    <col min="10506" max="10507" width="8" style="1" customWidth="1"/>
    <col min="10508" max="10508" width="1.28515625" style="1" customWidth="1"/>
    <col min="10509" max="10509" width="8" style="1" customWidth="1"/>
    <col min="10510" max="10747" width="11.140625" style="1"/>
    <col min="10748" max="10748" width="19.42578125" style="1" customWidth="1"/>
    <col min="10749" max="10749" width="8.7109375" style="1" customWidth="1"/>
    <col min="10750" max="10751" width="8" style="1" customWidth="1"/>
    <col min="10752" max="10752" width="2.42578125" style="1" customWidth="1"/>
    <col min="10753" max="10753" width="8" style="1" customWidth="1"/>
    <col min="10754" max="10754" width="8.5703125" style="1" customWidth="1"/>
    <col min="10755" max="10755" width="8" style="1" customWidth="1"/>
    <col min="10756" max="10756" width="2.42578125" style="1" customWidth="1"/>
    <col min="10757" max="10757" width="9" style="1" customWidth="1"/>
    <col min="10758" max="10759" width="8" style="1" customWidth="1"/>
    <col min="10760" max="10760" width="2.42578125" style="1" customWidth="1"/>
    <col min="10761" max="10761" width="9.28515625" style="1" customWidth="1"/>
    <col min="10762" max="10763" width="8" style="1" customWidth="1"/>
    <col min="10764" max="10764" width="1.28515625" style="1" customWidth="1"/>
    <col min="10765" max="10765" width="8" style="1" customWidth="1"/>
    <col min="10766" max="11003" width="11.140625" style="1"/>
    <col min="11004" max="11004" width="19.42578125" style="1" customWidth="1"/>
    <col min="11005" max="11005" width="8.7109375" style="1" customWidth="1"/>
    <col min="11006" max="11007" width="8" style="1" customWidth="1"/>
    <col min="11008" max="11008" width="2.42578125" style="1" customWidth="1"/>
    <col min="11009" max="11009" width="8" style="1" customWidth="1"/>
    <col min="11010" max="11010" width="8.5703125" style="1" customWidth="1"/>
    <col min="11011" max="11011" width="8" style="1" customWidth="1"/>
    <col min="11012" max="11012" width="2.42578125" style="1" customWidth="1"/>
    <col min="11013" max="11013" width="9" style="1" customWidth="1"/>
    <col min="11014" max="11015" width="8" style="1" customWidth="1"/>
    <col min="11016" max="11016" width="2.42578125" style="1" customWidth="1"/>
    <col min="11017" max="11017" width="9.28515625" style="1" customWidth="1"/>
    <col min="11018" max="11019" width="8" style="1" customWidth="1"/>
    <col min="11020" max="11020" width="1.28515625" style="1" customWidth="1"/>
    <col min="11021" max="11021" width="8" style="1" customWidth="1"/>
    <col min="11022" max="11259" width="11.140625" style="1"/>
    <col min="11260" max="11260" width="19.42578125" style="1" customWidth="1"/>
    <col min="11261" max="11261" width="8.7109375" style="1" customWidth="1"/>
    <col min="11262" max="11263" width="8" style="1" customWidth="1"/>
    <col min="11264" max="11264" width="2.42578125" style="1" customWidth="1"/>
    <col min="11265" max="11265" width="8" style="1" customWidth="1"/>
    <col min="11266" max="11266" width="8.5703125" style="1" customWidth="1"/>
    <col min="11267" max="11267" width="8" style="1" customWidth="1"/>
    <col min="11268" max="11268" width="2.42578125" style="1" customWidth="1"/>
    <col min="11269" max="11269" width="9" style="1" customWidth="1"/>
    <col min="11270" max="11271" width="8" style="1" customWidth="1"/>
    <col min="11272" max="11272" width="2.42578125" style="1" customWidth="1"/>
    <col min="11273" max="11273" width="9.28515625" style="1" customWidth="1"/>
    <col min="11274" max="11275" width="8" style="1" customWidth="1"/>
    <col min="11276" max="11276" width="1.28515625" style="1" customWidth="1"/>
    <col min="11277" max="11277" width="8" style="1" customWidth="1"/>
    <col min="11278" max="11515" width="11.140625" style="1"/>
    <col min="11516" max="11516" width="19.42578125" style="1" customWidth="1"/>
    <col min="11517" max="11517" width="8.7109375" style="1" customWidth="1"/>
    <col min="11518" max="11519" width="8" style="1" customWidth="1"/>
    <col min="11520" max="11520" width="2.42578125" style="1" customWidth="1"/>
    <col min="11521" max="11521" width="8" style="1" customWidth="1"/>
    <col min="11522" max="11522" width="8.5703125" style="1" customWidth="1"/>
    <col min="11523" max="11523" width="8" style="1" customWidth="1"/>
    <col min="11524" max="11524" width="2.42578125" style="1" customWidth="1"/>
    <col min="11525" max="11525" width="9" style="1" customWidth="1"/>
    <col min="11526" max="11527" width="8" style="1" customWidth="1"/>
    <col min="11528" max="11528" width="2.42578125" style="1" customWidth="1"/>
    <col min="11529" max="11529" width="9.28515625" style="1" customWidth="1"/>
    <col min="11530" max="11531" width="8" style="1" customWidth="1"/>
    <col min="11532" max="11532" width="1.28515625" style="1" customWidth="1"/>
    <col min="11533" max="11533" width="8" style="1" customWidth="1"/>
    <col min="11534" max="11771" width="11.140625" style="1"/>
    <col min="11772" max="11772" width="19.42578125" style="1" customWidth="1"/>
    <col min="11773" max="11773" width="8.7109375" style="1" customWidth="1"/>
    <col min="11774" max="11775" width="8" style="1" customWidth="1"/>
    <col min="11776" max="11776" width="2.42578125" style="1" customWidth="1"/>
    <col min="11777" max="11777" width="8" style="1" customWidth="1"/>
    <col min="11778" max="11778" width="8.5703125" style="1" customWidth="1"/>
    <col min="11779" max="11779" width="8" style="1" customWidth="1"/>
    <col min="11780" max="11780" width="2.42578125" style="1" customWidth="1"/>
    <col min="11781" max="11781" width="9" style="1" customWidth="1"/>
    <col min="11782" max="11783" width="8" style="1" customWidth="1"/>
    <col min="11784" max="11784" width="2.42578125" style="1" customWidth="1"/>
    <col min="11785" max="11785" width="9.28515625" style="1" customWidth="1"/>
    <col min="11786" max="11787" width="8" style="1" customWidth="1"/>
    <col min="11788" max="11788" width="1.28515625" style="1" customWidth="1"/>
    <col min="11789" max="11789" width="8" style="1" customWidth="1"/>
    <col min="11790" max="12027" width="11.140625" style="1"/>
    <col min="12028" max="12028" width="19.42578125" style="1" customWidth="1"/>
    <col min="12029" max="12029" width="8.7109375" style="1" customWidth="1"/>
    <col min="12030" max="12031" width="8" style="1" customWidth="1"/>
    <col min="12032" max="12032" width="2.42578125" style="1" customWidth="1"/>
    <col min="12033" max="12033" width="8" style="1" customWidth="1"/>
    <col min="12034" max="12034" width="8.5703125" style="1" customWidth="1"/>
    <col min="12035" max="12035" width="8" style="1" customWidth="1"/>
    <col min="12036" max="12036" width="2.42578125" style="1" customWidth="1"/>
    <col min="12037" max="12037" width="9" style="1" customWidth="1"/>
    <col min="12038" max="12039" width="8" style="1" customWidth="1"/>
    <col min="12040" max="12040" width="2.42578125" style="1" customWidth="1"/>
    <col min="12041" max="12041" width="9.28515625" style="1" customWidth="1"/>
    <col min="12042" max="12043" width="8" style="1" customWidth="1"/>
    <col min="12044" max="12044" width="1.28515625" style="1" customWidth="1"/>
    <col min="12045" max="12045" width="8" style="1" customWidth="1"/>
    <col min="12046" max="12283" width="11.140625" style="1"/>
    <col min="12284" max="12284" width="19.42578125" style="1" customWidth="1"/>
    <col min="12285" max="12285" width="8.7109375" style="1" customWidth="1"/>
    <col min="12286" max="12287" width="8" style="1" customWidth="1"/>
    <col min="12288" max="12288" width="2.42578125" style="1" customWidth="1"/>
    <col min="12289" max="12289" width="8" style="1" customWidth="1"/>
    <col min="12290" max="12290" width="8.5703125" style="1" customWidth="1"/>
    <col min="12291" max="12291" width="8" style="1" customWidth="1"/>
    <col min="12292" max="12292" width="2.42578125" style="1" customWidth="1"/>
    <col min="12293" max="12293" width="9" style="1" customWidth="1"/>
    <col min="12294" max="12295" width="8" style="1" customWidth="1"/>
    <col min="12296" max="12296" width="2.42578125" style="1" customWidth="1"/>
    <col min="12297" max="12297" width="9.28515625" style="1" customWidth="1"/>
    <col min="12298" max="12299" width="8" style="1" customWidth="1"/>
    <col min="12300" max="12300" width="1.28515625" style="1" customWidth="1"/>
    <col min="12301" max="12301" width="8" style="1" customWidth="1"/>
    <col min="12302" max="12539" width="11.140625" style="1"/>
    <col min="12540" max="12540" width="19.42578125" style="1" customWidth="1"/>
    <col min="12541" max="12541" width="8.7109375" style="1" customWidth="1"/>
    <col min="12542" max="12543" width="8" style="1" customWidth="1"/>
    <col min="12544" max="12544" width="2.42578125" style="1" customWidth="1"/>
    <col min="12545" max="12545" width="8" style="1" customWidth="1"/>
    <col min="12546" max="12546" width="8.5703125" style="1" customWidth="1"/>
    <col min="12547" max="12547" width="8" style="1" customWidth="1"/>
    <col min="12548" max="12548" width="2.42578125" style="1" customWidth="1"/>
    <col min="12549" max="12549" width="9" style="1" customWidth="1"/>
    <col min="12550" max="12551" width="8" style="1" customWidth="1"/>
    <col min="12552" max="12552" width="2.42578125" style="1" customWidth="1"/>
    <col min="12553" max="12553" width="9.28515625" style="1" customWidth="1"/>
    <col min="12554" max="12555" width="8" style="1" customWidth="1"/>
    <col min="12556" max="12556" width="1.28515625" style="1" customWidth="1"/>
    <col min="12557" max="12557" width="8" style="1" customWidth="1"/>
    <col min="12558" max="12795" width="11.140625" style="1"/>
    <col min="12796" max="12796" width="19.42578125" style="1" customWidth="1"/>
    <col min="12797" max="12797" width="8.7109375" style="1" customWidth="1"/>
    <col min="12798" max="12799" width="8" style="1" customWidth="1"/>
    <col min="12800" max="12800" width="2.42578125" style="1" customWidth="1"/>
    <col min="12801" max="12801" width="8" style="1" customWidth="1"/>
    <col min="12802" max="12802" width="8.5703125" style="1" customWidth="1"/>
    <col min="12803" max="12803" width="8" style="1" customWidth="1"/>
    <col min="12804" max="12804" width="2.42578125" style="1" customWidth="1"/>
    <col min="12805" max="12805" width="9" style="1" customWidth="1"/>
    <col min="12806" max="12807" width="8" style="1" customWidth="1"/>
    <col min="12808" max="12808" width="2.42578125" style="1" customWidth="1"/>
    <col min="12809" max="12809" width="9.28515625" style="1" customWidth="1"/>
    <col min="12810" max="12811" width="8" style="1" customWidth="1"/>
    <col min="12812" max="12812" width="1.28515625" style="1" customWidth="1"/>
    <col min="12813" max="12813" width="8" style="1" customWidth="1"/>
    <col min="12814" max="13051" width="11.140625" style="1"/>
    <col min="13052" max="13052" width="19.42578125" style="1" customWidth="1"/>
    <col min="13053" max="13053" width="8.7109375" style="1" customWidth="1"/>
    <col min="13054" max="13055" width="8" style="1" customWidth="1"/>
    <col min="13056" max="13056" width="2.42578125" style="1" customWidth="1"/>
    <col min="13057" max="13057" width="8" style="1" customWidth="1"/>
    <col min="13058" max="13058" width="8.5703125" style="1" customWidth="1"/>
    <col min="13059" max="13059" width="8" style="1" customWidth="1"/>
    <col min="13060" max="13060" width="2.42578125" style="1" customWidth="1"/>
    <col min="13061" max="13061" width="9" style="1" customWidth="1"/>
    <col min="13062" max="13063" width="8" style="1" customWidth="1"/>
    <col min="13064" max="13064" width="2.42578125" style="1" customWidth="1"/>
    <col min="13065" max="13065" width="9.28515625" style="1" customWidth="1"/>
    <col min="13066" max="13067" width="8" style="1" customWidth="1"/>
    <col min="13068" max="13068" width="1.28515625" style="1" customWidth="1"/>
    <col min="13069" max="13069" width="8" style="1" customWidth="1"/>
    <col min="13070" max="13307" width="11.140625" style="1"/>
    <col min="13308" max="13308" width="19.42578125" style="1" customWidth="1"/>
    <col min="13309" max="13309" width="8.7109375" style="1" customWidth="1"/>
    <col min="13310" max="13311" width="8" style="1" customWidth="1"/>
    <col min="13312" max="13312" width="2.42578125" style="1" customWidth="1"/>
    <col min="13313" max="13313" width="8" style="1" customWidth="1"/>
    <col min="13314" max="13314" width="8.5703125" style="1" customWidth="1"/>
    <col min="13315" max="13315" width="8" style="1" customWidth="1"/>
    <col min="13316" max="13316" width="2.42578125" style="1" customWidth="1"/>
    <col min="13317" max="13317" width="9" style="1" customWidth="1"/>
    <col min="13318" max="13319" width="8" style="1" customWidth="1"/>
    <col min="13320" max="13320" width="2.42578125" style="1" customWidth="1"/>
    <col min="13321" max="13321" width="9.28515625" style="1" customWidth="1"/>
    <col min="13322" max="13323" width="8" style="1" customWidth="1"/>
    <col min="13324" max="13324" width="1.28515625" style="1" customWidth="1"/>
    <col min="13325" max="13325" width="8" style="1" customWidth="1"/>
    <col min="13326" max="13563" width="11.140625" style="1"/>
    <col min="13564" max="13564" width="19.42578125" style="1" customWidth="1"/>
    <col min="13565" max="13565" width="8.7109375" style="1" customWidth="1"/>
    <col min="13566" max="13567" width="8" style="1" customWidth="1"/>
    <col min="13568" max="13568" width="2.42578125" style="1" customWidth="1"/>
    <col min="13569" max="13569" width="8" style="1" customWidth="1"/>
    <col min="13570" max="13570" width="8.5703125" style="1" customWidth="1"/>
    <col min="13571" max="13571" width="8" style="1" customWidth="1"/>
    <col min="13572" max="13572" width="2.42578125" style="1" customWidth="1"/>
    <col min="13573" max="13573" width="9" style="1" customWidth="1"/>
    <col min="13574" max="13575" width="8" style="1" customWidth="1"/>
    <col min="13576" max="13576" width="2.42578125" style="1" customWidth="1"/>
    <col min="13577" max="13577" width="9.28515625" style="1" customWidth="1"/>
    <col min="13578" max="13579" width="8" style="1" customWidth="1"/>
    <col min="13580" max="13580" width="1.28515625" style="1" customWidth="1"/>
    <col min="13581" max="13581" width="8" style="1" customWidth="1"/>
    <col min="13582" max="13819" width="11.140625" style="1"/>
    <col min="13820" max="13820" width="19.42578125" style="1" customWidth="1"/>
    <col min="13821" max="13821" width="8.7109375" style="1" customWidth="1"/>
    <col min="13822" max="13823" width="8" style="1" customWidth="1"/>
    <col min="13824" max="13824" width="2.42578125" style="1" customWidth="1"/>
    <col min="13825" max="13825" width="8" style="1" customWidth="1"/>
    <col min="13826" max="13826" width="8.5703125" style="1" customWidth="1"/>
    <col min="13827" max="13827" width="8" style="1" customWidth="1"/>
    <col min="13828" max="13828" width="2.42578125" style="1" customWidth="1"/>
    <col min="13829" max="13829" width="9" style="1" customWidth="1"/>
    <col min="13830" max="13831" width="8" style="1" customWidth="1"/>
    <col min="13832" max="13832" width="2.42578125" style="1" customWidth="1"/>
    <col min="13833" max="13833" width="9.28515625" style="1" customWidth="1"/>
    <col min="13834" max="13835" width="8" style="1" customWidth="1"/>
    <col min="13836" max="13836" width="1.28515625" style="1" customWidth="1"/>
    <col min="13837" max="13837" width="8" style="1" customWidth="1"/>
    <col min="13838" max="14075" width="11.140625" style="1"/>
    <col min="14076" max="14076" width="19.42578125" style="1" customWidth="1"/>
    <col min="14077" max="14077" width="8.7109375" style="1" customWidth="1"/>
    <col min="14078" max="14079" width="8" style="1" customWidth="1"/>
    <col min="14080" max="14080" width="2.42578125" style="1" customWidth="1"/>
    <col min="14081" max="14081" width="8" style="1" customWidth="1"/>
    <col min="14082" max="14082" width="8.5703125" style="1" customWidth="1"/>
    <col min="14083" max="14083" width="8" style="1" customWidth="1"/>
    <col min="14084" max="14084" width="2.42578125" style="1" customWidth="1"/>
    <col min="14085" max="14085" width="9" style="1" customWidth="1"/>
    <col min="14086" max="14087" width="8" style="1" customWidth="1"/>
    <col min="14088" max="14088" width="2.42578125" style="1" customWidth="1"/>
    <col min="14089" max="14089" width="9.28515625" style="1" customWidth="1"/>
    <col min="14090" max="14091" width="8" style="1" customWidth="1"/>
    <col min="14092" max="14092" width="1.28515625" style="1" customWidth="1"/>
    <col min="14093" max="14093" width="8" style="1" customWidth="1"/>
    <col min="14094" max="14331" width="11.140625" style="1"/>
    <col min="14332" max="14332" width="19.42578125" style="1" customWidth="1"/>
    <col min="14333" max="14333" width="8.7109375" style="1" customWidth="1"/>
    <col min="14334" max="14335" width="8" style="1" customWidth="1"/>
    <col min="14336" max="14336" width="2.42578125" style="1" customWidth="1"/>
    <col min="14337" max="14337" width="8" style="1" customWidth="1"/>
    <col min="14338" max="14338" width="8.5703125" style="1" customWidth="1"/>
    <col min="14339" max="14339" width="8" style="1" customWidth="1"/>
    <col min="14340" max="14340" width="2.42578125" style="1" customWidth="1"/>
    <col min="14341" max="14341" width="9" style="1" customWidth="1"/>
    <col min="14342" max="14343" width="8" style="1" customWidth="1"/>
    <col min="14344" max="14344" width="2.42578125" style="1" customWidth="1"/>
    <col min="14345" max="14345" width="9.28515625" style="1" customWidth="1"/>
    <col min="14346" max="14347" width="8" style="1" customWidth="1"/>
    <col min="14348" max="14348" width="1.28515625" style="1" customWidth="1"/>
    <col min="14349" max="14349" width="8" style="1" customWidth="1"/>
    <col min="14350" max="14587" width="11.140625" style="1"/>
    <col min="14588" max="14588" width="19.42578125" style="1" customWidth="1"/>
    <col min="14589" max="14589" width="8.7109375" style="1" customWidth="1"/>
    <col min="14590" max="14591" width="8" style="1" customWidth="1"/>
    <col min="14592" max="14592" width="2.42578125" style="1" customWidth="1"/>
    <col min="14593" max="14593" width="8" style="1" customWidth="1"/>
    <col min="14594" max="14594" width="8.5703125" style="1" customWidth="1"/>
    <col min="14595" max="14595" width="8" style="1" customWidth="1"/>
    <col min="14596" max="14596" width="2.42578125" style="1" customWidth="1"/>
    <col min="14597" max="14597" width="9" style="1" customWidth="1"/>
    <col min="14598" max="14599" width="8" style="1" customWidth="1"/>
    <col min="14600" max="14600" width="2.42578125" style="1" customWidth="1"/>
    <col min="14601" max="14601" width="9.28515625" style="1" customWidth="1"/>
    <col min="14602" max="14603" width="8" style="1" customWidth="1"/>
    <col min="14604" max="14604" width="1.28515625" style="1" customWidth="1"/>
    <col min="14605" max="14605" width="8" style="1" customWidth="1"/>
    <col min="14606" max="14843" width="11.140625" style="1"/>
    <col min="14844" max="14844" width="19.42578125" style="1" customWidth="1"/>
    <col min="14845" max="14845" width="8.7109375" style="1" customWidth="1"/>
    <col min="14846" max="14847" width="8" style="1" customWidth="1"/>
    <col min="14848" max="14848" width="2.42578125" style="1" customWidth="1"/>
    <col min="14849" max="14849" width="8" style="1" customWidth="1"/>
    <col min="14850" max="14850" width="8.5703125" style="1" customWidth="1"/>
    <col min="14851" max="14851" width="8" style="1" customWidth="1"/>
    <col min="14852" max="14852" width="2.42578125" style="1" customWidth="1"/>
    <col min="14853" max="14853" width="9" style="1" customWidth="1"/>
    <col min="14854" max="14855" width="8" style="1" customWidth="1"/>
    <col min="14856" max="14856" width="2.42578125" style="1" customWidth="1"/>
    <col min="14857" max="14857" width="9.28515625" style="1" customWidth="1"/>
    <col min="14858" max="14859" width="8" style="1" customWidth="1"/>
    <col min="14860" max="14860" width="1.28515625" style="1" customWidth="1"/>
    <col min="14861" max="14861" width="8" style="1" customWidth="1"/>
    <col min="14862" max="15099" width="11.140625" style="1"/>
    <col min="15100" max="15100" width="19.42578125" style="1" customWidth="1"/>
    <col min="15101" max="15101" width="8.7109375" style="1" customWidth="1"/>
    <col min="15102" max="15103" width="8" style="1" customWidth="1"/>
    <col min="15104" max="15104" width="2.42578125" style="1" customWidth="1"/>
    <col min="15105" max="15105" width="8" style="1" customWidth="1"/>
    <col min="15106" max="15106" width="8.5703125" style="1" customWidth="1"/>
    <col min="15107" max="15107" width="8" style="1" customWidth="1"/>
    <col min="15108" max="15108" width="2.42578125" style="1" customWidth="1"/>
    <col min="15109" max="15109" width="9" style="1" customWidth="1"/>
    <col min="15110" max="15111" width="8" style="1" customWidth="1"/>
    <col min="15112" max="15112" width="2.42578125" style="1" customWidth="1"/>
    <col min="15113" max="15113" width="9.28515625" style="1" customWidth="1"/>
    <col min="15114" max="15115" width="8" style="1" customWidth="1"/>
    <col min="15116" max="15116" width="1.28515625" style="1" customWidth="1"/>
    <col min="15117" max="15117" width="8" style="1" customWidth="1"/>
    <col min="15118" max="15355" width="11.140625" style="1"/>
    <col min="15356" max="15356" width="19.42578125" style="1" customWidth="1"/>
    <col min="15357" max="15357" width="8.7109375" style="1" customWidth="1"/>
    <col min="15358" max="15359" width="8" style="1" customWidth="1"/>
    <col min="15360" max="15360" width="2.42578125" style="1" customWidth="1"/>
    <col min="15361" max="15361" width="8" style="1" customWidth="1"/>
    <col min="15362" max="15362" width="8.5703125" style="1" customWidth="1"/>
    <col min="15363" max="15363" width="8" style="1" customWidth="1"/>
    <col min="15364" max="15364" width="2.42578125" style="1" customWidth="1"/>
    <col min="15365" max="15365" width="9" style="1" customWidth="1"/>
    <col min="15366" max="15367" width="8" style="1" customWidth="1"/>
    <col min="15368" max="15368" width="2.42578125" style="1" customWidth="1"/>
    <col min="15369" max="15369" width="9.28515625" style="1" customWidth="1"/>
    <col min="15370" max="15371" width="8" style="1" customWidth="1"/>
    <col min="15372" max="15372" width="1.28515625" style="1" customWidth="1"/>
    <col min="15373" max="15373" width="8" style="1" customWidth="1"/>
    <col min="15374" max="15611" width="11.140625" style="1"/>
    <col min="15612" max="15612" width="19.42578125" style="1" customWidth="1"/>
    <col min="15613" max="15613" width="8.7109375" style="1" customWidth="1"/>
    <col min="15614" max="15615" width="8" style="1" customWidth="1"/>
    <col min="15616" max="15616" width="2.42578125" style="1" customWidth="1"/>
    <col min="15617" max="15617" width="8" style="1" customWidth="1"/>
    <col min="15618" max="15618" width="8.5703125" style="1" customWidth="1"/>
    <col min="15619" max="15619" width="8" style="1" customWidth="1"/>
    <col min="15620" max="15620" width="2.42578125" style="1" customWidth="1"/>
    <col min="15621" max="15621" width="9" style="1" customWidth="1"/>
    <col min="15622" max="15623" width="8" style="1" customWidth="1"/>
    <col min="15624" max="15624" width="2.42578125" style="1" customWidth="1"/>
    <col min="15625" max="15625" width="9.28515625" style="1" customWidth="1"/>
    <col min="15626" max="15627" width="8" style="1" customWidth="1"/>
    <col min="15628" max="15628" width="1.28515625" style="1" customWidth="1"/>
    <col min="15629" max="15629" width="8" style="1" customWidth="1"/>
    <col min="15630" max="15867" width="11.140625" style="1"/>
    <col min="15868" max="15868" width="19.42578125" style="1" customWidth="1"/>
    <col min="15869" max="15869" width="8.7109375" style="1" customWidth="1"/>
    <col min="15870" max="15871" width="8" style="1" customWidth="1"/>
    <col min="15872" max="15872" width="2.42578125" style="1" customWidth="1"/>
    <col min="15873" max="15873" width="8" style="1" customWidth="1"/>
    <col min="15874" max="15874" width="8.5703125" style="1" customWidth="1"/>
    <col min="15875" max="15875" width="8" style="1" customWidth="1"/>
    <col min="15876" max="15876" width="2.42578125" style="1" customWidth="1"/>
    <col min="15877" max="15877" width="9" style="1" customWidth="1"/>
    <col min="15878" max="15879" width="8" style="1" customWidth="1"/>
    <col min="15880" max="15880" width="2.42578125" style="1" customWidth="1"/>
    <col min="15881" max="15881" width="9.28515625" style="1" customWidth="1"/>
    <col min="15882" max="15883" width="8" style="1" customWidth="1"/>
    <col min="15884" max="15884" width="1.28515625" style="1" customWidth="1"/>
    <col min="15885" max="15885" width="8" style="1" customWidth="1"/>
    <col min="15886" max="16123" width="11.140625" style="1"/>
    <col min="16124" max="16124" width="19.42578125" style="1" customWidth="1"/>
    <col min="16125" max="16125" width="8.7109375" style="1" customWidth="1"/>
    <col min="16126" max="16127" width="8" style="1" customWidth="1"/>
    <col min="16128" max="16128" width="2.42578125" style="1" customWidth="1"/>
    <col min="16129" max="16129" width="8" style="1" customWidth="1"/>
    <col min="16130" max="16130" width="8.5703125" style="1" customWidth="1"/>
    <col min="16131" max="16131" width="8" style="1" customWidth="1"/>
    <col min="16132" max="16132" width="2.42578125" style="1" customWidth="1"/>
    <col min="16133" max="16133" width="9" style="1" customWidth="1"/>
    <col min="16134" max="16135" width="8" style="1" customWidth="1"/>
    <col min="16136" max="16136" width="2.42578125" style="1" customWidth="1"/>
    <col min="16137" max="16137" width="9.28515625" style="1" customWidth="1"/>
    <col min="16138" max="16139" width="8" style="1" customWidth="1"/>
    <col min="16140" max="16140" width="1.28515625" style="1" customWidth="1"/>
    <col min="16141" max="16141" width="8" style="1" customWidth="1"/>
    <col min="16142" max="16384" width="11.140625" style="1"/>
  </cols>
  <sheetData>
    <row r="3" spans="1:16" s="7" customFormat="1" ht="21" x14ac:dyDescent="0.2">
      <c r="A3" s="33" t="s">
        <v>34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s="8" customFormat="1" ht="15" x14ac:dyDescent="0.25">
      <c r="A4" s="34" t="s">
        <v>33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 x14ac:dyDescent="0.2">
      <c r="A5" s="2"/>
      <c r="B5" s="3"/>
      <c r="C5" s="3"/>
      <c r="D5" s="4"/>
      <c r="E5" s="4"/>
      <c r="F5" s="6"/>
      <c r="G5" s="6"/>
      <c r="H5" s="5"/>
      <c r="I5" s="4"/>
      <c r="J5" s="3"/>
      <c r="K5" s="3"/>
      <c r="L5" s="4"/>
      <c r="M5" s="4"/>
      <c r="N5" s="3"/>
      <c r="O5" s="3"/>
      <c r="P5" s="4"/>
    </row>
    <row r="6" spans="1:16" s="7" customFormat="1" ht="21.75" customHeight="1" x14ac:dyDescent="0.2">
      <c r="A6" s="35" t="s">
        <v>24</v>
      </c>
      <c r="B6" s="38" t="s">
        <v>16</v>
      </c>
      <c r="C6" s="38"/>
      <c r="D6" s="38"/>
      <c r="E6" s="39"/>
      <c r="F6" s="38" t="s">
        <v>17</v>
      </c>
      <c r="G6" s="38"/>
      <c r="H6" s="38"/>
      <c r="I6" s="38"/>
      <c r="J6" s="40" t="s">
        <v>18</v>
      </c>
      <c r="K6" s="38"/>
      <c r="L6" s="38"/>
      <c r="M6" s="39"/>
      <c r="N6" s="38" t="s">
        <v>19</v>
      </c>
      <c r="O6" s="38"/>
      <c r="P6" s="38"/>
    </row>
    <row r="7" spans="1:16" s="13" customFormat="1" ht="24" customHeight="1" x14ac:dyDescent="0.2">
      <c r="A7" s="36"/>
      <c r="B7" s="17" t="s">
        <v>25</v>
      </c>
      <c r="C7" s="17" t="s">
        <v>1</v>
      </c>
      <c r="D7" s="17" t="s">
        <v>2</v>
      </c>
      <c r="E7" s="18" t="s">
        <v>32</v>
      </c>
      <c r="F7" s="17" t="s">
        <v>0</v>
      </c>
      <c r="G7" s="17" t="s">
        <v>1</v>
      </c>
      <c r="H7" s="17" t="s">
        <v>2</v>
      </c>
      <c r="I7" s="18" t="s">
        <v>32</v>
      </c>
      <c r="J7" s="19" t="s">
        <v>0</v>
      </c>
      <c r="K7" s="17" t="s">
        <v>1</v>
      </c>
      <c r="L7" s="17" t="s">
        <v>2</v>
      </c>
      <c r="M7" s="18" t="s">
        <v>32</v>
      </c>
      <c r="N7" s="17" t="s">
        <v>0</v>
      </c>
      <c r="O7" s="17" t="s">
        <v>1</v>
      </c>
      <c r="P7" s="17" t="s">
        <v>2</v>
      </c>
    </row>
    <row r="8" spans="1:16" s="8" customFormat="1" ht="17.25" customHeight="1" x14ac:dyDescent="0.25">
      <c r="A8" s="2" t="s">
        <v>26</v>
      </c>
      <c r="B8" s="14">
        <f t="shared" ref="B8:I8" si="0">SUM(B13:B29)</f>
        <v>1554</v>
      </c>
      <c r="C8" s="14">
        <f t="shared" si="0"/>
        <v>927</v>
      </c>
      <c r="D8" s="14">
        <f t="shared" si="0"/>
        <v>623</v>
      </c>
      <c r="E8" s="15">
        <f t="shared" si="0"/>
        <v>4</v>
      </c>
      <c r="F8" s="14">
        <f t="shared" si="0"/>
        <v>914</v>
      </c>
      <c r="G8" s="14">
        <f t="shared" si="0"/>
        <v>521</v>
      </c>
      <c r="H8" s="14">
        <f t="shared" si="0"/>
        <v>391</v>
      </c>
      <c r="I8" s="14">
        <f t="shared" si="0"/>
        <v>2</v>
      </c>
      <c r="J8" s="16">
        <f t="shared" ref="J8:P8" si="1">SUM(J13:J29)</f>
        <v>639</v>
      </c>
      <c r="K8" s="14">
        <f t="shared" si="1"/>
        <v>406</v>
      </c>
      <c r="L8" s="14">
        <f t="shared" si="1"/>
        <v>231</v>
      </c>
      <c r="M8" s="15">
        <f t="shared" si="1"/>
        <v>2</v>
      </c>
      <c r="N8" s="14">
        <f t="shared" si="1"/>
        <v>1</v>
      </c>
      <c r="O8" s="14">
        <f t="shared" si="1"/>
        <v>0</v>
      </c>
      <c r="P8" s="14">
        <f t="shared" si="1"/>
        <v>1</v>
      </c>
    </row>
    <row r="9" spans="1:16" s="31" customFormat="1" ht="17.25" customHeight="1" x14ac:dyDescent="0.25">
      <c r="A9" s="10" t="s">
        <v>22</v>
      </c>
      <c r="B9" s="11">
        <f>SUM(C9:E9)</f>
        <v>65</v>
      </c>
      <c r="C9" s="11">
        <f t="shared" ref="C9:E23" si="2">G9+K9+O9</f>
        <v>39</v>
      </c>
      <c r="D9" s="11">
        <f t="shared" si="2"/>
        <v>22</v>
      </c>
      <c r="E9" s="24">
        <f t="shared" si="2"/>
        <v>4</v>
      </c>
      <c r="F9" s="11">
        <f>SUM(G9:I9)</f>
        <v>54</v>
      </c>
      <c r="G9" s="25">
        <v>33</v>
      </c>
      <c r="H9" s="25">
        <v>19</v>
      </c>
      <c r="I9" s="24">
        <f t="shared" ref="I9:I12" si="3">M9+Q9+U9</f>
        <v>2</v>
      </c>
      <c r="J9" s="12">
        <f>SUM(K9:M9)</f>
        <v>11</v>
      </c>
      <c r="K9" s="25">
        <v>6</v>
      </c>
      <c r="L9" s="25">
        <v>3</v>
      </c>
      <c r="M9" s="26">
        <v>2</v>
      </c>
      <c r="N9" s="11">
        <f t="shared" ref="N9:N29" si="4">SUM(O9:P9)</f>
        <v>0</v>
      </c>
      <c r="O9" s="25">
        <v>0</v>
      </c>
      <c r="P9" s="25">
        <v>0</v>
      </c>
    </row>
    <row r="10" spans="1:16" s="31" customFormat="1" ht="17.25" customHeight="1" x14ac:dyDescent="0.25">
      <c r="A10" s="10" t="s">
        <v>23</v>
      </c>
      <c r="B10" s="11">
        <f>SUM(C10:E10)</f>
        <v>10</v>
      </c>
      <c r="C10" s="11">
        <f t="shared" si="2"/>
        <v>5</v>
      </c>
      <c r="D10" s="11">
        <f t="shared" si="2"/>
        <v>5</v>
      </c>
      <c r="E10" s="24">
        <f t="shared" si="2"/>
        <v>0</v>
      </c>
      <c r="F10" s="11">
        <f>SUM(G10:I10)</f>
        <v>9</v>
      </c>
      <c r="G10" s="25">
        <v>4</v>
      </c>
      <c r="H10" s="25">
        <v>5</v>
      </c>
      <c r="I10" s="24">
        <f t="shared" si="3"/>
        <v>0</v>
      </c>
      <c r="J10" s="12">
        <f>SUM(K10:L10)</f>
        <v>1</v>
      </c>
      <c r="K10" s="25">
        <v>1</v>
      </c>
      <c r="L10" s="25">
        <v>0</v>
      </c>
      <c r="M10" s="26">
        <v>0</v>
      </c>
      <c r="N10" s="11">
        <f t="shared" si="4"/>
        <v>0</v>
      </c>
      <c r="O10" s="25">
        <v>0</v>
      </c>
      <c r="P10" s="25">
        <v>0</v>
      </c>
    </row>
    <row r="11" spans="1:16" s="31" customFormat="1" ht="17.25" customHeight="1" x14ac:dyDescent="0.25">
      <c r="A11" s="10" t="s">
        <v>27</v>
      </c>
      <c r="B11" s="11">
        <f>SUM(C11:E11)</f>
        <v>23</v>
      </c>
      <c r="C11" s="11">
        <f t="shared" si="2"/>
        <v>15</v>
      </c>
      <c r="D11" s="11">
        <f t="shared" si="2"/>
        <v>8</v>
      </c>
      <c r="E11" s="24">
        <f t="shared" si="2"/>
        <v>0</v>
      </c>
      <c r="F11" s="11">
        <f>SUM(G11:I11)</f>
        <v>16</v>
      </c>
      <c r="G11" s="25">
        <v>9</v>
      </c>
      <c r="H11" s="25">
        <v>7</v>
      </c>
      <c r="I11" s="24">
        <f t="shared" si="3"/>
        <v>0</v>
      </c>
      <c r="J11" s="12">
        <f>SUM(K11:L11)</f>
        <v>7</v>
      </c>
      <c r="K11" s="25">
        <v>6</v>
      </c>
      <c r="L11" s="25">
        <v>1</v>
      </c>
      <c r="M11" s="26">
        <v>0</v>
      </c>
      <c r="N11" s="11">
        <f t="shared" si="4"/>
        <v>0</v>
      </c>
      <c r="O11" s="25">
        <v>0</v>
      </c>
      <c r="P11" s="25">
        <v>0</v>
      </c>
    </row>
    <row r="12" spans="1:16" s="31" customFormat="1" ht="17.25" customHeight="1" x14ac:dyDescent="0.25">
      <c r="A12" s="10" t="s">
        <v>20</v>
      </c>
      <c r="B12" s="11">
        <f>SUM(C12:E12)</f>
        <v>1</v>
      </c>
      <c r="C12" s="11">
        <f t="shared" si="2"/>
        <v>1</v>
      </c>
      <c r="D12" s="11">
        <f t="shared" si="2"/>
        <v>0</v>
      </c>
      <c r="E12" s="24">
        <f t="shared" si="2"/>
        <v>0</v>
      </c>
      <c r="F12" s="11">
        <f>SUM(G12:I12)</f>
        <v>0</v>
      </c>
      <c r="G12" s="25">
        <v>0</v>
      </c>
      <c r="H12" s="25">
        <v>0</v>
      </c>
      <c r="I12" s="24">
        <f t="shared" si="3"/>
        <v>0</v>
      </c>
      <c r="J12" s="12">
        <f>SUM(K12:M12)</f>
        <v>1</v>
      </c>
      <c r="K12" s="25">
        <v>1</v>
      </c>
      <c r="L12" s="25">
        <v>0</v>
      </c>
      <c r="M12" s="26">
        <v>0</v>
      </c>
      <c r="N12" s="11">
        <f t="shared" si="4"/>
        <v>0</v>
      </c>
      <c r="O12" s="25">
        <v>0</v>
      </c>
      <c r="P12" s="25">
        <v>0</v>
      </c>
    </row>
    <row r="13" spans="1:16" s="8" customFormat="1" ht="17.25" customHeight="1" x14ac:dyDescent="0.25">
      <c r="A13" s="10" t="s">
        <v>4</v>
      </c>
      <c r="B13" s="14">
        <f>SUM(C13:E13)</f>
        <v>99</v>
      </c>
      <c r="C13" s="27">
        <f>SUM(C9:C12)</f>
        <v>60</v>
      </c>
      <c r="D13" s="27">
        <f>SUM(D9:D12)</f>
        <v>35</v>
      </c>
      <c r="E13" s="15">
        <f t="shared" si="2"/>
        <v>4</v>
      </c>
      <c r="F13" s="14">
        <f>SUM(G13:I13)</f>
        <v>79</v>
      </c>
      <c r="G13" s="27">
        <f>SUM(G9:G12)</f>
        <v>46</v>
      </c>
      <c r="H13" s="27">
        <f>SUM(H9:H12)</f>
        <v>31</v>
      </c>
      <c r="I13" s="27">
        <f>SUM(I9:I12)</f>
        <v>2</v>
      </c>
      <c r="J13" s="16">
        <f>SUM(K13:M13)</f>
        <v>20</v>
      </c>
      <c r="K13" s="27">
        <f>SUM(K9:K12)</f>
        <v>14</v>
      </c>
      <c r="L13" s="27">
        <f>SUM(L9:L12)</f>
        <v>4</v>
      </c>
      <c r="M13" s="28">
        <f>SUM(M9:M12)</f>
        <v>2</v>
      </c>
      <c r="N13" s="14">
        <f t="shared" si="4"/>
        <v>0</v>
      </c>
      <c r="O13" s="27">
        <f>SUM(O9:O12)</f>
        <v>0</v>
      </c>
      <c r="P13" s="27">
        <f>SUM(P9:P12)</f>
        <v>0</v>
      </c>
    </row>
    <row r="14" spans="1:16" s="31" customFormat="1" ht="17.25" customHeight="1" x14ac:dyDescent="0.25">
      <c r="A14" s="32" t="s">
        <v>6</v>
      </c>
      <c r="B14" s="11">
        <f t="shared" ref="B14:B29" si="5">SUM(C14:E14)</f>
        <v>7</v>
      </c>
      <c r="C14" s="11">
        <f t="shared" ref="C14:E29" si="6">G14+K14+O14</f>
        <v>3</v>
      </c>
      <c r="D14" s="11">
        <f t="shared" si="6"/>
        <v>4</v>
      </c>
      <c r="E14" s="24">
        <f t="shared" si="2"/>
        <v>0</v>
      </c>
      <c r="F14" s="11">
        <f t="shared" ref="F14:F28" si="7">SUM(G14:H14)</f>
        <v>2</v>
      </c>
      <c r="G14" s="25">
        <v>0</v>
      </c>
      <c r="H14" s="25">
        <v>2</v>
      </c>
      <c r="I14" s="24">
        <f t="shared" ref="I14:I29" si="8">M14+Q14+U14</f>
        <v>0</v>
      </c>
      <c r="J14" s="12">
        <f t="shared" ref="J14:J29" si="9">SUM(K14:L14)</f>
        <v>5</v>
      </c>
      <c r="K14" s="25">
        <v>3</v>
      </c>
      <c r="L14" s="25">
        <v>2</v>
      </c>
      <c r="M14" s="24">
        <f t="shared" ref="M14:M29" si="10">Q14+U14+Y14</f>
        <v>0</v>
      </c>
      <c r="N14" s="11">
        <f t="shared" si="4"/>
        <v>0</v>
      </c>
      <c r="O14" s="25">
        <v>0</v>
      </c>
      <c r="P14" s="25">
        <v>0</v>
      </c>
    </row>
    <row r="15" spans="1:16" s="31" customFormat="1" ht="17.25" customHeight="1" x14ac:dyDescent="0.25">
      <c r="A15" s="32" t="s">
        <v>3</v>
      </c>
      <c r="B15" s="11">
        <f t="shared" si="5"/>
        <v>5</v>
      </c>
      <c r="C15" s="11">
        <f t="shared" si="6"/>
        <v>1</v>
      </c>
      <c r="D15" s="11">
        <f t="shared" si="6"/>
        <v>4</v>
      </c>
      <c r="E15" s="24">
        <f t="shared" si="2"/>
        <v>0</v>
      </c>
      <c r="F15" s="11">
        <f t="shared" si="7"/>
        <v>2</v>
      </c>
      <c r="G15" s="25">
        <v>0</v>
      </c>
      <c r="H15" s="25">
        <v>2</v>
      </c>
      <c r="I15" s="24">
        <f t="shared" si="8"/>
        <v>0</v>
      </c>
      <c r="J15" s="12">
        <f t="shared" si="9"/>
        <v>3</v>
      </c>
      <c r="K15" s="25">
        <v>1</v>
      </c>
      <c r="L15" s="25">
        <v>2</v>
      </c>
      <c r="M15" s="24">
        <f t="shared" si="10"/>
        <v>0</v>
      </c>
      <c r="N15" s="11">
        <f t="shared" si="4"/>
        <v>0</v>
      </c>
      <c r="O15" s="25">
        <v>0</v>
      </c>
      <c r="P15" s="25">
        <v>0</v>
      </c>
    </row>
    <row r="16" spans="1:16" s="31" customFormat="1" ht="17.25" customHeight="1" x14ac:dyDescent="0.25">
      <c r="A16" s="32" t="s">
        <v>5</v>
      </c>
      <c r="B16" s="11">
        <f t="shared" si="5"/>
        <v>7</v>
      </c>
      <c r="C16" s="11">
        <f t="shared" si="6"/>
        <v>3</v>
      </c>
      <c r="D16" s="11">
        <f>H16+L16+P16</f>
        <v>4</v>
      </c>
      <c r="E16" s="24">
        <f t="shared" si="2"/>
        <v>0</v>
      </c>
      <c r="F16" s="11">
        <f t="shared" si="7"/>
        <v>5</v>
      </c>
      <c r="G16" s="25">
        <v>2</v>
      </c>
      <c r="H16" s="25">
        <v>3</v>
      </c>
      <c r="I16" s="24">
        <f t="shared" si="8"/>
        <v>0</v>
      </c>
      <c r="J16" s="12">
        <f t="shared" si="9"/>
        <v>2</v>
      </c>
      <c r="K16" s="25">
        <v>1</v>
      </c>
      <c r="L16" s="11">
        <v>1</v>
      </c>
      <c r="M16" s="24">
        <f t="shared" si="10"/>
        <v>0</v>
      </c>
      <c r="N16" s="11">
        <f t="shared" si="4"/>
        <v>0</v>
      </c>
      <c r="O16" s="25">
        <v>0</v>
      </c>
      <c r="P16" s="25">
        <v>0</v>
      </c>
    </row>
    <row r="17" spans="1:16" s="31" customFormat="1" ht="17.25" customHeight="1" x14ac:dyDescent="0.25">
      <c r="A17" s="32" t="s">
        <v>7</v>
      </c>
      <c r="B17" s="11">
        <f t="shared" si="5"/>
        <v>9</v>
      </c>
      <c r="C17" s="11">
        <f>G17+K17+O17</f>
        <v>7</v>
      </c>
      <c r="D17" s="11">
        <f>H17+L17+P17</f>
        <v>2</v>
      </c>
      <c r="E17" s="24">
        <f t="shared" si="2"/>
        <v>0</v>
      </c>
      <c r="F17" s="11">
        <f t="shared" si="7"/>
        <v>3</v>
      </c>
      <c r="G17" s="25">
        <v>1</v>
      </c>
      <c r="H17" s="25">
        <v>2</v>
      </c>
      <c r="I17" s="24">
        <f t="shared" si="8"/>
        <v>0</v>
      </c>
      <c r="J17" s="12">
        <f>SUM(K17:L17)</f>
        <v>6</v>
      </c>
      <c r="K17" s="25">
        <v>6</v>
      </c>
      <c r="L17" s="25">
        <v>0</v>
      </c>
      <c r="M17" s="24">
        <f t="shared" si="10"/>
        <v>0</v>
      </c>
      <c r="N17" s="11">
        <f t="shared" si="4"/>
        <v>0</v>
      </c>
      <c r="O17" s="25">
        <v>0</v>
      </c>
      <c r="P17" s="25">
        <v>0</v>
      </c>
    </row>
    <row r="18" spans="1:16" s="31" customFormat="1" ht="17.25" customHeight="1" x14ac:dyDescent="0.25">
      <c r="A18" s="32" t="s">
        <v>8</v>
      </c>
      <c r="B18" s="11">
        <f t="shared" si="5"/>
        <v>18</v>
      </c>
      <c r="C18" s="11">
        <f t="shared" si="6"/>
        <v>16</v>
      </c>
      <c r="D18" s="11">
        <f t="shared" si="6"/>
        <v>2</v>
      </c>
      <c r="E18" s="24">
        <f t="shared" si="2"/>
        <v>0</v>
      </c>
      <c r="F18" s="11">
        <f t="shared" si="7"/>
        <v>12</v>
      </c>
      <c r="G18" s="25">
        <v>10</v>
      </c>
      <c r="H18" s="25">
        <v>2</v>
      </c>
      <c r="I18" s="24">
        <f t="shared" si="8"/>
        <v>0</v>
      </c>
      <c r="J18" s="12">
        <f t="shared" si="9"/>
        <v>6</v>
      </c>
      <c r="K18" s="25">
        <v>6</v>
      </c>
      <c r="L18" s="25">
        <v>0</v>
      </c>
      <c r="M18" s="24">
        <f t="shared" si="10"/>
        <v>0</v>
      </c>
      <c r="N18" s="11">
        <f t="shared" si="4"/>
        <v>0</v>
      </c>
      <c r="O18" s="25">
        <v>0</v>
      </c>
      <c r="P18" s="25">
        <v>0</v>
      </c>
    </row>
    <row r="19" spans="1:16" s="31" customFormat="1" ht="17.25" customHeight="1" x14ac:dyDescent="0.25">
      <c r="A19" s="32" t="s">
        <v>28</v>
      </c>
      <c r="B19" s="11">
        <f t="shared" si="5"/>
        <v>22</v>
      </c>
      <c r="C19" s="11">
        <f t="shared" si="6"/>
        <v>15</v>
      </c>
      <c r="D19" s="11">
        <f t="shared" si="6"/>
        <v>7</v>
      </c>
      <c r="E19" s="24">
        <f t="shared" si="2"/>
        <v>0</v>
      </c>
      <c r="F19" s="11">
        <f t="shared" si="7"/>
        <v>17</v>
      </c>
      <c r="G19" s="25">
        <v>11</v>
      </c>
      <c r="H19" s="11">
        <v>6</v>
      </c>
      <c r="I19" s="24">
        <f t="shared" si="8"/>
        <v>0</v>
      </c>
      <c r="J19" s="12">
        <f t="shared" si="9"/>
        <v>5</v>
      </c>
      <c r="K19" s="25">
        <v>4</v>
      </c>
      <c r="L19" s="25">
        <v>1</v>
      </c>
      <c r="M19" s="24">
        <f t="shared" si="10"/>
        <v>0</v>
      </c>
      <c r="N19" s="11">
        <f t="shared" si="4"/>
        <v>0</v>
      </c>
      <c r="O19" s="25">
        <v>0</v>
      </c>
      <c r="P19" s="25">
        <v>0</v>
      </c>
    </row>
    <row r="20" spans="1:16" s="31" customFormat="1" ht="17.25" customHeight="1" x14ac:dyDescent="0.25">
      <c r="A20" s="32" t="s">
        <v>9</v>
      </c>
      <c r="B20" s="11">
        <f t="shared" si="5"/>
        <v>32</v>
      </c>
      <c r="C20" s="11">
        <f t="shared" si="6"/>
        <v>25</v>
      </c>
      <c r="D20" s="11">
        <f t="shared" si="6"/>
        <v>7</v>
      </c>
      <c r="E20" s="24">
        <f t="shared" si="2"/>
        <v>0</v>
      </c>
      <c r="F20" s="11">
        <f t="shared" si="7"/>
        <v>20</v>
      </c>
      <c r="G20" s="25">
        <v>13</v>
      </c>
      <c r="H20" s="25">
        <v>7</v>
      </c>
      <c r="I20" s="24">
        <f t="shared" si="8"/>
        <v>0</v>
      </c>
      <c r="J20" s="12">
        <f t="shared" si="9"/>
        <v>12</v>
      </c>
      <c r="K20" s="25">
        <v>12</v>
      </c>
      <c r="L20" s="25">
        <v>0</v>
      </c>
      <c r="M20" s="24">
        <f t="shared" si="10"/>
        <v>0</v>
      </c>
      <c r="N20" s="11">
        <f t="shared" si="4"/>
        <v>0</v>
      </c>
      <c r="O20" s="25">
        <v>0</v>
      </c>
      <c r="P20" s="25">
        <v>0</v>
      </c>
    </row>
    <row r="21" spans="1:16" s="31" customFormat="1" ht="17.25" customHeight="1" x14ac:dyDescent="0.25">
      <c r="A21" s="32" t="s">
        <v>10</v>
      </c>
      <c r="B21" s="11">
        <f t="shared" si="5"/>
        <v>23</v>
      </c>
      <c r="C21" s="11">
        <f t="shared" si="6"/>
        <v>21</v>
      </c>
      <c r="D21" s="11">
        <f t="shared" si="6"/>
        <v>2</v>
      </c>
      <c r="E21" s="24">
        <f t="shared" si="2"/>
        <v>0</v>
      </c>
      <c r="F21" s="11">
        <f t="shared" si="7"/>
        <v>18</v>
      </c>
      <c r="G21" s="25">
        <v>16</v>
      </c>
      <c r="H21" s="25">
        <v>2</v>
      </c>
      <c r="I21" s="24">
        <f t="shared" si="8"/>
        <v>0</v>
      </c>
      <c r="J21" s="12">
        <f t="shared" si="9"/>
        <v>5</v>
      </c>
      <c r="K21" s="25">
        <v>5</v>
      </c>
      <c r="L21" s="25">
        <v>0</v>
      </c>
      <c r="M21" s="24">
        <f t="shared" si="10"/>
        <v>0</v>
      </c>
      <c r="N21" s="11">
        <f t="shared" si="4"/>
        <v>0</v>
      </c>
      <c r="O21" s="25">
        <v>0</v>
      </c>
      <c r="P21" s="25">
        <v>0</v>
      </c>
    </row>
    <row r="22" spans="1:16" s="31" customFormat="1" ht="17.25" customHeight="1" x14ac:dyDescent="0.25">
      <c r="A22" s="32" t="s">
        <v>29</v>
      </c>
      <c r="B22" s="11">
        <f t="shared" si="5"/>
        <v>40</v>
      </c>
      <c r="C22" s="11">
        <f t="shared" si="6"/>
        <v>24</v>
      </c>
      <c r="D22" s="11">
        <f t="shared" si="6"/>
        <v>16</v>
      </c>
      <c r="E22" s="24">
        <f t="shared" si="2"/>
        <v>0</v>
      </c>
      <c r="F22" s="11">
        <f t="shared" si="7"/>
        <v>27</v>
      </c>
      <c r="G22" s="25">
        <v>15</v>
      </c>
      <c r="H22" s="25">
        <v>12</v>
      </c>
      <c r="I22" s="24">
        <f t="shared" si="8"/>
        <v>0</v>
      </c>
      <c r="J22" s="12">
        <f t="shared" si="9"/>
        <v>13</v>
      </c>
      <c r="K22" s="25">
        <v>9</v>
      </c>
      <c r="L22" s="25">
        <v>4</v>
      </c>
      <c r="M22" s="24">
        <f t="shared" si="10"/>
        <v>0</v>
      </c>
      <c r="N22" s="11">
        <f t="shared" si="4"/>
        <v>0</v>
      </c>
      <c r="O22" s="25">
        <v>0</v>
      </c>
      <c r="P22" s="25">
        <v>0</v>
      </c>
    </row>
    <row r="23" spans="1:16" s="31" customFormat="1" ht="17.25" customHeight="1" x14ac:dyDescent="0.25">
      <c r="A23" s="32" t="s">
        <v>11</v>
      </c>
      <c r="B23" s="11">
        <f t="shared" si="5"/>
        <v>45</v>
      </c>
      <c r="C23" s="11">
        <f t="shared" si="6"/>
        <v>35</v>
      </c>
      <c r="D23" s="11">
        <f t="shared" si="6"/>
        <v>10</v>
      </c>
      <c r="E23" s="24">
        <f t="shared" si="2"/>
        <v>0</v>
      </c>
      <c r="F23" s="11">
        <f t="shared" si="7"/>
        <v>30</v>
      </c>
      <c r="G23" s="25">
        <v>23</v>
      </c>
      <c r="H23" s="25">
        <v>7</v>
      </c>
      <c r="I23" s="24">
        <f t="shared" si="8"/>
        <v>0</v>
      </c>
      <c r="J23" s="12">
        <f t="shared" si="9"/>
        <v>15</v>
      </c>
      <c r="K23" s="25">
        <v>12</v>
      </c>
      <c r="L23" s="25">
        <v>3</v>
      </c>
      <c r="M23" s="24">
        <f t="shared" si="10"/>
        <v>0</v>
      </c>
      <c r="N23" s="11">
        <f t="shared" si="4"/>
        <v>0</v>
      </c>
      <c r="O23" s="25">
        <v>0</v>
      </c>
      <c r="P23" s="25">
        <v>0</v>
      </c>
    </row>
    <row r="24" spans="1:16" s="31" customFormat="1" ht="17.25" customHeight="1" x14ac:dyDescent="0.25">
      <c r="A24" s="32" t="s">
        <v>12</v>
      </c>
      <c r="B24" s="11">
        <f t="shared" si="5"/>
        <v>54</v>
      </c>
      <c r="C24" s="11">
        <f t="shared" si="6"/>
        <v>38</v>
      </c>
      <c r="D24" s="11">
        <f t="shared" si="6"/>
        <v>16</v>
      </c>
      <c r="E24" s="24">
        <f t="shared" si="6"/>
        <v>0</v>
      </c>
      <c r="F24" s="11">
        <f t="shared" si="7"/>
        <v>39</v>
      </c>
      <c r="G24" s="25">
        <v>29</v>
      </c>
      <c r="H24" s="25">
        <v>10</v>
      </c>
      <c r="I24" s="24">
        <f t="shared" si="8"/>
        <v>0</v>
      </c>
      <c r="J24" s="12">
        <f t="shared" si="9"/>
        <v>15</v>
      </c>
      <c r="K24" s="25">
        <v>9</v>
      </c>
      <c r="L24" s="25">
        <v>6</v>
      </c>
      <c r="M24" s="24">
        <f t="shared" si="10"/>
        <v>0</v>
      </c>
      <c r="N24" s="11">
        <f t="shared" si="4"/>
        <v>0</v>
      </c>
      <c r="O24" s="25">
        <v>0</v>
      </c>
      <c r="P24" s="25">
        <v>0</v>
      </c>
    </row>
    <row r="25" spans="1:16" s="31" customFormat="1" ht="17.25" customHeight="1" x14ac:dyDescent="0.25">
      <c r="A25" s="32" t="s">
        <v>13</v>
      </c>
      <c r="B25" s="11">
        <f t="shared" si="5"/>
        <v>83</v>
      </c>
      <c r="C25" s="11">
        <f t="shared" si="6"/>
        <v>45</v>
      </c>
      <c r="D25" s="11">
        <f t="shared" si="6"/>
        <v>38</v>
      </c>
      <c r="E25" s="24">
        <f t="shared" si="6"/>
        <v>0</v>
      </c>
      <c r="F25" s="11">
        <f t="shared" si="7"/>
        <v>62</v>
      </c>
      <c r="G25" s="25">
        <v>33</v>
      </c>
      <c r="H25" s="25">
        <v>29</v>
      </c>
      <c r="I25" s="24">
        <f t="shared" si="8"/>
        <v>0</v>
      </c>
      <c r="J25" s="12">
        <f t="shared" si="9"/>
        <v>21</v>
      </c>
      <c r="K25" s="25">
        <v>12</v>
      </c>
      <c r="L25" s="25">
        <v>9</v>
      </c>
      <c r="M25" s="24">
        <f t="shared" si="10"/>
        <v>0</v>
      </c>
      <c r="N25" s="11">
        <f t="shared" si="4"/>
        <v>0</v>
      </c>
      <c r="O25" s="25">
        <v>0</v>
      </c>
      <c r="P25" s="25">
        <v>0</v>
      </c>
    </row>
    <row r="26" spans="1:16" s="31" customFormat="1" ht="17.25" customHeight="1" x14ac:dyDescent="0.25">
      <c r="A26" s="32" t="s">
        <v>14</v>
      </c>
      <c r="B26" s="11">
        <f t="shared" si="5"/>
        <v>122</v>
      </c>
      <c r="C26" s="11">
        <f t="shared" si="6"/>
        <v>66</v>
      </c>
      <c r="D26" s="11">
        <f t="shared" si="6"/>
        <v>56</v>
      </c>
      <c r="E26" s="24">
        <f t="shared" si="6"/>
        <v>0</v>
      </c>
      <c r="F26" s="11">
        <f t="shared" si="7"/>
        <v>90</v>
      </c>
      <c r="G26" s="11">
        <v>45</v>
      </c>
      <c r="H26" s="25">
        <v>45</v>
      </c>
      <c r="I26" s="24">
        <f t="shared" si="8"/>
        <v>0</v>
      </c>
      <c r="J26" s="12">
        <f t="shared" si="9"/>
        <v>32</v>
      </c>
      <c r="K26" s="11">
        <v>21</v>
      </c>
      <c r="L26" s="25">
        <v>11</v>
      </c>
      <c r="M26" s="24">
        <f t="shared" si="10"/>
        <v>0</v>
      </c>
      <c r="N26" s="11">
        <f t="shared" si="4"/>
        <v>0</v>
      </c>
      <c r="O26" s="25">
        <v>0</v>
      </c>
      <c r="P26" s="25">
        <v>0</v>
      </c>
    </row>
    <row r="27" spans="1:16" s="31" customFormat="1" ht="17.25" customHeight="1" x14ac:dyDescent="0.25">
      <c r="A27" s="32" t="s">
        <v>15</v>
      </c>
      <c r="B27" s="11">
        <f t="shared" si="5"/>
        <v>106</v>
      </c>
      <c r="C27" s="11">
        <f t="shared" si="6"/>
        <v>61</v>
      </c>
      <c r="D27" s="11">
        <f t="shared" si="6"/>
        <v>45</v>
      </c>
      <c r="E27" s="24">
        <f t="shared" si="6"/>
        <v>0</v>
      </c>
      <c r="F27" s="11">
        <f t="shared" si="7"/>
        <v>67</v>
      </c>
      <c r="G27" s="25">
        <v>39</v>
      </c>
      <c r="H27" s="25">
        <v>28</v>
      </c>
      <c r="I27" s="24">
        <f t="shared" si="8"/>
        <v>0</v>
      </c>
      <c r="J27" s="12">
        <f t="shared" si="9"/>
        <v>39</v>
      </c>
      <c r="K27" s="25">
        <v>22</v>
      </c>
      <c r="L27" s="11">
        <v>17</v>
      </c>
      <c r="M27" s="24">
        <f t="shared" si="10"/>
        <v>0</v>
      </c>
      <c r="N27" s="11">
        <f t="shared" si="4"/>
        <v>0</v>
      </c>
      <c r="O27" s="25">
        <v>0</v>
      </c>
      <c r="P27" s="25">
        <v>0</v>
      </c>
    </row>
    <row r="28" spans="1:16" s="31" customFormat="1" ht="17.25" customHeight="1" x14ac:dyDescent="0.25">
      <c r="A28" s="32" t="s">
        <v>30</v>
      </c>
      <c r="B28" s="11">
        <f t="shared" si="5"/>
        <v>873</v>
      </c>
      <c r="C28" s="11">
        <f t="shared" si="6"/>
        <v>498</v>
      </c>
      <c r="D28" s="11">
        <f t="shared" si="6"/>
        <v>375</v>
      </c>
      <c r="E28" s="24">
        <f t="shared" si="6"/>
        <v>0</v>
      </c>
      <c r="F28" s="11">
        <f t="shared" si="7"/>
        <v>432</v>
      </c>
      <c r="G28" s="11">
        <v>229</v>
      </c>
      <c r="H28" s="11">
        <v>203</v>
      </c>
      <c r="I28" s="24">
        <f t="shared" si="8"/>
        <v>0</v>
      </c>
      <c r="J28" s="12">
        <f t="shared" si="9"/>
        <v>440</v>
      </c>
      <c r="K28" s="11">
        <v>269</v>
      </c>
      <c r="L28" s="25">
        <v>171</v>
      </c>
      <c r="M28" s="24">
        <f t="shared" si="10"/>
        <v>0</v>
      </c>
      <c r="N28" s="11">
        <f t="shared" si="4"/>
        <v>1</v>
      </c>
      <c r="O28" s="25">
        <v>0</v>
      </c>
      <c r="P28" s="25">
        <v>1</v>
      </c>
    </row>
    <row r="29" spans="1:16" s="31" customFormat="1" ht="17.25" customHeight="1" x14ac:dyDescent="0.25">
      <c r="A29" s="10" t="s">
        <v>20</v>
      </c>
      <c r="B29" s="20">
        <f t="shared" si="5"/>
        <v>9</v>
      </c>
      <c r="C29" s="20">
        <f t="shared" si="6"/>
        <v>9</v>
      </c>
      <c r="D29" s="20">
        <f t="shared" si="6"/>
        <v>0</v>
      </c>
      <c r="E29" s="29">
        <v>0</v>
      </c>
      <c r="F29" s="20">
        <f>SUM(G29:I29)</f>
        <v>9</v>
      </c>
      <c r="G29" s="20">
        <v>9</v>
      </c>
      <c r="H29" s="30">
        <v>0</v>
      </c>
      <c r="I29" s="24">
        <f t="shared" si="8"/>
        <v>0</v>
      </c>
      <c r="J29" s="21">
        <f t="shared" si="9"/>
        <v>0</v>
      </c>
      <c r="K29" s="30">
        <v>0</v>
      </c>
      <c r="L29" s="30">
        <v>0</v>
      </c>
      <c r="M29" s="29">
        <f t="shared" si="10"/>
        <v>0</v>
      </c>
      <c r="N29" s="20">
        <f t="shared" si="4"/>
        <v>0</v>
      </c>
      <c r="O29" s="30">
        <v>0</v>
      </c>
      <c r="P29" s="30">
        <v>0</v>
      </c>
    </row>
    <row r="30" spans="1:16" x14ac:dyDescent="0.2">
      <c r="A30" s="41" t="s">
        <v>36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37"/>
    </row>
    <row r="31" spans="1:16" x14ac:dyDescent="0.2">
      <c r="A31" s="37" t="s">
        <v>35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1:16" x14ac:dyDescent="0.2">
      <c r="A32" s="22" t="s">
        <v>21</v>
      </c>
    </row>
    <row r="33" spans="1:1" x14ac:dyDescent="0.2">
      <c r="A33" s="23" t="s">
        <v>31</v>
      </c>
    </row>
    <row r="34" spans="1:1" x14ac:dyDescent="0.2">
      <c r="A34" s="9"/>
    </row>
  </sheetData>
  <mergeCells count="9">
    <mergeCell ref="A3:P3"/>
    <mergeCell ref="A4:P4"/>
    <mergeCell ref="A6:A7"/>
    <mergeCell ref="A31:L31"/>
    <mergeCell ref="N6:P6"/>
    <mergeCell ref="B6:E6"/>
    <mergeCell ref="F6:I6"/>
    <mergeCell ref="J6:M6"/>
    <mergeCell ref="A30:L30"/>
  </mergeCells>
  <pageMargins left="0.7" right="0.7" top="0.75" bottom="0.75" header="0.3" footer="0.3"/>
  <pageSetup paperSize="9" scale="55" orientation="portrait" r:id="rId1"/>
  <ignoredErrors>
    <ignoredError sqref="C14:F28 J14:J29 N14:N29 C29:D29 F29" formula="1"/>
    <ignoredError sqref="J10:J11" formulaRange="1"/>
    <ignoredError sqref="C13:P13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2023-01-24T04:39:06Z</cp:lastPrinted>
  <dcterms:created xsi:type="dcterms:W3CDTF">2019-07-22T06:02:33Z</dcterms:created>
  <dcterms:modified xsi:type="dcterms:W3CDTF">2023-01-24T04:39:17Z</dcterms:modified>
</cp:coreProperties>
</file>